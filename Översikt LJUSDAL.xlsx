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23984-2022</t>
        </is>
      </c>
      <c r="B2" s="1" t="n">
        <v>44722</v>
      </c>
      <c r="C2" s="1" t="n">
        <v>45811</v>
      </c>
      <c r="D2" t="inlineStr">
        <is>
          <t>GÄVLEBORGS LÄN</t>
        </is>
      </c>
      <c r="E2" t="inlineStr">
        <is>
          <t>LJUSDAL</t>
        </is>
      </c>
      <c r="G2" t="n">
        <v>36.7</v>
      </c>
      <c r="H2" t="n">
        <v>3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Vågticka
Blanksvart spiklav
Dvärgbägarlav
Garnlav
Gränsticka
Kolflarnlav
Kortskaftad ärgspik
Lunglav
Stjärntagging
Vedskivlav
Vedtrappmossa
Violettgrå tagellav
Vitgrynig nållav
Bollvitmossa
Dropptaggsvamp
Skinnlav
Spindelblomster
Nattviol</t>
        </is>
      </c>
      <c r="S2">
        <f>HYPERLINK("https://klasma.github.io/Logging_2161/artfynd/A 23984-2022 artfynd.xlsx", "A 23984-2022")</f>
        <v/>
      </c>
      <c r="T2">
        <f>HYPERLINK("https://klasma.github.io/Logging_2161/kartor/A 23984-2022 karta.png", "A 23984-2022")</f>
        <v/>
      </c>
      <c r="U2">
        <f>HYPERLINK("https://klasma.github.io/Logging_2161/knärot/A 23984-2022 karta knärot.png", "A 23984-2022")</f>
        <v/>
      </c>
      <c r="V2">
        <f>HYPERLINK("https://klasma.github.io/Logging_2161/klagomål/A 23984-2022 FSC-klagomål.docx", "A 23984-2022")</f>
        <v/>
      </c>
      <c r="W2">
        <f>HYPERLINK("https://klasma.github.io/Logging_2161/klagomålsmail/A 23984-2022 FSC-klagomål mail.docx", "A 23984-2022")</f>
        <v/>
      </c>
      <c r="X2">
        <f>HYPERLINK("https://klasma.github.io/Logging_2161/tillsyn/A 23984-2022 tillsynsbegäran.docx", "A 23984-2022")</f>
        <v/>
      </c>
      <c r="Y2">
        <f>HYPERLINK("https://klasma.github.io/Logging_2161/tillsynsmail/A 23984-2022 tillsynsbegäran mail.docx", "A 23984-2022")</f>
        <v/>
      </c>
    </row>
    <row r="3" ht="15" customHeight="1">
      <c r="A3" t="inlineStr">
        <is>
          <t>A 19766-2025</t>
        </is>
      </c>
      <c r="B3" s="1" t="n">
        <v>45771</v>
      </c>
      <c r="C3" s="1" t="n">
        <v>45811</v>
      </c>
      <c r="D3" t="inlineStr">
        <is>
          <t>GÄVLEBORGS LÄN</t>
        </is>
      </c>
      <c r="E3" t="inlineStr">
        <is>
          <t>LJUSDAL</t>
        </is>
      </c>
      <c r="F3" t="inlineStr">
        <is>
          <t>Bergvik skog väst AB</t>
        </is>
      </c>
      <c r="G3" t="n">
        <v>14.4</v>
      </c>
      <c r="H3" t="n">
        <v>8</v>
      </c>
      <c r="I3" t="n">
        <v>2</v>
      </c>
      <c r="J3" t="n">
        <v>10</v>
      </c>
      <c r="K3" t="n">
        <v>2</v>
      </c>
      <c r="L3" t="n">
        <v>0</v>
      </c>
      <c r="M3" t="n">
        <v>0</v>
      </c>
      <c r="N3" t="n">
        <v>0</v>
      </c>
      <c r="O3" t="n">
        <v>12</v>
      </c>
      <c r="P3" t="n">
        <v>2</v>
      </c>
      <c r="Q3" t="n">
        <v>16</v>
      </c>
      <c r="R3" s="2" t="inlineStr">
        <is>
          <t>Blackticka
Knärot
Garnlav
Granticka
Järpe
Lunglav
Rosenticka
Skogshare
Spillkråka
Talltita
Tretåig hackspett
Ullticka
Spindelblomster
Stuplav
Kungsfågel
Revlummer</t>
        </is>
      </c>
      <c r="S3">
        <f>HYPERLINK("https://klasma.github.io/Logging_212161/artfynd/A 19766-2025 artfynd.xlsx", "A 19766-2025")</f>
        <v/>
      </c>
      <c r="T3">
        <f>HYPERLINK("https://klasma.github.io/Logging_212161/kartor/A 19766-2025 karta.png", "A 19766-2025")</f>
        <v/>
      </c>
      <c r="U3">
        <f>HYPERLINK("https://klasma.github.io/Logging_212161/knärot/A 19766-2025 karta knärot.png", "A 19766-2025")</f>
        <v/>
      </c>
      <c r="V3">
        <f>HYPERLINK("https://klasma.github.io/Logging_212161/klagomål/A 19766-2025 FSC-klagomål.docx", "A 19766-2025")</f>
        <v/>
      </c>
      <c r="W3">
        <f>HYPERLINK("https://klasma.github.io/Logging_212161/klagomålsmail/A 19766-2025 FSC-klagomål mail.docx", "A 19766-2025")</f>
        <v/>
      </c>
      <c r="X3">
        <f>HYPERLINK("https://klasma.github.io/Logging_212161/tillsyn/A 19766-2025 tillsynsbegäran.docx", "A 19766-2025")</f>
        <v/>
      </c>
      <c r="Y3">
        <f>HYPERLINK("https://klasma.github.io/Logging_212161/tillsynsmail/A 19766-2025 tillsynsbegäran mail.docx", "A 19766-2025")</f>
        <v/>
      </c>
      <c r="Z3">
        <f>HYPERLINK("https://klasma.github.io/Logging_212161/fåglar/A 19766-2025 prioriterade fågelarter.docx", "A 19766-2025")</f>
        <v/>
      </c>
    </row>
    <row r="4" ht="15" customHeight="1">
      <c r="A4" t="inlineStr">
        <is>
          <t>A 29141-2021</t>
        </is>
      </c>
      <c r="B4" s="1" t="n">
        <v>44358</v>
      </c>
      <c r="C4" s="1" t="n">
        <v>45811</v>
      </c>
      <c r="D4" t="inlineStr">
        <is>
          <t>GÄVLEBORGS LÄN</t>
        </is>
      </c>
      <c r="E4" t="inlineStr">
        <is>
          <t>LJUSDAL</t>
        </is>
      </c>
      <c r="G4" t="n">
        <v>16.9</v>
      </c>
      <c r="H4" t="n">
        <v>5</v>
      </c>
      <c r="I4" t="n">
        <v>5</v>
      </c>
      <c r="J4" t="n">
        <v>6</v>
      </c>
      <c r="K4" t="n">
        <v>2</v>
      </c>
      <c r="L4" t="n">
        <v>0</v>
      </c>
      <c r="M4" t="n">
        <v>0</v>
      </c>
      <c r="N4" t="n">
        <v>0</v>
      </c>
      <c r="O4" t="n">
        <v>8</v>
      </c>
      <c r="P4" t="n">
        <v>2</v>
      </c>
      <c r="Q4" t="n">
        <v>15</v>
      </c>
      <c r="R4" s="2" t="inlineStr">
        <is>
          <t>Knärot
Rynkskinn
Brunpudrad nållav
Garnlav
Lunglav
Talltita
Ullticka
Vedskivlav
Nästlav
Skinnlav
Spindelblomster
Stuplav
Vedticka
Fläcknycklar
Revlummer</t>
        </is>
      </c>
      <c r="S4">
        <f>HYPERLINK("https://klasma.github.io/Logging_2161/artfynd/A 29141-2021 artfynd.xlsx", "A 29141-2021")</f>
        <v/>
      </c>
      <c r="T4">
        <f>HYPERLINK("https://klasma.github.io/Logging_2161/kartor/A 29141-2021 karta.png", "A 29141-2021")</f>
        <v/>
      </c>
      <c r="U4">
        <f>HYPERLINK("https://klasma.github.io/Logging_2161/knärot/A 29141-2021 karta knärot.png", "A 29141-2021")</f>
        <v/>
      </c>
      <c r="V4">
        <f>HYPERLINK("https://klasma.github.io/Logging_2161/klagomål/A 29141-2021 FSC-klagomål.docx", "A 29141-2021")</f>
        <v/>
      </c>
      <c r="W4">
        <f>HYPERLINK("https://klasma.github.io/Logging_2161/klagomålsmail/A 29141-2021 FSC-klagomål mail.docx", "A 29141-2021")</f>
        <v/>
      </c>
      <c r="X4">
        <f>HYPERLINK("https://klasma.github.io/Logging_2161/tillsyn/A 29141-2021 tillsynsbegäran.docx", "A 29141-2021")</f>
        <v/>
      </c>
      <c r="Y4">
        <f>HYPERLINK("https://klasma.github.io/Logging_2161/tillsynsmail/A 29141-2021 tillsynsbegäran mail.docx", "A 29141-2021")</f>
        <v/>
      </c>
      <c r="Z4">
        <f>HYPERLINK("https://klasma.github.io/Logging_2161/fåglar/A 29141-2021 prioriterade fågelarter.docx", "A 29141-2021")</f>
        <v/>
      </c>
    </row>
    <row r="5" ht="15" customHeight="1">
      <c r="A5" t="inlineStr">
        <is>
          <t>A 55322-2021</t>
        </is>
      </c>
      <c r="B5" s="1" t="n">
        <v>44475</v>
      </c>
      <c r="C5" s="1" t="n">
        <v>45811</v>
      </c>
      <c r="D5" t="inlineStr">
        <is>
          <t>GÄVLEBORGS LÄN</t>
        </is>
      </c>
      <c r="E5" t="inlineStr">
        <is>
          <t>LJUSDAL</t>
        </is>
      </c>
      <c r="F5" t="inlineStr">
        <is>
          <t>Holmen skog AB</t>
        </is>
      </c>
      <c r="G5" t="n">
        <v>4.1</v>
      </c>
      <c r="H5" t="n">
        <v>1</v>
      </c>
      <c r="I5" t="n">
        <v>10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15</v>
      </c>
      <c r="R5" s="2" t="inlineStr">
        <is>
          <t>Knärot
Gammelgransskål
Garnlav
Ullticka
Vitgrynig nållav
Bronshjon
Grönpyrola
Gulnål
Kattfotslav
Korallblylav
Källpraktmossa
Mörk husmossa
Rödgul trumpetsvamp
Skogsbräsma
Vedticka</t>
        </is>
      </c>
      <c r="S5">
        <f>HYPERLINK("https://klasma.github.io/Logging_2161/artfynd/A 55322-2021 artfynd.xlsx", "A 55322-2021")</f>
        <v/>
      </c>
      <c r="T5">
        <f>HYPERLINK("https://klasma.github.io/Logging_2161/kartor/A 55322-2021 karta.png", "A 55322-2021")</f>
        <v/>
      </c>
      <c r="U5">
        <f>HYPERLINK("https://klasma.github.io/Logging_2161/knärot/A 55322-2021 karta knärot.png", "A 55322-2021")</f>
        <v/>
      </c>
      <c r="V5">
        <f>HYPERLINK("https://klasma.github.io/Logging_2161/klagomål/A 55322-2021 FSC-klagomål.docx", "A 55322-2021")</f>
        <v/>
      </c>
      <c r="W5">
        <f>HYPERLINK("https://klasma.github.io/Logging_2161/klagomålsmail/A 55322-2021 FSC-klagomål mail.docx", "A 55322-2021")</f>
        <v/>
      </c>
      <c r="X5">
        <f>HYPERLINK("https://klasma.github.io/Logging_2161/tillsyn/A 55322-2021 tillsynsbegäran.docx", "A 55322-2021")</f>
        <v/>
      </c>
      <c r="Y5">
        <f>HYPERLINK("https://klasma.github.io/Logging_2161/tillsynsmail/A 55322-2021 tillsynsbegäran mail.docx", "A 55322-2021")</f>
        <v/>
      </c>
    </row>
    <row r="6" ht="15" customHeight="1">
      <c r="A6" t="inlineStr">
        <is>
          <t>A 48020-2021</t>
        </is>
      </c>
      <c r="B6" s="1" t="n">
        <v>44449</v>
      </c>
      <c r="C6" s="1" t="n">
        <v>45811</v>
      </c>
      <c r="D6" t="inlineStr">
        <is>
          <t>GÄVLEBORGS LÄN</t>
        </is>
      </c>
      <c r="E6" t="inlineStr">
        <is>
          <t>LJUSDAL</t>
        </is>
      </c>
      <c r="G6" t="n">
        <v>6.4</v>
      </c>
      <c r="H6" t="n">
        <v>3</v>
      </c>
      <c r="I6" t="n">
        <v>2</v>
      </c>
      <c r="J6" t="n">
        <v>8</v>
      </c>
      <c r="K6" t="n">
        <v>4</v>
      </c>
      <c r="L6" t="n">
        <v>0</v>
      </c>
      <c r="M6" t="n">
        <v>0</v>
      </c>
      <c r="N6" t="n">
        <v>0</v>
      </c>
      <c r="O6" t="n">
        <v>12</v>
      </c>
      <c r="P6" t="n">
        <v>4</v>
      </c>
      <c r="Q6" t="n">
        <v>14</v>
      </c>
      <c r="R6" s="2" t="inlineStr">
        <is>
          <t>Knärot
Rynkskinn
Sprickporing
Vågticka
Garnlav
Granticka
Gränsticka
Rosenticka
Rödbrun klubbdyna
Spillkråka
Tretåig hackspett
Ullticka
Fjällig taggsvamp s.str.
Mörk husmossa</t>
        </is>
      </c>
      <c r="S6">
        <f>HYPERLINK("https://klasma.github.io/Logging_2161/artfynd/A 48020-2021 artfynd.xlsx", "A 48020-2021")</f>
        <v/>
      </c>
      <c r="T6">
        <f>HYPERLINK("https://klasma.github.io/Logging_2161/kartor/A 48020-2021 karta.png", "A 48020-2021")</f>
        <v/>
      </c>
      <c r="U6">
        <f>HYPERLINK("https://klasma.github.io/Logging_2161/knärot/A 48020-2021 karta knärot.png", "A 48020-2021")</f>
        <v/>
      </c>
      <c r="V6">
        <f>HYPERLINK("https://klasma.github.io/Logging_2161/klagomål/A 48020-2021 FSC-klagomål.docx", "A 48020-2021")</f>
        <v/>
      </c>
      <c r="W6">
        <f>HYPERLINK("https://klasma.github.io/Logging_2161/klagomålsmail/A 48020-2021 FSC-klagomål mail.docx", "A 48020-2021")</f>
        <v/>
      </c>
      <c r="X6">
        <f>HYPERLINK("https://klasma.github.io/Logging_2161/tillsyn/A 48020-2021 tillsynsbegäran.docx", "A 48020-2021")</f>
        <v/>
      </c>
      <c r="Y6">
        <f>HYPERLINK("https://klasma.github.io/Logging_2161/tillsynsmail/A 48020-2021 tillsynsbegäran mail.docx", "A 48020-2021")</f>
        <v/>
      </c>
      <c r="Z6">
        <f>HYPERLINK("https://klasma.github.io/Logging_2161/fåglar/A 48020-2021 prioriterade fågelarter.docx", "A 48020-2021")</f>
        <v/>
      </c>
    </row>
    <row r="7" ht="15" customHeight="1">
      <c r="A7" t="inlineStr">
        <is>
          <t>A 8590-2025</t>
        </is>
      </c>
      <c r="B7" s="1" t="n">
        <v>45709</v>
      </c>
      <c r="C7" s="1" t="n">
        <v>45811</v>
      </c>
      <c r="D7" t="inlineStr">
        <is>
          <t>GÄVLEBORGS LÄN</t>
        </is>
      </c>
      <c r="E7" t="inlineStr">
        <is>
          <t>LJUSDAL</t>
        </is>
      </c>
      <c r="G7" t="n">
        <v>64.09999999999999</v>
      </c>
      <c r="H7" t="n">
        <v>5</v>
      </c>
      <c r="I7" t="n">
        <v>2</v>
      </c>
      <c r="J7" t="n">
        <v>9</v>
      </c>
      <c r="K7" t="n">
        <v>1</v>
      </c>
      <c r="L7" t="n">
        <v>0</v>
      </c>
      <c r="M7" t="n">
        <v>0</v>
      </c>
      <c r="N7" t="n">
        <v>0</v>
      </c>
      <c r="O7" t="n">
        <v>10</v>
      </c>
      <c r="P7" t="n">
        <v>1</v>
      </c>
      <c r="Q7" t="n">
        <v>14</v>
      </c>
      <c r="R7" s="2" t="inlineStr">
        <is>
          <t>Knärot
Garnlav
Kolflarnlav
Lunglav
Mörk kolflarnlav
Skrovellav
Tallticka
Talltita
Tretåig hackspett
Ullticka
Dropptaggsvamp
Vedticka
Kungsfågel
Tjäder</t>
        </is>
      </c>
      <c r="S7">
        <f>HYPERLINK("https://klasma.github.io/Logging_2161/artfynd/A 8590-2025 artfynd.xlsx", "A 8590-2025")</f>
        <v/>
      </c>
      <c r="T7">
        <f>HYPERLINK("https://klasma.github.io/Logging_2161/kartor/A 8590-2025 karta.png", "A 8590-2025")</f>
        <v/>
      </c>
      <c r="U7">
        <f>HYPERLINK("https://klasma.github.io/Logging_2161/knärot/A 8590-2025 karta knärot.png", "A 8590-2025")</f>
        <v/>
      </c>
      <c r="V7">
        <f>HYPERLINK("https://klasma.github.io/Logging_2161/klagomål/A 8590-2025 FSC-klagomål.docx", "A 8590-2025")</f>
        <v/>
      </c>
      <c r="W7">
        <f>HYPERLINK("https://klasma.github.io/Logging_2161/klagomålsmail/A 8590-2025 FSC-klagomål mail.docx", "A 8590-2025")</f>
        <v/>
      </c>
      <c r="X7">
        <f>HYPERLINK("https://klasma.github.io/Logging_2161/tillsyn/A 8590-2025 tillsynsbegäran.docx", "A 8590-2025")</f>
        <v/>
      </c>
      <c r="Y7">
        <f>HYPERLINK("https://klasma.github.io/Logging_2161/tillsynsmail/A 8590-2025 tillsynsbegäran mail.docx", "A 8590-2025")</f>
        <v/>
      </c>
      <c r="Z7">
        <f>HYPERLINK("https://klasma.github.io/Logging_2161/fåglar/A 8590-2025 prioriterade fågelarter.docx", "A 8590-2025")</f>
        <v/>
      </c>
    </row>
    <row r="8" ht="15" customHeight="1">
      <c r="A8" t="inlineStr">
        <is>
          <t>A 17261-2020</t>
        </is>
      </c>
      <c r="B8" s="1" t="n">
        <v>43922</v>
      </c>
      <c r="C8" s="1" t="n">
        <v>45811</v>
      </c>
      <c r="D8" t="inlineStr">
        <is>
          <t>GÄVLEBORGS LÄN</t>
        </is>
      </c>
      <c r="E8" t="inlineStr">
        <is>
          <t>LJUSDAL</t>
        </is>
      </c>
      <c r="F8" t="inlineStr">
        <is>
          <t>Holmen skog AB</t>
        </is>
      </c>
      <c r="G8" t="n">
        <v>6.3</v>
      </c>
      <c r="H8" t="n">
        <v>1</v>
      </c>
      <c r="I8" t="n">
        <v>4</v>
      </c>
      <c r="J8" t="n">
        <v>8</v>
      </c>
      <c r="K8" t="n">
        <v>1</v>
      </c>
      <c r="L8" t="n">
        <v>0</v>
      </c>
      <c r="M8" t="n">
        <v>0</v>
      </c>
      <c r="N8" t="n">
        <v>0</v>
      </c>
      <c r="O8" t="n">
        <v>9</v>
      </c>
      <c r="P8" t="n">
        <v>1</v>
      </c>
      <c r="Q8" t="n">
        <v>13</v>
      </c>
      <c r="R8" s="2" t="inlineStr">
        <is>
          <t>Knärot
Dvärgbägarlav
Gammelgransskål
Garnlav
Granticka
Lunglav
Ullticka
Vitgrynig nållav
Vitskaftad svartspik
Bollvitmossa
Bronshjon
Skinnlav
Vedticka</t>
        </is>
      </c>
      <c r="S8">
        <f>HYPERLINK("https://klasma.github.io/Logging_2161/artfynd/A 17261-2020 artfynd.xlsx", "A 17261-2020")</f>
        <v/>
      </c>
      <c r="T8">
        <f>HYPERLINK("https://klasma.github.io/Logging_2161/kartor/A 17261-2020 karta.png", "A 17261-2020")</f>
        <v/>
      </c>
      <c r="U8">
        <f>HYPERLINK("https://klasma.github.io/Logging_2161/knärot/A 17261-2020 karta knärot.png", "A 17261-2020")</f>
        <v/>
      </c>
      <c r="V8">
        <f>HYPERLINK("https://klasma.github.io/Logging_2161/klagomål/A 17261-2020 FSC-klagomål.docx", "A 17261-2020")</f>
        <v/>
      </c>
      <c r="W8">
        <f>HYPERLINK("https://klasma.github.io/Logging_2161/klagomålsmail/A 17261-2020 FSC-klagomål mail.docx", "A 17261-2020")</f>
        <v/>
      </c>
      <c r="X8">
        <f>HYPERLINK("https://klasma.github.io/Logging_2161/tillsyn/A 17261-2020 tillsynsbegäran.docx", "A 17261-2020")</f>
        <v/>
      </c>
      <c r="Y8">
        <f>HYPERLINK("https://klasma.github.io/Logging_2161/tillsynsmail/A 17261-2020 tillsynsbegäran mail.docx", "A 17261-2020")</f>
        <v/>
      </c>
    </row>
    <row r="9" ht="15" customHeight="1">
      <c r="A9" t="inlineStr">
        <is>
          <t>A 28754-2024</t>
        </is>
      </c>
      <c r="B9" s="1" t="n">
        <v>45478</v>
      </c>
      <c r="C9" s="1" t="n">
        <v>45811</v>
      </c>
      <c r="D9" t="inlineStr">
        <is>
          <t>GÄVLEBORGS LÄN</t>
        </is>
      </c>
      <c r="E9" t="inlineStr">
        <is>
          <t>LJUSDAL</t>
        </is>
      </c>
      <c r="F9" t="inlineStr">
        <is>
          <t>Allmännings- och besparingsskogar</t>
        </is>
      </c>
      <c r="G9" t="n">
        <v>7.4</v>
      </c>
      <c r="H9" t="n">
        <v>1</v>
      </c>
      <c r="I9" t="n">
        <v>1</v>
      </c>
      <c r="J9" t="n">
        <v>12</v>
      </c>
      <c r="K9" t="n">
        <v>0</v>
      </c>
      <c r="L9" t="n">
        <v>0</v>
      </c>
      <c r="M9" t="n">
        <v>0</v>
      </c>
      <c r="N9" t="n">
        <v>0</v>
      </c>
      <c r="O9" t="n">
        <v>12</v>
      </c>
      <c r="P9" t="n">
        <v>0</v>
      </c>
      <c r="Q9" t="n">
        <v>13</v>
      </c>
      <c r="R9" s="2" t="inlineStr">
        <is>
          <t>Blågrå svartspik
Doftskinn
Dvärgbägarlav
Garnlav
Kolflarnlav
Kortskaftad ärgspik
Mörk kolflarnlav
Talltita
Vedflamlav
Vedskivlav
Violettgrå tagellav
Vitgrynig nållav
Mindre märgborre</t>
        </is>
      </c>
      <c r="S9">
        <f>HYPERLINK("https://klasma.github.io/Logging_2161/artfynd/A 28754-2024 artfynd.xlsx", "A 28754-2024")</f>
        <v/>
      </c>
      <c r="T9">
        <f>HYPERLINK("https://klasma.github.io/Logging_2161/kartor/A 28754-2024 karta.png", "A 28754-2024")</f>
        <v/>
      </c>
      <c r="V9">
        <f>HYPERLINK("https://klasma.github.io/Logging_2161/klagomål/A 28754-2024 FSC-klagomål.docx", "A 28754-2024")</f>
        <v/>
      </c>
      <c r="W9">
        <f>HYPERLINK("https://klasma.github.io/Logging_2161/klagomålsmail/A 28754-2024 FSC-klagomål mail.docx", "A 28754-2024")</f>
        <v/>
      </c>
      <c r="X9">
        <f>HYPERLINK("https://klasma.github.io/Logging_2161/tillsyn/A 28754-2024 tillsynsbegäran.docx", "A 28754-2024")</f>
        <v/>
      </c>
      <c r="Y9">
        <f>HYPERLINK("https://klasma.github.io/Logging_2161/tillsynsmail/A 28754-2024 tillsynsbegäran mail.docx", "A 28754-2024")</f>
        <v/>
      </c>
      <c r="Z9">
        <f>HYPERLINK("https://klasma.github.io/Logging_2161/fåglar/A 28754-2024 prioriterade fågelarter.docx", "A 28754-2024")</f>
        <v/>
      </c>
    </row>
    <row r="10" ht="15" customHeight="1">
      <c r="A10" t="inlineStr">
        <is>
          <t>A 22554-2023</t>
        </is>
      </c>
      <c r="B10" s="1" t="n">
        <v>45071</v>
      </c>
      <c r="C10" s="1" t="n">
        <v>45811</v>
      </c>
      <c r="D10" t="inlineStr">
        <is>
          <t>GÄVLEBORGS LÄN</t>
        </is>
      </c>
      <c r="E10" t="inlineStr">
        <is>
          <t>LJUSDAL</t>
        </is>
      </c>
      <c r="F10" t="inlineStr">
        <is>
          <t>Allmännings- och besparingsskogar</t>
        </is>
      </c>
      <c r="G10" t="n">
        <v>7.1</v>
      </c>
      <c r="H10" t="n">
        <v>2</v>
      </c>
      <c r="I10" t="n">
        <v>2</v>
      </c>
      <c r="J10" t="n">
        <v>8</v>
      </c>
      <c r="K10" t="n">
        <v>1</v>
      </c>
      <c r="L10" t="n">
        <v>0</v>
      </c>
      <c r="M10" t="n">
        <v>0</v>
      </c>
      <c r="N10" t="n">
        <v>0</v>
      </c>
      <c r="O10" t="n">
        <v>9</v>
      </c>
      <c r="P10" t="n">
        <v>1</v>
      </c>
      <c r="Q10" t="n">
        <v>12</v>
      </c>
      <c r="R10" s="2" t="inlineStr">
        <is>
          <t>Knärot
Garnlav
Kolflarnlav
Kortskaftad ärgspik
Lunglav
Mörk kolflarnlav
Skrovellav
Vedskivlav
Vitgrynig nållav
Mindre märgborre
Stuplav
Revlummer</t>
        </is>
      </c>
      <c r="S10">
        <f>HYPERLINK("https://klasma.github.io/Logging_2161/artfynd/A 22554-2023 artfynd.xlsx", "A 22554-2023")</f>
        <v/>
      </c>
      <c r="T10">
        <f>HYPERLINK("https://klasma.github.io/Logging_2161/kartor/A 22554-2023 karta.png", "A 22554-2023")</f>
        <v/>
      </c>
      <c r="U10">
        <f>HYPERLINK("https://klasma.github.io/Logging_2161/knärot/A 22554-2023 karta knärot.png", "A 22554-2023")</f>
        <v/>
      </c>
      <c r="V10">
        <f>HYPERLINK("https://klasma.github.io/Logging_2161/klagomål/A 22554-2023 FSC-klagomål.docx", "A 22554-2023")</f>
        <v/>
      </c>
      <c r="W10">
        <f>HYPERLINK("https://klasma.github.io/Logging_2161/klagomålsmail/A 22554-2023 FSC-klagomål mail.docx", "A 22554-2023")</f>
        <v/>
      </c>
      <c r="X10">
        <f>HYPERLINK("https://klasma.github.io/Logging_2161/tillsyn/A 22554-2023 tillsynsbegäran.docx", "A 22554-2023")</f>
        <v/>
      </c>
      <c r="Y10">
        <f>HYPERLINK("https://klasma.github.io/Logging_2161/tillsynsmail/A 22554-2023 tillsynsbegäran mail.docx", "A 22554-2023")</f>
        <v/>
      </c>
    </row>
    <row r="11" ht="15" customHeight="1">
      <c r="A11" t="inlineStr">
        <is>
          <t>A 64616-2019</t>
        </is>
      </c>
      <c r="B11" s="1" t="n">
        <v>43798</v>
      </c>
      <c r="C11" s="1" t="n">
        <v>45811</v>
      </c>
      <c r="D11" t="inlineStr">
        <is>
          <t>GÄVLEBORGS LÄN</t>
        </is>
      </c>
      <c r="E11" t="inlineStr">
        <is>
          <t>LJUSDAL</t>
        </is>
      </c>
      <c r="F11" t="inlineStr">
        <is>
          <t>Holmen skog AB</t>
        </is>
      </c>
      <c r="G11" t="n">
        <v>10.5</v>
      </c>
      <c r="H11" t="n">
        <v>0</v>
      </c>
      <c r="I11" t="n">
        <v>3</v>
      </c>
      <c r="J11" t="n">
        <v>8</v>
      </c>
      <c r="K11" t="n">
        <v>0</v>
      </c>
      <c r="L11" t="n">
        <v>0</v>
      </c>
      <c r="M11" t="n">
        <v>0</v>
      </c>
      <c r="N11" t="n">
        <v>0</v>
      </c>
      <c r="O11" t="n">
        <v>8</v>
      </c>
      <c r="P11" t="n">
        <v>0</v>
      </c>
      <c r="Q11" t="n">
        <v>11</v>
      </c>
      <c r="R11" s="2" t="inlineStr">
        <is>
          <t>Doftskinn
Gammelgransskål
Garnlav
Tallticka
Ullticka
Vedskivlav
Violettgrå tagellav
Vitgrynig nållav
Barkkornlav
Skarp dropptaggsvamp
Vedticka</t>
        </is>
      </c>
      <c r="S11">
        <f>HYPERLINK("https://klasma.github.io/Logging_2161/artfynd/A 64616-2019 artfynd.xlsx", "A 64616-2019")</f>
        <v/>
      </c>
      <c r="T11">
        <f>HYPERLINK("https://klasma.github.io/Logging_2161/kartor/A 64616-2019 karta.png", "A 64616-2019")</f>
        <v/>
      </c>
      <c r="V11">
        <f>HYPERLINK("https://klasma.github.io/Logging_2161/klagomål/A 64616-2019 FSC-klagomål.docx", "A 64616-2019")</f>
        <v/>
      </c>
      <c r="W11">
        <f>HYPERLINK("https://klasma.github.io/Logging_2161/klagomålsmail/A 64616-2019 FSC-klagomål mail.docx", "A 64616-2019")</f>
        <v/>
      </c>
      <c r="X11">
        <f>HYPERLINK("https://klasma.github.io/Logging_2161/tillsyn/A 64616-2019 tillsynsbegäran.docx", "A 64616-2019")</f>
        <v/>
      </c>
      <c r="Y11">
        <f>HYPERLINK("https://klasma.github.io/Logging_2161/tillsynsmail/A 64616-2019 tillsynsbegäran mail.docx", "A 64616-2019")</f>
        <v/>
      </c>
    </row>
    <row r="12" ht="15" customHeight="1">
      <c r="A12" t="inlineStr">
        <is>
          <t>A 27326-2021</t>
        </is>
      </c>
      <c r="B12" s="1" t="n">
        <v>44351</v>
      </c>
      <c r="C12" s="1" t="n">
        <v>45811</v>
      </c>
      <c r="D12" t="inlineStr">
        <is>
          <t>GÄVLEBORGS LÄN</t>
        </is>
      </c>
      <c r="E12" t="inlineStr">
        <is>
          <t>LJUSDAL</t>
        </is>
      </c>
      <c r="F12" t="inlineStr">
        <is>
          <t>Sveaskog</t>
        </is>
      </c>
      <c r="G12" t="n">
        <v>11</v>
      </c>
      <c r="H12" t="n">
        <v>3</v>
      </c>
      <c r="I12" t="n">
        <v>1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10</v>
      </c>
      <c r="R12" s="2" t="inlineStr">
        <is>
          <t>Knärot
Garnlav
Kortskaftad ärgspik
Mörk kolflarnlav
Vedskivlav
Violettgrå tagellav
Vitgrynig nållav
Skarp dropptaggsvamp
Fläcknycklar
Revlummer</t>
        </is>
      </c>
      <c r="S12">
        <f>HYPERLINK("https://klasma.github.io/Logging_2161/artfynd/A 27326-2021 artfynd.xlsx", "A 27326-2021")</f>
        <v/>
      </c>
      <c r="T12">
        <f>HYPERLINK("https://klasma.github.io/Logging_2161/kartor/A 27326-2021 karta.png", "A 27326-2021")</f>
        <v/>
      </c>
      <c r="U12">
        <f>HYPERLINK("https://klasma.github.io/Logging_2161/knärot/A 27326-2021 karta knärot.png", "A 27326-2021")</f>
        <v/>
      </c>
      <c r="V12">
        <f>HYPERLINK("https://klasma.github.io/Logging_2161/klagomål/A 27326-2021 FSC-klagomål.docx", "A 27326-2021")</f>
        <v/>
      </c>
      <c r="W12">
        <f>HYPERLINK("https://klasma.github.io/Logging_2161/klagomålsmail/A 27326-2021 FSC-klagomål mail.docx", "A 27326-2021")</f>
        <v/>
      </c>
      <c r="X12">
        <f>HYPERLINK("https://klasma.github.io/Logging_2161/tillsyn/A 27326-2021 tillsynsbegäran.docx", "A 27326-2021")</f>
        <v/>
      </c>
      <c r="Y12">
        <f>HYPERLINK("https://klasma.github.io/Logging_2161/tillsynsmail/A 27326-2021 tillsynsbegäran mail.docx", "A 27326-2021")</f>
        <v/>
      </c>
    </row>
    <row r="13" ht="15" customHeight="1">
      <c r="A13" t="inlineStr">
        <is>
          <t>A 31463-2022</t>
        </is>
      </c>
      <c r="B13" s="1" t="n">
        <v>44774</v>
      </c>
      <c r="C13" s="1" t="n">
        <v>45811</v>
      </c>
      <c r="D13" t="inlineStr">
        <is>
          <t>GÄVLEBORGS LÄN</t>
        </is>
      </c>
      <c r="E13" t="inlineStr">
        <is>
          <t>LJUSDAL</t>
        </is>
      </c>
      <c r="F13" t="inlineStr">
        <is>
          <t>SCA</t>
        </is>
      </c>
      <c r="G13" t="n">
        <v>4.3</v>
      </c>
      <c r="H13" t="n">
        <v>2</v>
      </c>
      <c r="I13" t="n">
        <v>1</v>
      </c>
      <c r="J13" t="n">
        <v>7</v>
      </c>
      <c r="K13" t="n">
        <v>2</v>
      </c>
      <c r="L13" t="n">
        <v>0</v>
      </c>
      <c r="M13" t="n">
        <v>0</v>
      </c>
      <c r="N13" t="n">
        <v>0</v>
      </c>
      <c r="O13" t="n">
        <v>9</v>
      </c>
      <c r="P13" t="n">
        <v>2</v>
      </c>
      <c r="Q13" t="n">
        <v>10</v>
      </c>
      <c r="R13" s="2" t="inlineStr">
        <is>
          <t>Gräddporing
Knärot
Garnlav
Kolflarnlav
Kortskaftad ärgspik
Lunglav
Mörk kolflarnlav
Tretåig hackspett
Vedtrappmossa
Skinnlav</t>
        </is>
      </c>
      <c r="S13">
        <f>HYPERLINK("https://klasma.github.io/Logging_2161/artfynd/A 31463-2022 artfynd.xlsx", "A 31463-2022")</f>
        <v/>
      </c>
      <c r="T13">
        <f>HYPERLINK("https://klasma.github.io/Logging_2161/kartor/A 31463-2022 karta.png", "A 31463-2022")</f>
        <v/>
      </c>
      <c r="U13">
        <f>HYPERLINK("https://klasma.github.io/Logging_2161/knärot/A 31463-2022 karta knärot.png", "A 31463-2022")</f>
        <v/>
      </c>
      <c r="V13">
        <f>HYPERLINK("https://klasma.github.io/Logging_2161/klagomål/A 31463-2022 FSC-klagomål.docx", "A 31463-2022")</f>
        <v/>
      </c>
      <c r="W13">
        <f>HYPERLINK("https://klasma.github.io/Logging_2161/klagomålsmail/A 31463-2022 FSC-klagomål mail.docx", "A 31463-2022")</f>
        <v/>
      </c>
      <c r="X13">
        <f>HYPERLINK("https://klasma.github.io/Logging_2161/tillsyn/A 31463-2022 tillsynsbegäran.docx", "A 31463-2022")</f>
        <v/>
      </c>
      <c r="Y13">
        <f>HYPERLINK("https://klasma.github.io/Logging_2161/tillsynsmail/A 31463-2022 tillsynsbegäran mail.docx", "A 31463-2022")</f>
        <v/>
      </c>
      <c r="Z13">
        <f>HYPERLINK("https://klasma.github.io/Logging_2161/fåglar/A 31463-2022 prioriterade fågelarter.docx", "A 31463-2022")</f>
        <v/>
      </c>
    </row>
    <row r="14" ht="15" customHeight="1">
      <c r="A14" t="inlineStr">
        <is>
          <t>A 53006-2024</t>
        </is>
      </c>
      <c r="B14" s="1" t="n">
        <v>45611</v>
      </c>
      <c r="C14" s="1" t="n">
        <v>45811</v>
      </c>
      <c r="D14" t="inlineStr">
        <is>
          <t>GÄVLEBORGS LÄN</t>
        </is>
      </c>
      <c r="E14" t="inlineStr">
        <is>
          <t>LJUSDAL</t>
        </is>
      </c>
      <c r="F14" t="inlineStr">
        <is>
          <t>Allmännings- och besparingsskogar</t>
        </is>
      </c>
      <c r="G14" t="n">
        <v>26</v>
      </c>
      <c r="H14" t="n">
        <v>2</v>
      </c>
      <c r="I14" t="n">
        <v>2</v>
      </c>
      <c r="J14" t="n">
        <v>7</v>
      </c>
      <c r="K14" t="n">
        <v>1</v>
      </c>
      <c r="L14" t="n">
        <v>0</v>
      </c>
      <c r="M14" t="n">
        <v>0</v>
      </c>
      <c r="N14" t="n">
        <v>0</v>
      </c>
      <c r="O14" t="n">
        <v>8</v>
      </c>
      <c r="P14" t="n">
        <v>1</v>
      </c>
      <c r="Q14" t="n">
        <v>10</v>
      </c>
      <c r="R14" s="2" t="inlineStr">
        <is>
          <t>Knärot
Garnlav
Kolflarnlav
Lunglav
Mörk kolflarnlav
Talltita
Vedskivlav
Vitgrynig nållav
Stuplav
Vedticka</t>
        </is>
      </c>
      <c r="S14">
        <f>HYPERLINK("https://klasma.github.io/Logging_2161/artfynd/A 53006-2024 artfynd.xlsx", "A 53006-2024")</f>
        <v/>
      </c>
      <c r="T14">
        <f>HYPERLINK("https://klasma.github.io/Logging_2161/kartor/A 53006-2024 karta.png", "A 53006-2024")</f>
        <v/>
      </c>
      <c r="U14">
        <f>HYPERLINK("https://klasma.github.io/Logging_2161/knärot/A 53006-2024 karta knärot.png", "A 53006-2024")</f>
        <v/>
      </c>
      <c r="V14">
        <f>HYPERLINK("https://klasma.github.io/Logging_2161/klagomål/A 53006-2024 FSC-klagomål.docx", "A 53006-2024")</f>
        <v/>
      </c>
      <c r="W14">
        <f>HYPERLINK("https://klasma.github.io/Logging_2161/klagomålsmail/A 53006-2024 FSC-klagomål mail.docx", "A 53006-2024")</f>
        <v/>
      </c>
      <c r="X14">
        <f>HYPERLINK("https://klasma.github.io/Logging_2161/tillsyn/A 53006-2024 tillsynsbegäran.docx", "A 53006-2024")</f>
        <v/>
      </c>
      <c r="Y14">
        <f>HYPERLINK("https://klasma.github.io/Logging_2161/tillsynsmail/A 53006-2024 tillsynsbegäran mail.docx", "A 53006-2024")</f>
        <v/>
      </c>
      <c r="Z14">
        <f>HYPERLINK("https://klasma.github.io/Logging_2161/fåglar/A 53006-2024 prioriterade fågelarter.docx", "A 53006-2024")</f>
        <v/>
      </c>
    </row>
    <row r="15" ht="15" customHeight="1">
      <c r="A15" t="inlineStr">
        <is>
          <t>A 3180-2025</t>
        </is>
      </c>
      <c r="B15" s="1" t="n">
        <v>45679</v>
      </c>
      <c r="C15" s="1" t="n">
        <v>45811</v>
      </c>
      <c r="D15" t="inlineStr">
        <is>
          <t>GÄVLEBORGS LÄN</t>
        </is>
      </c>
      <c r="E15" t="inlineStr">
        <is>
          <t>LJUSDAL</t>
        </is>
      </c>
      <c r="G15" t="n">
        <v>13.5</v>
      </c>
      <c r="H15" t="n">
        <v>1</v>
      </c>
      <c r="I15" t="n">
        <v>1</v>
      </c>
      <c r="J15" t="n">
        <v>8</v>
      </c>
      <c r="K15" t="n">
        <v>1</v>
      </c>
      <c r="L15" t="n">
        <v>0</v>
      </c>
      <c r="M15" t="n">
        <v>0</v>
      </c>
      <c r="N15" t="n">
        <v>0</v>
      </c>
      <c r="O15" t="n">
        <v>9</v>
      </c>
      <c r="P15" t="n">
        <v>1</v>
      </c>
      <c r="Q15" t="n">
        <v>10</v>
      </c>
      <c r="R15" s="2" t="inlineStr">
        <is>
          <t>Knärot
Dvärgbägarlav
Garnlav
Kolflarnlav
Lunglav
Mörk kolflarnlav
Skrovellav
Ullticka
Vedflamlav
Stuplav</t>
        </is>
      </c>
      <c r="S15">
        <f>HYPERLINK("https://klasma.github.io/Logging_2161/artfynd/A 3180-2025 artfynd.xlsx", "A 3180-2025")</f>
        <v/>
      </c>
      <c r="T15">
        <f>HYPERLINK("https://klasma.github.io/Logging_2161/kartor/A 3180-2025 karta.png", "A 3180-2025")</f>
        <v/>
      </c>
      <c r="U15">
        <f>HYPERLINK("https://klasma.github.io/Logging_2161/knärot/A 3180-2025 karta knärot.png", "A 3180-2025")</f>
        <v/>
      </c>
      <c r="V15">
        <f>HYPERLINK("https://klasma.github.io/Logging_2161/klagomål/A 3180-2025 FSC-klagomål.docx", "A 3180-2025")</f>
        <v/>
      </c>
      <c r="W15">
        <f>HYPERLINK("https://klasma.github.io/Logging_2161/klagomålsmail/A 3180-2025 FSC-klagomål mail.docx", "A 3180-2025")</f>
        <v/>
      </c>
      <c r="X15">
        <f>HYPERLINK("https://klasma.github.io/Logging_2161/tillsyn/A 3180-2025 tillsynsbegäran.docx", "A 3180-2025")</f>
        <v/>
      </c>
      <c r="Y15">
        <f>HYPERLINK("https://klasma.github.io/Logging_2161/tillsynsmail/A 3180-2025 tillsynsbegäran mail.docx", "A 3180-2025")</f>
        <v/>
      </c>
    </row>
    <row r="16" ht="15" customHeight="1">
      <c r="A16" t="inlineStr">
        <is>
          <t>A 24465-2025</t>
        </is>
      </c>
      <c r="B16" s="1" t="n">
        <v>45798</v>
      </c>
      <c r="C16" s="1" t="n">
        <v>45811</v>
      </c>
      <c r="D16" t="inlineStr">
        <is>
          <t>GÄVLEBORGS LÄN</t>
        </is>
      </c>
      <c r="E16" t="inlineStr">
        <is>
          <t>LJUSDAL</t>
        </is>
      </c>
      <c r="F16" t="inlineStr">
        <is>
          <t>Bergvik skog väst AB</t>
        </is>
      </c>
      <c r="G16" t="n">
        <v>5.1</v>
      </c>
      <c r="H16" t="n">
        <v>2</v>
      </c>
      <c r="I16" t="n">
        <v>4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10</v>
      </c>
      <c r="R16" s="2" t="inlineStr">
        <is>
          <t>Dvärgbägarlav
Kolflarnlav
Kortskaftad ärgspik
Lunglav
Mörk kolflarnlav
Bårdlav
Korallblylav
Mörk husmossa
Spindelblomster
Fläcknycklar</t>
        </is>
      </c>
      <c r="S16">
        <f>HYPERLINK("https://klasma.github.io/Logging_212161/artfynd/A 24465-2025 artfynd.xlsx", "A 24465-2025")</f>
        <v/>
      </c>
      <c r="T16">
        <f>HYPERLINK("https://klasma.github.io/Logging_212161/kartor/A 24465-2025 karta.png", "A 24465-2025")</f>
        <v/>
      </c>
      <c r="U16">
        <f>HYPERLINK("https://klasma.github.io/Logging_212161/knärot/A 24465-2025 karta knärot.png", "A 24465-2025")</f>
        <v/>
      </c>
      <c r="V16">
        <f>HYPERLINK("https://klasma.github.io/Logging_212161/klagomål/A 24465-2025 FSC-klagomål.docx", "A 24465-2025")</f>
        <v/>
      </c>
      <c r="W16">
        <f>HYPERLINK("https://klasma.github.io/Logging_212161/klagomålsmail/A 24465-2025 FSC-klagomål mail.docx", "A 24465-2025")</f>
        <v/>
      </c>
      <c r="X16">
        <f>HYPERLINK("https://klasma.github.io/Logging_212161/tillsyn/A 24465-2025 tillsynsbegäran.docx", "A 24465-2025")</f>
        <v/>
      </c>
      <c r="Y16">
        <f>HYPERLINK("https://klasma.github.io/Logging_212161/tillsynsmail/A 24465-2025 tillsynsbegäran mail.docx", "A 24465-2025")</f>
        <v/>
      </c>
    </row>
    <row r="17" ht="15" customHeight="1">
      <c r="A17" t="inlineStr">
        <is>
          <t>A 7565-2020</t>
        </is>
      </c>
      <c r="B17" s="1" t="n">
        <v>43872</v>
      </c>
      <c r="C17" s="1" t="n">
        <v>45811</v>
      </c>
      <c r="D17" t="inlineStr">
        <is>
          <t>GÄVLEBORGS LÄN</t>
        </is>
      </c>
      <c r="E17" t="inlineStr">
        <is>
          <t>LJUSDAL</t>
        </is>
      </c>
      <c r="G17" t="n">
        <v>4.4</v>
      </c>
      <c r="H17" t="n">
        <v>0</v>
      </c>
      <c r="I17" t="n">
        <v>1</v>
      </c>
      <c r="J17" t="n">
        <v>8</v>
      </c>
      <c r="K17" t="n">
        <v>0</v>
      </c>
      <c r="L17" t="n">
        <v>0</v>
      </c>
      <c r="M17" t="n">
        <v>0</v>
      </c>
      <c r="N17" t="n">
        <v>0</v>
      </c>
      <c r="O17" t="n">
        <v>8</v>
      </c>
      <c r="P17" t="n">
        <v>0</v>
      </c>
      <c r="Q17" t="n">
        <v>9</v>
      </c>
      <c r="R17" s="2" t="inlineStr">
        <is>
          <t>Blanksvart spiklav
Dvärgbägarlav
Garnlav
Kolflarnlav
Mörk kolflarnlav
Tallticka
Vedflamlav
Vedskivlav
Dropptaggsvamp</t>
        </is>
      </c>
      <c r="S17">
        <f>HYPERLINK("https://klasma.github.io/Logging_2161/artfynd/A 7565-2020 artfynd.xlsx", "A 7565-2020")</f>
        <v/>
      </c>
      <c r="T17">
        <f>HYPERLINK("https://klasma.github.io/Logging_2161/kartor/A 7565-2020 karta.png", "A 7565-2020")</f>
        <v/>
      </c>
      <c r="V17">
        <f>HYPERLINK("https://klasma.github.io/Logging_2161/klagomål/A 7565-2020 FSC-klagomål.docx", "A 7565-2020")</f>
        <v/>
      </c>
      <c r="W17">
        <f>HYPERLINK("https://klasma.github.io/Logging_2161/klagomålsmail/A 7565-2020 FSC-klagomål mail.docx", "A 7565-2020")</f>
        <v/>
      </c>
      <c r="X17">
        <f>HYPERLINK("https://klasma.github.io/Logging_2161/tillsyn/A 7565-2020 tillsynsbegäran.docx", "A 7565-2020")</f>
        <v/>
      </c>
      <c r="Y17">
        <f>HYPERLINK("https://klasma.github.io/Logging_2161/tillsynsmail/A 7565-2020 tillsynsbegäran mail.docx", "A 7565-2020")</f>
        <v/>
      </c>
    </row>
    <row r="18" ht="15" customHeight="1">
      <c r="A18" t="inlineStr">
        <is>
          <t>A 27800-2022</t>
        </is>
      </c>
      <c r="B18" s="1" t="n">
        <v>44743</v>
      </c>
      <c r="C18" s="1" t="n">
        <v>45811</v>
      </c>
      <c r="D18" t="inlineStr">
        <is>
          <t>GÄVLEBORGS LÄN</t>
        </is>
      </c>
      <c r="E18" t="inlineStr">
        <is>
          <t>LJUSDAL</t>
        </is>
      </c>
      <c r="F18" t="inlineStr">
        <is>
          <t>Sveaskog</t>
        </is>
      </c>
      <c r="G18" t="n">
        <v>8.9</v>
      </c>
      <c r="H18" t="n">
        <v>6</v>
      </c>
      <c r="I18" t="n">
        <v>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9</v>
      </c>
      <c r="R18" s="2" t="inlineStr">
        <is>
          <t>Grönkulla
Spindelblomster
Svart trolldruva
Ängsvaxskivling
Ögonpyrola
Fläcknycklar
Nattviol
Blåsippa
Revlummer</t>
        </is>
      </c>
      <c r="S18">
        <f>HYPERLINK("https://klasma.github.io/Logging_2161/artfynd/A 27800-2022 artfynd.xlsx", "A 27800-2022")</f>
        <v/>
      </c>
      <c r="T18">
        <f>HYPERLINK("https://klasma.github.io/Logging_2161/kartor/A 27800-2022 karta.png", "A 27800-2022")</f>
        <v/>
      </c>
      <c r="V18">
        <f>HYPERLINK("https://klasma.github.io/Logging_2161/klagomål/A 27800-2022 FSC-klagomål.docx", "A 27800-2022")</f>
        <v/>
      </c>
      <c r="W18">
        <f>HYPERLINK("https://klasma.github.io/Logging_2161/klagomålsmail/A 27800-2022 FSC-klagomål mail.docx", "A 27800-2022")</f>
        <v/>
      </c>
      <c r="X18">
        <f>HYPERLINK("https://klasma.github.io/Logging_2161/tillsyn/A 27800-2022 tillsynsbegäran.docx", "A 27800-2022")</f>
        <v/>
      </c>
      <c r="Y18">
        <f>HYPERLINK("https://klasma.github.io/Logging_2161/tillsynsmail/A 27800-2022 tillsynsbegäran mail.docx", "A 27800-2022")</f>
        <v/>
      </c>
    </row>
    <row r="19" ht="15" customHeight="1">
      <c r="A19" t="inlineStr">
        <is>
          <t>A 40225-2023</t>
        </is>
      </c>
      <c r="B19" s="1" t="n">
        <v>45169</v>
      </c>
      <c r="C19" s="1" t="n">
        <v>45811</v>
      </c>
      <c r="D19" t="inlineStr">
        <is>
          <t>GÄVLEBORGS LÄN</t>
        </is>
      </c>
      <c r="E19" t="inlineStr">
        <is>
          <t>LJUSDAL</t>
        </is>
      </c>
      <c r="F19" t="inlineStr">
        <is>
          <t>Allmännings- och besparingsskogar</t>
        </is>
      </c>
      <c r="G19" t="n">
        <v>36.4</v>
      </c>
      <c r="H19" t="n">
        <v>1</v>
      </c>
      <c r="I19" t="n">
        <v>1</v>
      </c>
      <c r="J19" t="n">
        <v>8</v>
      </c>
      <c r="K19" t="n">
        <v>0</v>
      </c>
      <c r="L19" t="n">
        <v>0</v>
      </c>
      <c r="M19" t="n">
        <v>0</v>
      </c>
      <c r="N19" t="n">
        <v>0</v>
      </c>
      <c r="O19" t="n">
        <v>8</v>
      </c>
      <c r="P19" t="n">
        <v>0</v>
      </c>
      <c r="Q19" t="n">
        <v>9</v>
      </c>
      <c r="R19" s="2" t="inlineStr">
        <is>
          <t>Blanksvart spiklav
Dvärgbägarlav
Garnlav
Kolflarnlav
Mörk kolflarnlav
Talltita
Vedflamlav
Vedskivlav
Stuplav</t>
        </is>
      </c>
      <c r="S19">
        <f>HYPERLINK("https://klasma.github.io/Logging_2161/artfynd/A 40225-2023 artfynd.xlsx", "A 40225-2023")</f>
        <v/>
      </c>
      <c r="T19">
        <f>HYPERLINK("https://klasma.github.io/Logging_2161/kartor/A 40225-2023 karta.png", "A 40225-2023")</f>
        <v/>
      </c>
      <c r="V19">
        <f>HYPERLINK("https://klasma.github.io/Logging_2161/klagomål/A 40225-2023 FSC-klagomål.docx", "A 40225-2023")</f>
        <v/>
      </c>
      <c r="W19">
        <f>HYPERLINK("https://klasma.github.io/Logging_2161/klagomålsmail/A 40225-2023 FSC-klagomål mail.docx", "A 40225-2023")</f>
        <v/>
      </c>
      <c r="X19">
        <f>HYPERLINK("https://klasma.github.io/Logging_2161/tillsyn/A 40225-2023 tillsynsbegäran.docx", "A 40225-2023")</f>
        <v/>
      </c>
      <c r="Y19">
        <f>HYPERLINK("https://klasma.github.io/Logging_2161/tillsynsmail/A 40225-2023 tillsynsbegäran mail.docx", "A 40225-2023")</f>
        <v/>
      </c>
      <c r="Z19">
        <f>HYPERLINK("https://klasma.github.io/Logging_2161/fåglar/A 40225-2023 prioriterade fågelarter.docx", "A 40225-2023")</f>
        <v/>
      </c>
    </row>
    <row r="20" ht="15" customHeight="1">
      <c r="A20" t="inlineStr">
        <is>
          <t>A 33353-2024</t>
        </is>
      </c>
      <c r="B20" s="1" t="n">
        <v>45519</v>
      </c>
      <c r="C20" s="1" t="n">
        <v>45811</v>
      </c>
      <c r="D20" t="inlineStr">
        <is>
          <t>GÄVLEBORGS LÄN</t>
        </is>
      </c>
      <c r="E20" t="inlineStr">
        <is>
          <t>LJUSDAL</t>
        </is>
      </c>
      <c r="F20" t="inlineStr">
        <is>
          <t>Bergvik skog väst AB</t>
        </is>
      </c>
      <c r="G20" t="n">
        <v>3.9</v>
      </c>
      <c r="H20" t="n">
        <v>1</v>
      </c>
      <c r="I20" t="n">
        <v>3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5</v>
      </c>
      <c r="P20" t="n">
        <v>0</v>
      </c>
      <c r="Q20" t="n">
        <v>9</v>
      </c>
      <c r="R20" s="2" t="inlineStr">
        <is>
          <t>Gammelgransskål
Kortskaftad ärgspik
Lunglav
Stiftgelélav
Vedtrappmossa
Korallblylav
Skinnlav
Stuplav
Blåsippa</t>
        </is>
      </c>
      <c r="S20">
        <f>HYPERLINK("https://klasma.github.io/Logging_2161/artfynd/A 33353-2024 artfynd.xlsx", "A 33353-2024")</f>
        <v/>
      </c>
      <c r="T20">
        <f>HYPERLINK("https://klasma.github.io/Logging_2161/kartor/A 33353-2024 karta.png", "A 33353-2024")</f>
        <v/>
      </c>
      <c r="V20">
        <f>HYPERLINK("https://klasma.github.io/Logging_2161/klagomål/A 33353-2024 FSC-klagomål.docx", "A 33353-2024")</f>
        <v/>
      </c>
      <c r="W20">
        <f>HYPERLINK("https://klasma.github.io/Logging_2161/klagomålsmail/A 33353-2024 FSC-klagomål mail.docx", "A 33353-2024")</f>
        <v/>
      </c>
      <c r="X20">
        <f>HYPERLINK("https://klasma.github.io/Logging_2161/tillsyn/A 33353-2024 tillsynsbegäran.docx", "A 33353-2024")</f>
        <v/>
      </c>
      <c r="Y20">
        <f>HYPERLINK("https://klasma.github.io/Logging_2161/tillsynsmail/A 33353-2024 tillsynsbegäran mail.docx", "A 33353-2024")</f>
        <v/>
      </c>
    </row>
    <row r="21" ht="15" customHeight="1">
      <c r="A21" t="inlineStr">
        <is>
          <t>A 35045-2024</t>
        </is>
      </c>
      <c r="B21" s="1" t="n">
        <v>45527</v>
      </c>
      <c r="C21" s="1" t="n">
        <v>45811</v>
      </c>
      <c r="D21" t="inlineStr">
        <is>
          <t>GÄVLEBORGS LÄN</t>
        </is>
      </c>
      <c r="E21" t="inlineStr">
        <is>
          <t>LJUSDAL</t>
        </is>
      </c>
      <c r="F21" t="inlineStr">
        <is>
          <t>Bergvik skog väst AB</t>
        </is>
      </c>
      <c r="G21" t="n">
        <v>17.4</v>
      </c>
      <c r="H21" t="n">
        <v>1</v>
      </c>
      <c r="I21" t="n">
        <v>1</v>
      </c>
      <c r="J21" t="n">
        <v>7</v>
      </c>
      <c r="K21" t="n">
        <v>1</v>
      </c>
      <c r="L21" t="n">
        <v>0</v>
      </c>
      <c r="M21" t="n">
        <v>0</v>
      </c>
      <c r="N21" t="n">
        <v>0</v>
      </c>
      <c r="O21" t="n">
        <v>8</v>
      </c>
      <c r="P21" t="n">
        <v>1</v>
      </c>
      <c r="Q21" t="n">
        <v>9</v>
      </c>
      <c r="R21" s="2" t="inlineStr">
        <is>
          <t>Knärot
Blå taggsvamp
Dvärgbägarlav
Garnlav
Kolflarnlav
Svart taggsvamp
Vedflamlav
Vedskivlav
Dropptaggsvamp</t>
        </is>
      </c>
      <c r="S21">
        <f>HYPERLINK("https://klasma.github.io/Logging_2161/artfynd/A 35045-2024 artfynd.xlsx", "A 35045-2024")</f>
        <v/>
      </c>
      <c r="T21">
        <f>HYPERLINK("https://klasma.github.io/Logging_2161/kartor/A 35045-2024 karta.png", "A 35045-2024")</f>
        <v/>
      </c>
      <c r="U21">
        <f>HYPERLINK("https://klasma.github.io/Logging_2161/knärot/A 35045-2024 karta knärot.png", "A 35045-2024")</f>
        <v/>
      </c>
      <c r="V21">
        <f>HYPERLINK("https://klasma.github.io/Logging_2161/klagomål/A 35045-2024 FSC-klagomål.docx", "A 35045-2024")</f>
        <v/>
      </c>
      <c r="W21">
        <f>HYPERLINK("https://klasma.github.io/Logging_2161/klagomålsmail/A 35045-2024 FSC-klagomål mail.docx", "A 35045-2024")</f>
        <v/>
      </c>
      <c r="X21">
        <f>HYPERLINK("https://klasma.github.io/Logging_2161/tillsyn/A 35045-2024 tillsynsbegäran.docx", "A 35045-2024")</f>
        <v/>
      </c>
      <c r="Y21">
        <f>HYPERLINK("https://klasma.github.io/Logging_2161/tillsynsmail/A 35045-2024 tillsynsbegäran mail.docx", "A 35045-2024")</f>
        <v/>
      </c>
    </row>
    <row r="22" ht="15" customHeight="1">
      <c r="A22" t="inlineStr">
        <is>
          <t>A 69572-2020</t>
        </is>
      </c>
      <c r="B22" s="1" t="n">
        <v>44194</v>
      </c>
      <c r="C22" s="1" t="n">
        <v>45811</v>
      </c>
      <c r="D22" t="inlineStr">
        <is>
          <t>GÄVLEBORGS LÄN</t>
        </is>
      </c>
      <c r="E22" t="inlineStr">
        <is>
          <t>LJUSDAL</t>
        </is>
      </c>
      <c r="G22" t="n">
        <v>16.1</v>
      </c>
      <c r="H22" t="n">
        <v>2</v>
      </c>
      <c r="I22" t="n">
        <v>3</v>
      </c>
      <c r="J22" t="n">
        <v>2</v>
      </c>
      <c r="K22" t="n">
        <v>2</v>
      </c>
      <c r="L22" t="n">
        <v>0</v>
      </c>
      <c r="M22" t="n">
        <v>0</v>
      </c>
      <c r="N22" t="n">
        <v>0</v>
      </c>
      <c r="O22" t="n">
        <v>4</v>
      </c>
      <c r="P22" t="n">
        <v>2</v>
      </c>
      <c r="Q22" t="n">
        <v>8</v>
      </c>
      <c r="R22" s="2" t="inlineStr">
        <is>
          <t>Knärot
Rynkskinn
Garnlav
Rosenticka
Stuplav
Vedticka
Vårärt
Nattviol</t>
        </is>
      </c>
      <c r="S22">
        <f>HYPERLINK("https://klasma.github.io/Logging_2161/artfynd/A 69572-2020 artfynd.xlsx", "A 69572-2020")</f>
        <v/>
      </c>
      <c r="T22">
        <f>HYPERLINK("https://klasma.github.io/Logging_2161/kartor/A 69572-2020 karta.png", "A 69572-2020")</f>
        <v/>
      </c>
      <c r="U22">
        <f>HYPERLINK("https://klasma.github.io/Logging_2161/knärot/A 69572-2020 karta knärot.png", "A 69572-2020")</f>
        <v/>
      </c>
      <c r="V22">
        <f>HYPERLINK("https://klasma.github.io/Logging_2161/klagomål/A 69572-2020 FSC-klagomål.docx", "A 69572-2020")</f>
        <v/>
      </c>
      <c r="W22">
        <f>HYPERLINK("https://klasma.github.io/Logging_2161/klagomålsmail/A 69572-2020 FSC-klagomål mail.docx", "A 69572-2020")</f>
        <v/>
      </c>
      <c r="X22">
        <f>HYPERLINK("https://klasma.github.io/Logging_2161/tillsyn/A 69572-2020 tillsynsbegäran.docx", "A 69572-2020")</f>
        <v/>
      </c>
      <c r="Y22">
        <f>HYPERLINK("https://klasma.github.io/Logging_2161/tillsynsmail/A 69572-2020 tillsynsbegäran mail.docx", "A 69572-2020")</f>
        <v/>
      </c>
    </row>
    <row r="23" ht="15" customHeight="1">
      <c r="A23" t="inlineStr">
        <is>
          <t>A 27315-2023</t>
        </is>
      </c>
      <c r="B23" s="1" t="n">
        <v>45096</v>
      </c>
      <c r="C23" s="1" t="n">
        <v>45811</v>
      </c>
      <c r="D23" t="inlineStr">
        <is>
          <t>GÄVLEBORGS LÄN</t>
        </is>
      </c>
      <c r="E23" t="inlineStr">
        <is>
          <t>LJUSDAL</t>
        </is>
      </c>
      <c r="G23" t="n">
        <v>10.5</v>
      </c>
      <c r="H23" t="n">
        <v>1</v>
      </c>
      <c r="I23" t="n">
        <v>4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8</v>
      </c>
      <c r="R23" s="2" t="inlineStr">
        <is>
          <t>Garnlav
Granticka
Lunglav
Skrovellav
Korallblylav
Mörk husmossa
Spindelblomster
Stuplav</t>
        </is>
      </c>
      <c r="S23">
        <f>HYPERLINK("https://klasma.github.io/Logging_2161/artfynd/A 27315-2023 artfynd.xlsx", "A 27315-2023")</f>
        <v/>
      </c>
      <c r="T23">
        <f>HYPERLINK("https://klasma.github.io/Logging_2161/kartor/A 27315-2023 karta.png", "A 27315-2023")</f>
        <v/>
      </c>
      <c r="V23">
        <f>HYPERLINK("https://klasma.github.io/Logging_2161/klagomål/A 27315-2023 FSC-klagomål.docx", "A 27315-2023")</f>
        <v/>
      </c>
      <c r="W23">
        <f>HYPERLINK("https://klasma.github.io/Logging_2161/klagomålsmail/A 27315-2023 FSC-klagomål mail.docx", "A 27315-2023")</f>
        <v/>
      </c>
      <c r="X23">
        <f>HYPERLINK("https://klasma.github.io/Logging_2161/tillsyn/A 27315-2023 tillsynsbegäran.docx", "A 27315-2023")</f>
        <v/>
      </c>
      <c r="Y23">
        <f>HYPERLINK("https://klasma.github.io/Logging_2161/tillsynsmail/A 27315-2023 tillsynsbegäran mail.docx", "A 27315-2023")</f>
        <v/>
      </c>
    </row>
    <row r="24" ht="15" customHeight="1">
      <c r="A24" t="inlineStr">
        <is>
          <t>A 20659-2024</t>
        </is>
      </c>
      <c r="B24" s="1" t="n">
        <v>45436</v>
      </c>
      <c r="C24" s="1" t="n">
        <v>45811</v>
      </c>
      <c r="D24" t="inlineStr">
        <is>
          <t>GÄVLEBORGS LÄN</t>
        </is>
      </c>
      <c r="E24" t="inlineStr">
        <is>
          <t>LJUSDAL</t>
        </is>
      </c>
      <c r="F24" t="inlineStr">
        <is>
          <t>Sveaskog</t>
        </is>
      </c>
      <c r="G24" t="n">
        <v>17.9</v>
      </c>
      <c r="H24" t="n">
        <v>2</v>
      </c>
      <c r="I24" t="n">
        <v>3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8</v>
      </c>
      <c r="R24" s="2" t="inlineStr">
        <is>
          <t>Kolflarnlav
Lunglav
Skogshare
Talltita
Skarp dropptaggsvamp
Stuplav
Vedticka
Revlummer</t>
        </is>
      </c>
      <c r="S24">
        <f>HYPERLINK("https://klasma.github.io/Logging_2161/artfynd/A 20659-2024 artfynd.xlsx", "A 20659-2024")</f>
        <v/>
      </c>
      <c r="T24">
        <f>HYPERLINK("https://klasma.github.io/Logging_2161/kartor/A 20659-2024 karta.png", "A 20659-2024")</f>
        <v/>
      </c>
      <c r="V24">
        <f>HYPERLINK("https://klasma.github.io/Logging_2161/klagomål/A 20659-2024 FSC-klagomål.docx", "A 20659-2024")</f>
        <v/>
      </c>
      <c r="W24">
        <f>HYPERLINK("https://klasma.github.io/Logging_2161/klagomålsmail/A 20659-2024 FSC-klagomål mail.docx", "A 20659-2024")</f>
        <v/>
      </c>
      <c r="X24">
        <f>HYPERLINK("https://klasma.github.io/Logging_2161/tillsyn/A 20659-2024 tillsynsbegäran.docx", "A 20659-2024")</f>
        <v/>
      </c>
      <c r="Y24">
        <f>HYPERLINK("https://klasma.github.io/Logging_2161/tillsynsmail/A 20659-2024 tillsynsbegäran mail.docx", "A 20659-2024")</f>
        <v/>
      </c>
      <c r="Z24">
        <f>HYPERLINK("https://klasma.github.io/Logging_2161/fåglar/A 20659-2024 prioriterade fågelarter.docx", "A 20659-2024")</f>
        <v/>
      </c>
    </row>
    <row r="25" ht="15" customHeight="1">
      <c r="A25" t="inlineStr">
        <is>
          <t>A 31324-2024</t>
        </is>
      </c>
      <c r="B25" s="1" t="n">
        <v>45504</v>
      </c>
      <c r="C25" s="1" t="n">
        <v>45811</v>
      </c>
      <c r="D25" t="inlineStr">
        <is>
          <t>GÄVLEBORGS LÄN</t>
        </is>
      </c>
      <c r="E25" t="inlineStr">
        <is>
          <t>LJUSDAL</t>
        </is>
      </c>
      <c r="F25" t="inlineStr">
        <is>
          <t>Sveaskog</t>
        </is>
      </c>
      <c r="G25" t="n">
        <v>14</v>
      </c>
      <c r="H25" t="n">
        <v>2</v>
      </c>
      <c r="I25" t="n">
        <v>2</v>
      </c>
      <c r="J25" t="n">
        <v>4</v>
      </c>
      <c r="K25" t="n">
        <v>1</v>
      </c>
      <c r="L25" t="n">
        <v>0</v>
      </c>
      <c r="M25" t="n">
        <v>0</v>
      </c>
      <c r="N25" t="n">
        <v>0</v>
      </c>
      <c r="O25" t="n">
        <v>5</v>
      </c>
      <c r="P25" t="n">
        <v>1</v>
      </c>
      <c r="Q25" t="n">
        <v>8</v>
      </c>
      <c r="R25" s="2" t="inlineStr">
        <is>
          <t>Knärot
Garnlav
Kolflarnlav
Mörk kolflarnlav
Vedskivlav
Dropptaggsvamp
Norrlandslav
Fläcknycklar</t>
        </is>
      </c>
      <c r="S25">
        <f>HYPERLINK("https://klasma.github.io/Logging_2161/artfynd/A 31324-2024 artfynd.xlsx", "A 31324-2024")</f>
        <v/>
      </c>
      <c r="T25">
        <f>HYPERLINK("https://klasma.github.io/Logging_2161/kartor/A 31324-2024 karta.png", "A 31324-2024")</f>
        <v/>
      </c>
      <c r="U25">
        <f>HYPERLINK("https://klasma.github.io/Logging_2161/knärot/A 31324-2024 karta knärot.png", "A 31324-2024")</f>
        <v/>
      </c>
      <c r="V25">
        <f>HYPERLINK("https://klasma.github.io/Logging_2161/klagomål/A 31324-2024 FSC-klagomål.docx", "A 31324-2024")</f>
        <v/>
      </c>
      <c r="W25">
        <f>HYPERLINK("https://klasma.github.io/Logging_2161/klagomålsmail/A 31324-2024 FSC-klagomål mail.docx", "A 31324-2024")</f>
        <v/>
      </c>
      <c r="X25">
        <f>HYPERLINK("https://klasma.github.io/Logging_2161/tillsyn/A 31324-2024 tillsynsbegäran.docx", "A 31324-2024")</f>
        <v/>
      </c>
      <c r="Y25">
        <f>HYPERLINK("https://klasma.github.io/Logging_2161/tillsynsmail/A 31324-2024 tillsynsbegäran mail.docx", "A 31324-2024")</f>
        <v/>
      </c>
    </row>
    <row r="26" ht="15" customHeight="1">
      <c r="A26" t="inlineStr">
        <is>
          <t>A 42763-2021</t>
        </is>
      </c>
      <c r="B26" s="1" t="n">
        <v>44428</v>
      </c>
      <c r="C26" s="1" t="n">
        <v>45811</v>
      </c>
      <c r="D26" t="inlineStr">
        <is>
          <t>GÄVLEBORGS LÄN</t>
        </is>
      </c>
      <c r="E26" t="inlineStr">
        <is>
          <t>LJUSDAL</t>
        </is>
      </c>
      <c r="F26" t="inlineStr">
        <is>
          <t>Sveaskog</t>
        </is>
      </c>
      <c r="G26" t="n">
        <v>8.800000000000001</v>
      </c>
      <c r="H26" t="n">
        <v>2</v>
      </c>
      <c r="I26" t="n">
        <v>0</v>
      </c>
      <c r="J26" t="n">
        <v>5</v>
      </c>
      <c r="K26" t="n">
        <v>1</v>
      </c>
      <c r="L26" t="n">
        <v>0</v>
      </c>
      <c r="M26" t="n">
        <v>0</v>
      </c>
      <c r="N26" t="n">
        <v>0</v>
      </c>
      <c r="O26" t="n">
        <v>6</v>
      </c>
      <c r="P26" t="n">
        <v>1</v>
      </c>
      <c r="Q26" t="n">
        <v>7</v>
      </c>
      <c r="R26" s="2" t="inlineStr">
        <is>
          <t>Knärot
Garnlav
Knottrig blåslav
Lunglav
Skrovellav
Ullticka
Fläcknycklar</t>
        </is>
      </c>
      <c r="S26">
        <f>HYPERLINK("https://klasma.github.io/Logging_2161/artfynd/A 42763-2021 artfynd.xlsx", "A 42763-2021")</f>
        <v/>
      </c>
      <c r="T26">
        <f>HYPERLINK("https://klasma.github.io/Logging_2161/kartor/A 42763-2021 karta.png", "A 42763-2021")</f>
        <v/>
      </c>
      <c r="U26">
        <f>HYPERLINK("https://klasma.github.io/Logging_2161/knärot/A 42763-2021 karta knärot.png", "A 42763-2021")</f>
        <v/>
      </c>
      <c r="V26">
        <f>HYPERLINK("https://klasma.github.io/Logging_2161/klagomål/A 42763-2021 FSC-klagomål.docx", "A 42763-2021")</f>
        <v/>
      </c>
      <c r="W26">
        <f>HYPERLINK("https://klasma.github.io/Logging_2161/klagomålsmail/A 42763-2021 FSC-klagomål mail.docx", "A 42763-2021")</f>
        <v/>
      </c>
      <c r="X26">
        <f>HYPERLINK("https://klasma.github.io/Logging_2161/tillsyn/A 42763-2021 tillsynsbegäran.docx", "A 42763-2021")</f>
        <v/>
      </c>
      <c r="Y26">
        <f>HYPERLINK("https://klasma.github.io/Logging_2161/tillsynsmail/A 42763-2021 tillsynsbegäran mail.docx", "A 42763-2021")</f>
        <v/>
      </c>
    </row>
    <row r="27" ht="15" customHeight="1">
      <c r="A27" t="inlineStr">
        <is>
          <t>A 51557-2022</t>
        </is>
      </c>
      <c r="B27" s="1" t="n">
        <v>44869</v>
      </c>
      <c r="C27" s="1" t="n">
        <v>45811</v>
      </c>
      <c r="D27" t="inlineStr">
        <is>
          <t>GÄVLEBORGS LÄN</t>
        </is>
      </c>
      <c r="E27" t="inlineStr">
        <is>
          <t>LJUSDAL</t>
        </is>
      </c>
      <c r="F27" t="inlineStr">
        <is>
          <t>SCA</t>
        </is>
      </c>
      <c r="G27" t="n">
        <v>8.300000000000001</v>
      </c>
      <c r="H27" t="n">
        <v>3</v>
      </c>
      <c r="I27" t="n">
        <v>2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7</v>
      </c>
      <c r="R27" s="2" t="inlineStr">
        <is>
          <t>Blanksvart spiklav
Garnlav
Kolflarnlav
Mörk kolflarnlav
Korallrot
Plattlummer
Revlummer</t>
        </is>
      </c>
      <c r="S27">
        <f>HYPERLINK("https://klasma.github.io/Logging_2161/artfynd/A 51557-2022 artfynd.xlsx", "A 51557-2022")</f>
        <v/>
      </c>
      <c r="T27">
        <f>HYPERLINK("https://klasma.github.io/Logging_2161/kartor/A 51557-2022 karta.png", "A 51557-2022")</f>
        <v/>
      </c>
      <c r="V27">
        <f>HYPERLINK("https://klasma.github.io/Logging_2161/klagomål/A 51557-2022 FSC-klagomål.docx", "A 51557-2022")</f>
        <v/>
      </c>
      <c r="W27">
        <f>HYPERLINK("https://klasma.github.io/Logging_2161/klagomålsmail/A 51557-2022 FSC-klagomål mail.docx", "A 51557-2022")</f>
        <v/>
      </c>
      <c r="X27">
        <f>HYPERLINK("https://klasma.github.io/Logging_2161/tillsyn/A 51557-2022 tillsynsbegäran.docx", "A 51557-2022")</f>
        <v/>
      </c>
      <c r="Y27">
        <f>HYPERLINK("https://klasma.github.io/Logging_2161/tillsynsmail/A 51557-2022 tillsynsbegäran mail.docx", "A 51557-2022")</f>
        <v/>
      </c>
    </row>
    <row r="28" ht="15" customHeight="1">
      <c r="A28" t="inlineStr">
        <is>
          <t>A 54276-2023</t>
        </is>
      </c>
      <c r="B28" s="1" t="n">
        <v>45232</v>
      </c>
      <c r="C28" s="1" t="n">
        <v>45811</v>
      </c>
      <c r="D28" t="inlineStr">
        <is>
          <t>GÄVLEBORGS LÄN</t>
        </is>
      </c>
      <c r="E28" t="inlineStr">
        <is>
          <t>LJUSDAL</t>
        </is>
      </c>
      <c r="F28" t="inlineStr">
        <is>
          <t>Sveaskog</t>
        </is>
      </c>
      <c r="G28" t="n">
        <v>7.2</v>
      </c>
      <c r="H28" t="n">
        <v>1</v>
      </c>
      <c r="I28" t="n">
        <v>0</v>
      </c>
      <c r="J28" t="n">
        <v>6</v>
      </c>
      <c r="K28" t="n">
        <v>1</v>
      </c>
      <c r="L28" t="n">
        <v>0</v>
      </c>
      <c r="M28" t="n">
        <v>0</v>
      </c>
      <c r="N28" t="n">
        <v>0</v>
      </c>
      <c r="O28" t="n">
        <v>7</v>
      </c>
      <c r="P28" t="n">
        <v>1</v>
      </c>
      <c r="Q28" t="n">
        <v>7</v>
      </c>
      <c r="R28" s="2" t="inlineStr">
        <is>
          <t>Knärot
Alflugsvamp
Garnlav
Kolflarnlav
Lunglav
Skrovellav
Vedflamlav</t>
        </is>
      </c>
      <c r="S28">
        <f>HYPERLINK("https://klasma.github.io/Logging_2161/artfynd/A 54276-2023 artfynd.xlsx", "A 54276-2023")</f>
        <v/>
      </c>
      <c r="T28">
        <f>HYPERLINK("https://klasma.github.io/Logging_2161/kartor/A 54276-2023 karta.png", "A 54276-2023")</f>
        <v/>
      </c>
      <c r="U28">
        <f>HYPERLINK("https://klasma.github.io/Logging_2161/knärot/A 54276-2023 karta knärot.png", "A 54276-2023")</f>
        <v/>
      </c>
      <c r="V28">
        <f>HYPERLINK("https://klasma.github.io/Logging_2161/klagomål/A 54276-2023 FSC-klagomål.docx", "A 54276-2023")</f>
        <v/>
      </c>
      <c r="W28">
        <f>HYPERLINK("https://klasma.github.io/Logging_2161/klagomålsmail/A 54276-2023 FSC-klagomål mail.docx", "A 54276-2023")</f>
        <v/>
      </c>
      <c r="X28">
        <f>HYPERLINK("https://klasma.github.io/Logging_2161/tillsyn/A 54276-2023 tillsynsbegäran.docx", "A 54276-2023")</f>
        <v/>
      </c>
      <c r="Y28">
        <f>HYPERLINK("https://klasma.github.io/Logging_2161/tillsynsmail/A 54276-2023 tillsynsbegäran mail.docx", "A 54276-2023")</f>
        <v/>
      </c>
    </row>
    <row r="29" ht="15" customHeight="1">
      <c r="A29" t="inlineStr">
        <is>
          <t>A 43108-2021</t>
        </is>
      </c>
      <c r="B29" s="1" t="n">
        <v>44431</v>
      </c>
      <c r="C29" s="1" t="n">
        <v>45811</v>
      </c>
      <c r="D29" t="inlineStr">
        <is>
          <t>GÄVLEBORGS LÄN</t>
        </is>
      </c>
      <c r="E29" t="inlineStr">
        <is>
          <t>LJUSDAL</t>
        </is>
      </c>
      <c r="F29" t="inlineStr">
        <is>
          <t>Sveaskog</t>
        </is>
      </c>
      <c r="G29" t="n">
        <v>3.2</v>
      </c>
      <c r="H29" t="n">
        <v>1</v>
      </c>
      <c r="I29" t="n">
        <v>0</v>
      </c>
      <c r="J29" t="n">
        <v>4</v>
      </c>
      <c r="K29" t="n">
        <v>2</v>
      </c>
      <c r="L29" t="n">
        <v>0</v>
      </c>
      <c r="M29" t="n">
        <v>0</v>
      </c>
      <c r="N29" t="n">
        <v>0</v>
      </c>
      <c r="O29" t="n">
        <v>6</v>
      </c>
      <c r="P29" t="n">
        <v>2</v>
      </c>
      <c r="Q29" t="n">
        <v>6</v>
      </c>
      <c r="R29" s="2" t="inlineStr">
        <is>
          <t>Knärot
Rynkskinn
Gammelgransskål
Garnlav
Lunglav
Ullticka</t>
        </is>
      </c>
      <c r="S29">
        <f>HYPERLINK("https://klasma.github.io/Logging_2161/artfynd/A 43108-2021 artfynd.xlsx", "A 43108-2021")</f>
        <v/>
      </c>
      <c r="T29">
        <f>HYPERLINK("https://klasma.github.io/Logging_2161/kartor/A 43108-2021 karta.png", "A 43108-2021")</f>
        <v/>
      </c>
      <c r="U29">
        <f>HYPERLINK("https://klasma.github.io/Logging_2161/knärot/A 43108-2021 karta knärot.png", "A 43108-2021")</f>
        <v/>
      </c>
      <c r="V29">
        <f>HYPERLINK("https://klasma.github.io/Logging_2161/klagomål/A 43108-2021 FSC-klagomål.docx", "A 43108-2021")</f>
        <v/>
      </c>
      <c r="W29">
        <f>HYPERLINK("https://klasma.github.io/Logging_2161/klagomålsmail/A 43108-2021 FSC-klagomål mail.docx", "A 43108-2021")</f>
        <v/>
      </c>
      <c r="X29">
        <f>HYPERLINK("https://klasma.github.io/Logging_2161/tillsyn/A 43108-2021 tillsynsbegäran.docx", "A 43108-2021")</f>
        <v/>
      </c>
      <c r="Y29">
        <f>HYPERLINK("https://klasma.github.io/Logging_2161/tillsynsmail/A 43108-2021 tillsynsbegäran mail.docx", "A 43108-2021")</f>
        <v/>
      </c>
    </row>
    <row r="30" ht="15" customHeight="1">
      <c r="A30" t="inlineStr">
        <is>
          <t>A 18631-2022</t>
        </is>
      </c>
      <c r="B30" s="1" t="n">
        <v>44687</v>
      </c>
      <c r="C30" s="1" t="n">
        <v>45811</v>
      </c>
      <c r="D30" t="inlineStr">
        <is>
          <t>GÄVLEBORGS LÄN</t>
        </is>
      </c>
      <c r="E30" t="inlineStr">
        <is>
          <t>LJUSDAL</t>
        </is>
      </c>
      <c r="F30" t="inlineStr">
        <is>
          <t>Bergvik skog väst AB</t>
        </is>
      </c>
      <c r="G30" t="n">
        <v>10.8</v>
      </c>
      <c r="H30" t="n">
        <v>2</v>
      </c>
      <c r="I30" t="n">
        <v>1</v>
      </c>
      <c r="J30" t="n">
        <v>5</v>
      </c>
      <c r="K30" t="n">
        <v>0</v>
      </c>
      <c r="L30" t="n">
        <v>0</v>
      </c>
      <c r="M30" t="n">
        <v>0</v>
      </c>
      <c r="N30" t="n">
        <v>0</v>
      </c>
      <c r="O30" t="n">
        <v>5</v>
      </c>
      <c r="P30" t="n">
        <v>0</v>
      </c>
      <c r="Q30" t="n">
        <v>6</v>
      </c>
      <c r="R30" s="2" t="inlineStr">
        <is>
          <t>Blanksvart spiklav
Lunglav
Mörk kolflarnlav
Spillkråka
Tretåig hackspett
Rävticka</t>
        </is>
      </c>
      <c r="S30">
        <f>HYPERLINK("https://klasma.github.io/Logging_2161/artfynd/A 18631-2022 artfynd.xlsx", "A 18631-2022")</f>
        <v/>
      </c>
      <c r="T30">
        <f>HYPERLINK("https://klasma.github.io/Logging_2161/kartor/A 18631-2022 karta.png", "A 18631-2022")</f>
        <v/>
      </c>
      <c r="U30">
        <f>HYPERLINK("https://klasma.github.io/Logging_2161/knärot/A 18631-2022 karta knärot.png", "A 18631-2022")</f>
        <v/>
      </c>
      <c r="V30">
        <f>HYPERLINK("https://klasma.github.io/Logging_2161/klagomål/A 18631-2022 FSC-klagomål.docx", "A 18631-2022")</f>
        <v/>
      </c>
      <c r="W30">
        <f>HYPERLINK("https://klasma.github.io/Logging_2161/klagomålsmail/A 18631-2022 FSC-klagomål mail.docx", "A 18631-2022")</f>
        <v/>
      </c>
      <c r="X30">
        <f>HYPERLINK("https://klasma.github.io/Logging_2161/tillsyn/A 18631-2022 tillsynsbegäran.docx", "A 18631-2022")</f>
        <v/>
      </c>
      <c r="Y30">
        <f>HYPERLINK("https://klasma.github.io/Logging_2161/tillsynsmail/A 18631-2022 tillsynsbegäran mail.docx", "A 18631-2022")</f>
        <v/>
      </c>
      <c r="Z30">
        <f>HYPERLINK("https://klasma.github.io/Logging_2161/fåglar/A 18631-2022 prioriterade fågelarter.docx", "A 18631-2022")</f>
        <v/>
      </c>
    </row>
    <row r="31" ht="15" customHeight="1">
      <c r="A31" t="inlineStr">
        <is>
          <t>A 18705-2022</t>
        </is>
      </c>
      <c r="B31" s="1" t="n">
        <v>44687</v>
      </c>
      <c r="C31" s="1" t="n">
        <v>45811</v>
      </c>
      <c r="D31" t="inlineStr">
        <is>
          <t>GÄVLEBORGS LÄN</t>
        </is>
      </c>
      <c r="E31" t="inlineStr">
        <is>
          <t>LJUSDAL</t>
        </is>
      </c>
      <c r="F31" t="inlineStr">
        <is>
          <t>Bergvik skog väst AB</t>
        </is>
      </c>
      <c r="G31" t="n">
        <v>3.3</v>
      </c>
      <c r="H31" t="n">
        <v>2</v>
      </c>
      <c r="I31" t="n">
        <v>2</v>
      </c>
      <c r="J31" t="n">
        <v>3</v>
      </c>
      <c r="K31" t="n">
        <v>1</v>
      </c>
      <c r="L31" t="n">
        <v>0</v>
      </c>
      <c r="M31" t="n">
        <v>0</v>
      </c>
      <c r="N31" t="n">
        <v>0</v>
      </c>
      <c r="O31" t="n">
        <v>4</v>
      </c>
      <c r="P31" t="n">
        <v>1</v>
      </c>
      <c r="Q31" t="n">
        <v>6</v>
      </c>
      <c r="R31" s="2" t="inlineStr">
        <is>
          <t>Doftticka
Garnlav
Lunglav
Tretåig hackspett
Skinnlav
Stuplav</t>
        </is>
      </c>
      <c r="S31">
        <f>HYPERLINK("https://klasma.github.io/Logging_2161/artfynd/A 18705-2022 artfynd.xlsx", "A 18705-2022")</f>
        <v/>
      </c>
      <c r="T31">
        <f>HYPERLINK("https://klasma.github.io/Logging_2161/kartor/A 18705-2022 karta.png", "A 18705-2022")</f>
        <v/>
      </c>
      <c r="U31">
        <f>HYPERLINK("https://klasma.github.io/Logging_2161/knärot/A 18705-2022 karta knärot.png", "A 18705-2022")</f>
        <v/>
      </c>
      <c r="V31">
        <f>HYPERLINK("https://klasma.github.io/Logging_2161/klagomål/A 18705-2022 FSC-klagomål.docx", "A 18705-2022")</f>
        <v/>
      </c>
      <c r="W31">
        <f>HYPERLINK("https://klasma.github.io/Logging_2161/klagomålsmail/A 18705-2022 FSC-klagomål mail.docx", "A 18705-2022")</f>
        <v/>
      </c>
      <c r="X31">
        <f>HYPERLINK("https://klasma.github.io/Logging_2161/tillsyn/A 18705-2022 tillsynsbegäran.docx", "A 18705-2022")</f>
        <v/>
      </c>
      <c r="Y31">
        <f>HYPERLINK("https://klasma.github.io/Logging_2161/tillsynsmail/A 18705-2022 tillsynsbegäran mail.docx", "A 18705-2022")</f>
        <v/>
      </c>
      <c r="Z31">
        <f>HYPERLINK("https://klasma.github.io/Logging_2161/fåglar/A 18705-2022 prioriterade fågelarter.docx", "A 18705-2022")</f>
        <v/>
      </c>
    </row>
    <row r="32" ht="15" customHeight="1">
      <c r="A32" t="inlineStr">
        <is>
          <t>A 20628-2022</t>
        </is>
      </c>
      <c r="B32" s="1" t="n">
        <v>44700</v>
      </c>
      <c r="C32" s="1" t="n">
        <v>45811</v>
      </c>
      <c r="D32" t="inlineStr">
        <is>
          <t>GÄVLEBORGS LÄN</t>
        </is>
      </c>
      <c r="E32" t="inlineStr">
        <is>
          <t>LJUSDAL</t>
        </is>
      </c>
      <c r="F32" t="inlineStr">
        <is>
          <t>Holmen skog AB</t>
        </is>
      </c>
      <c r="G32" t="n">
        <v>6.9</v>
      </c>
      <c r="H32" t="n">
        <v>4</v>
      </c>
      <c r="I32" t="n">
        <v>0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6</v>
      </c>
      <c r="R32" s="2" t="inlineStr">
        <is>
          <t>Garnlav
Granticka
Talltita
Tretåig hackspett
Fläcknycklar
Revlummer</t>
        </is>
      </c>
      <c r="S32">
        <f>HYPERLINK("https://klasma.github.io/Logging_2161/artfynd/A 20628-2022 artfynd.xlsx", "A 20628-2022")</f>
        <v/>
      </c>
      <c r="T32">
        <f>HYPERLINK("https://klasma.github.io/Logging_2161/kartor/A 20628-2022 karta.png", "A 20628-2022")</f>
        <v/>
      </c>
      <c r="V32">
        <f>HYPERLINK("https://klasma.github.io/Logging_2161/klagomål/A 20628-2022 FSC-klagomål.docx", "A 20628-2022")</f>
        <v/>
      </c>
      <c r="W32">
        <f>HYPERLINK("https://klasma.github.io/Logging_2161/klagomålsmail/A 20628-2022 FSC-klagomål mail.docx", "A 20628-2022")</f>
        <v/>
      </c>
      <c r="X32">
        <f>HYPERLINK("https://klasma.github.io/Logging_2161/tillsyn/A 20628-2022 tillsynsbegäran.docx", "A 20628-2022")</f>
        <v/>
      </c>
      <c r="Y32">
        <f>HYPERLINK("https://klasma.github.io/Logging_2161/tillsynsmail/A 20628-2022 tillsynsbegäran mail.docx", "A 20628-2022")</f>
        <v/>
      </c>
      <c r="Z32">
        <f>HYPERLINK("https://klasma.github.io/Logging_2161/fåglar/A 20628-2022 prioriterade fågelarter.docx", "A 20628-2022")</f>
        <v/>
      </c>
    </row>
    <row r="33" ht="15" customHeight="1">
      <c r="A33" t="inlineStr">
        <is>
          <t>A 32783-2022</t>
        </is>
      </c>
      <c r="B33" s="1" t="n">
        <v>44784</v>
      </c>
      <c r="C33" s="1" t="n">
        <v>45811</v>
      </c>
      <c r="D33" t="inlineStr">
        <is>
          <t>GÄVLEBORGS LÄN</t>
        </is>
      </c>
      <c r="E33" t="inlineStr">
        <is>
          <t>LJUSDAL</t>
        </is>
      </c>
      <c r="F33" t="inlineStr">
        <is>
          <t>Sveaskog</t>
        </is>
      </c>
      <c r="G33" t="n">
        <v>12.7</v>
      </c>
      <c r="H33" t="n">
        <v>0</v>
      </c>
      <c r="I33" t="n">
        <v>2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6</v>
      </c>
      <c r="R33" s="2" t="inlineStr">
        <is>
          <t>Dvärgbägarlav
Garnlav
Kolflarnlav
Mörk kolflarnlav
Dropptaggsvamp
Skarp dropptaggsvamp</t>
        </is>
      </c>
      <c r="S33">
        <f>HYPERLINK("https://klasma.github.io/Logging_2161/artfynd/A 32783-2022 artfynd.xlsx", "A 32783-2022")</f>
        <v/>
      </c>
      <c r="T33">
        <f>HYPERLINK("https://klasma.github.io/Logging_2161/kartor/A 32783-2022 karta.png", "A 32783-2022")</f>
        <v/>
      </c>
      <c r="V33">
        <f>HYPERLINK("https://klasma.github.io/Logging_2161/klagomål/A 32783-2022 FSC-klagomål.docx", "A 32783-2022")</f>
        <v/>
      </c>
      <c r="W33">
        <f>HYPERLINK("https://klasma.github.io/Logging_2161/klagomålsmail/A 32783-2022 FSC-klagomål mail.docx", "A 32783-2022")</f>
        <v/>
      </c>
      <c r="X33">
        <f>HYPERLINK("https://klasma.github.io/Logging_2161/tillsyn/A 32783-2022 tillsynsbegäran.docx", "A 32783-2022")</f>
        <v/>
      </c>
      <c r="Y33">
        <f>HYPERLINK("https://klasma.github.io/Logging_2161/tillsynsmail/A 32783-2022 tillsynsbegäran mail.docx", "A 32783-2022")</f>
        <v/>
      </c>
    </row>
    <row r="34" ht="15" customHeight="1">
      <c r="A34" t="inlineStr">
        <is>
          <t>A 63252-2023</t>
        </is>
      </c>
      <c r="B34" s="1" t="n">
        <v>45273</v>
      </c>
      <c r="C34" s="1" t="n">
        <v>45811</v>
      </c>
      <c r="D34" t="inlineStr">
        <is>
          <t>GÄVLEBORGS LÄN</t>
        </is>
      </c>
      <c r="E34" t="inlineStr">
        <is>
          <t>LJUSDAL</t>
        </is>
      </c>
      <c r="G34" t="n">
        <v>17.1</v>
      </c>
      <c r="H34" t="n">
        <v>0</v>
      </c>
      <c r="I34" t="n">
        <v>2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6</v>
      </c>
      <c r="R34" s="2" t="inlineStr">
        <is>
          <t>Garnlav
Lunglav
Motaggsvamp
Tallticka
Dropptaggsvamp
Skarp dropptaggsvamp</t>
        </is>
      </c>
      <c r="S34">
        <f>HYPERLINK("https://klasma.github.io/Logging_2161/artfynd/A 63252-2023 artfynd.xlsx", "A 63252-2023")</f>
        <v/>
      </c>
      <c r="T34">
        <f>HYPERLINK("https://klasma.github.io/Logging_2161/kartor/A 63252-2023 karta.png", "A 63252-2023")</f>
        <v/>
      </c>
      <c r="V34">
        <f>HYPERLINK("https://klasma.github.io/Logging_2161/klagomål/A 63252-2023 FSC-klagomål.docx", "A 63252-2023")</f>
        <v/>
      </c>
      <c r="W34">
        <f>HYPERLINK("https://klasma.github.io/Logging_2161/klagomålsmail/A 63252-2023 FSC-klagomål mail.docx", "A 63252-2023")</f>
        <v/>
      </c>
      <c r="X34">
        <f>HYPERLINK("https://klasma.github.io/Logging_2161/tillsyn/A 63252-2023 tillsynsbegäran.docx", "A 63252-2023")</f>
        <v/>
      </c>
      <c r="Y34">
        <f>HYPERLINK("https://klasma.github.io/Logging_2161/tillsynsmail/A 63252-2023 tillsynsbegäran mail.docx", "A 63252-2023")</f>
        <v/>
      </c>
    </row>
    <row r="35" ht="15" customHeight="1">
      <c r="A35" t="inlineStr">
        <is>
          <t>A 28217-2024</t>
        </is>
      </c>
      <c r="B35" s="1" t="n">
        <v>45477</v>
      </c>
      <c r="C35" s="1" t="n">
        <v>45811</v>
      </c>
      <c r="D35" t="inlineStr">
        <is>
          <t>GÄVLEBORGS LÄN</t>
        </is>
      </c>
      <c r="E35" t="inlineStr">
        <is>
          <t>LJUSDAL</t>
        </is>
      </c>
      <c r="F35" t="inlineStr">
        <is>
          <t>Allmännings- och besparingsskogar</t>
        </is>
      </c>
      <c r="G35" t="n">
        <v>10.2</v>
      </c>
      <c r="H35" t="n">
        <v>0</v>
      </c>
      <c r="I35" t="n">
        <v>2</v>
      </c>
      <c r="J35" t="n">
        <v>4</v>
      </c>
      <c r="K35" t="n">
        <v>0</v>
      </c>
      <c r="L35" t="n">
        <v>0</v>
      </c>
      <c r="M35" t="n">
        <v>0</v>
      </c>
      <c r="N35" t="n">
        <v>0</v>
      </c>
      <c r="O35" t="n">
        <v>4</v>
      </c>
      <c r="P35" t="n">
        <v>0</v>
      </c>
      <c r="Q35" t="n">
        <v>6</v>
      </c>
      <c r="R35" s="2" t="inlineStr">
        <is>
          <t>Garnlav
Kolflarnlav
Lunglav
Mörk kolflarnlav
Korallblylav
Mindre märgborre</t>
        </is>
      </c>
      <c r="S35">
        <f>HYPERLINK("https://klasma.github.io/Logging_2161/artfynd/A 28217-2024 artfynd.xlsx", "A 28217-2024")</f>
        <v/>
      </c>
      <c r="T35">
        <f>HYPERLINK("https://klasma.github.io/Logging_2161/kartor/A 28217-2024 karta.png", "A 28217-2024")</f>
        <v/>
      </c>
      <c r="V35">
        <f>HYPERLINK("https://klasma.github.io/Logging_2161/klagomål/A 28217-2024 FSC-klagomål.docx", "A 28217-2024")</f>
        <v/>
      </c>
      <c r="W35">
        <f>HYPERLINK("https://klasma.github.io/Logging_2161/klagomålsmail/A 28217-2024 FSC-klagomål mail.docx", "A 28217-2024")</f>
        <v/>
      </c>
      <c r="X35">
        <f>HYPERLINK("https://klasma.github.io/Logging_2161/tillsyn/A 28217-2024 tillsynsbegäran.docx", "A 28217-2024")</f>
        <v/>
      </c>
      <c r="Y35">
        <f>HYPERLINK("https://klasma.github.io/Logging_2161/tillsynsmail/A 28217-2024 tillsynsbegäran mail.docx", "A 28217-2024")</f>
        <v/>
      </c>
    </row>
    <row r="36" ht="15" customHeight="1">
      <c r="A36" t="inlineStr">
        <is>
          <t>A 44518-2019</t>
        </is>
      </c>
      <c r="B36" s="1" t="n">
        <v>43711</v>
      </c>
      <c r="C36" s="1" t="n">
        <v>45811</v>
      </c>
      <c r="D36" t="inlineStr">
        <is>
          <t>GÄVLEBORGS LÄN</t>
        </is>
      </c>
      <c r="E36" t="inlineStr">
        <is>
          <t>LJUSDAL</t>
        </is>
      </c>
      <c r="F36" t="inlineStr">
        <is>
          <t>Sveaskog</t>
        </is>
      </c>
      <c r="G36" t="n">
        <v>10.4</v>
      </c>
      <c r="H36" t="n">
        <v>2</v>
      </c>
      <c r="I36" t="n">
        <v>0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5</v>
      </c>
      <c r="R36" s="2" t="inlineStr">
        <is>
          <t>Garnlav
Kolflarnlav
Mörk kolflarnlav
Fläcknycklar
Revlummer</t>
        </is>
      </c>
      <c r="S36">
        <f>HYPERLINK("https://klasma.github.io/Logging_2161/artfynd/A 44518-2019 artfynd.xlsx", "A 44518-2019")</f>
        <v/>
      </c>
      <c r="T36">
        <f>HYPERLINK("https://klasma.github.io/Logging_2161/kartor/A 44518-2019 karta.png", "A 44518-2019")</f>
        <v/>
      </c>
      <c r="V36">
        <f>HYPERLINK("https://klasma.github.io/Logging_2161/klagomål/A 44518-2019 FSC-klagomål.docx", "A 44518-2019")</f>
        <v/>
      </c>
      <c r="W36">
        <f>HYPERLINK("https://klasma.github.io/Logging_2161/klagomålsmail/A 44518-2019 FSC-klagomål mail.docx", "A 44518-2019")</f>
        <v/>
      </c>
      <c r="X36">
        <f>HYPERLINK("https://klasma.github.io/Logging_2161/tillsyn/A 44518-2019 tillsynsbegäran.docx", "A 44518-2019")</f>
        <v/>
      </c>
      <c r="Y36">
        <f>HYPERLINK("https://klasma.github.io/Logging_2161/tillsynsmail/A 44518-2019 tillsynsbegäran mail.docx", "A 44518-2019")</f>
        <v/>
      </c>
    </row>
    <row r="37" ht="15" customHeight="1">
      <c r="A37" t="inlineStr">
        <is>
          <t>A 59346-2020</t>
        </is>
      </c>
      <c r="B37" s="1" t="n">
        <v>44148</v>
      </c>
      <c r="C37" s="1" t="n">
        <v>45811</v>
      </c>
      <c r="D37" t="inlineStr">
        <is>
          <t>GÄVLEBORGS LÄN</t>
        </is>
      </c>
      <c r="E37" t="inlineStr">
        <is>
          <t>LJUSDAL</t>
        </is>
      </c>
      <c r="F37" t="inlineStr">
        <is>
          <t>Sveaskog</t>
        </is>
      </c>
      <c r="G37" t="n">
        <v>10.8</v>
      </c>
      <c r="H37" t="n">
        <v>1</v>
      </c>
      <c r="I37" t="n">
        <v>2</v>
      </c>
      <c r="J37" t="n">
        <v>2</v>
      </c>
      <c r="K37" t="n">
        <v>1</v>
      </c>
      <c r="L37" t="n">
        <v>0</v>
      </c>
      <c r="M37" t="n">
        <v>0</v>
      </c>
      <c r="N37" t="n">
        <v>0</v>
      </c>
      <c r="O37" t="n">
        <v>3</v>
      </c>
      <c r="P37" t="n">
        <v>1</v>
      </c>
      <c r="Q37" t="n">
        <v>5</v>
      </c>
      <c r="R37" s="2" t="inlineStr">
        <is>
          <t>Knärot
Blå taggsvamp
Lunglav
Dropptaggsvamp
Zontaggsvamp</t>
        </is>
      </c>
      <c r="S37">
        <f>HYPERLINK("https://klasma.github.io/Logging_2161/artfynd/A 59346-2020 artfynd.xlsx", "A 59346-2020")</f>
        <v/>
      </c>
      <c r="T37">
        <f>HYPERLINK("https://klasma.github.io/Logging_2161/kartor/A 59346-2020 karta.png", "A 59346-2020")</f>
        <v/>
      </c>
      <c r="U37">
        <f>HYPERLINK("https://klasma.github.io/Logging_2161/knärot/A 59346-2020 karta knärot.png", "A 59346-2020")</f>
        <v/>
      </c>
      <c r="V37">
        <f>HYPERLINK("https://klasma.github.io/Logging_2161/klagomål/A 59346-2020 FSC-klagomål.docx", "A 59346-2020")</f>
        <v/>
      </c>
      <c r="W37">
        <f>HYPERLINK("https://klasma.github.io/Logging_2161/klagomålsmail/A 59346-2020 FSC-klagomål mail.docx", "A 59346-2020")</f>
        <v/>
      </c>
      <c r="X37">
        <f>HYPERLINK("https://klasma.github.io/Logging_2161/tillsyn/A 59346-2020 tillsynsbegäran.docx", "A 59346-2020")</f>
        <v/>
      </c>
      <c r="Y37">
        <f>HYPERLINK("https://klasma.github.io/Logging_2161/tillsynsmail/A 59346-2020 tillsynsbegäran mail.docx", "A 59346-2020")</f>
        <v/>
      </c>
    </row>
    <row r="38" ht="15" customHeight="1">
      <c r="A38" t="inlineStr">
        <is>
          <t>A 22461-2021</t>
        </is>
      </c>
      <c r="B38" s="1" t="n">
        <v>44326</v>
      </c>
      <c r="C38" s="1" t="n">
        <v>45811</v>
      </c>
      <c r="D38" t="inlineStr">
        <is>
          <t>GÄVLEBORGS LÄN</t>
        </is>
      </c>
      <c r="E38" t="inlineStr">
        <is>
          <t>LJUSDAL</t>
        </is>
      </c>
      <c r="F38" t="inlineStr">
        <is>
          <t>Sveaskog</t>
        </is>
      </c>
      <c r="G38" t="n">
        <v>7.1</v>
      </c>
      <c r="H38" t="n">
        <v>3</v>
      </c>
      <c r="I38" t="n">
        <v>1</v>
      </c>
      <c r="J38" t="n">
        <v>2</v>
      </c>
      <c r="K38" t="n">
        <v>1</v>
      </c>
      <c r="L38" t="n">
        <v>0</v>
      </c>
      <c r="M38" t="n">
        <v>0</v>
      </c>
      <c r="N38" t="n">
        <v>0</v>
      </c>
      <c r="O38" t="n">
        <v>3</v>
      </c>
      <c r="P38" t="n">
        <v>1</v>
      </c>
      <c r="Q38" t="n">
        <v>5</v>
      </c>
      <c r="R38" s="2" t="inlineStr">
        <is>
          <t>Knärot
Lunglav
Rödvingetrast
Stuplav
Revlummer</t>
        </is>
      </c>
      <c r="S38">
        <f>HYPERLINK("https://klasma.github.io/Logging_2161/artfynd/A 22461-2021 artfynd.xlsx", "A 22461-2021")</f>
        <v/>
      </c>
      <c r="T38">
        <f>HYPERLINK("https://klasma.github.io/Logging_2161/kartor/A 22461-2021 karta.png", "A 22461-2021")</f>
        <v/>
      </c>
      <c r="U38">
        <f>HYPERLINK("https://klasma.github.io/Logging_2161/knärot/A 22461-2021 karta knärot.png", "A 22461-2021")</f>
        <v/>
      </c>
      <c r="V38">
        <f>HYPERLINK("https://klasma.github.io/Logging_2161/klagomål/A 22461-2021 FSC-klagomål.docx", "A 22461-2021")</f>
        <v/>
      </c>
      <c r="W38">
        <f>HYPERLINK("https://klasma.github.io/Logging_2161/klagomålsmail/A 22461-2021 FSC-klagomål mail.docx", "A 22461-2021")</f>
        <v/>
      </c>
      <c r="X38">
        <f>HYPERLINK("https://klasma.github.io/Logging_2161/tillsyn/A 22461-2021 tillsynsbegäran.docx", "A 22461-2021")</f>
        <v/>
      </c>
      <c r="Y38">
        <f>HYPERLINK("https://klasma.github.io/Logging_2161/tillsynsmail/A 22461-2021 tillsynsbegäran mail.docx", "A 22461-2021")</f>
        <v/>
      </c>
      <c r="Z38">
        <f>HYPERLINK("https://klasma.github.io/Logging_2161/fåglar/A 22461-2021 prioriterade fågelarter.docx", "A 22461-2021")</f>
        <v/>
      </c>
    </row>
    <row r="39" ht="15" customHeight="1">
      <c r="A39" t="inlineStr">
        <is>
          <t>A 69018-2021</t>
        </is>
      </c>
      <c r="B39" s="1" t="n">
        <v>44530</v>
      </c>
      <c r="C39" s="1" t="n">
        <v>45811</v>
      </c>
      <c r="D39" t="inlineStr">
        <is>
          <t>GÄVLEBORGS LÄN</t>
        </is>
      </c>
      <c r="E39" t="inlineStr">
        <is>
          <t>LJUSDAL</t>
        </is>
      </c>
      <c r="G39" t="n">
        <v>3.3</v>
      </c>
      <c r="H39" t="n">
        <v>2</v>
      </c>
      <c r="I39" t="n">
        <v>1</v>
      </c>
      <c r="J39" t="n">
        <v>2</v>
      </c>
      <c r="K39" t="n">
        <v>1</v>
      </c>
      <c r="L39" t="n">
        <v>0</v>
      </c>
      <c r="M39" t="n">
        <v>0</v>
      </c>
      <c r="N39" t="n">
        <v>0</v>
      </c>
      <c r="O39" t="n">
        <v>3</v>
      </c>
      <c r="P39" t="n">
        <v>1</v>
      </c>
      <c r="Q39" t="n">
        <v>5</v>
      </c>
      <c r="R39" s="2" t="inlineStr">
        <is>
          <t>Knärot
Gammelgransskål
Garnlav
Bårdlav
Revlummer</t>
        </is>
      </c>
      <c r="S39">
        <f>HYPERLINK("https://klasma.github.io/Logging_2161/artfynd/A 69018-2021 artfynd.xlsx", "A 69018-2021")</f>
        <v/>
      </c>
      <c r="T39">
        <f>HYPERLINK("https://klasma.github.io/Logging_2161/kartor/A 69018-2021 karta.png", "A 69018-2021")</f>
        <v/>
      </c>
      <c r="U39">
        <f>HYPERLINK("https://klasma.github.io/Logging_2161/knärot/A 69018-2021 karta knärot.png", "A 69018-2021")</f>
        <v/>
      </c>
      <c r="V39">
        <f>HYPERLINK("https://klasma.github.io/Logging_2161/klagomål/A 69018-2021 FSC-klagomål.docx", "A 69018-2021")</f>
        <v/>
      </c>
      <c r="W39">
        <f>HYPERLINK("https://klasma.github.io/Logging_2161/klagomålsmail/A 69018-2021 FSC-klagomål mail.docx", "A 69018-2021")</f>
        <v/>
      </c>
      <c r="X39">
        <f>HYPERLINK("https://klasma.github.io/Logging_2161/tillsyn/A 69018-2021 tillsynsbegäran.docx", "A 69018-2021")</f>
        <v/>
      </c>
      <c r="Y39">
        <f>HYPERLINK("https://klasma.github.io/Logging_2161/tillsynsmail/A 69018-2021 tillsynsbegäran mail.docx", "A 69018-2021")</f>
        <v/>
      </c>
    </row>
    <row r="40" ht="15" customHeight="1">
      <c r="A40" t="inlineStr">
        <is>
          <t>A 29834-2022</t>
        </is>
      </c>
      <c r="B40" s="1" t="n">
        <v>44755</v>
      </c>
      <c r="C40" s="1" t="n">
        <v>45811</v>
      </c>
      <c r="D40" t="inlineStr">
        <is>
          <t>GÄVLEBORGS LÄN</t>
        </is>
      </c>
      <c r="E40" t="inlineStr">
        <is>
          <t>LJUSDAL</t>
        </is>
      </c>
      <c r="F40" t="inlineStr">
        <is>
          <t>SCA</t>
        </is>
      </c>
      <c r="G40" t="n">
        <v>21.9</v>
      </c>
      <c r="H40" t="n">
        <v>2</v>
      </c>
      <c r="I40" t="n">
        <v>0</v>
      </c>
      <c r="J40" t="n">
        <v>4</v>
      </c>
      <c r="K40" t="n">
        <v>1</v>
      </c>
      <c r="L40" t="n">
        <v>0</v>
      </c>
      <c r="M40" t="n">
        <v>0</v>
      </c>
      <c r="N40" t="n">
        <v>0</v>
      </c>
      <c r="O40" t="n">
        <v>5</v>
      </c>
      <c r="P40" t="n">
        <v>1</v>
      </c>
      <c r="Q40" t="n">
        <v>5</v>
      </c>
      <c r="R40" s="2" t="inlineStr">
        <is>
          <t>Knärot
Garnlav
Mörk kolflarnlav
Tretåig hackspett
Vedskivlav</t>
        </is>
      </c>
      <c r="S40">
        <f>HYPERLINK("https://klasma.github.io/Logging_2161/artfynd/A 29834-2022 artfynd.xlsx", "A 29834-2022")</f>
        <v/>
      </c>
      <c r="T40">
        <f>HYPERLINK("https://klasma.github.io/Logging_2161/kartor/A 29834-2022 karta.png", "A 29834-2022")</f>
        <v/>
      </c>
      <c r="U40">
        <f>HYPERLINK("https://klasma.github.io/Logging_2161/knärot/A 29834-2022 karta knärot.png", "A 29834-2022")</f>
        <v/>
      </c>
      <c r="V40">
        <f>HYPERLINK("https://klasma.github.io/Logging_2161/klagomål/A 29834-2022 FSC-klagomål.docx", "A 29834-2022")</f>
        <v/>
      </c>
      <c r="W40">
        <f>HYPERLINK("https://klasma.github.io/Logging_2161/klagomålsmail/A 29834-2022 FSC-klagomål mail.docx", "A 29834-2022")</f>
        <v/>
      </c>
      <c r="X40">
        <f>HYPERLINK("https://klasma.github.io/Logging_2161/tillsyn/A 29834-2022 tillsynsbegäran.docx", "A 29834-2022")</f>
        <v/>
      </c>
      <c r="Y40">
        <f>HYPERLINK("https://klasma.github.io/Logging_2161/tillsynsmail/A 29834-2022 tillsynsbegäran mail.docx", "A 29834-2022")</f>
        <v/>
      </c>
      <c r="Z40">
        <f>HYPERLINK("https://klasma.github.io/Logging_2161/fåglar/A 29834-2022 prioriterade fågelarter.docx", "A 29834-2022")</f>
        <v/>
      </c>
    </row>
    <row r="41" ht="15" customHeight="1">
      <c r="A41" t="inlineStr">
        <is>
          <t>A 31524-2022</t>
        </is>
      </c>
      <c r="B41" s="1" t="n">
        <v>44775</v>
      </c>
      <c r="C41" s="1" t="n">
        <v>45811</v>
      </c>
      <c r="D41" t="inlineStr">
        <is>
          <t>GÄVLEBORGS LÄN</t>
        </is>
      </c>
      <c r="E41" t="inlineStr">
        <is>
          <t>LJUSDAL</t>
        </is>
      </c>
      <c r="F41" t="inlineStr">
        <is>
          <t>Sveaskog</t>
        </is>
      </c>
      <c r="G41" t="n">
        <v>38.6</v>
      </c>
      <c r="H41" t="n">
        <v>2</v>
      </c>
      <c r="I41" t="n">
        <v>2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5</v>
      </c>
      <c r="R41" s="2" t="inlineStr">
        <is>
          <t>Garnlav
Gränsticka
Korallrot
Källmossa
Fläcknycklar</t>
        </is>
      </c>
      <c r="S41">
        <f>HYPERLINK("https://klasma.github.io/Logging_2161/artfynd/A 31524-2022 artfynd.xlsx", "A 31524-2022")</f>
        <v/>
      </c>
      <c r="T41">
        <f>HYPERLINK("https://klasma.github.io/Logging_2161/kartor/A 31524-2022 karta.png", "A 31524-2022")</f>
        <v/>
      </c>
      <c r="V41">
        <f>HYPERLINK("https://klasma.github.io/Logging_2161/klagomål/A 31524-2022 FSC-klagomål.docx", "A 31524-2022")</f>
        <v/>
      </c>
      <c r="W41">
        <f>HYPERLINK("https://klasma.github.io/Logging_2161/klagomålsmail/A 31524-2022 FSC-klagomål mail.docx", "A 31524-2022")</f>
        <v/>
      </c>
      <c r="X41">
        <f>HYPERLINK("https://klasma.github.io/Logging_2161/tillsyn/A 31524-2022 tillsynsbegäran.docx", "A 31524-2022")</f>
        <v/>
      </c>
      <c r="Y41">
        <f>HYPERLINK("https://klasma.github.io/Logging_2161/tillsynsmail/A 31524-2022 tillsynsbegäran mail.docx", "A 31524-2022")</f>
        <v/>
      </c>
    </row>
    <row r="42" ht="15" customHeight="1">
      <c r="A42" t="inlineStr">
        <is>
          <t>A 36301-2022</t>
        </is>
      </c>
      <c r="B42" s="1" t="n">
        <v>44803</v>
      </c>
      <c r="C42" s="1" t="n">
        <v>45811</v>
      </c>
      <c r="D42" t="inlineStr">
        <is>
          <t>GÄVLEBORGS LÄN</t>
        </is>
      </c>
      <c r="E42" t="inlineStr">
        <is>
          <t>LJUSDAL</t>
        </is>
      </c>
      <c r="F42" t="inlineStr">
        <is>
          <t>Sveaskog</t>
        </is>
      </c>
      <c r="G42" t="n">
        <v>7.1</v>
      </c>
      <c r="H42" t="n">
        <v>2</v>
      </c>
      <c r="I42" t="n">
        <v>1</v>
      </c>
      <c r="J42" t="n">
        <v>3</v>
      </c>
      <c r="K42" t="n">
        <v>1</v>
      </c>
      <c r="L42" t="n">
        <v>0</v>
      </c>
      <c r="M42" t="n">
        <v>0</v>
      </c>
      <c r="N42" t="n">
        <v>0</v>
      </c>
      <c r="O42" t="n">
        <v>4</v>
      </c>
      <c r="P42" t="n">
        <v>1</v>
      </c>
      <c r="Q42" t="n">
        <v>5</v>
      </c>
      <c r="R42" s="2" t="inlineStr">
        <is>
          <t>Knärot
Garnlav
Kolflarnlav
Lunglav
Spindelblomster</t>
        </is>
      </c>
      <c r="S42">
        <f>HYPERLINK("https://klasma.github.io/Logging_2161/artfynd/A 36301-2022 artfynd.xlsx", "A 36301-2022")</f>
        <v/>
      </c>
      <c r="T42">
        <f>HYPERLINK("https://klasma.github.io/Logging_2161/kartor/A 36301-2022 karta.png", "A 36301-2022")</f>
        <v/>
      </c>
      <c r="U42">
        <f>HYPERLINK("https://klasma.github.io/Logging_2161/knärot/A 36301-2022 karta knärot.png", "A 36301-2022")</f>
        <v/>
      </c>
      <c r="V42">
        <f>HYPERLINK("https://klasma.github.io/Logging_2161/klagomål/A 36301-2022 FSC-klagomål.docx", "A 36301-2022")</f>
        <v/>
      </c>
      <c r="W42">
        <f>HYPERLINK("https://klasma.github.io/Logging_2161/klagomålsmail/A 36301-2022 FSC-klagomål mail.docx", "A 36301-2022")</f>
        <v/>
      </c>
      <c r="X42">
        <f>HYPERLINK("https://klasma.github.io/Logging_2161/tillsyn/A 36301-2022 tillsynsbegäran.docx", "A 36301-2022")</f>
        <v/>
      </c>
      <c r="Y42">
        <f>HYPERLINK("https://klasma.github.io/Logging_2161/tillsynsmail/A 36301-2022 tillsynsbegäran mail.docx", "A 36301-2022")</f>
        <v/>
      </c>
    </row>
    <row r="43" ht="15" customHeight="1">
      <c r="A43" t="inlineStr">
        <is>
          <t>A 58628-2022</t>
        </is>
      </c>
      <c r="B43" s="1" t="n">
        <v>44902</v>
      </c>
      <c r="C43" s="1" t="n">
        <v>45811</v>
      </c>
      <c r="D43" t="inlineStr">
        <is>
          <t>GÄVLEBORGS LÄN</t>
        </is>
      </c>
      <c r="E43" t="inlineStr">
        <is>
          <t>LJUSDAL</t>
        </is>
      </c>
      <c r="G43" t="n">
        <v>2.6</v>
      </c>
      <c r="H43" t="n">
        <v>2</v>
      </c>
      <c r="I43" t="n">
        <v>2</v>
      </c>
      <c r="J43" t="n">
        <v>2</v>
      </c>
      <c r="K43" t="n">
        <v>1</v>
      </c>
      <c r="L43" t="n">
        <v>0</v>
      </c>
      <c r="M43" t="n">
        <v>0</v>
      </c>
      <c r="N43" t="n">
        <v>0</v>
      </c>
      <c r="O43" t="n">
        <v>3</v>
      </c>
      <c r="P43" t="n">
        <v>1</v>
      </c>
      <c r="Q43" t="n">
        <v>5</v>
      </c>
      <c r="R43" s="2" t="inlineStr">
        <is>
          <t>Knärot
Tretåig hackspett
Ullticka
Skinnlav
Stuplav</t>
        </is>
      </c>
      <c r="S43">
        <f>HYPERLINK("https://klasma.github.io/Logging_2161/artfynd/A 58628-2022 artfynd.xlsx", "A 58628-2022")</f>
        <v/>
      </c>
      <c r="T43">
        <f>HYPERLINK("https://klasma.github.io/Logging_2161/kartor/A 58628-2022 karta.png", "A 58628-2022")</f>
        <v/>
      </c>
      <c r="U43">
        <f>HYPERLINK("https://klasma.github.io/Logging_2161/knärot/A 58628-2022 karta knärot.png", "A 58628-2022")</f>
        <v/>
      </c>
      <c r="V43">
        <f>HYPERLINK("https://klasma.github.io/Logging_2161/klagomål/A 58628-2022 FSC-klagomål.docx", "A 58628-2022")</f>
        <v/>
      </c>
      <c r="W43">
        <f>HYPERLINK("https://klasma.github.io/Logging_2161/klagomålsmail/A 58628-2022 FSC-klagomål mail.docx", "A 58628-2022")</f>
        <v/>
      </c>
      <c r="X43">
        <f>HYPERLINK("https://klasma.github.io/Logging_2161/tillsyn/A 58628-2022 tillsynsbegäran.docx", "A 58628-2022")</f>
        <v/>
      </c>
      <c r="Y43">
        <f>HYPERLINK("https://klasma.github.io/Logging_2161/tillsynsmail/A 58628-2022 tillsynsbegäran mail.docx", "A 58628-2022")</f>
        <v/>
      </c>
      <c r="Z43">
        <f>HYPERLINK("https://klasma.github.io/Logging_2161/fåglar/A 58628-2022 prioriterade fågelarter.docx", "A 58628-2022")</f>
        <v/>
      </c>
    </row>
    <row r="44" ht="15" customHeight="1">
      <c r="A44" t="inlineStr">
        <is>
          <t>A 25585-2023</t>
        </is>
      </c>
      <c r="B44" s="1" t="n">
        <v>45089</v>
      </c>
      <c r="C44" s="1" t="n">
        <v>45811</v>
      </c>
      <c r="D44" t="inlineStr">
        <is>
          <t>GÄVLEBORGS LÄN</t>
        </is>
      </c>
      <c r="E44" t="inlineStr">
        <is>
          <t>LJUSDAL</t>
        </is>
      </c>
      <c r="G44" t="n">
        <v>6</v>
      </c>
      <c r="H44" t="n">
        <v>3</v>
      </c>
      <c r="I44" t="n">
        <v>0</v>
      </c>
      <c r="J44" t="n">
        <v>4</v>
      </c>
      <c r="K44" t="n">
        <v>1</v>
      </c>
      <c r="L44" t="n">
        <v>0</v>
      </c>
      <c r="M44" t="n">
        <v>0</v>
      </c>
      <c r="N44" t="n">
        <v>0</v>
      </c>
      <c r="O44" t="n">
        <v>5</v>
      </c>
      <c r="P44" t="n">
        <v>1</v>
      </c>
      <c r="Q44" t="n">
        <v>5</v>
      </c>
      <c r="R44" s="2" t="inlineStr">
        <is>
          <t>Knärot
Granticka
Skogshare
Spillkråka
Tretåig hackspett</t>
        </is>
      </c>
      <c r="S44">
        <f>HYPERLINK("https://klasma.github.io/Logging_2161/artfynd/A 25585-2023 artfynd.xlsx", "A 25585-2023")</f>
        <v/>
      </c>
      <c r="T44">
        <f>HYPERLINK("https://klasma.github.io/Logging_2161/kartor/A 25585-2023 karta.png", "A 25585-2023")</f>
        <v/>
      </c>
      <c r="U44">
        <f>HYPERLINK("https://klasma.github.io/Logging_2161/knärot/A 25585-2023 karta knärot.png", "A 25585-2023")</f>
        <v/>
      </c>
      <c r="V44">
        <f>HYPERLINK("https://klasma.github.io/Logging_2161/klagomål/A 25585-2023 FSC-klagomål.docx", "A 25585-2023")</f>
        <v/>
      </c>
      <c r="W44">
        <f>HYPERLINK("https://klasma.github.io/Logging_2161/klagomålsmail/A 25585-2023 FSC-klagomål mail.docx", "A 25585-2023")</f>
        <v/>
      </c>
      <c r="X44">
        <f>HYPERLINK("https://klasma.github.io/Logging_2161/tillsyn/A 25585-2023 tillsynsbegäran.docx", "A 25585-2023")</f>
        <v/>
      </c>
      <c r="Y44">
        <f>HYPERLINK("https://klasma.github.io/Logging_2161/tillsynsmail/A 25585-2023 tillsynsbegäran mail.docx", "A 25585-2023")</f>
        <v/>
      </c>
      <c r="Z44">
        <f>HYPERLINK("https://klasma.github.io/Logging_2161/fåglar/A 25585-2023 prioriterade fågelarter.docx", "A 25585-2023")</f>
        <v/>
      </c>
    </row>
    <row r="45" ht="15" customHeight="1">
      <c r="A45" t="inlineStr">
        <is>
          <t>A 25953-2023</t>
        </is>
      </c>
      <c r="B45" s="1" t="n">
        <v>45090</v>
      </c>
      <c r="C45" s="1" t="n">
        <v>45811</v>
      </c>
      <c r="D45" t="inlineStr">
        <is>
          <t>GÄVLEBORGS LÄN</t>
        </is>
      </c>
      <c r="E45" t="inlineStr">
        <is>
          <t>LJUSDAL</t>
        </is>
      </c>
      <c r="G45" t="n">
        <v>1.9</v>
      </c>
      <c r="H45" t="n">
        <v>3</v>
      </c>
      <c r="I45" t="n">
        <v>0</v>
      </c>
      <c r="J45" t="n">
        <v>4</v>
      </c>
      <c r="K45" t="n">
        <v>1</v>
      </c>
      <c r="L45" t="n">
        <v>0</v>
      </c>
      <c r="M45" t="n">
        <v>0</v>
      </c>
      <c r="N45" t="n">
        <v>0</v>
      </c>
      <c r="O45" t="n">
        <v>5</v>
      </c>
      <c r="P45" t="n">
        <v>1</v>
      </c>
      <c r="Q45" t="n">
        <v>5</v>
      </c>
      <c r="R45" s="2" t="inlineStr">
        <is>
          <t>Knärot
Rosenticka
Talltita
Tretåig hackspett
Ullticka</t>
        </is>
      </c>
      <c r="S45">
        <f>HYPERLINK("https://klasma.github.io/Logging_2161/artfynd/A 25953-2023 artfynd.xlsx", "A 25953-2023")</f>
        <v/>
      </c>
      <c r="T45">
        <f>HYPERLINK("https://klasma.github.io/Logging_2161/kartor/A 25953-2023 karta.png", "A 25953-2023")</f>
        <v/>
      </c>
      <c r="U45">
        <f>HYPERLINK("https://klasma.github.io/Logging_2161/knärot/A 25953-2023 karta knärot.png", "A 25953-2023")</f>
        <v/>
      </c>
      <c r="V45">
        <f>HYPERLINK("https://klasma.github.io/Logging_2161/klagomål/A 25953-2023 FSC-klagomål.docx", "A 25953-2023")</f>
        <v/>
      </c>
      <c r="W45">
        <f>HYPERLINK("https://klasma.github.io/Logging_2161/klagomålsmail/A 25953-2023 FSC-klagomål mail.docx", "A 25953-2023")</f>
        <v/>
      </c>
      <c r="X45">
        <f>HYPERLINK("https://klasma.github.io/Logging_2161/tillsyn/A 25953-2023 tillsynsbegäran.docx", "A 25953-2023")</f>
        <v/>
      </c>
      <c r="Y45">
        <f>HYPERLINK("https://klasma.github.io/Logging_2161/tillsynsmail/A 25953-2023 tillsynsbegäran mail.docx", "A 25953-2023")</f>
        <v/>
      </c>
      <c r="Z45">
        <f>HYPERLINK("https://klasma.github.io/Logging_2161/fåglar/A 25953-2023 prioriterade fågelarter.docx", "A 25953-2023")</f>
        <v/>
      </c>
    </row>
    <row r="46" ht="15" customHeight="1">
      <c r="A46" t="inlineStr">
        <is>
          <t>A 47142-2023</t>
        </is>
      </c>
      <c r="B46" s="1" t="n">
        <v>45201</v>
      </c>
      <c r="C46" s="1" t="n">
        <v>45811</v>
      </c>
      <c r="D46" t="inlineStr">
        <is>
          <t>GÄVLEBORGS LÄN</t>
        </is>
      </c>
      <c r="E46" t="inlineStr">
        <is>
          <t>LJUSDAL</t>
        </is>
      </c>
      <c r="F46" t="inlineStr">
        <is>
          <t>Sveaskog</t>
        </is>
      </c>
      <c r="G46" t="n">
        <v>2.8</v>
      </c>
      <c r="H46" t="n">
        <v>1</v>
      </c>
      <c r="I46" t="n">
        <v>2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5</v>
      </c>
      <c r="R46" s="2" t="inlineStr">
        <is>
          <t>Garnlav
Kolflarnlav
Lunglav
Gullgröppa
Plattlummer</t>
        </is>
      </c>
      <c r="S46">
        <f>HYPERLINK("https://klasma.github.io/Logging_2161/artfynd/A 47142-2023 artfynd.xlsx", "A 47142-2023")</f>
        <v/>
      </c>
      <c r="T46">
        <f>HYPERLINK("https://klasma.github.io/Logging_2161/kartor/A 47142-2023 karta.png", "A 47142-2023")</f>
        <v/>
      </c>
      <c r="V46">
        <f>HYPERLINK("https://klasma.github.io/Logging_2161/klagomål/A 47142-2023 FSC-klagomål.docx", "A 47142-2023")</f>
        <v/>
      </c>
      <c r="W46">
        <f>HYPERLINK("https://klasma.github.io/Logging_2161/klagomålsmail/A 47142-2023 FSC-klagomål mail.docx", "A 47142-2023")</f>
        <v/>
      </c>
      <c r="X46">
        <f>HYPERLINK("https://klasma.github.io/Logging_2161/tillsyn/A 47142-2023 tillsynsbegäran.docx", "A 47142-2023")</f>
        <v/>
      </c>
      <c r="Y46">
        <f>HYPERLINK("https://klasma.github.io/Logging_2161/tillsynsmail/A 47142-2023 tillsynsbegäran mail.docx", "A 47142-2023")</f>
        <v/>
      </c>
    </row>
    <row r="47" ht="15" customHeight="1">
      <c r="A47" t="inlineStr">
        <is>
          <t>A 51955-2023</t>
        </is>
      </c>
      <c r="B47" s="1" t="n">
        <v>45223</v>
      </c>
      <c r="C47" s="1" t="n">
        <v>45811</v>
      </c>
      <c r="D47" t="inlineStr">
        <is>
          <t>GÄVLEBORGS LÄN</t>
        </is>
      </c>
      <c r="E47" t="inlineStr">
        <is>
          <t>LJUSDAL</t>
        </is>
      </c>
      <c r="F47" t="inlineStr">
        <is>
          <t>Sveaskog</t>
        </is>
      </c>
      <c r="G47" t="n">
        <v>33.5</v>
      </c>
      <c r="H47" t="n">
        <v>0</v>
      </c>
      <c r="I47" t="n">
        <v>1</v>
      </c>
      <c r="J47" t="n">
        <v>3</v>
      </c>
      <c r="K47" t="n">
        <v>1</v>
      </c>
      <c r="L47" t="n">
        <v>0</v>
      </c>
      <c r="M47" t="n">
        <v>0</v>
      </c>
      <c r="N47" t="n">
        <v>0</v>
      </c>
      <c r="O47" t="n">
        <v>4</v>
      </c>
      <c r="P47" t="n">
        <v>1</v>
      </c>
      <c r="Q47" t="n">
        <v>5</v>
      </c>
      <c r="R47" s="2" t="inlineStr">
        <is>
          <t>Gräddporing
Kolflarnlav
Mörk kolflarnlav
Vedflamlav
Dropptaggsvamp</t>
        </is>
      </c>
      <c r="S47">
        <f>HYPERLINK("https://klasma.github.io/Logging_2161/artfynd/A 51955-2023 artfynd.xlsx", "A 51955-2023")</f>
        <v/>
      </c>
      <c r="T47">
        <f>HYPERLINK("https://klasma.github.io/Logging_2161/kartor/A 51955-2023 karta.png", "A 51955-2023")</f>
        <v/>
      </c>
      <c r="V47">
        <f>HYPERLINK("https://klasma.github.io/Logging_2161/klagomål/A 51955-2023 FSC-klagomål.docx", "A 51955-2023")</f>
        <v/>
      </c>
      <c r="W47">
        <f>HYPERLINK("https://klasma.github.io/Logging_2161/klagomålsmail/A 51955-2023 FSC-klagomål mail.docx", "A 51955-2023")</f>
        <v/>
      </c>
      <c r="X47">
        <f>HYPERLINK("https://klasma.github.io/Logging_2161/tillsyn/A 51955-2023 tillsynsbegäran.docx", "A 51955-2023")</f>
        <v/>
      </c>
      <c r="Y47">
        <f>HYPERLINK("https://klasma.github.io/Logging_2161/tillsynsmail/A 51955-2023 tillsynsbegäran mail.docx", "A 51955-2023")</f>
        <v/>
      </c>
    </row>
    <row r="48" ht="15" customHeight="1">
      <c r="A48" t="inlineStr">
        <is>
          <t>A 6077-2024</t>
        </is>
      </c>
      <c r="B48" s="1" t="n">
        <v>45336</v>
      </c>
      <c r="C48" s="1" t="n">
        <v>45811</v>
      </c>
      <c r="D48" t="inlineStr">
        <is>
          <t>GÄVLEBORGS LÄN</t>
        </is>
      </c>
      <c r="E48" t="inlineStr">
        <is>
          <t>LJUSDAL</t>
        </is>
      </c>
      <c r="G48" t="n">
        <v>11.6</v>
      </c>
      <c r="H48" t="n">
        <v>0</v>
      </c>
      <c r="I48" t="n">
        <v>2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5</v>
      </c>
      <c r="R48" s="2" t="inlineStr">
        <is>
          <t>Gränsticka
Rosenticka
Ullticka
Skinnlav
Stuplav</t>
        </is>
      </c>
      <c r="S48">
        <f>HYPERLINK("https://klasma.github.io/Logging_2161/artfynd/A 6077-2024 artfynd.xlsx", "A 6077-2024")</f>
        <v/>
      </c>
      <c r="T48">
        <f>HYPERLINK("https://klasma.github.io/Logging_2161/kartor/A 6077-2024 karta.png", "A 6077-2024")</f>
        <v/>
      </c>
      <c r="V48">
        <f>HYPERLINK("https://klasma.github.io/Logging_2161/klagomål/A 6077-2024 FSC-klagomål.docx", "A 6077-2024")</f>
        <v/>
      </c>
      <c r="W48">
        <f>HYPERLINK("https://klasma.github.io/Logging_2161/klagomålsmail/A 6077-2024 FSC-klagomål mail.docx", "A 6077-2024")</f>
        <v/>
      </c>
      <c r="X48">
        <f>HYPERLINK("https://klasma.github.io/Logging_2161/tillsyn/A 6077-2024 tillsynsbegäran.docx", "A 6077-2024")</f>
        <v/>
      </c>
      <c r="Y48">
        <f>HYPERLINK("https://klasma.github.io/Logging_2161/tillsynsmail/A 6077-2024 tillsynsbegäran mail.docx", "A 6077-2024")</f>
        <v/>
      </c>
    </row>
    <row r="49" ht="15" customHeight="1">
      <c r="A49" t="inlineStr">
        <is>
          <t>A 22635-2024</t>
        </is>
      </c>
      <c r="B49" s="1" t="n">
        <v>45447</v>
      </c>
      <c r="C49" s="1" t="n">
        <v>45811</v>
      </c>
      <c r="D49" t="inlineStr">
        <is>
          <t>GÄVLEBORGS LÄN</t>
        </is>
      </c>
      <c r="E49" t="inlineStr">
        <is>
          <t>LJUSDAL</t>
        </is>
      </c>
      <c r="F49" t="inlineStr">
        <is>
          <t>Bergvik skog väst AB</t>
        </is>
      </c>
      <c r="G49" t="n">
        <v>5.1</v>
      </c>
      <c r="H49" t="n">
        <v>0</v>
      </c>
      <c r="I49" t="n">
        <v>2</v>
      </c>
      <c r="J49" t="n">
        <v>2</v>
      </c>
      <c r="K49" t="n">
        <v>1</v>
      </c>
      <c r="L49" t="n">
        <v>0</v>
      </c>
      <c r="M49" t="n">
        <v>0</v>
      </c>
      <c r="N49" t="n">
        <v>0</v>
      </c>
      <c r="O49" t="n">
        <v>3</v>
      </c>
      <c r="P49" t="n">
        <v>1</v>
      </c>
      <c r="Q49" t="n">
        <v>5</v>
      </c>
      <c r="R49" s="2" t="inlineStr">
        <is>
          <t>Rynkskinn
Rosenticka
Ullticka
Skör kvastmossa
Stor aspticka</t>
        </is>
      </c>
      <c r="S49">
        <f>HYPERLINK("https://klasma.github.io/Logging_2161/artfynd/A 22635-2024 artfynd.xlsx", "A 22635-2024")</f>
        <v/>
      </c>
      <c r="T49">
        <f>HYPERLINK("https://klasma.github.io/Logging_2161/kartor/A 22635-2024 karta.png", "A 22635-2024")</f>
        <v/>
      </c>
      <c r="V49">
        <f>HYPERLINK("https://klasma.github.io/Logging_2161/klagomål/A 22635-2024 FSC-klagomål.docx", "A 22635-2024")</f>
        <v/>
      </c>
      <c r="W49">
        <f>HYPERLINK("https://klasma.github.io/Logging_2161/klagomålsmail/A 22635-2024 FSC-klagomål mail.docx", "A 22635-2024")</f>
        <v/>
      </c>
      <c r="X49">
        <f>HYPERLINK("https://klasma.github.io/Logging_2161/tillsyn/A 22635-2024 tillsynsbegäran.docx", "A 22635-2024")</f>
        <v/>
      </c>
      <c r="Y49">
        <f>HYPERLINK("https://klasma.github.io/Logging_2161/tillsynsmail/A 22635-2024 tillsynsbegäran mail.docx", "A 22635-2024")</f>
        <v/>
      </c>
    </row>
    <row r="50" ht="15" customHeight="1">
      <c r="A50" t="inlineStr">
        <is>
          <t>A 34839-2024</t>
        </is>
      </c>
      <c r="B50" s="1" t="n">
        <v>45526</v>
      </c>
      <c r="C50" s="1" t="n">
        <v>45811</v>
      </c>
      <c r="D50" t="inlineStr">
        <is>
          <t>GÄVLEBORGS LÄN</t>
        </is>
      </c>
      <c r="E50" t="inlineStr">
        <is>
          <t>LJUSDAL</t>
        </is>
      </c>
      <c r="F50" t="inlineStr">
        <is>
          <t>Sveaskog</t>
        </is>
      </c>
      <c r="G50" t="n">
        <v>24.8</v>
      </c>
      <c r="H50" t="n">
        <v>1</v>
      </c>
      <c r="I50" t="n">
        <v>2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5</v>
      </c>
      <c r="R50" s="2" t="inlineStr">
        <is>
          <t>Garnlav
Kolflarnlav
Vedflamlav
Plattlummer
Sotlav</t>
        </is>
      </c>
      <c r="S50">
        <f>HYPERLINK("https://klasma.github.io/Logging_2161/artfynd/A 34839-2024 artfynd.xlsx", "A 34839-2024")</f>
        <v/>
      </c>
      <c r="T50">
        <f>HYPERLINK("https://klasma.github.io/Logging_2161/kartor/A 34839-2024 karta.png", "A 34839-2024")</f>
        <v/>
      </c>
      <c r="V50">
        <f>HYPERLINK("https://klasma.github.io/Logging_2161/klagomål/A 34839-2024 FSC-klagomål.docx", "A 34839-2024")</f>
        <v/>
      </c>
      <c r="W50">
        <f>HYPERLINK("https://klasma.github.io/Logging_2161/klagomålsmail/A 34839-2024 FSC-klagomål mail.docx", "A 34839-2024")</f>
        <v/>
      </c>
      <c r="X50">
        <f>HYPERLINK("https://klasma.github.io/Logging_2161/tillsyn/A 34839-2024 tillsynsbegäran.docx", "A 34839-2024")</f>
        <v/>
      </c>
      <c r="Y50">
        <f>HYPERLINK("https://klasma.github.io/Logging_2161/tillsynsmail/A 34839-2024 tillsynsbegäran mail.docx", "A 34839-2024")</f>
        <v/>
      </c>
    </row>
    <row r="51" ht="15" customHeight="1">
      <c r="A51" t="inlineStr">
        <is>
          <t>A 45388-2024</t>
        </is>
      </c>
      <c r="B51" s="1" t="n">
        <v>45576</v>
      </c>
      <c r="C51" s="1" t="n">
        <v>45811</v>
      </c>
      <c r="D51" t="inlineStr">
        <is>
          <t>GÄVLEBORGS LÄN</t>
        </is>
      </c>
      <c r="E51" t="inlineStr">
        <is>
          <t>LJUSDAL</t>
        </is>
      </c>
      <c r="F51" t="inlineStr">
        <is>
          <t>Sveaskog</t>
        </is>
      </c>
      <c r="G51" t="n">
        <v>13.2</v>
      </c>
      <c r="H51" t="n">
        <v>0</v>
      </c>
      <c r="I51" t="n">
        <v>3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5</v>
      </c>
      <c r="R51" s="2" t="inlineStr">
        <is>
          <t>Garnlav
Vedskivlav
Gullgröppa
Mindre märgborre
Skinnlav</t>
        </is>
      </c>
      <c r="S51">
        <f>HYPERLINK("https://klasma.github.io/Logging_2161/artfynd/A 45388-2024 artfynd.xlsx", "A 45388-2024")</f>
        <v/>
      </c>
      <c r="T51">
        <f>HYPERLINK("https://klasma.github.io/Logging_2161/kartor/A 45388-2024 karta.png", "A 45388-2024")</f>
        <v/>
      </c>
      <c r="V51">
        <f>HYPERLINK("https://klasma.github.io/Logging_2161/klagomål/A 45388-2024 FSC-klagomål.docx", "A 45388-2024")</f>
        <v/>
      </c>
      <c r="W51">
        <f>HYPERLINK("https://klasma.github.io/Logging_2161/klagomålsmail/A 45388-2024 FSC-klagomål mail.docx", "A 45388-2024")</f>
        <v/>
      </c>
      <c r="X51">
        <f>HYPERLINK("https://klasma.github.io/Logging_2161/tillsyn/A 45388-2024 tillsynsbegäran.docx", "A 45388-2024")</f>
        <v/>
      </c>
      <c r="Y51">
        <f>HYPERLINK("https://klasma.github.io/Logging_2161/tillsynsmail/A 45388-2024 tillsynsbegäran mail.docx", "A 45388-2024")</f>
        <v/>
      </c>
    </row>
    <row r="52" ht="15" customHeight="1">
      <c r="A52" t="inlineStr">
        <is>
          <t>A 21038-2025</t>
        </is>
      </c>
      <c r="B52" s="1" t="n">
        <v>45777</v>
      </c>
      <c r="C52" s="1" t="n">
        <v>45811</v>
      </c>
      <c r="D52" t="inlineStr">
        <is>
          <t>GÄVLEBORGS LÄN</t>
        </is>
      </c>
      <c r="E52" t="inlineStr">
        <is>
          <t>LJUSDAL</t>
        </is>
      </c>
      <c r="F52" t="inlineStr">
        <is>
          <t>SCA</t>
        </is>
      </c>
      <c r="G52" t="n">
        <v>3.8</v>
      </c>
      <c r="H52" t="n">
        <v>1</v>
      </c>
      <c r="I52" t="n">
        <v>0</v>
      </c>
      <c r="J52" t="n">
        <v>4</v>
      </c>
      <c r="K52" t="n">
        <v>0</v>
      </c>
      <c r="L52" t="n">
        <v>0</v>
      </c>
      <c r="M52" t="n">
        <v>0</v>
      </c>
      <c r="N52" t="n">
        <v>0</v>
      </c>
      <c r="O52" t="n">
        <v>4</v>
      </c>
      <c r="P52" t="n">
        <v>0</v>
      </c>
      <c r="Q52" t="n">
        <v>5</v>
      </c>
      <c r="R52" s="2" t="inlineStr">
        <is>
          <t>Gammelgransskål
Garnlav
Kolflarnlav
Lunglav
Revlummer</t>
        </is>
      </c>
      <c r="S52">
        <f>HYPERLINK("https://klasma.github.io/Logging_212161/artfynd/A 21038-2025 artfynd.xlsx", "A 21038-2025")</f>
        <v/>
      </c>
      <c r="T52">
        <f>HYPERLINK("https://klasma.github.io/Logging_212161/kartor/A 21038-2025 karta.png", "A 21038-2025")</f>
        <v/>
      </c>
      <c r="V52">
        <f>HYPERLINK("https://klasma.github.io/Logging_212161/klagomål/A 21038-2025 FSC-klagomål.docx", "A 21038-2025")</f>
        <v/>
      </c>
      <c r="W52">
        <f>HYPERLINK("https://klasma.github.io/Logging_212161/klagomålsmail/A 21038-2025 FSC-klagomål mail.docx", "A 21038-2025")</f>
        <v/>
      </c>
      <c r="X52">
        <f>HYPERLINK("https://klasma.github.io/Logging_212161/tillsyn/A 21038-2025 tillsynsbegäran.docx", "A 21038-2025")</f>
        <v/>
      </c>
      <c r="Y52">
        <f>HYPERLINK("https://klasma.github.io/Logging_212161/tillsynsmail/A 21038-2025 tillsynsbegäran mail.docx", "A 21038-2025")</f>
        <v/>
      </c>
    </row>
    <row r="53" ht="15" customHeight="1">
      <c r="A53" t="inlineStr">
        <is>
          <t>A 26085-2025</t>
        </is>
      </c>
      <c r="B53" s="1" t="n">
        <v>45805</v>
      </c>
      <c r="C53" s="1" t="n">
        <v>45811</v>
      </c>
      <c r="D53" t="inlineStr">
        <is>
          <t>GÄVLEBORGS LÄN</t>
        </is>
      </c>
      <c r="E53" t="inlineStr">
        <is>
          <t>LJUSDAL</t>
        </is>
      </c>
      <c r="F53" t="inlineStr">
        <is>
          <t>SCA</t>
        </is>
      </c>
      <c r="G53" t="n">
        <v>11.3</v>
      </c>
      <c r="H53" t="n">
        <v>1</v>
      </c>
      <c r="I53" t="n">
        <v>3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5</v>
      </c>
      <c r="R53" s="2" t="inlineStr">
        <is>
          <t>Skuggviol
Kransrams
Svart trolldruva
Underviol
Blåsippa</t>
        </is>
      </c>
      <c r="S53">
        <f>HYPERLINK("https://klasma.github.io/Logging_212161/artfynd/A 26085-2025 artfynd.xlsx", "A 26085-2025")</f>
        <v/>
      </c>
      <c r="T53">
        <f>HYPERLINK("https://klasma.github.io/Logging_212161/kartor/A 26085-2025 karta.png", "A 26085-2025")</f>
        <v/>
      </c>
      <c r="V53">
        <f>HYPERLINK("https://klasma.github.io/Logging_212161/klagomål/A 26085-2025 FSC-klagomål.docx", "A 26085-2025")</f>
        <v/>
      </c>
      <c r="W53">
        <f>HYPERLINK("https://klasma.github.io/Logging_212161/klagomålsmail/A 26085-2025 FSC-klagomål mail.docx", "A 26085-2025")</f>
        <v/>
      </c>
      <c r="X53">
        <f>HYPERLINK("https://klasma.github.io/Logging_212161/tillsyn/A 26085-2025 tillsynsbegäran.docx", "A 26085-2025")</f>
        <v/>
      </c>
      <c r="Y53">
        <f>HYPERLINK("https://klasma.github.io/Logging_212161/tillsynsmail/A 26085-2025 tillsynsbegäran mail.docx", "A 26085-2025")</f>
        <v/>
      </c>
    </row>
    <row r="54" ht="15" customHeight="1">
      <c r="A54" t="inlineStr">
        <is>
          <t>A 26489-2025</t>
        </is>
      </c>
      <c r="B54" s="1" t="n">
        <v>45807</v>
      </c>
      <c r="C54" s="1" t="n">
        <v>45811</v>
      </c>
      <c r="D54" t="inlineStr">
        <is>
          <t>GÄVLEBORGS LÄN</t>
        </is>
      </c>
      <c r="E54" t="inlineStr">
        <is>
          <t>LJUSDAL</t>
        </is>
      </c>
      <c r="G54" t="n">
        <v>14.8</v>
      </c>
      <c r="H54" t="n">
        <v>2</v>
      </c>
      <c r="I54" t="n">
        <v>1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5</v>
      </c>
      <c r="R54" s="2" t="inlineStr">
        <is>
          <t>Gammelgransskål
Garnlav
Luddlav
Fläcknycklar
Revlummer</t>
        </is>
      </c>
      <c r="S54">
        <f>HYPERLINK("https://klasma.github.io/Logging_212161/artfynd/A 26489-2025 artfynd.xlsx", "A 26489-2025")</f>
        <v/>
      </c>
      <c r="T54">
        <f>HYPERLINK("https://klasma.github.io/Logging_212161/kartor/A 26489-2025 karta.png", "A 26489-2025")</f>
        <v/>
      </c>
      <c r="V54">
        <f>HYPERLINK("https://klasma.github.io/Logging_212161/klagomål/A 26489-2025 FSC-klagomål.docx", "A 26489-2025")</f>
        <v/>
      </c>
      <c r="W54">
        <f>HYPERLINK("https://klasma.github.io/Logging_212161/klagomålsmail/A 26489-2025 FSC-klagomål mail.docx", "A 26489-2025")</f>
        <v/>
      </c>
      <c r="X54">
        <f>HYPERLINK("https://klasma.github.io/Logging_212161/tillsyn/A 26489-2025 tillsynsbegäran.docx", "A 26489-2025")</f>
        <v/>
      </c>
      <c r="Y54">
        <f>HYPERLINK("https://klasma.github.io/Logging_212161/tillsynsmail/A 26489-2025 tillsynsbegäran mail.docx", "A 26489-2025")</f>
        <v/>
      </c>
    </row>
    <row r="55" ht="15" customHeight="1">
      <c r="A55" t="inlineStr">
        <is>
          <t>A 53513-2019</t>
        </is>
      </c>
      <c r="B55" s="1" t="n">
        <v>43749</v>
      </c>
      <c r="C55" s="1" t="n">
        <v>45811</v>
      </c>
      <c r="D55" t="inlineStr">
        <is>
          <t>GÄVLEBORGS LÄN</t>
        </is>
      </c>
      <c r="E55" t="inlineStr">
        <is>
          <t>LJUSDAL</t>
        </is>
      </c>
      <c r="F55" t="inlineStr">
        <is>
          <t>Sveaskog</t>
        </is>
      </c>
      <c r="G55" t="n">
        <v>15.8</v>
      </c>
      <c r="H55" t="n">
        <v>0</v>
      </c>
      <c r="I55" t="n">
        <v>0</v>
      </c>
      <c r="J55" t="n">
        <v>4</v>
      </c>
      <c r="K55" t="n">
        <v>0</v>
      </c>
      <c r="L55" t="n">
        <v>0</v>
      </c>
      <c r="M55" t="n">
        <v>0</v>
      </c>
      <c r="N55" t="n">
        <v>0</v>
      </c>
      <c r="O55" t="n">
        <v>4</v>
      </c>
      <c r="P55" t="n">
        <v>0</v>
      </c>
      <c r="Q55" t="n">
        <v>4</v>
      </c>
      <c r="R55" s="2" t="inlineStr">
        <is>
          <t>Blanksvart spiklav
Kolflarnlav
Lunglav
Mörk kolflarnlav</t>
        </is>
      </c>
      <c r="S55">
        <f>HYPERLINK("https://klasma.github.io/Logging_2161/artfynd/A 53513-2019 artfynd.xlsx", "A 53513-2019")</f>
        <v/>
      </c>
      <c r="T55">
        <f>HYPERLINK("https://klasma.github.io/Logging_2161/kartor/A 53513-2019 karta.png", "A 53513-2019")</f>
        <v/>
      </c>
      <c r="V55">
        <f>HYPERLINK("https://klasma.github.io/Logging_2161/klagomål/A 53513-2019 FSC-klagomål.docx", "A 53513-2019")</f>
        <v/>
      </c>
      <c r="W55">
        <f>HYPERLINK("https://klasma.github.io/Logging_2161/klagomålsmail/A 53513-2019 FSC-klagomål mail.docx", "A 53513-2019")</f>
        <v/>
      </c>
      <c r="X55">
        <f>HYPERLINK("https://klasma.github.io/Logging_2161/tillsyn/A 53513-2019 tillsynsbegäran.docx", "A 53513-2019")</f>
        <v/>
      </c>
      <c r="Y55">
        <f>HYPERLINK("https://klasma.github.io/Logging_2161/tillsynsmail/A 53513-2019 tillsynsbegäran mail.docx", "A 53513-2019")</f>
        <v/>
      </c>
    </row>
    <row r="56" ht="15" customHeight="1">
      <c r="A56" t="inlineStr">
        <is>
          <t>A 7569-2020</t>
        </is>
      </c>
      <c r="B56" s="1" t="n">
        <v>43872</v>
      </c>
      <c r="C56" s="1" t="n">
        <v>45811</v>
      </c>
      <c r="D56" t="inlineStr">
        <is>
          <t>GÄVLEBORGS LÄN</t>
        </is>
      </c>
      <c r="E56" t="inlineStr">
        <is>
          <t>LJUSDAL</t>
        </is>
      </c>
      <c r="G56" t="n">
        <v>5.5</v>
      </c>
      <c r="H56" t="n">
        <v>0</v>
      </c>
      <c r="I56" t="n">
        <v>0</v>
      </c>
      <c r="J56" t="n">
        <v>4</v>
      </c>
      <c r="K56" t="n">
        <v>0</v>
      </c>
      <c r="L56" t="n">
        <v>0</v>
      </c>
      <c r="M56" t="n">
        <v>0</v>
      </c>
      <c r="N56" t="n">
        <v>0</v>
      </c>
      <c r="O56" t="n">
        <v>4</v>
      </c>
      <c r="P56" t="n">
        <v>0</v>
      </c>
      <c r="Q56" t="n">
        <v>4</v>
      </c>
      <c r="R56" s="2" t="inlineStr">
        <is>
          <t>Blanksvart spiklav
Garnlav
Mörk kolflarnlav
Skrovellav</t>
        </is>
      </c>
      <c r="S56">
        <f>HYPERLINK("https://klasma.github.io/Logging_2161/artfynd/A 7569-2020 artfynd.xlsx", "A 7569-2020")</f>
        <v/>
      </c>
      <c r="T56">
        <f>HYPERLINK("https://klasma.github.io/Logging_2161/kartor/A 7569-2020 karta.png", "A 7569-2020")</f>
        <v/>
      </c>
      <c r="V56">
        <f>HYPERLINK("https://klasma.github.io/Logging_2161/klagomål/A 7569-2020 FSC-klagomål.docx", "A 7569-2020")</f>
        <v/>
      </c>
      <c r="W56">
        <f>HYPERLINK("https://klasma.github.io/Logging_2161/klagomålsmail/A 7569-2020 FSC-klagomål mail.docx", "A 7569-2020")</f>
        <v/>
      </c>
      <c r="X56">
        <f>HYPERLINK("https://klasma.github.io/Logging_2161/tillsyn/A 7569-2020 tillsynsbegäran.docx", "A 7569-2020")</f>
        <v/>
      </c>
      <c r="Y56">
        <f>HYPERLINK("https://klasma.github.io/Logging_2161/tillsynsmail/A 7569-2020 tillsynsbegäran mail.docx", "A 7569-2020")</f>
        <v/>
      </c>
    </row>
    <row r="57" ht="15" customHeight="1">
      <c r="A57" t="inlineStr">
        <is>
          <t>A 48181-2021</t>
        </is>
      </c>
      <c r="B57" s="1" t="n">
        <v>44449</v>
      </c>
      <c r="C57" s="1" t="n">
        <v>45811</v>
      </c>
      <c r="D57" t="inlineStr">
        <is>
          <t>GÄVLEBORGS LÄN</t>
        </is>
      </c>
      <c r="E57" t="inlineStr">
        <is>
          <t>LJUSDAL</t>
        </is>
      </c>
      <c r="F57" t="inlineStr">
        <is>
          <t>Sveaskog</t>
        </is>
      </c>
      <c r="G57" t="n">
        <v>3.9</v>
      </c>
      <c r="H57" t="n">
        <v>0</v>
      </c>
      <c r="I57" t="n">
        <v>1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4</v>
      </c>
      <c r="R57" s="2" t="inlineStr">
        <is>
          <t>Garnlav
Kolflarnlav
Lunglav
Dropptaggsvamp</t>
        </is>
      </c>
      <c r="S57">
        <f>HYPERLINK("https://klasma.github.io/Logging_2161/artfynd/A 48181-2021 artfynd.xlsx", "A 48181-2021")</f>
        <v/>
      </c>
      <c r="T57">
        <f>HYPERLINK("https://klasma.github.io/Logging_2161/kartor/A 48181-2021 karta.png", "A 48181-2021")</f>
        <v/>
      </c>
      <c r="V57">
        <f>HYPERLINK("https://klasma.github.io/Logging_2161/klagomål/A 48181-2021 FSC-klagomål.docx", "A 48181-2021")</f>
        <v/>
      </c>
      <c r="W57">
        <f>HYPERLINK("https://klasma.github.io/Logging_2161/klagomålsmail/A 48181-2021 FSC-klagomål mail.docx", "A 48181-2021")</f>
        <v/>
      </c>
      <c r="X57">
        <f>HYPERLINK("https://klasma.github.io/Logging_2161/tillsyn/A 48181-2021 tillsynsbegäran.docx", "A 48181-2021")</f>
        <v/>
      </c>
      <c r="Y57">
        <f>HYPERLINK("https://klasma.github.io/Logging_2161/tillsynsmail/A 48181-2021 tillsynsbegäran mail.docx", "A 48181-2021")</f>
        <v/>
      </c>
    </row>
    <row r="58" ht="15" customHeight="1">
      <c r="A58" t="inlineStr">
        <is>
          <t>A 18543-2022</t>
        </is>
      </c>
      <c r="B58" s="1" t="n">
        <v>44686</v>
      </c>
      <c r="C58" s="1" t="n">
        <v>45811</v>
      </c>
      <c r="D58" t="inlineStr">
        <is>
          <t>GÄVLEBORGS LÄN</t>
        </is>
      </c>
      <c r="E58" t="inlineStr">
        <is>
          <t>LJUSDAL</t>
        </is>
      </c>
      <c r="G58" t="n">
        <v>3.6</v>
      </c>
      <c r="H58" t="n">
        <v>1</v>
      </c>
      <c r="I58" t="n">
        <v>2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4</v>
      </c>
      <c r="R58" s="2" t="inlineStr">
        <is>
          <t>Knärot
Vedtrappmossa
Bårdlav
Stuplav</t>
        </is>
      </c>
      <c r="S58">
        <f>HYPERLINK("https://klasma.github.io/Logging_2161/artfynd/A 18543-2022 artfynd.xlsx", "A 18543-2022")</f>
        <v/>
      </c>
      <c r="T58">
        <f>HYPERLINK("https://klasma.github.io/Logging_2161/kartor/A 18543-2022 karta.png", "A 18543-2022")</f>
        <v/>
      </c>
      <c r="U58">
        <f>HYPERLINK("https://klasma.github.io/Logging_2161/knärot/A 18543-2022 karta knärot.png", "A 18543-2022")</f>
        <v/>
      </c>
      <c r="V58">
        <f>HYPERLINK("https://klasma.github.io/Logging_2161/klagomål/A 18543-2022 FSC-klagomål.docx", "A 18543-2022")</f>
        <v/>
      </c>
      <c r="W58">
        <f>HYPERLINK("https://klasma.github.io/Logging_2161/klagomålsmail/A 18543-2022 FSC-klagomål mail.docx", "A 18543-2022")</f>
        <v/>
      </c>
      <c r="X58">
        <f>HYPERLINK("https://klasma.github.io/Logging_2161/tillsyn/A 18543-2022 tillsynsbegäran.docx", "A 18543-2022")</f>
        <v/>
      </c>
      <c r="Y58">
        <f>HYPERLINK("https://klasma.github.io/Logging_2161/tillsynsmail/A 18543-2022 tillsynsbegäran mail.docx", "A 18543-2022")</f>
        <v/>
      </c>
    </row>
    <row r="59" ht="15" customHeight="1">
      <c r="A59" t="inlineStr">
        <is>
          <t>A 30311-2022</t>
        </is>
      </c>
      <c r="B59" s="1" t="n">
        <v>44760</v>
      </c>
      <c r="C59" s="1" t="n">
        <v>45811</v>
      </c>
      <c r="D59" t="inlineStr">
        <is>
          <t>GÄVLEBORGS LÄN</t>
        </is>
      </c>
      <c r="E59" t="inlineStr">
        <is>
          <t>LJUSDAL</t>
        </is>
      </c>
      <c r="F59" t="inlineStr">
        <is>
          <t>Bergvik skog väst AB</t>
        </is>
      </c>
      <c r="G59" t="n">
        <v>18.3</v>
      </c>
      <c r="H59" t="n">
        <v>0</v>
      </c>
      <c r="I59" t="n">
        <v>0</v>
      </c>
      <c r="J59" t="n">
        <v>4</v>
      </c>
      <c r="K59" t="n">
        <v>0</v>
      </c>
      <c r="L59" t="n">
        <v>0</v>
      </c>
      <c r="M59" t="n">
        <v>0</v>
      </c>
      <c r="N59" t="n">
        <v>0</v>
      </c>
      <c r="O59" t="n">
        <v>4</v>
      </c>
      <c r="P59" t="n">
        <v>0</v>
      </c>
      <c r="Q59" t="n">
        <v>4</v>
      </c>
      <c r="R59" s="2" t="inlineStr">
        <is>
          <t>Dvärgbägarlav
Mörk kolflarnlav
Vedflamlav
Vedskivlav</t>
        </is>
      </c>
      <c r="S59">
        <f>HYPERLINK("https://klasma.github.io/Logging_2161/artfynd/A 30311-2022 artfynd.xlsx", "A 30311-2022")</f>
        <v/>
      </c>
      <c r="T59">
        <f>HYPERLINK("https://klasma.github.io/Logging_2161/kartor/A 30311-2022 karta.png", "A 30311-2022")</f>
        <v/>
      </c>
      <c r="V59">
        <f>HYPERLINK("https://klasma.github.io/Logging_2161/klagomål/A 30311-2022 FSC-klagomål.docx", "A 30311-2022")</f>
        <v/>
      </c>
      <c r="W59">
        <f>HYPERLINK("https://klasma.github.io/Logging_2161/klagomålsmail/A 30311-2022 FSC-klagomål mail.docx", "A 30311-2022")</f>
        <v/>
      </c>
      <c r="X59">
        <f>HYPERLINK("https://klasma.github.io/Logging_2161/tillsyn/A 30311-2022 tillsynsbegäran.docx", "A 30311-2022")</f>
        <v/>
      </c>
      <c r="Y59">
        <f>HYPERLINK("https://klasma.github.io/Logging_2161/tillsynsmail/A 30311-2022 tillsynsbegäran mail.docx", "A 30311-2022")</f>
        <v/>
      </c>
    </row>
    <row r="60" ht="15" customHeight="1">
      <c r="A60" t="inlineStr">
        <is>
          <t>A 34501-2022</t>
        </is>
      </c>
      <c r="B60" s="1" t="n">
        <v>44792</v>
      </c>
      <c r="C60" s="1" t="n">
        <v>45811</v>
      </c>
      <c r="D60" t="inlineStr">
        <is>
          <t>GÄVLEBORGS LÄN</t>
        </is>
      </c>
      <c r="E60" t="inlineStr">
        <is>
          <t>LJUSDAL</t>
        </is>
      </c>
      <c r="F60" t="inlineStr">
        <is>
          <t>Sveaskog</t>
        </is>
      </c>
      <c r="G60" t="n">
        <v>2.8</v>
      </c>
      <c r="H60" t="n">
        <v>1</v>
      </c>
      <c r="I60" t="n">
        <v>1</v>
      </c>
      <c r="J60" t="n">
        <v>2</v>
      </c>
      <c r="K60" t="n">
        <v>1</v>
      </c>
      <c r="L60" t="n">
        <v>0</v>
      </c>
      <c r="M60" t="n">
        <v>0</v>
      </c>
      <c r="N60" t="n">
        <v>0</v>
      </c>
      <c r="O60" t="n">
        <v>3</v>
      </c>
      <c r="P60" t="n">
        <v>1</v>
      </c>
      <c r="Q60" t="n">
        <v>4</v>
      </c>
      <c r="R60" s="2" t="inlineStr">
        <is>
          <t>Knärot
Garnlav
Kolflarnlav
Dropptaggsvamp</t>
        </is>
      </c>
      <c r="S60">
        <f>HYPERLINK("https://klasma.github.io/Logging_2161/artfynd/A 34501-2022 artfynd.xlsx", "A 34501-2022")</f>
        <v/>
      </c>
      <c r="T60">
        <f>HYPERLINK("https://klasma.github.io/Logging_2161/kartor/A 34501-2022 karta.png", "A 34501-2022")</f>
        <v/>
      </c>
      <c r="U60">
        <f>HYPERLINK("https://klasma.github.io/Logging_2161/knärot/A 34501-2022 karta knärot.png", "A 34501-2022")</f>
        <v/>
      </c>
      <c r="V60">
        <f>HYPERLINK("https://klasma.github.io/Logging_2161/klagomål/A 34501-2022 FSC-klagomål.docx", "A 34501-2022")</f>
        <v/>
      </c>
      <c r="W60">
        <f>HYPERLINK("https://klasma.github.io/Logging_2161/klagomålsmail/A 34501-2022 FSC-klagomål mail.docx", "A 34501-2022")</f>
        <v/>
      </c>
      <c r="X60">
        <f>HYPERLINK("https://klasma.github.io/Logging_2161/tillsyn/A 34501-2022 tillsynsbegäran.docx", "A 34501-2022")</f>
        <v/>
      </c>
      <c r="Y60">
        <f>HYPERLINK("https://klasma.github.io/Logging_2161/tillsynsmail/A 34501-2022 tillsynsbegäran mail.docx", "A 34501-2022")</f>
        <v/>
      </c>
    </row>
    <row r="61" ht="15" customHeight="1">
      <c r="A61" t="inlineStr">
        <is>
          <t>A 22978-2023</t>
        </is>
      </c>
      <c r="B61" s="1" t="n">
        <v>45072</v>
      </c>
      <c r="C61" s="1" t="n">
        <v>45811</v>
      </c>
      <c r="D61" t="inlineStr">
        <is>
          <t>GÄVLEBORGS LÄN</t>
        </is>
      </c>
      <c r="E61" t="inlineStr">
        <is>
          <t>LJUSDAL</t>
        </is>
      </c>
      <c r="G61" t="n">
        <v>1.8</v>
      </c>
      <c r="H61" t="n">
        <v>2</v>
      </c>
      <c r="I61" t="n">
        <v>0</v>
      </c>
      <c r="J61" t="n">
        <v>2</v>
      </c>
      <c r="K61" t="n">
        <v>1</v>
      </c>
      <c r="L61" t="n">
        <v>0</v>
      </c>
      <c r="M61" t="n">
        <v>0</v>
      </c>
      <c r="N61" t="n">
        <v>0</v>
      </c>
      <c r="O61" t="n">
        <v>3</v>
      </c>
      <c r="P61" t="n">
        <v>1</v>
      </c>
      <c r="Q61" t="n">
        <v>4</v>
      </c>
      <c r="R61" s="2" t="inlineStr">
        <is>
          <t>Knärot
Rosenticka
Ullticka
Revlummer</t>
        </is>
      </c>
      <c r="S61">
        <f>HYPERLINK("https://klasma.github.io/Logging_2161/artfynd/A 22978-2023 artfynd.xlsx", "A 22978-2023")</f>
        <v/>
      </c>
      <c r="T61">
        <f>HYPERLINK("https://klasma.github.io/Logging_2161/kartor/A 22978-2023 karta.png", "A 22978-2023")</f>
        <v/>
      </c>
      <c r="U61">
        <f>HYPERLINK("https://klasma.github.io/Logging_2161/knärot/A 22978-2023 karta knärot.png", "A 22978-2023")</f>
        <v/>
      </c>
      <c r="V61">
        <f>HYPERLINK("https://klasma.github.io/Logging_2161/klagomål/A 22978-2023 FSC-klagomål.docx", "A 22978-2023")</f>
        <v/>
      </c>
      <c r="W61">
        <f>HYPERLINK("https://klasma.github.io/Logging_2161/klagomålsmail/A 22978-2023 FSC-klagomål mail.docx", "A 22978-2023")</f>
        <v/>
      </c>
      <c r="X61">
        <f>HYPERLINK("https://klasma.github.io/Logging_2161/tillsyn/A 22978-2023 tillsynsbegäran.docx", "A 22978-2023")</f>
        <v/>
      </c>
      <c r="Y61">
        <f>HYPERLINK("https://klasma.github.io/Logging_2161/tillsynsmail/A 22978-2023 tillsynsbegäran mail.docx", "A 22978-2023")</f>
        <v/>
      </c>
    </row>
    <row r="62" ht="15" customHeight="1">
      <c r="A62" t="inlineStr">
        <is>
          <t>A 26675-2023</t>
        </is>
      </c>
      <c r="B62" s="1" t="n">
        <v>45093</v>
      </c>
      <c r="C62" s="1" t="n">
        <v>45811</v>
      </c>
      <c r="D62" t="inlineStr">
        <is>
          <t>GÄVLEBORGS LÄN</t>
        </is>
      </c>
      <c r="E62" t="inlineStr">
        <is>
          <t>LJUSDAL</t>
        </is>
      </c>
      <c r="F62" t="inlineStr">
        <is>
          <t>Sveaskog</t>
        </is>
      </c>
      <c r="G62" t="n">
        <v>8.300000000000001</v>
      </c>
      <c r="H62" t="n">
        <v>1</v>
      </c>
      <c r="I62" t="n">
        <v>0</v>
      </c>
      <c r="J62" t="n">
        <v>4</v>
      </c>
      <c r="K62" t="n">
        <v>0</v>
      </c>
      <c r="L62" t="n">
        <v>0</v>
      </c>
      <c r="M62" t="n">
        <v>0</v>
      </c>
      <c r="N62" t="n">
        <v>0</v>
      </c>
      <c r="O62" t="n">
        <v>4</v>
      </c>
      <c r="P62" t="n">
        <v>0</v>
      </c>
      <c r="Q62" t="n">
        <v>4</v>
      </c>
      <c r="R62" s="2" t="inlineStr">
        <is>
          <t>Garnlav
Kolflarnlav
Mörk kolflarnlav
Talltita</t>
        </is>
      </c>
      <c r="S62">
        <f>HYPERLINK("https://klasma.github.io/Logging_2161/artfynd/A 26675-2023 artfynd.xlsx", "A 26675-2023")</f>
        <v/>
      </c>
      <c r="T62">
        <f>HYPERLINK("https://klasma.github.io/Logging_2161/kartor/A 26675-2023 karta.png", "A 26675-2023")</f>
        <v/>
      </c>
      <c r="V62">
        <f>HYPERLINK("https://klasma.github.io/Logging_2161/klagomål/A 26675-2023 FSC-klagomål.docx", "A 26675-2023")</f>
        <v/>
      </c>
      <c r="W62">
        <f>HYPERLINK("https://klasma.github.io/Logging_2161/klagomålsmail/A 26675-2023 FSC-klagomål mail.docx", "A 26675-2023")</f>
        <v/>
      </c>
      <c r="X62">
        <f>HYPERLINK("https://klasma.github.io/Logging_2161/tillsyn/A 26675-2023 tillsynsbegäran.docx", "A 26675-2023")</f>
        <v/>
      </c>
      <c r="Y62">
        <f>HYPERLINK("https://klasma.github.io/Logging_2161/tillsynsmail/A 26675-2023 tillsynsbegäran mail.docx", "A 26675-2023")</f>
        <v/>
      </c>
      <c r="Z62">
        <f>HYPERLINK("https://klasma.github.io/Logging_2161/fåglar/A 26675-2023 prioriterade fågelarter.docx", "A 26675-2023")</f>
        <v/>
      </c>
    </row>
    <row r="63" ht="15" customHeight="1">
      <c r="A63" t="inlineStr">
        <is>
          <t>A 30608-2023</t>
        </is>
      </c>
      <c r="B63" s="1" t="n">
        <v>45112</v>
      </c>
      <c r="C63" s="1" t="n">
        <v>45811</v>
      </c>
      <c r="D63" t="inlineStr">
        <is>
          <t>GÄVLEBORGS LÄN</t>
        </is>
      </c>
      <c r="E63" t="inlineStr">
        <is>
          <t>LJUSDAL</t>
        </is>
      </c>
      <c r="F63" t="inlineStr">
        <is>
          <t>Sveaskog</t>
        </is>
      </c>
      <c r="G63" t="n">
        <v>11.6</v>
      </c>
      <c r="H63" t="n">
        <v>2</v>
      </c>
      <c r="I63" t="n">
        <v>0</v>
      </c>
      <c r="J63" t="n">
        <v>3</v>
      </c>
      <c r="K63" t="n">
        <v>1</v>
      </c>
      <c r="L63" t="n">
        <v>0</v>
      </c>
      <c r="M63" t="n">
        <v>0</v>
      </c>
      <c r="N63" t="n">
        <v>0</v>
      </c>
      <c r="O63" t="n">
        <v>4</v>
      </c>
      <c r="P63" t="n">
        <v>1</v>
      </c>
      <c r="Q63" t="n">
        <v>4</v>
      </c>
      <c r="R63" s="2" t="inlineStr">
        <is>
          <t>Knärot
Kolflarnlav
Skogshare
Tretåig hackspett</t>
        </is>
      </c>
      <c r="S63">
        <f>HYPERLINK("https://klasma.github.io/Logging_2161/artfynd/A 30608-2023 artfynd.xlsx", "A 30608-2023")</f>
        <v/>
      </c>
      <c r="T63">
        <f>HYPERLINK("https://klasma.github.io/Logging_2161/kartor/A 30608-2023 karta.png", "A 30608-2023")</f>
        <v/>
      </c>
      <c r="U63">
        <f>HYPERLINK("https://klasma.github.io/Logging_2161/knärot/A 30608-2023 karta knärot.png", "A 30608-2023")</f>
        <v/>
      </c>
      <c r="V63">
        <f>HYPERLINK("https://klasma.github.io/Logging_2161/klagomål/A 30608-2023 FSC-klagomål.docx", "A 30608-2023")</f>
        <v/>
      </c>
      <c r="W63">
        <f>HYPERLINK("https://klasma.github.io/Logging_2161/klagomålsmail/A 30608-2023 FSC-klagomål mail.docx", "A 30608-2023")</f>
        <v/>
      </c>
      <c r="X63">
        <f>HYPERLINK("https://klasma.github.io/Logging_2161/tillsyn/A 30608-2023 tillsynsbegäran.docx", "A 30608-2023")</f>
        <v/>
      </c>
      <c r="Y63">
        <f>HYPERLINK("https://klasma.github.io/Logging_2161/tillsynsmail/A 30608-2023 tillsynsbegäran mail.docx", "A 30608-2023")</f>
        <v/>
      </c>
      <c r="Z63">
        <f>HYPERLINK("https://klasma.github.io/Logging_2161/fåglar/A 30608-2023 prioriterade fågelarter.docx", "A 30608-2023")</f>
        <v/>
      </c>
    </row>
    <row r="64" ht="15" customHeight="1">
      <c r="A64" t="inlineStr">
        <is>
          <t>A 45204-2023</t>
        </is>
      </c>
      <c r="B64" s="1" t="n">
        <v>45191</v>
      </c>
      <c r="C64" s="1" t="n">
        <v>45811</v>
      </c>
      <c r="D64" t="inlineStr">
        <is>
          <t>GÄVLEBORGS LÄN</t>
        </is>
      </c>
      <c r="E64" t="inlineStr">
        <is>
          <t>LJUSDAL</t>
        </is>
      </c>
      <c r="F64" t="inlineStr">
        <is>
          <t>Sveaskog</t>
        </is>
      </c>
      <c r="G64" t="n">
        <v>5.1</v>
      </c>
      <c r="H64" t="n">
        <v>0</v>
      </c>
      <c r="I64" t="n">
        <v>2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4</v>
      </c>
      <c r="R64" s="2" t="inlineStr">
        <is>
          <t>Garnlav
Lunglav
Luddlav
Stuplav</t>
        </is>
      </c>
      <c r="S64">
        <f>HYPERLINK("https://klasma.github.io/Logging_2161/artfynd/A 45204-2023 artfynd.xlsx", "A 45204-2023")</f>
        <v/>
      </c>
      <c r="T64">
        <f>HYPERLINK("https://klasma.github.io/Logging_2161/kartor/A 45204-2023 karta.png", "A 45204-2023")</f>
        <v/>
      </c>
      <c r="V64">
        <f>HYPERLINK("https://klasma.github.io/Logging_2161/klagomål/A 45204-2023 FSC-klagomål.docx", "A 45204-2023")</f>
        <v/>
      </c>
      <c r="W64">
        <f>HYPERLINK("https://klasma.github.io/Logging_2161/klagomålsmail/A 45204-2023 FSC-klagomål mail.docx", "A 45204-2023")</f>
        <v/>
      </c>
      <c r="X64">
        <f>HYPERLINK("https://klasma.github.io/Logging_2161/tillsyn/A 45204-2023 tillsynsbegäran.docx", "A 45204-2023")</f>
        <v/>
      </c>
      <c r="Y64">
        <f>HYPERLINK("https://klasma.github.io/Logging_2161/tillsynsmail/A 45204-2023 tillsynsbegäran mail.docx", "A 45204-2023")</f>
        <v/>
      </c>
    </row>
    <row r="65" ht="15" customHeight="1">
      <c r="A65" t="inlineStr">
        <is>
          <t>A 45196-2023</t>
        </is>
      </c>
      <c r="B65" s="1" t="n">
        <v>45191</v>
      </c>
      <c r="C65" s="1" t="n">
        <v>45811</v>
      </c>
      <c r="D65" t="inlineStr">
        <is>
          <t>GÄVLEBORGS LÄN</t>
        </is>
      </c>
      <c r="E65" t="inlineStr">
        <is>
          <t>LJUSDAL</t>
        </is>
      </c>
      <c r="F65" t="inlineStr">
        <is>
          <t>Sveaskog</t>
        </is>
      </c>
      <c r="G65" t="n">
        <v>1.8</v>
      </c>
      <c r="H65" t="n">
        <v>1</v>
      </c>
      <c r="I65" t="n">
        <v>1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4</v>
      </c>
      <c r="R65" s="2" t="inlineStr">
        <is>
          <t>Kolflarnlav
Lunglav
Mörk kolflarnlav
Plattlummer</t>
        </is>
      </c>
      <c r="S65">
        <f>HYPERLINK("https://klasma.github.io/Logging_2161/artfynd/A 45196-2023 artfynd.xlsx", "A 45196-2023")</f>
        <v/>
      </c>
      <c r="T65">
        <f>HYPERLINK("https://klasma.github.io/Logging_2161/kartor/A 45196-2023 karta.png", "A 45196-2023")</f>
        <v/>
      </c>
      <c r="V65">
        <f>HYPERLINK("https://klasma.github.io/Logging_2161/klagomål/A 45196-2023 FSC-klagomål.docx", "A 45196-2023")</f>
        <v/>
      </c>
      <c r="W65">
        <f>HYPERLINK("https://klasma.github.io/Logging_2161/klagomålsmail/A 45196-2023 FSC-klagomål mail.docx", "A 45196-2023")</f>
        <v/>
      </c>
      <c r="X65">
        <f>HYPERLINK("https://klasma.github.io/Logging_2161/tillsyn/A 45196-2023 tillsynsbegäran.docx", "A 45196-2023")</f>
        <v/>
      </c>
      <c r="Y65">
        <f>HYPERLINK("https://klasma.github.io/Logging_2161/tillsynsmail/A 45196-2023 tillsynsbegäran mail.docx", "A 45196-2023")</f>
        <v/>
      </c>
    </row>
    <row r="66" ht="15" customHeight="1">
      <c r="A66" t="inlineStr">
        <is>
          <t>A 51410-2023</t>
        </is>
      </c>
      <c r="B66" s="1" t="n">
        <v>45219</v>
      </c>
      <c r="C66" s="1" t="n">
        <v>45811</v>
      </c>
      <c r="D66" t="inlineStr">
        <is>
          <t>GÄVLEBORGS LÄN</t>
        </is>
      </c>
      <c r="E66" t="inlineStr">
        <is>
          <t>LJUSDAL</t>
        </is>
      </c>
      <c r="F66" t="inlineStr">
        <is>
          <t>Sveaskog</t>
        </is>
      </c>
      <c r="G66" t="n">
        <v>12.9</v>
      </c>
      <c r="H66" t="n">
        <v>0</v>
      </c>
      <c r="I66" t="n">
        <v>1</v>
      </c>
      <c r="J66" t="n">
        <v>3</v>
      </c>
      <c r="K66" t="n">
        <v>0</v>
      </c>
      <c r="L66" t="n">
        <v>0</v>
      </c>
      <c r="M66" t="n">
        <v>0</v>
      </c>
      <c r="N66" t="n">
        <v>0</v>
      </c>
      <c r="O66" t="n">
        <v>3</v>
      </c>
      <c r="P66" t="n">
        <v>0</v>
      </c>
      <c r="Q66" t="n">
        <v>4</v>
      </c>
      <c r="R66" s="2" t="inlineStr">
        <is>
          <t>Kolflarnlav
Lunglav
Mörk kolflarnlav
Dropptaggsvamp</t>
        </is>
      </c>
      <c r="S66">
        <f>HYPERLINK("https://klasma.github.io/Logging_2161/artfynd/A 51410-2023 artfynd.xlsx", "A 51410-2023")</f>
        <v/>
      </c>
      <c r="T66">
        <f>HYPERLINK("https://klasma.github.io/Logging_2161/kartor/A 51410-2023 karta.png", "A 51410-2023")</f>
        <v/>
      </c>
      <c r="V66">
        <f>HYPERLINK("https://klasma.github.io/Logging_2161/klagomål/A 51410-2023 FSC-klagomål.docx", "A 51410-2023")</f>
        <v/>
      </c>
      <c r="W66">
        <f>HYPERLINK("https://klasma.github.io/Logging_2161/klagomålsmail/A 51410-2023 FSC-klagomål mail.docx", "A 51410-2023")</f>
        <v/>
      </c>
      <c r="X66">
        <f>HYPERLINK("https://klasma.github.io/Logging_2161/tillsyn/A 51410-2023 tillsynsbegäran.docx", "A 51410-2023")</f>
        <v/>
      </c>
      <c r="Y66">
        <f>HYPERLINK("https://klasma.github.io/Logging_2161/tillsynsmail/A 51410-2023 tillsynsbegäran mail.docx", "A 51410-2023")</f>
        <v/>
      </c>
    </row>
    <row r="67" ht="15" customHeight="1">
      <c r="A67" t="inlineStr">
        <is>
          <t>A 51415-2023</t>
        </is>
      </c>
      <c r="B67" s="1" t="n">
        <v>45219</v>
      </c>
      <c r="C67" s="1" t="n">
        <v>45811</v>
      </c>
      <c r="D67" t="inlineStr">
        <is>
          <t>GÄVLEBORGS LÄN</t>
        </is>
      </c>
      <c r="E67" t="inlineStr">
        <is>
          <t>LJUSDAL</t>
        </is>
      </c>
      <c r="F67" t="inlineStr">
        <is>
          <t>Sveaskog</t>
        </is>
      </c>
      <c r="G67" t="n">
        <v>11.9</v>
      </c>
      <c r="H67" t="n">
        <v>0</v>
      </c>
      <c r="I67" t="n">
        <v>0</v>
      </c>
      <c r="J67" t="n">
        <v>4</v>
      </c>
      <c r="K67" t="n">
        <v>0</v>
      </c>
      <c r="L67" t="n">
        <v>0</v>
      </c>
      <c r="M67" t="n">
        <v>0</v>
      </c>
      <c r="N67" t="n">
        <v>0</v>
      </c>
      <c r="O67" t="n">
        <v>4</v>
      </c>
      <c r="P67" t="n">
        <v>0</v>
      </c>
      <c r="Q67" t="n">
        <v>4</v>
      </c>
      <c r="R67" s="2" t="inlineStr">
        <is>
          <t>Kolflarnlav
Motaggsvamp
Skrovlig taggsvamp
Vedflamlav</t>
        </is>
      </c>
      <c r="S67">
        <f>HYPERLINK("https://klasma.github.io/Logging_2161/artfynd/A 51415-2023 artfynd.xlsx", "A 51415-2023")</f>
        <v/>
      </c>
      <c r="T67">
        <f>HYPERLINK("https://klasma.github.io/Logging_2161/kartor/A 51415-2023 karta.png", "A 51415-2023")</f>
        <v/>
      </c>
      <c r="V67">
        <f>HYPERLINK("https://klasma.github.io/Logging_2161/klagomål/A 51415-2023 FSC-klagomål.docx", "A 51415-2023")</f>
        <v/>
      </c>
      <c r="W67">
        <f>HYPERLINK("https://klasma.github.io/Logging_2161/klagomålsmail/A 51415-2023 FSC-klagomål mail.docx", "A 51415-2023")</f>
        <v/>
      </c>
      <c r="X67">
        <f>HYPERLINK("https://klasma.github.io/Logging_2161/tillsyn/A 51415-2023 tillsynsbegäran.docx", "A 51415-2023")</f>
        <v/>
      </c>
      <c r="Y67">
        <f>HYPERLINK("https://klasma.github.io/Logging_2161/tillsynsmail/A 51415-2023 tillsynsbegäran mail.docx", "A 51415-2023")</f>
        <v/>
      </c>
    </row>
    <row r="68" ht="15" customHeight="1">
      <c r="A68" t="inlineStr">
        <is>
          <t>A 52131-2023</t>
        </is>
      </c>
      <c r="B68" s="1" t="n">
        <v>45223</v>
      </c>
      <c r="C68" s="1" t="n">
        <v>45811</v>
      </c>
      <c r="D68" t="inlineStr">
        <is>
          <t>GÄVLEBORGS LÄN</t>
        </is>
      </c>
      <c r="E68" t="inlineStr">
        <is>
          <t>LJUSDAL</t>
        </is>
      </c>
      <c r="F68" t="inlineStr">
        <is>
          <t>SCA</t>
        </is>
      </c>
      <c r="G68" t="n">
        <v>3.9</v>
      </c>
      <c r="H68" t="n">
        <v>4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4</v>
      </c>
      <c r="R68" s="2" t="inlineStr">
        <is>
          <t>Järpe
Korallrot
Fläcknycklar
Revlummer</t>
        </is>
      </c>
      <c r="S68">
        <f>HYPERLINK("https://klasma.github.io/Logging_2161/artfynd/A 52131-2023 artfynd.xlsx", "A 52131-2023")</f>
        <v/>
      </c>
      <c r="T68">
        <f>HYPERLINK("https://klasma.github.io/Logging_2161/kartor/A 52131-2023 karta.png", "A 52131-2023")</f>
        <v/>
      </c>
      <c r="V68">
        <f>HYPERLINK("https://klasma.github.io/Logging_2161/klagomål/A 52131-2023 FSC-klagomål.docx", "A 52131-2023")</f>
        <v/>
      </c>
      <c r="W68">
        <f>HYPERLINK("https://klasma.github.io/Logging_2161/klagomålsmail/A 52131-2023 FSC-klagomål mail.docx", "A 52131-2023")</f>
        <v/>
      </c>
      <c r="X68">
        <f>HYPERLINK("https://klasma.github.io/Logging_2161/tillsyn/A 52131-2023 tillsynsbegäran.docx", "A 52131-2023")</f>
        <v/>
      </c>
      <c r="Y68">
        <f>HYPERLINK("https://klasma.github.io/Logging_2161/tillsynsmail/A 52131-2023 tillsynsbegäran mail.docx", "A 52131-2023")</f>
        <v/>
      </c>
      <c r="Z68">
        <f>HYPERLINK("https://klasma.github.io/Logging_2161/fåglar/A 52131-2023 prioriterade fågelarter.docx", "A 52131-2023")</f>
        <v/>
      </c>
    </row>
    <row r="69" ht="15" customHeight="1">
      <c r="A69" t="inlineStr">
        <is>
          <t>A 53249-2023</t>
        </is>
      </c>
      <c r="B69" s="1" t="n">
        <v>45229</v>
      </c>
      <c r="C69" s="1" t="n">
        <v>45811</v>
      </c>
      <c r="D69" t="inlineStr">
        <is>
          <t>GÄVLEBORGS LÄN</t>
        </is>
      </c>
      <c r="E69" t="inlineStr">
        <is>
          <t>LJUSDAL</t>
        </is>
      </c>
      <c r="F69" t="inlineStr">
        <is>
          <t>Sveaskog</t>
        </is>
      </c>
      <c r="G69" t="n">
        <v>3.2</v>
      </c>
      <c r="H69" t="n">
        <v>0</v>
      </c>
      <c r="I69" t="n">
        <v>0</v>
      </c>
      <c r="J69" t="n">
        <v>4</v>
      </c>
      <c r="K69" t="n">
        <v>0</v>
      </c>
      <c r="L69" t="n">
        <v>0</v>
      </c>
      <c r="M69" t="n">
        <v>0</v>
      </c>
      <c r="N69" t="n">
        <v>0</v>
      </c>
      <c r="O69" t="n">
        <v>4</v>
      </c>
      <c r="P69" t="n">
        <v>0</v>
      </c>
      <c r="Q69" t="n">
        <v>4</v>
      </c>
      <c r="R69" s="2" t="inlineStr">
        <is>
          <t>Kolflarnlav
Motaggsvamp
Orange taggsvamp
Vedflamlav</t>
        </is>
      </c>
      <c r="S69">
        <f>HYPERLINK("https://klasma.github.io/Logging_2161/artfynd/A 53249-2023 artfynd.xlsx", "A 53249-2023")</f>
        <v/>
      </c>
      <c r="T69">
        <f>HYPERLINK("https://klasma.github.io/Logging_2161/kartor/A 53249-2023 karta.png", "A 53249-2023")</f>
        <v/>
      </c>
      <c r="V69">
        <f>HYPERLINK("https://klasma.github.io/Logging_2161/klagomål/A 53249-2023 FSC-klagomål.docx", "A 53249-2023")</f>
        <v/>
      </c>
      <c r="W69">
        <f>HYPERLINK("https://klasma.github.io/Logging_2161/klagomålsmail/A 53249-2023 FSC-klagomål mail.docx", "A 53249-2023")</f>
        <v/>
      </c>
      <c r="X69">
        <f>HYPERLINK("https://klasma.github.io/Logging_2161/tillsyn/A 53249-2023 tillsynsbegäran.docx", "A 53249-2023")</f>
        <v/>
      </c>
      <c r="Y69">
        <f>HYPERLINK("https://klasma.github.io/Logging_2161/tillsynsmail/A 53249-2023 tillsynsbegäran mail.docx", "A 53249-2023")</f>
        <v/>
      </c>
    </row>
    <row r="70" ht="15" customHeight="1">
      <c r="A70" t="inlineStr">
        <is>
          <t>A 56774-2023</t>
        </is>
      </c>
      <c r="B70" s="1" t="n">
        <v>45244</v>
      </c>
      <c r="C70" s="1" t="n">
        <v>45811</v>
      </c>
      <c r="D70" t="inlineStr">
        <is>
          <t>GÄVLEBORGS LÄN</t>
        </is>
      </c>
      <c r="E70" t="inlineStr">
        <is>
          <t>LJUSDAL</t>
        </is>
      </c>
      <c r="F70" t="inlineStr">
        <is>
          <t>Sveaskog</t>
        </is>
      </c>
      <c r="G70" t="n">
        <v>2.6</v>
      </c>
      <c r="H70" t="n">
        <v>0</v>
      </c>
      <c r="I70" t="n">
        <v>0</v>
      </c>
      <c r="J70" t="n">
        <v>2</v>
      </c>
      <c r="K70" t="n">
        <v>2</v>
      </c>
      <c r="L70" t="n">
        <v>0</v>
      </c>
      <c r="M70" t="n">
        <v>0</v>
      </c>
      <c r="N70" t="n">
        <v>0</v>
      </c>
      <c r="O70" t="n">
        <v>4</v>
      </c>
      <c r="P70" t="n">
        <v>2</v>
      </c>
      <c r="Q70" t="n">
        <v>4</v>
      </c>
      <c r="R70" s="2" t="inlineStr">
        <is>
          <t>Gräddporing
Turkos blåvinge
Garnlav
Skrovellav</t>
        </is>
      </c>
      <c r="S70">
        <f>HYPERLINK("https://klasma.github.io/Logging_2161/artfynd/A 56774-2023 artfynd.xlsx", "A 56774-2023")</f>
        <v/>
      </c>
      <c r="T70">
        <f>HYPERLINK("https://klasma.github.io/Logging_2161/kartor/A 56774-2023 karta.png", "A 56774-2023")</f>
        <v/>
      </c>
      <c r="V70">
        <f>HYPERLINK("https://klasma.github.io/Logging_2161/klagomål/A 56774-2023 FSC-klagomål.docx", "A 56774-2023")</f>
        <v/>
      </c>
      <c r="W70">
        <f>HYPERLINK("https://klasma.github.io/Logging_2161/klagomålsmail/A 56774-2023 FSC-klagomål mail.docx", "A 56774-2023")</f>
        <v/>
      </c>
      <c r="X70">
        <f>HYPERLINK("https://klasma.github.io/Logging_2161/tillsyn/A 56774-2023 tillsynsbegäran.docx", "A 56774-2023")</f>
        <v/>
      </c>
      <c r="Y70">
        <f>HYPERLINK("https://klasma.github.io/Logging_2161/tillsynsmail/A 56774-2023 tillsynsbegäran mail.docx", "A 56774-2023")</f>
        <v/>
      </c>
    </row>
    <row r="71" ht="15" customHeight="1">
      <c r="A71" t="inlineStr">
        <is>
          <t>A 56787-2023</t>
        </is>
      </c>
      <c r="B71" s="1" t="n">
        <v>45244</v>
      </c>
      <c r="C71" s="1" t="n">
        <v>45811</v>
      </c>
      <c r="D71" t="inlineStr">
        <is>
          <t>GÄVLEBORGS LÄN</t>
        </is>
      </c>
      <c r="E71" t="inlineStr">
        <is>
          <t>LJUSDAL</t>
        </is>
      </c>
      <c r="F71" t="inlineStr">
        <is>
          <t>Sveaskog</t>
        </is>
      </c>
      <c r="G71" t="n">
        <v>2.6</v>
      </c>
      <c r="H71" t="n">
        <v>0</v>
      </c>
      <c r="I71" t="n">
        <v>0</v>
      </c>
      <c r="J71" t="n">
        <v>2</v>
      </c>
      <c r="K71" t="n">
        <v>2</v>
      </c>
      <c r="L71" t="n">
        <v>0</v>
      </c>
      <c r="M71" t="n">
        <v>0</v>
      </c>
      <c r="N71" t="n">
        <v>0</v>
      </c>
      <c r="O71" t="n">
        <v>4</v>
      </c>
      <c r="P71" t="n">
        <v>2</v>
      </c>
      <c r="Q71" t="n">
        <v>4</v>
      </c>
      <c r="R71" s="2" t="inlineStr">
        <is>
          <t>Gräddporing
Turkos blåvinge
Garnlav
Skrovellav</t>
        </is>
      </c>
      <c r="S71">
        <f>HYPERLINK("https://klasma.github.io/Logging_2161/artfynd/A 56787-2023 artfynd.xlsx", "A 56787-2023")</f>
        <v/>
      </c>
      <c r="T71">
        <f>HYPERLINK("https://klasma.github.io/Logging_2161/kartor/A 56787-2023 karta.png", "A 56787-2023")</f>
        <v/>
      </c>
      <c r="V71">
        <f>HYPERLINK("https://klasma.github.io/Logging_2161/klagomål/A 56787-2023 FSC-klagomål.docx", "A 56787-2023")</f>
        <v/>
      </c>
      <c r="W71">
        <f>HYPERLINK("https://klasma.github.io/Logging_2161/klagomålsmail/A 56787-2023 FSC-klagomål mail.docx", "A 56787-2023")</f>
        <v/>
      </c>
      <c r="X71">
        <f>HYPERLINK("https://klasma.github.io/Logging_2161/tillsyn/A 56787-2023 tillsynsbegäran.docx", "A 56787-2023")</f>
        <v/>
      </c>
      <c r="Y71">
        <f>HYPERLINK("https://klasma.github.io/Logging_2161/tillsynsmail/A 56787-2023 tillsynsbegäran mail.docx", "A 56787-2023")</f>
        <v/>
      </c>
    </row>
    <row r="72" ht="15" customHeight="1">
      <c r="A72" t="inlineStr">
        <is>
          <t>A 56800-2023</t>
        </is>
      </c>
      <c r="B72" s="1" t="n">
        <v>45244</v>
      </c>
      <c r="C72" s="1" t="n">
        <v>45811</v>
      </c>
      <c r="D72" t="inlineStr">
        <is>
          <t>GÄVLEBORGS LÄN</t>
        </is>
      </c>
      <c r="E72" t="inlineStr">
        <is>
          <t>LJUSDAL</t>
        </is>
      </c>
      <c r="F72" t="inlineStr">
        <is>
          <t>Sveaskog</t>
        </is>
      </c>
      <c r="G72" t="n">
        <v>7.3</v>
      </c>
      <c r="H72" t="n">
        <v>0</v>
      </c>
      <c r="I72" t="n">
        <v>1</v>
      </c>
      <c r="J72" t="n">
        <v>2</v>
      </c>
      <c r="K72" t="n">
        <v>1</v>
      </c>
      <c r="L72" t="n">
        <v>0</v>
      </c>
      <c r="M72" t="n">
        <v>0</v>
      </c>
      <c r="N72" t="n">
        <v>0</v>
      </c>
      <c r="O72" t="n">
        <v>3</v>
      </c>
      <c r="P72" t="n">
        <v>1</v>
      </c>
      <c r="Q72" t="n">
        <v>4</v>
      </c>
      <c r="R72" s="2" t="inlineStr">
        <is>
          <t>Gräddporing
Gränsticka
Lunglav
Trådticka</t>
        </is>
      </c>
      <c r="S72">
        <f>HYPERLINK("https://klasma.github.io/Logging_2161/artfynd/A 56800-2023 artfynd.xlsx", "A 56800-2023")</f>
        <v/>
      </c>
      <c r="T72">
        <f>HYPERLINK("https://klasma.github.io/Logging_2161/kartor/A 56800-2023 karta.png", "A 56800-2023")</f>
        <v/>
      </c>
      <c r="V72">
        <f>HYPERLINK("https://klasma.github.io/Logging_2161/klagomål/A 56800-2023 FSC-klagomål.docx", "A 56800-2023")</f>
        <v/>
      </c>
      <c r="W72">
        <f>HYPERLINK("https://klasma.github.io/Logging_2161/klagomålsmail/A 56800-2023 FSC-klagomål mail.docx", "A 56800-2023")</f>
        <v/>
      </c>
      <c r="X72">
        <f>HYPERLINK("https://klasma.github.io/Logging_2161/tillsyn/A 56800-2023 tillsynsbegäran.docx", "A 56800-2023")</f>
        <v/>
      </c>
      <c r="Y72">
        <f>HYPERLINK("https://klasma.github.io/Logging_2161/tillsynsmail/A 56800-2023 tillsynsbegäran mail.docx", "A 56800-2023")</f>
        <v/>
      </c>
    </row>
    <row r="73" ht="15" customHeight="1">
      <c r="A73" t="inlineStr">
        <is>
          <t>A 15206-2024</t>
        </is>
      </c>
      <c r="B73" s="1" t="n">
        <v>45400</v>
      </c>
      <c r="C73" s="1" t="n">
        <v>45811</v>
      </c>
      <c r="D73" t="inlineStr">
        <is>
          <t>GÄVLEBORGS LÄN</t>
        </is>
      </c>
      <c r="E73" t="inlineStr">
        <is>
          <t>LJUSDAL</t>
        </is>
      </c>
      <c r="F73" t="inlineStr">
        <is>
          <t>Sveaskog</t>
        </is>
      </c>
      <c r="G73" t="n">
        <v>7.2</v>
      </c>
      <c r="H73" t="n">
        <v>0</v>
      </c>
      <c r="I73" t="n">
        <v>0</v>
      </c>
      <c r="J73" t="n">
        <v>4</v>
      </c>
      <c r="K73" t="n">
        <v>0</v>
      </c>
      <c r="L73" t="n">
        <v>0</v>
      </c>
      <c r="M73" t="n">
        <v>0</v>
      </c>
      <c r="N73" t="n">
        <v>0</v>
      </c>
      <c r="O73" t="n">
        <v>4</v>
      </c>
      <c r="P73" t="n">
        <v>0</v>
      </c>
      <c r="Q73" t="n">
        <v>4</v>
      </c>
      <c r="R73" s="2" t="inlineStr">
        <is>
          <t>Kolflarnlav
Lunglav
Motaggsvamp
Vedflamlav</t>
        </is>
      </c>
      <c r="S73">
        <f>HYPERLINK("https://klasma.github.io/Logging_2161/artfynd/A 15206-2024 artfynd.xlsx", "A 15206-2024")</f>
        <v/>
      </c>
      <c r="T73">
        <f>HYPERLINK("https://klasma.github.io/Logging_2161/kartor/A 15206-2024 karta.png", "A 15206-2024")</f>
        <v/>
      </c>
      <c r="V73">
        <f>HYPERLINK("https://klasma.github.io/Logging_2161/klagomål/A 15206-2024 FSC-klagomål.docx", "A 15206-2024")</f>
        <v/>
      </c>
      <c r="W73">
        <f>HYPERLINK("https://klasma.github.io/Logging_2161/klagomålsmail/A 15206-2024 FSC-klagomål mail.docx", "A 15206-2024")</f>
        <v/>
      </c>
      <c r="X73">
        <f>HYPERLINK("https://klasma.github.io/Logging_2161/tillsyn/A 15206-2024 tillsynsbegäran.docx", "A 15206-2024")</f>
        <v/>
      </c>
      <c r="Y73">
        <f>HYPERLINK("https://klasma.github.io/Logging_2161/tillsynsmail/A 15206-2024 tillsynsbegäran mail.docx", "A 15206-2024")</f>
        <v/>
      </c>
    </row>
    <row r="74" ht="15" customHeight="1">
      <c r="A74" t="inlineStr">
        <is>
          <t>A 18115-2024</t>
        </is>
      </c>
      <c r="B74" s="1" t="n">
        <v>45420</v>
      </c>
      <c r="C74" s="1" t="n">
        <v>45811</v>
      </c>
      <c r="D74" t="inlineStr">
        <is>
          <t>GÄVLEBORGS LÄN</t>
        </is>
      </c>
      <c r="E74" t="inlineStr">
        <is>
          <t>LJUSDAL</t>
        </is>
      </c>
      <c r="F74" t="inlineStr">
        <is>
          <t>Sveaskog</t>
        </is>
      </c>
      <c r="G74" t="n">
        <v>20.3</v>
      </c>
      <c r="H74" t="n">
        <v>1</v>
      </c>
      <c r="I74" t="n">
        <v>1</v>
      </c>
      <c r="J74" t="n">
        <v>3</v>
      </c>
      <c r="K74" t="n">
        <v>0</v>
      </c>
      <c r="L74" t="n">
        <v>0</v>
      </c>
      <c r="M74" t="n">
        <v>0</v>
      </c>
      <c r="N74" t="n">
        <v>0</v>
      </c>
      <c r="O74" t="n">
        <v>3</v>
      </c>
      <c r="P74" t="n">
        <v>0</v>
      </c>
      <c r="Q74" t="n">
        <v>4</v>
      </c>
      <c r="R74" s="2" t="inlineStr">
        <is>
          <t>Kolflarnlav
Lunglav
Orange taggsvamp
Plattlummer</t>
        </is>
      </c>
      <c r="S74">
        <f>HYPERLINK("https://klasma.github.io/Logging_2161/artfynd/A 18115-2024 artfynd.xlsx", "A 18115-2024")</f>
        <v/>
      </c>
      <c r="T74">
        <f>HYPERLINK("https://klasma.github.io/Logging_2161/kartor/A 18115-2024 karta.png", "A 18115-2024")</f>
        <v/>
      </c>
      <c r="V74">
        <f>HYPERLINK("https://klasma.github.io/Logging_2161/klagomål/A 18115-2024 FSC-klagomål.docx", "A 18115-2024")</f>
        <v/>
      </c>
      <c r="W74">
        <f>HYPERLINK("https://klasma.github.io/Logging_2161/klagomålsmail/A 18115-2024 FSC-klagomål mail.docx", "A 18115-2024")</f>
        <v/>
      </c>
      <c r="X74">
        <f>HYPERLINK("https://klasma.github.io/Logging_2161/tillsyn/A 18115-2024 tillsynsbegäran.docx", "A 18115-2024")</f>
        <v/>
      </c>
      <c r="Y74">
        <f>HYPERLINK("https://klasma.github.io/Logging_2161/tillsynsmail/A 18115-2024 tillsynsbegäran mail.docx", "A 18115-2024")</f>
        <v/>
      </c>
    </row>
    <row r="75" ht="15" customHeight="1">
      <c r="A75" t="inlineStr">
        <is>
          <t>A 18680-2024</t>
        </is>
      </c>
      <c r="B75" s="1" t="n">
        <v>45426</v>
      </c>
      <c r="C75" s="1" t="n">
        <v>45811</v>
      </c>
      <c r="D75" t="inlineStr">
        <is>
          <t>GÄVLEBORGS LÄN</t>
        </is>
      </c>
      <c r="E75" t="inlineStr">
        <is>
          <t>LJUSDAL</t>
        </is>
      </c>
      <c r="F75" t="inlineStr">
        <is>
          <t>Sveaskog</t>
        </is>
      </c>
      <c r="G75" t="n">
        <v>12.3</v>
      </c>
      <c r="H75" t="n">
        <v>2</v>
      </c>
      <c r="I75" t="n">
        <v>2</v>
      </c>
      <c r="J75" t="n">
        <v>1</v>
      </c>
      <c r="K75" t="n">
        <v>1</v>
      </c>
      <c r="L75" t="n">
        <v>0</v>
      </c>
      <c r="M75" t="n">
        <v>0</v>
      </c>
      <c r="N75" t="n">
        <v>0</v>
      </c>
      <c r="O75" t="n">
        <v>2</v>
      </c>
      <c r="P75" t="n">
        <v>1</v>
      </c>
      <c r="Q75" t="n">
        <v>4</v>
      </c>
      <c r="R75" s="2" t="inlineStr">
        <is>
          <t>Knärot
Skrovlig taggsvamp
Plattlummer
Skarp dropptaggsvamp</t>
        </is>
      </c>
      <c r="S75">
        <f>HYPERLINK("https://klasma.github.io/Logging_2161/artfynd/A 18680-2024 artfynd.xlsx", "A 18680-2024")</f>
        <v/>
      </c>
      <c r="T75">
        <f>HYPERLINK("https://klasma.github.io/Logging_2161/kartor/A 18680-2024 karta.png", "A 18680-2024")</f>
        <v/>
      </c>
      <c r="U75">
        <f>HYPERLINK("https://klasma.github.io/Logging_2161/knärot/A 18680-2024 karta knärot.png", "A 18680-2024")</f>
        <v/>
      </c>
      <c r="V75">
        <f>HYPERLINK("https://klasma.github.io/Logging_2161/klagomål/A 18680-2024 FSC-klagomål.docx", "A 18680-2024")</f>
        <v/>
      </c>
      <c r="W75">
        <f>HYPERLINK("https://klasma.github.io/Logging_2161/klagomålsmail/A 18680-2024 FSC-klagomål mail.docx", "A 18680-2024")</f>
        <v/>
      </c>
      <c r="X75">
        <f>HYPERLINK("https://klasma.github.io/Logging_2161/tillsyn/A 18680-2024 tillsynsbegäran.docx", "A 18680-2024")</f>
        <v/>
      </c>
      <c r="Y75">
        <f>HYPERLINK("https://klasma.github.io/Logging_2161/tillsynsmail/A 18680-2024 tillsynsbegäran mail.docx", "A 18680-2024")</f>
        <v/>
      </c>
    </row>
    <row r="76" ht="15" customHeight="1">
      <c r="A76" t="inlineStr">
        <is>
          <t>A 21134-2024</t>
        </is>
      </c>
      <c r="B76" s="1" t="n">
        <v>45440</v>
      </c>
      <c r="C76" s="1" t="n">
        <v>45811</v>
      </c>
      <c r="D76" t="inlineStr">
        <is>
          <t>GÄVLEBORGS LÄN</t>
        </is>
      </c>
      <c r="E76" t="inlineStr">
        <is>
          <t>LJUSDAL</t>
        </is>
      </c>
      <c r="G76" t="n">
        <v>3.2</v>
      </c>
      <c r="H76" t="n">
        <v>2</v>
      </c>
      <c r="I76" t="n">
        <v>0</v>
      </c>
      <c r="J76" t="n">
        <v>3</v>
      </c>
      <c r="K76" t="n">
        <v>1</v>
      </c>
      <c r="L76" t="n">
        <v>0</v>
      </c>
      <c r="M76" t="n">
        <v>0</v>
      </c>
      <c r="N76" t="n">
        <v>0</v>
      </c>
      <c r="O76" t="n">
        <v>4</v>
      </c>
      <c r="P76" t="n">
        <v>1</v>
      </c>
      <c r="Q76" t="n">
        <v>4</v>
      </c>
      <c r="R76" s="2" t="inlineStr">
        <is>
          <t>Knärot
Kolflarnlav
Talltita
Vedflamlav</t>
        </is>
      </c>
      <c r="S76">
        <f>HYPERLINK("https://klasma.github.io/Logging_2161/artfynd/A 21134-2024 artfynd.xlsx", "A 21134-2024")</f>
        <v/>
      </c>
      <c r="T76">
        <f>HYPERLINK("https://klasma.github.io/Logging_2161/kartor/A 21134-2024 karta.png", "A 21134-2024")</f>
        <v/>
      </c>
      <c r="U76">
        <f>HYPERLINK("https://klasma.github.io/Logging_2161/knärot/A 21134-2024 karta knärot.png", "A 21134-2024")</f>
        <v/>
      </c>
      <c r="V76">
        <f>HYPERLINK("https://klasma.github.io/Logging_2161/klagomål/A 21134-2024 FSC-klagomål.docx", "A 21134-2024")</f>
        <v/>
      </c>
      <c r="W76">
        <f>HYPERLINK("https://klasma.github.io/Logging_2161/klagomålsmail/A 21134-2024 FSC-klagomål mail.docx", "A 21134-2024")</f>
        <v/>
      </c>
      <c r="X76">
        <f>HYPERLINK("https://klasma.github.io/Logging_2161/tillsyn/A 21134-2024 tillsynsbegäran.docx", "A 21134-2024")</f>
        <v/>
      </c>
      <c r="Y76">
        <f>HYPERLINK("https://klasma.github.io/Logging_2161/tillsynsmail/A 21134-2024 tillsynsbegäran mail.docx", "A 21134-2024")</f>
        <v/>
      </c>
      <c r="Z76">
        <f>HYPERLINK("https://klasma.github.io/Logging_2161/fåglar/A 21134-2024 prioriterade fågelarter.docx", "A 21134-2024")</f>
        <v/>
      </c>
    </row>
    <row r="77" ht="15" customHeight="1">
      <c r="A77" t="inlineStr">
        <is>
          <t>A 21815-2024</t>
        </is>
      </c>
      <c r="B77" s="1" t="n">
        <v>45442</v>
      </c>
      <c r="C77" s="1" t="n">
        <v>45811</v>
      </c>
      <c r="D77" t="inlineStr">
        <is>
          <t>GÄVLEBORGS LÄN</t>
        </is>
      </c>
      <c r="E77" t="inlineStr">
        <is>
          <t>LJUSDAL</t>
        </is>
      </c>
      <c r="G77" t="n">
        <v>11.1</v>
      </c>
      <c r="H77" t="n">
        <v>3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4</v>
      </c>
      <c r="R77" s="2" t="inlineStr">
        <is>
          <t>Vårärt
Nattviol
Blåsippa
Revlummer</t>
        </is>
      </c>
      <c r="S77">
        <f>HYPERLINK("https://klasma.github.io/Logging_2161/artfynd/A 21815-2024 artfynd.xlsx", "A 21815-2024")</f>
        <v/>
      </c>
      <c r="T77">
        <f>HYPERLINK("https://klasma.github.io/Logging_2161/kartor/A 21815-2024 karta.png", "A 21815-2024")</f>
        <v/>
      </c>
      <c r="V77">
        <f>HYPERLINK("https://klasma.github.io/Logging_2161/klagomål/A 21815-2024 FSC-klagomål.docx", "A 21815-2024")</f>
        <v/>
      </c>
      <c r="W77">
        <f>HYPERLINK("https://klasma.github.io/Logging_2161/klagomålsmail/A 21815-2024 FSC-klagomål mail.docx", "A 21815-2024")</f>
        <v/>
      </c>
      <c r="X77">
        <f>HYPERLINK("https://klasma.github.io/Logging_2161/tillsyn/A 21815-2024 tillsynsbegäran.docx", "A 21815-2024")</f>
        <v/>
      </c>
      <c r="Y77">
        <f>HYPERLINK("https://klasma.github.io/Logging_2161/tillsynsmail/A 21815-2024 tillsynsbegäran mail.docx", "A 21815-2024")</f>
        <v/>
      </c>
    </row>
    <row r="78" ht="15" customHeight="1">
      <c r="A78" t="inlineStr">
        <is>
          <t>A 22025-2024</t>
        </is>
      </c>
      <c r="B78" s="1" t="n">
        <v>45443</v>
      </c>
      <c r="C78" s="1" t="n">
        <v>45811</v>
      </c>
      <c r="D78" t="inlineStr">
        <is>
          <t>GÄVLEBORGS LÄN</t>
        </is>
      </c>
      <c r="E78" t="inlineStr">
        <is>
          <t>LJUSDAL</t>
        </is>
      </c>
      <c r="F78" t="inlineStr">
        <is>
          <t>Sveaskog</t>
        </is>
      </c>
      <c r="G78" t="n">
        <v>35.9</v>
      </c>
      <c r="H78" t="n">
        <v>1</v>
      </c>
      <c r="I78" t="n">
        <v>0</v>
      </c>
      <c r="J78" t="n">
        <v>3</v>
      </c>
      <c r="K78" t="n">
        <v>1</v>
      </c>
      <c r="L78" t="n">
        <v>0</v>
      </c>
      <c r="M78" t="n">
        <v>0</v>
      </c>
      <c r="N78" t="n">
        <v>0</v>
      </c>
      <c r="O78" t="n">
        <v>4</v>
      </c>
      <c r="P78" t="n">
        <v>1</v>
      </c>
      <c r="Q78" t="n">
        <v>4</v>
      </c>
      <c r="R78" s="2" t="inlineStr">
        <is>
          <t>Knärot
Kolflarnlav
Lunglav
Mörk kolflarnlav</t>
        </is>
      </c>
      <c r="S78">
        <f>HYPERLINK("https://klasma.github.io/Logging_2161/artfynd/A 22025-2024 artfynd.xlsx", "A 22025-2024")</f>
        <v/>
      </c>
      <c r="T78">
        <f>HYPERLINK("https://klasma.github.io/Logging_2161/kartor/A 22025-2024 karta.png", "A 22025-2024")</f>
        <v/>
      </c>
      <c r="U78">
        <f>HYPERLINK("https://klasma.github.io/Logging_2161/knärot/A 22025-2024 karta knärot.png", "A 22025-2024")</f>
        <v/>
      </c>
      <c r="V78">
        <f>HYPERLINK("https://klasma.github.io/Logging_2161/klagomål/A 22025-2024 FSC-klagomål.docx", "A 22025-2024")</f>
        <v/>
      </c>
      <c r="W78">
        <f>HYPERLINK("https://klasma.github.io/Logging_2161/klagomålsmail/A 22025-2024 FSC-klagomål mail.docx", "A 22025-2024")</f>
        <v/>
      </c>
      <c r="X78">
        <f>HYPERLINK("https://klasma.github.io/Logging_2161/tillsyn/A 22025-2024 tillsynsbegäran.docx", "A 22025-2024")</f>
        <v/>
      </c>
      <c r="Y78">
        <f>HYPERLINK("https://klasma.github.io/Logging_2161/tillsynsmail/A 22025-2024 tillsynsbegäran mail.docx", "A 22025-2024")</f>
        <v/>
      </c>
    </row>
    <row r="79" ht="15" customHeight="1">
      <c r="A79" t="inlineStr">
        <is>
          <t>A 23393-2024</t>
        </is>
      </c>
      <c r="B79" s="1" t="n">
        <v>45453</v>
      </c>
      <c r="C79" s="1" t="n">
        <v>45811</v>
      </c>
      <c r="D79" t="inlineStr">
        <is>
          <t>GÄVLEBORGS LÄN</t>
        </is>
      </c>
      <c r="E79" t="inlineStr">
        <is>
          <t>LJUSDAL</t>
        </is>
      </c>
      <c r="G79" t="n">
        <v>4</v>
      </c>
      <c r="H79" t="n">
        <v>1</v>
      </c>
      <c r="I79" t="n">
        <v>0</v>
      </c>
      <c r="J79" t="n">
        <v>3</v>
      </c>
      <c r="K79" t="n">
        <v>0</v>
      </c>
      <c r="L79" t="n">
        <v>0</v>
      </c>
      <c r="M79" t="n">
        <v>0</v>
      </c>
      <c r="N79" t="n">
        <v>0</v>
      </c>
      <c r="O79" t="n">
        <v>3</v>
      </c>
      <c r="P79" t="n">
        <v>0</v>
      </c>
      <c r="Q79" t="n">
        <v>4</v>
      </c>
      <c r="R79" s="2" t="inlineStr">
        <is>
          <t>Kolflarnlav
Lunglav
Vedflamlav
Nattviol</t>
        </is>
      </c>
      <c r="S79">
        <f>HYPERLINK("https://klasma.github.io/Logging_2161/artfynd/A 23393-2024 artfynd.xlsx", "A 23393-2024")</f>
        <v/>
      </c>
      <c r="T79">
        <f>HYPERLINK("https://klasma.github.io/Logging_2161/kartor/A 23393-2024 karta.png", "A 23393-2024")</f>
        <v/>
      </c>
      <c r="V79">
        <f>HYPERLINK("https://klasma.github.io/Logging_2161/klagomål/A 23393-2024 FSC-klagomål.docx", "A 23393-2024")</f>
        <v/>
      </c>
      <c r="W79">
        <f>HYPERLINK("https://klasma.github.io/Logging_2161/klagomålsmail/A 23393-2024 FSC-klagomål mail.docx", "A 23393-2024")</f>
        <v/>
      </c>
      <c r="X79">
        <f>HYPERLINK("https://klasma.github.io/Logging_2161/tillsyn/A 23393-2024 tillsynsbegäran.docx", "A 23393-2024")</f>
        <v/>
      </c>
      <c r="Y79">
        <f>HYPERLINK("https://klasma.github.io/Logging_2161/tillsynsmail/A 23393-2024 tillsynsbegäran mail.docx", "A 23393-2024")</f>
        <v/>
      </c>
    </row>
    <row r="80" ht="15" customHeight="1">
      <c r="A80" t="inlineStr">
        <is>
          <t>A 24253-2024</t>
        </is>
      </c>
      <c r="B80" s="1" t="n">
        <v>45457</v>
      </c>
      <c r="C80" s="1" t="n">
        <v>45811</v>
      </c>
      <c r="D80" t="inlineStr">
        <is>
          <t>GÄVLEBORGS LÄN</t>
        </is>
      </c>
      <c r="E80" t="inlineStr">
        <is>
          <t>LJUSDAL</t>
        </is>
      </c>
      <c r="F80" t="inlineStr">
        <is>
          <t>Sveaskog</t>
        </is>
      </c>
      <c r="G80" t="n">
        <v>4.2</v>
      </c>
      <c r="H80" t="n">
        <v>0</v>
      </c>
      <c r="I80" t="n">
        <v>0</v>
      </c>
      <c r="J80" t="n">
        <v>4</v>
      </c>
      <c r="K80" t="n">
        <v>0</v>
      </c>
      <c r="L80" t="n">
        <v>0</v>
      </c>
      <c r="M80" t="n">
        <v>0</v>
      </c>
      <c r="N80" t="n">
        <v>0</v>
      </c>
      <c r="O80" t="n">
        <v>4</v>
      </c>
      <c r="P80" t="n">
        <v>0</v>
      </c>
      <c r="Q80" t="n">
        <v>4</v>
      </c>
      <c r="R80" s="2" t="inlineStr">
        <is>
          <t>Garnlav
Kolflarnlav
Lunglav
Mörk kolflarnlav</t>
        </is>
      </c>
      <c r="S80">
        <f>HYPERLINK("https://klasma.github.io/Logging_2161/artfynd/A 24253-2024 artfynd.xlsx", "A 24253-2024")</f>
        <v/>
      </c>
      <c r="T80">
        <f>HYPERLINK("https://klasma.github.io/Logging_2161/kartor/A 24253-2024 karta.png", "A 24253-2024")</f>
        <v/>
      </c>
      <c r="V80">
        <f>HYPERLINK("https://klasma.github.io/Logging_2161/klagomål/A 24253-2024 FSC-klagomål.docx", "A 24253-2024")</f>
        <v/>
      </c>
      <c r="W80">
        <f>HYPERLINK("https://klasma.github.io/Logging_2161/klagomålsmail/A 24253-2024 FSC-klagomål mail.docx", "A 24253-2024")</f>
        <v/>
      </c>
      <c r="X80">
        <f>HYPERLINK("https://klasma.github.io/Logging_2161/tillsyn/A 24253-2024 tillsynsbegäran.docx", "A 24253-2024")</f>
        <v/>
      </c>
      <c r="Y80">
        <f>HYPERLINK("https://klasma.github.io/Logging_2161/tillsynsmail/A 24253-2024 tillsynsbegäran mail.docx", "A 24253-2024")</f>
        <v/>
      </c>
    </row>
    <row r="81" ht="15" customHeight="1">
      <c r="A81" t="inlineStr">
        <is>
          <t>A 24356-2024</t>
        </is>
      </c>
      <c r="B81" s="1" t="n">
        <v>45457</v>
      </c>
      <c r="C81" s="1" t="n">
        <v>45811</v>
      </c>
      <c r="D81" t="inlineStr">
        <is>
          <t>GÄVLEBORGS LÄN</t>
        </is>
      </c>
      <c r="E81" t="inlineStr">
        <is>
          <t>LJUSDAL</t>
        </is>
      </c>
      <c r="G81" t="n">
        <v>9.6</v>
      </c>
      <c r="H81" t="n">
        <v>0</v>
      </c>
      <c r="I81" t="n">
        <v>0</v>
      </c>
      <c r="J81" t="n">
        <v>4</v>
      </c>
      <c r="K81" t="n">
        <v>0</v>
      </c>
      <c r="L81" t="n">
        <v>0</v>
      </c>
      <c r="M81" t="n">
        <v>0</v>
      </c>
      <c r="N81" t="n">
        <v>0</v>
      </c>
      <c r="O81" t="n">
        <v>4</v>
      </c>
      <c r="P81" t="n">
        <v>0</v>
      </c>
      <c r="Q81" t="n">
        <v>4</v>
      </c>
      <c r="R81" s="2" t="inlineStr">
        <is>
          <t>Garnlav
Kolflarnlav
Lunglav
Mörk kolflarnlav</t>
        </is>
      </c>
      <c r="S81">
        <f>HYPERLINK("https://klasma.github.io/Logging_2161/artfynd/A 24356-2024 artfynd.xlsx", "A 24356-2024")</f>
        <v/>
      </c>
      <c r="T81">
        <f>HYPERLINK("https://klasma.github.io/Logging_2161/kartor/A 24356-2024 karta.png", "A 24356-2024")</f>
        <v/>
      </c>
      <c r="V81">
        <f>HYPERLINK("https://klasma.github.io/Logging_2161/klagomål/A 24356-2024 FSC-klagomål.docx", "A 24356-2024")</f>
        <v/>
      </c>
      <c r="W81">
        <f>HYPERLINK("https://klasma.github.io/Logging_2161/klagomålsmail/A 24356-2024 FSC-klagomål mail.docx", "A 24356-2024")</f>
        <v/>
      </c>
      <c r="X81">
        <f>HYPERLINK("https://klasma.github.io/Logging_2161/tillsyn/A 24356-2024 tillsynsbegäran.docx", "A 24356-2024")</f>
        <v/>
      </c>
      <c r="Y81">
        <f>HYPERLINK("https://klasma.github.io/Logging_2161/tillsynsmail/A 24356-2024 tillsynsbegäran mail.docx", "A 24356-2024")</f>
        <v/>
      </c>
    </row>
    <row r="82" ht="15" customHeight="1">
      <c r="A82" t="inlineStr">
        <is>
          <t>A 31615-2024</t>
        </is>
      </c>
      <c r="B82" s="1" t="n">
        <v>45506</v>
      </c>
      <c r="C82" s="1" t="n">
        <v>45811</v>
      </c>
      <c r="D82" t="inlineStr">
        <is>
          <t>GÄVLEBORGS LÄN</t>
        </is>
      </c>
      <c r="E82" t="inlineStr">
        <is>
          <t>LJUSDAL</t>
        </is>
      </c>
      <c r="F82" t="inlineStr">
        <is>
          <t>Sveaskog</t>
        </is>
      </c>
      <c r="G82" t="n">
        <v>15.8</v>
      </c>
      <c r="H82" t="n">
        <v>0</v>
      </c>
      <c r="I82" t="n">
        <v>0</v>
      </c>
      <c r="J82" t="n">
        <v>4</v>
      </c>
      <c r="K82" t="n">
        <v>0</v>
      </c>
      <c r="L82" t="n">
        <v>0</v>
      </c>
      <c r="M82" t="n">
        <v>0</v>
      </c>
      <c r="N82" t="n">
        <v>0</v>
      </c>
      <c r="O82" t="n">
        <v>4</v>
      </c>
      <c r="P82" t="n">
        <v>0</v>
      </c>
      <c r="Q82" t="n">
        <v>4</v>
      </c>
      <c r="R82" s="2" t="inlineStr">
        <is>
          <t>Blanksvart spiklav
Kolflarnlav
Lunglav
Mörk kolflarnlav</t>
        </is>
      </c>
      <c r="S82">
        <f>HYPERLINK("https://klasma.github.io/Logging_2161/artfynd/A 31615-2024 artfynd.xlsx", "A 31615-2024")</f>
        <v/>
      </c>
      <c r="T82">
        <f>HYPERLINK("https://klasma.github.io/Logging_2161/kartor/A 31615-2024 karta.png", "A 31615-2024")</f>
        <v/>
      </c>
      <c r="V82">
        <f>HYPERLINK("https://klasma.github.io/Logging_2161/klagomål/A 31615-2024 FSC-klagomål.docx", "A 31615-2024")</f>
        <v/>
      </c>
      <c r="W82">
        <f>HYPERLINK("https://klasma.github.io/Logging_2161/klagomålsmail/A 31615-2024 FSC-klagomål mail.docx", "A 31615-2024")</f>
        <v/>
      </c>
      <c r="X82">
        <f>HYPERLINK("https://klasma.github.io/Logging_2161/tillsyn/A 31615-2024 tillsynsbegäran.docx", "A 31615-2024")</f>
        <v/>
      </c>
      <c r="Y82">
        <f>HYPERLINK("https://klasma.github.io/Logging_2161/tillsynsmail/A 31615-2024 tillsynsbegäran mail.docx", "A 31615-2024")</f>
        <v/>
      </c>
    </row>
    <row r="83" ht="15" customHeight="1">
      <c r="A83" t="inlineStr">
        <is>
          <t>A 33684-2024</t>
        </is>
      </c>
      <c r="B83" s="1" t="n">
        <v>45520</v>
      </c>
      <c r="C83" s="1" t="n">
        <v>45811</v>
      </c>
      <c r="D83" t="inlineStr">
        <is>
          <t>GÄVLEBORGS LÄN</t>
        </is>
      </c>
      <c r="E83" t="inlineStr">
        <is>
          <t>LJUSDAL</t>
        </is>
      </c>
      <c r="F83" t="inlineStr">
        <is>
          <t>Bergvik skog väst AB</t>
        </is>
      </c>
      <c r="G83" t="n">
        <v>2.6</v>
      </c>
      <c r="H83" t="n">
        <v>0</v>
      </c>
      <c r="I83" t="n">
        <v>0</v>
      </c>
      <c r="J83" t="n">
        <v>4</v>
      </c>
      <c r="K83" t="n">
        <v>0</v>
      </c>
      <c r="L83" t="n">
        <v>0</v>
      </c>
      <c r="M83" t="n">
        <v>0</v>
      </c>
      <c r="N83" t="n">
        <v>0</v>
      </c>
      <c r="O83" t="n">
        <v>4</v>
      </c>
      <c r="P83" t="n">
        <v>0</v>
      </c>
      <c r="Q83" t="n">
        <v>4</v>
      </c>
      <c r="R83" s="2" t="inlineStr">
        <is>
          <t>Dvärgbägarlav
Garnlav
Kolflarnlav
Vedskivlav</t>
        </is>
      </c>
      <c r="S83">
        <f>HYPERLINK("https://klasma.github.io/Logging_2161/artfynd/A 33684-2024 artfynd.xlsx", "A 33684-2024")</f>
        <v/>
      </c>
      <c r="T83">
        <f>HYPERLINK("https://klasma.github.io/Logging_2161/kartor/A 33684-2024 karta.png", "A 33684-2024")</f>
        <v/>
      </c>
      <c r="V83">
        <f>HYPERLINK("https://klasma.github.io/Logging_2161/klagomål/A 33684-2024 FSC-klagomål.docx", "A 33684-2024")</f>
        <v/>
      </c>
      <c r="W83">
        <f>HYPERLINK("https://klasma.github.io/Logging_2161/klagomålsmail/A 33684-2024 FSC-klagomål mail.docx", "A 33684-2024")</f>
        <v/>
      </c>
      <c r="X83">
        <f>HYPERLINK("https://klasma.github.io/Logging_2161/tillsyn/A 33684-2024 tillsynsbegäran.docx", "A 33684-2024")</f>
        <v/>
      </c>
      <c r="Y83">
        <f>HYPERLINK("https://klasma.github.io/Logging_2161/tillsynsmail/A 33684-2024 tillsynsbegäran mail.docx", "A 33684-2024")</f>
        <v/>
      </c>
    </row>
    <row r="84" ht="15" customHeight="1">
      <c r="A84" t="inlineStr">
        <is>
          <t>A 34757-2024</t>
        </is>
      </c>
      <c r="B84" s="1" t="n">
        <v>45526</v>
      </c>
      <c r="C84" s="1" t="n">
        <v>45811</v>
      </c>
      <c r="D84" t="inlineStr">
        <is>
          <t>GÄVLEBORGS LÄN</t>
        </is>
      </c>
      <c r="E84" t="inlineStr">
        <is>
          <t>LJUSDAL</t>
        </is>
      </c>
      <c r="F84" t="inlineStr">
        <is>
          <t>Sveaskog</t>
        </is>
      </c>
      <c r="G84" t="n">
        <v>8.300000000000001</v>
      </c>
      <c r="H84" t="n">
        <v>0</v>
      </c>
      <c r="I84" t="n">
        <v>0</v>
      </c>
      <c r="J84" t="n">
        <v>4</v>
      </c>
      <c r="K84" t="n">
        <v>0</v>
      </c>
      <c r="L84" t="n">
        <v>0</v>
      </c>
      <c r="M84" t="n">
        <v>0</v>
      </c>
      <c r="N84" t="n">
        <v>0</v>
      </c>
      <c r="O84" t="n">
        <v>4</v>
      </c>
      <c r="P84" t="n">
        <v>0</v>
      </c>
      <c r="Q84" t="n">
        <v>4</v>
      </c>
      <c r="R84" s="2" t="inlineStr">
        <is>
          <t>Blå taggsvamp
Garnlav
Kolflarnlav
Lunglav</t>
        </is>
      </c>
      <c r="S84">
        <f>HYPERLINK("https://klasma.github.io/Logging_2161/artfynd/A 34757-2024 artfynd.xlsx", "A 34757-2024")</f>
        <v/>
      </c>
      <c r="T84">
        <f>HYPERLINK("https://klasma.github.io/Logging_2161/kartor/A 34757-2024 karta.png", "A 34757-2024")</f>
        <v/>
      </c>
      <c r="V84">
        <f>HYPERLINK("https://klasma.github.io/Logging_2161/klagomål/A 34757-2024 FSC-klagomål.docx", "A 34757-2024")</f>
        <v/>
      </c>
      <c r="W84">
        <f>HYPERLINK("https://klasma.github.io/Logging_2161/klagomålsmail/A 34757-2024 FSC-klagomål mail.docx", "A 34757-2024")</f>
        <v/>
      </c>
      <c r="X84">
        <f>HYPERLINK("https://klasma.github.io/Logging_2161/tillsyn/A 34757-2024 tillsynsbegäran.docx", "A 34757-2024")</f>
        <v/>
      </c>
      <c r="Y84">
        <f>HYPERLINK("https://klasma.github.io/Logging_2161/tillsynsmail/A 34757-2024 tillsynsbegäran mail.docx", "A 34757-2024")</f>
        <v/>
      </c>
    </row>
    <row r="85" ht="15" customHeight="1">
      <c r="A85" t="inlineStr">
        <is>
          <t>A 42164-2024</t>
        </is>
      </c>
      <c r="B85" s="1" t="n">
        <v>45562</v>
      </c>
      <c r="C85" s="1" t="n">
        <v>45811</v>
      </c>
      <c r="D85" t="inlineStr">
        <is>
          <t>GÄVLEBORGS LÄN</t>
        </is>
      </c>
      <c r="E85" t="inlineStr">
        <is>
          <t>LJUSDAL</t>
        </is>
      </c>
      <c r="F85" t="inlineStr">
        <is>
          <t>Bergvik skog väst AB</t>
        </is>
      </c>
      <c r="G85" t="n">
        <v>6</v>
      </c>
      <c r="H85" t="n">
        <v>2</v>
      </c>
      <c r="I85" t="n">
        <v>0</v>
      </c>
      <c r="J85" t="n">
        <v>2</v>
      </c>
      <c r="K85" t="n">
        <v>1</v>
      </c>
      <c r="L85" t="n">
        <v>0</v>
      </c>
      <c r="M85" t="n">
        <v>0</v>
      </c>
      <c r="N85" t="n">
        <v>0</v>
      </c>
      <c r="O85" t="n">
        <v>3</v>
      </c>
      <c r="P85" t="n">
        <v>1</v>
      </c>
      <c r="Q85" t="n">
        <v>4</v>
      </c>
      <c r="R85" s="2" t="inlineStr">
        <is>
          <t>Knärot
Garnlav
Lunglav
Lavskrika</t>
        </is>
      </c>
      <c r="S85">
        <f>HYPERLINK("https://klasma.github.io/Logging_2161/artfynd/A 42164-2024 artfynd.xlsx", "A 42164-2024")</f>
        <v/>
      </c>
      <c r="T85">
        <f>HYPERLINK("https://klasma.github.io/Logging_2161/kartor/A 42164-2024 karta.png", "A 42164-2024")</f>
        <v/>
      </c>
      <c r="U85">
        <f>HYPERLINK("https://klasma.github.io/Logging_2161/knärot/A 42164-2024 karta knärot.png", "A 42164-2024")</f>
        <v/>
      </c>
      <c r="V85">
        <f>HYPERLINK("https://klasma.github.io/Logging_2161/klagomål/A 42164-2024 FSC-klagomål.docx", "A 42164-2024")</f>
        <v/>
      </c>
      <c r="W85">
        <f>HYPERLINK("https://klasma.github.io/Logging_2161/klagomålsmail/A 42164-2024 FSC-klagomål mail.docx", "A 42164-2024")</f>
        <v/>
      </c>
      <c r="X85">
        <f>HYPERLINK("https://klasma.github.io/Logging_2161/tillsyn/A 42164-2024 tillsynsbegäran.docx", "A 42164-2024")</f>
        <v/>
      </c>
      <c r="Y85">
        <f>HYPERLINK("https://klasma.github.io/Logging_2161/tillsynsmail/A 42164-2024 tillsynsbegäran mail.docx", "A 42164-2024")</f>
        <v/>
      </c>
      <c r="Z85">
        <f>HYPERLINK("https://klasma.github.io/Logging_2161/fåglar/A 42164-2024 prioriterade fågelarter.docx", "A 42164-2024")</f>
        <v/>
      </c>
    </row>
    <row r="86" ht="15" customHeight="1">
      <c r="A86" t="inlineStr">
        <is>
          <t>A 42706-2024</t>
        </is>
      </c>
      <c r="B86" s="1" t="n">
        <v>45566</v>
      </c>
      <c r="C86" s="1" t="n">
        <v>45811</v>
      </c>
      <c r="D86" t="inlineStr">
        <is>
          <t>GÄVLEBORGS LÄN</t>
        </is>
      </c>
      <c r="E86" t="inlineStr">
        <is>
          <t>LJUSDAL</t>
        </is>
      </c>
      <c r="F86" t="inlineStr">
        <is>
          <t>Kommuner</t>
        </is>
      </c>
      <c r="G86" t="n">
        <v>1.5</v>
      </c>
      <c r="H86" t="n">
        <v>1</v>
      </c>
      <c r="I86" t="n">
        <v>0</v>
      </c>
      <c r="J86" t="n">
        <v>3</v>
      </c>
      <c r="K86" t="n">
        <v>1</v>
      </c>
      <c r="L86" t="n">
        <v>0</v>
      </c>
      <c r="M86" t="n">
        <v>0</v>
      </c>
      <c r="N86" t="n">
        <v>0</v>
      </c>
      <c r="O86" t="n">
        <v>4</v>
      </c>
      <c r="P86" t="n">
        <v>1</v>
      </c>
      <c r="Q86" t="n">
        <v>4</v>
      </c>
      <c r="R86" s="2" t="inlineStr">
        <is>
          <t>Knärot
Garnlav
Lunglav
Violettgrå tagellav</t>
        </is>
      </c>
      <c r="S86">
        <f>HYPERLINK("https://klasma.github.io/Logging_2161/artfynd/A 42706-2024 artfynd.xlsx", "A 42706-2024")</f>
        <v/>
      </c>
      <c r="T86">
        <f>HYPERLINK("https://klasma.github.io/Logging_2161/kartor/A 42706-2024 karta.png", "A 42706-2024")</f>
        <v/>
      </c>
      <c r="U86">
        <f>HYPERLINK("https://klasma.github.io/Logging_2161/knärot/A 42706-2024 karta knärot.png", "A 42706-2024")</f>
        <v/>
      </c>
      <c r="V86">
        <f>HYPERLINK("https://klasma.github.io/Logging_2161/klagomål/A 42706-2024 FSC-klagomål.docx", "A 42706-2024")</f>
        <v/>
      </c>
      <c r="W86">
        <f>HYPERLINK("https://klasma.github.io/Logging_2161/klagomålsmail/A 42706-2024 FSC-klagomål mail.docx", "A 42706-2024")</f>
        <v/>
      </c>
      <c r="X86">
        <f>HYPERLINK("https://klasma.github.io/Logging_2161/tillsyn/A 42706-2024 tillsynsbegäran.docx", "A 42706-2024")</f>
        <v/>
      </c>
      <c r="Y86">
        <f>HYPERLINK("https://klasma.github.io/Logging_2161/tillsynsmail/A 42706-2024 tillsynsbegäran mail.docx", "A 42706-2024")</f>
        <v/>
      </c>
    </row>
    <row r="87" ht="15" customHeight="1">
      <c r="A87" t="inlineStr">
        <is>
          <t>A 48689-2024</t>
        </is>
      </c>
      <c r="B87" s="1" t="n">
        <v>45593</v>
      </c>
      <c r="C87" s="1" t="n">
        <v>45811</v>
      </c>
      <c r="D87" t="inlineStr">
        <is>
          <t>GÄVLEBORGS LÄN</t>
        </is>
      </c>
      <c r="E87" t="inlineStr">
        <is>
          <t>LJUSDAL</t>
        </is>
      </c>
      <c r="F87" t="inlineStr">
        <is>
          <t>Sveaskog</t>
        </is>
      </c>
      <c r="G87" t="n">
        <v>32.6</v>
      </c>
      <c r="H87" t="n">
        <v>0</v>
      </c>
      <c r="I87" t="n">
        <v>0</v>
      </c>
      <c r="J87" t="n">
        <v>4</v>
      </c>
      <c r="K87" t="n">
        <v>0</v>
      </c>
      <c r="L87" t="n">
        <v>0</v>
      </c>
      <c r="M87" t="n">
        <v>0</v>
      </c>
      <c r="N87" t="n">
        <v>0</v>
      </c>
      <c r="O87" t="n">
        <v>4</v>
      </c>
      <c r="P87" t="n">
        <v>0</v>
      </c>
      <c r="Q87" t="n">
        <v>4</v>
      </c>
      <c r="R87" s="2" t="inlineStr">
        <is>
          <t>Kolflarnlav
Lunglav
Motaggsvamp
Skrovellav</t>
        </is>
      </c>
      <c r="S87">
        <f>HYPERLINK("https://klasma.github.io/Logging_2161/artfynd/A 48689-2024 artfynd.xlsx", "A 48689-2024")</f>
        <v/>
      </c>
      <c r="T87">
        <f>HYPERLINK("https://klasma.github.io/Logging_2161/kartor/A 48689-2024 karta.png", "A 48689-2024")</f>
        <v/>
      </c>
      <c r="V87">
        <f>HYPERLINK("https://klasma.github.io/Logging_2161/klagomål/A 48689-2024 FSC-klagomål.docx", "A 48689-2024")</f>
        <v/>
      </c>
      <c r="W87">
        <f>HYPERLINK("https://klasma.github.io/Logging_2161/klagomålsmail/A 48689-2024 FSC-klagomål mail.docx", "A 48689-2024")</f>
        <v/>
      </c>
      <c r="X87">
        <f>HYPERLINK("https://klasma.github.io/Logging_2161/tillsyn/A 48689-2024 tillsynsbegäran.docx", "A 48689-2024")</f>
        <v/>
      </c>
      <c r="Y87">
        <f>HYPERLINK("https://klasma.github.io/Logging_2161/tillsynsmail/A 48689-2024 tillsynsbegäran mail.docx", "A 48689-2024")</f>
        <v/>
      </c>
    </row>
    <row r="88" ht="15" customHeight="1">
      <c r="A88" t="inlineStr">
        <is>
          <t>A 50308-2024</t>
        </is>
      </c>
      <c r="B88" s="1" t="n">
        <v>45600</v>
      </c>
      <c r="C88" s="1" t="n">
        <v>45811</v>
      </c>
      <c r="D88" t="inlineStr">
        <is>
          <t>GÄVLEBORGS LÄN</t>
        </is>
      </c>
      <c r="E88" t="inlineStr">
        <is>
          <t>LJUSDAL</t>
        </is>
      </c>
      <c r="F88" t="inlineStr">
        <is>
          <t>Sveaskog</t>
        </is>
      </c>
      <c r="G88" t="n">
        <v>22.3</v>
      </c>
      <c r="H88" t="n">
        <v>2</v>
      </c>
      <c r="I88" t="n">
        <v>1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4</v>
      </c>
      <c r="R88" s="2" t="inlineStr">
        <is>
          <t>Lunglav
Motaggsvamp
Plattlummer
Fläcknycklar</t>
        </is>
      </c>
      <c r="S88">
        <f>HYPERLINK("https://klasma.github.io/Logging_2161/artfynd/A 50308-2024 artfynd.xlsx", "A 50308-2024")</f>
        <v/>
      </c>
      <c r="T88">
        <f>HYPERLINK("https://klasma.github.io/Logging_2161/kartor/A 50308-2024 karta.png", "A 50308-2024")</f>
        <v/>
      </c>
      <c r="V88">
        <f>HYPERLINK("https://klasma.github.io/Logging_2161/klagomål/A 50308-2024 FSC-klagomål.docx", "A 50308-2024")</f>
        <v/>
      </c>
      <c r="W88">
        <f>HYPERLINK("https://klasma.github.io/Logging_2161/klagomålsmail/A 50308-2024 FSC-klagomål mail.docx", "A 50308-2024")</f>
        <v/>
      </c>
      <c r="X88">
        <f>HYPERLINK("https://klasma.github.io/Logging_2161/tillsyn/A 50308-2024 tillsynsbegäran.docx", "A 50308-2024")</f>
        <v/>
      </c>
      <c r="Y88">
        <f>HYPERLINK("https://klasma.github.io/Logging_2161/tillsynsmail/A 50308-2024 tillsynsbegäran mail.docx", "A 50308-2024")</f>
        <v/>
      </c>
    </row>
    <row r="89" ht="15" customHeight="1">
      <c r="A89" t="inlineStr">
        <is>
          <t>A 51118-2024</t>
        </is>
      </c>
      <c r="B89" s="1" t="n">
        <v>45603</v>
      </c>
      <c r="C89" s="1" t="n">
        <v>45811</v>
      </c>
      <c r="D89" t="inlineStr">
        <is>
          <t>GÄVLEBORGS LÄN</t>
        </is>
      </c>
      <c r="E89" t="inlineStr">
        <is>
          <t>LJUSDAL</t>
        </is>
      </c>
      <c r="F89" t="inlineStr">
        <is>
          <t>Sveaskog</t>
        </is>
      </c>
      <c r="G89" t="n">
        <v>1.3</v>
      </c>
      <c r="H89" t="n">
        <v>0</v>
      </c>
      <c r="I89" t="n">
        <v>0</v>
      </c>
      <c r="J89" t="n">
        <v>3</v>
      </c>
      <c r="K89" t="n">
        <v>1</v>
      </c>
      <c r="L89" t="n">
        <v>0</v>
      </c>
      <c r="M89" t="n">
        <v>0</v>
      </c>
      <c r="N89" t="n">
        <v>0</v>
      </c>
      <c r="O89" t="n">
        <v>4</v>
      </c>
      <c r="P89" t="n">
        <v>1</v>
      </c>
      <c r="Q89" t="n">
        <v>4</v>
      </c>
      <c r="R89" s="2" t="inlineStr">
        <is>
          <t>Småvänderot
Garnlav
Motaggsvamp
Tallticka</t>
        </is>
      </c>
      <c r="S89">
        <f>HYPERLINK("https://klasma.github.io/Logging_2161/artfynd/A 51118-2024 artfynd.xlsx", "A 51118-2024")</f>
        <v/>
      </c>
      <c r="T89">
        <f>HYPERLINK("https://klasma.github.io/Logging_2161/kartor/A 51118-2024 karta.png", "A 51118-2024")</f>
        <v/>
      </c>
      <c r="V89">
        <f>HYPERLINK("https://klasma.github.io/Logging_2161/klagomål/A 51118-2024 FSC-klagomål.docx", "A 51118-2024")</f>
        <v/>
      </c>
      <c r="W89">
        <f>HYPERLINK("https://klasma.github.io/Logging_2161/klagomålsmail/A 51118-2024 FSC-klagomål mail.docx", "A 51118-2024")</f>
        <v/>
      </c>
      <c r="X89">
        <f>HYPERLINK("https://klasma.github.io/Logging_2161/tillsyn/A 51118-2024 tillsynsbegäran.docx", "A 51118-2024")</f>
        <v/>
      </c>
      <c r="Y89">
        <f>HYPERLINK("https://klasma.github.io/Logging_2161/tillsynsmail/A 51118-2024 tillsynsbegäran mail.docx", "A 51118-2024")</f>
        <v/>
      </c>
    </row>
    <row r="90" ht="15" customHeight="1">
      <c r="A90" t="inlineStr">
        <is>
          <t>A 59375-2024</t>
        </is>
      </c>
      <c r="B90" s="1" t="n">
        <v>45638</v>
      </c>
      <c r="C90" s="1" t="n">
        <v>45811</v>
      </c>
      <c r="D90" t="inlineStr">
        <is>
          <t>GÄVLEBORGS LÄN</t>
        </is>
      </c>
      <c r="E90" t="inlineStr">
        <is>
          <t>LJUSDAL</t>
        </is>
      </c>
      <c r="F90" t="inlineStr">
        <is>
          <t>Sveaskog</t>
        </is>
      </c>
      <c r="G90" t="n">
        <v>2.8</v>
      </c>
      <c r="H90" t="n">
        <v>1</v>
      </c>
      <c r="I90" t="n">
        <v>1</v>
      </c>
      <c r="J90" t="n">
        <v>2</v>
      </c>
      <c r="K90" t="n">
        <v>1</v>
      </c>
      <c r="L90" t="n">
        <v>0</v>
      </c>
      <c r="M90" t="n">
        <v>0</v>
      </c>
      <c r="N90" t="n">
        <v>0</v>
      </c>
      <c r="O90" t="n">
        <v>3</v>
      </c>
      <c r="P90" t="n">
        <v>1</v>
      </c>
      <c r="Q90" t="n">
        <v>4</v>
      </c>
      <c r="R90" s="2" t="inlineStr">
        <is>
          <t>Knärot
Garnlav
Kolflarnlav
Dropptaggsvamp</t>
        </is>
      </c>
      <c r="S90">
        <f>HYPERLINK("https://klasma.github.io/Logging_2161/artfynd/A 59375-2024 artfynd.xlsx", "A 59375-2024")</f>
        <v/>
      </c>
      <c r="T90">
        <f>HYPERLINK("https://klasma.github.io/Logging_2161/kartor/A 59375-2024 karta.png", "A 59375-2024")</f>
        <v/>
      </c>
      <c r="U90">
        <f>HYPERLINK("https://klasma.github.io/Logging_2161/knärot/A 59375-2024 karta knärot.png", "A 59375-2024")</f>
        <v/>
      </c>
      <c r="V90">
        <f>HYPERLINK("https://klasma.github.io/Logging_2161/klagomål/A 59375-2024 FSC-klagomål.docx", "A 59375-2024")</f>
        <v/>
      </c>
      <c r="W90">
        <f>HYPERLINK("https://klasma.github.io/Logging_2161/klagomålsmail/A 59375-2024 FSC-klagomål mail.docx", "A 59375-2024")</f>
        <v/>
      </c>
      <c r="X90">
        <f>HYPERLINK("https://klasma.github.io/Logging_2161/tillsyn/A 59375-2024 tillsynsbegäran.docx", "A 59375-2024")</f>
        <v/>
      </c>
      <c r="Y90">
        <f>HYPERLINK("https://klasma.github.io/Logging_2161/tillsynsmail/A 59375-2024 tillsynsbegäran mail.docx", "A 59375-2024")</f>
        <v/>
      </c>
    </row>
    <row r="91" ht="15" customHeight="1">
      <c r="A91" t="inlineStr">
        <is>
          <t>A 14769-2025</t>
        </is>
      </c>
      <c r="B91" s="1" t="n">
        <v>45742</v>
      </c>
      <c r="C91" s="1" t="n">
        <v>45811</v>
      </c>
      <c r="D91" t="inlineStr">
        <is>
          <t>GÄVLEBORGS LÄN</t>
        </is>
      </c>
      <c r="E91" t="inlineStr">
        <is>
          <t>LJUSDAL</t>
        </is>
      </c>
      <c r="F91" t="inlineStr">
        <is>
          <t>Sveaskog</t>
        </is>
      </c>
      <c r="G91" t="n">
        <v>10.2</v>
      </c>
      <c r="H91" t="n">
        <v>1</v>
      </c>
      <c r="I91" t="n">
        <v>0</v>
      </c>
      <c r="J91" t="n">
        <v>3</v>
      </c>
      <c r="K91" t="n">
        <v>0</v>
      </c>
      <c r="L91" t="n">
        <v>0</v>
      </c>
      <c r="M91" t="n">
        <v>0</v>
      </c>
      <c r="N91" t="n">
        <v>0</v>
      </c>
      <c r="O91" t="n">
        <v>3</v>
      </c>
      <c r="P91" t="n">
        <v>0</v>
      </c>
      <c r="Q91" t="n">
        <v>4</v>
      </c>
      <c r="R91" s="2" t="inlineStr">
        <is>
          <t>Garnlav
Kolflarnlav
Vedflamlav
Fläcknycklar</t>
        </is>
      </c>
      <c r="S91">
        <f>HYPERLINK("https://klasma.github.io/Logging_212161/artfynd/A 14769-2025 artfynd.xlsx", "A 14769-2025")</f>
        <v/>
      </c>
      <c r="T91">
        <f>HYPERLINK("https://klasma.github.io/Logging_212161/kartor/A 14769-2025 karta.png", "A 14769-2025")</f>
        <v/>
      </c>
      <c r="V91">
        <f>HYPERLINK("https://klasma.github.io/Logging_212161/klagomål/A 14769-2025 FSC-klagomål.docx", "A 14769-2025")</f>
        <v/>
      </c>
      <c r="W91">
        <f>HYPERLINK("https://klasma.github.io/Logging_212161/klagomålsmail/A 14769-2025 FSC-klagomål mail.docx", "A 14769-2025")</f>
        <v/>
      </c>
      <c r="X91">
        <f>HYPERLINK("https://klasma.github.io/Logging_212161/tillsyn/A 14769-2025 tillsynsbegäran.docx", "A 14769-2025")</f>
        <v/>
      </c>
      <c r="Y91">
        <f>HYPERLINK("https://klasma.github.io/Logging_212161/tillsynsmail/A 14769-2025 tillsynsbegäran mail.docx", "A 14769-2025")</f>
        <v/>
      </c>
    </row>
    <row r="92" ht="15" customHeight="1">
      <c r="A92" t="inlineStr">
        <is>
          <t>A 20596-2025</t>
        </is>
      </c>
      <c r="B92" s="1" t="n">
        <v>45775</v>
      </c>
      <c r="C92" s="1" t="n">
        <v>45811</v>
      </c>
      <c r="D92" t="inlineStr">
        <is>
          <t>GÄVLEBORGS LÄN</t>
        </is>
      </c>
      <c r="E92" t="inlineStr">
        <is>
          <t>LJUSDAL</t>
        </is>
      </c>
      <c r="F92" t="inlineStr">
        <is>
          <t>Sveaskog</t>
        </is>
      </c>
      <c r="G92" t="n">
        <v>15.7</v>
      </c>
      <c r="H92" t="n">
        <v>2</v>
      </c>
      <c r="I92" t="n">
        <v>0</v>
      </c>
      <c r="J92" t="n">
        <v>2</v>
      </c>
      <c r="K92" t="n">
        <v>1</v>
      </c>
      <c r="L92" t="n">
        <v>0</v>
      </c>
      <c r="M92" t="n">
        <v>0</v>
      </c>
      <c r="N92" t="n">
        <v>0</v>
      </c>
      <c r="O92" t="n">
        <v>3</v>
      </c>
      <c r="P92" t="n">
        <v>1</v>
      </c>
      <c r="Q92" t="n">
        <v>4</v>
      </c>
      <c r="R92" s="2" t="inlineStr">
        <is>
          <t>Knärot
Kolflarnlav
Mörk kolflarnlav
Grönsiska</t>
        </is>
      </c>
      <c r="S92">
        <f>HYPERLINK("https://klasma.github.io/Logging_212161/artfynd/A 20596-2025 artfynd.xlsx", "A 20596-2025")</f>
        <v/>
      </c>
      <c r="T92">
        <f>HYPERLINK("https://klasma.github.io/Logging_212161/kartor/A 20596-2025 karta.png", "A 20596-2025")</f>
        <v/>
      </c>
      <c r="U92">
        <f>HYPERLINK("https://klasma.github.io/Logging_212161/knärot/A 20596-2025 karta knärot.png", "A 20596-2025")</f>
        <v/>
      </c>
      <c r="V92">
        <f>HYPERLINK("https://klasma.github.io/Logging_212161/klagomål/A 20596-2025 FSC-klagomål.docx", "A 20596-2025")</f>
        <v/>
      </c>
      <c r="W92">
        <f>HYPERLINK("https://klasma.github.io/Logging_212161/klagomålsmail/A 20596-2025 FSC-klagomål mail.docx", "A 20596-2025")</f>
        <v/>
      </c>
      <c r="X92">
        <f>HYPERLINK("https://klasma.github.io/Logging_212161/tillsyn/A 20596-2025 tillsynsbegäran.docx", "A 20596-2025")</f>
        <v/>
      </c>
      <c r="Y92">
        <f>HYPERLINK("https://klasma.github.io/Logging_212161/tillsynsmail/A 20596-2025 tillsynsbegäran mail.docx", "A 20596-2025")</f>
        <v/>
      </c>
      <c r="Z92">
        <f>HYPERLINK("https://klasma.github.io/Logging_212161/fåglar/A 20596-2025 prioriterade fågelarter.docx", "A 20596-2025")</f>
        <v/>
      </c>
    </row>
    <row r="93" ht="15" customHeight="1">
      <c r="A93" t="inlineStr">
        <is>
          <t>A 22412-2025</t>
        </is>
      </c>
      <c r="B93" s="1" t="n">
        <v>45786</v>
      </c>
      <c r="C93" s="1" t="n">
        <v>45811</v>
      </c>
      <c r="D93" t="inlineStr">
        <is>
          <t>GÄVLEBORGS LÄN</t>
        </is>
      </c>
      <c r="E93" t="inlineStr">
        <is>
          <t>LJUSDAL</t>
        </is>
      </c>
      <c r="F93" t="inlineStr">
        <is>
          <t>Allmännings- och besparingsskogar</t>
        </is>
      </c>
      <c r="G93" t="n">
        <v>23.5</v>
      </c>
      <c r="H93" t="n">
        <v>2</v>
      </c>
      <c r="I93" t="n">
        <v>0</v>
      </c>
      <c r="J93" t="n">
        <v>3</v>
      </c>
      <c r="K93" t="n">
        <v>0</v>
      </c>
      <c r="L93" t="n">
        <v>0</v>
      </c>
      <c r="M93" t="n">
        <v>0</v>
      </c>
      <c r="N93" t="n">
        <v>0</v>
      </c>
      <c r="O93" t="n">
        <v>3</v>
      </c>
      <c r="P93" t="n">
        <v>0</v>
      </c>
      <c r="Q93" t="n">
        <v>4</v>
      </c>
      <c r="R93" s="2" t="inlineStr">
        <is>
          <t>Garnlav
Mörk kolflarnlav
Talltita
Tjäder</t>
        </is>
      </c>
      <c r="S93">
        <f>HYPERLINK("https://klasma.github.io/Logging_212161/artfynd/A 22412-2025 artfynd.xlsx", "A 22412-2025")</f>
        <v/>
      </c>
      <c r="T93">
        <f>HYPERLINK("https://klasma.github.io/Logging_212161/kartor/A 22412-2025 karta.png", "A 22412-2025")</f>
        <v/>
      </c>
      <c r="U93">
        <f>HYPERLINK("https://klasma.github.io/Logging_212161/knärot/A 22412-2025 karta knärot.png", "A 22412-2025")</f>
        <v/>
      </c>
      <c r="V93">
        <f>HYPERLINK("https://klasma.github.io/Logging_212161/klagomål/A 22412-2025 FSC-klagomål.docx", "A 22412-2025")</f>
        <v/>
      </c>
      <c r="W93">
        <f>HYPERLINK("https://klasma.github.io/Logging_212161/klagomålsmail/A 22412-2025 FSC-klagomål mail.docx", "A 22412-2025")</f>
        <v/>
      </c>
      <c r="X93">
        <f>HYPERLINK("https://klasma.github.io/Logging_212161/tillsyn/A 22412-2025 tillsynsbegäran.docx", "A 22412-2025")</f>
        <v/>
      </c>
      <c r="Y93">
        <f>HYPERLINK("https://klasma.github.io/Logging_212161/tillsynsmail/A 22412-2025 tillsynsbegäran mail.docx", "A 22412-2025")</f>
        <v/>
      </c>
      <c r="Z93">
        <f>HYPERLINK("https://klasma.github.io/Logging_212161/fåglar/A 22412-2025 prioriterade fågelarter.docx", "A 22412-2025")</f>
        <v/>
      </c>
    </row>
    <row r="94" ht="15" customHeight="1">
      <c r="A94" t="inlineStr">
        <is>
          <t>A 26446-2025</t>
        </is>
      </c>
      <c r="B94" s="1" t="n">
        <v>45807</v>
      </c>
      <c r="C94" s="1" t="n">
        <v>45811</v>
      </c>
      <c r="D94" t="inlineStr">
        <is>
          <t>GÄVLEBORGS LÄN</t>
        </is>
      </c>
      <c r="E94" t="inlineStr">
        <is>
          <t>LJUSDAL</t>
        </is>
      </c>
      <c r="G94" t="n">
        <v>10.4</v>
      </c>
      <c r="H94" t="n">
        <v>2</v>
      </c>
      <c r="I94" t="n">
        <v>1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4</v>
      </c>
      <c r="R94" s="2" t="inlineStr">
        <is>
          <t>Garnlav
Talltita
Skinnlav
Revlummer</t>
        </is>
      </c>
      <c r="S94">
        <f>HYPERLINK("https://klasma.github.io/Logging_212161/artfynd/A 26446-2025 artfynd.xlsx", "A 26446-2025")</f>
        <v/>
      </c>
      <c r="T94">
        <f>HYPERLINK("https://klasma.github.io/Logging_212161/kartor/A 26446-2025 karta.png", "A 26446-2025")</f>
        <v/>
      </c>
      <c r="V94">
        <f>HYPERLINK("https://klasma.github.io/Logging_212161/klagomål/A 26446-2025 FSC-klagomål.docx", "A 26446-2025")</f>
        <v/>
      </c>
      <c r="W94">
        <f>HYPERLINK("https://klasma.github.io/Logging_212161/klagomålsmail/A 26446-2025 FSC-klagomål mail.docx", "A 26446-2025")</f>
        <v/>
      </c>
      <c r="X94">
        <f>HYPERLINK("https://klasma.github.io/Logging_212161/tillsyn/A 26446-2025 tillsynsbegäran.docx", "A 26446-2025")</f>
        <v/>
      </c>
      <c r="Y94">
        <f>HYPERLINK("https://klasma.github.io/Logging_212161/tillsynsmail/A 26446-2025 tillsynsbegäran mail.docx", "A 26446-2025")</f>
        <v/>
      </c>
      <c r="Z94">
        <f>HYPERLINK("https://klasma.github.io/Logging_212161/fåglar/A 26446-2025 prioriterade fågelarter.docx", "A 26446-2025")</f>
        <v/>
      </c>
    </row>
    <row r="95" ht="15" customHeight="1">
      <c r="A95" t="inlineStr">
        <is>
          <t>A 29664-2019</t>
        </is>
      </c>
      <c r="B95" s="1" t="n">
        <v>43628</v>
      </c>
      <c r="C95" s="1" t="n">
        <v>45811</v>
      </c>
      <c r="D95" t="inlineStr">
        <is>
          <t>GÄVLEBORGS LÄN</t>
        </is>
      </c>
      <c r="E95" t="inlineStr">
        <is>
          <t>LJUSDAL</t>
        </is>
      </c>
      <c r="F95" t="inlineStr">
        <is>
          <t>Holmen skog AB</t>
        </is>
      </c>
      <c r="G95" t="n">
        <v>3.1</v>
      </c>
      <c r="H95" t="n">
        <v>1</v>
      </c>
      <c r="I95" t="n">
        <v>1</v>
      </c>
      <c r="J95" t="n">
        <v>1</v>
      </c>
      <c r="K95" t="n">
        <v>1</v>
      </c>
      <c r="L95" t="n">
        <v>0</v>
      </c>
      <c r="M95" t="n">
        <v>0</v>
      </c>
      <c r="N95" t="n">
        <v>0</v>
      </c>
      <c r="O95" t="n">
        <v>2</v>
      </c>
      <c r="P95" t="n">
        <v>1</v>
      </c>
      <c r="Q95" t="n">
        <v>3</v>
      </c>
      <c r="R95" s="2" t="inlineStr">
        <is>
          <t>Knärot
Ullticka
Dropptaggsvamp</t>
        </is>
      </c>
      <c r="S95">
        <f>HYPERLINK("https://klasma.github.io/Logging_2161/artfynd/A 29664-2019 artfynd.xlsx", "A 29664-2019")</f>
        <v/>
      </c>
      <c r="T95">
        <f>HYPERLINK("https://klasma.github.io/Logging_2161/kartor/A 29664-2019 karta.png", "A 29664-2019")</f>
        <v/>
      </c>
      <c r="U95">
        <f>HYPERLINK("https://klasma.github.io/Logging_2161/knärot/A 29664-2019 karta knärot.png", "A 29664-2019")</f>
        <v/>
      </c>
      <c r="V95">
        <f>HYPERLINK("https://klasma.github.io/Logging_2161/klagomål/A 29664-2019 FSC-klagomål.docx", "A 29664-2019")</f>
        <v/>
      </c>
      <c r="W95">
        <f>HYPERLINK("https://klasma.github.io/Logging_2161/klagomålsmail/A 29664-2019 FSC-klagomål mail.docx", "A 29664-2019")</f>
        <v/>
      </c>
      <c r="X95">
        <f>HYPERLINK("https://klasma.github.io/Logging_2161/tillsyn/A 29664-2019 tillsynsbegäran.docx", "A 29664-2019")</f>
        <v/>
      </c>
      <c r="Y95">
        <f>HYPERLINK("https://klasma.github.io/Logging_2161/tillsynsmail/A 29664-2019 tillsynsbegäran mail.docx", "A 29664-2019")</f>
        <v/>
      </c>
    </row>
    <row r="96" ht="15" customHeight="1">
      <c r="A96" t="inlineStr">
        <is>
          <t>A 3258-2020</t>
        </is>
      </c>
      <c r="B96" s="1" t="n">
        <v>43852</v>
      </c>
      <c r="C96" s="1" t="n">
        <v>45811</v>
      </c>
      <c r="D96" t="inlineStr">
        <is>
          <t>GÄVLEBORGS LÄN</t>
        </is>
      </c>
      <c r="E96" t="inlineStr">
        <is>
          <t>LJUSDAL</t>
        </is>
      </c>
      <c r="F96" t="inlineStr">
        <is>
          <t>Sveaskog</t>
        </is>
      </c>
      <c r="G96" t="n">
        <v>4.3</v>
      </c>
      <c r="H96" t="n">
        <v>1</v>
      </c>
      <c r="I96" t="n">
        <v>1</v>
      </c>
      <c r="J96" t="n">
        <v>1</v>
      </c>
      <c r="K96" t="n">
        <v>1</v>
      </c>
      <c r="L96" t="n">
        <v>0</v>
      </c>
      <c r="M96" t="n">
        <v>0</v>
      </c>
      <c r="N96" t="n">
        <v>0</v>
      </c>
      <c r="O96" t="n">
        <v>2</v>
      </c>
      <c r="P96" t="n">
        <v>1</v>
      </c>
      <c r="Q96" t="n">
        <v>3</v>
      </c>
      <c r="R96" s="2" t="inlineStr">
        <is>
          <t>Knärot
Tallticka
Dropptaggsvamp</t>
        </is>
      </c>
      <c r="S96">
        <f>HYPERLINK("https://klasma.github.io/Logging_2161/artfynd/A 3258-2020 artfynd.xlsx", "A 3258-2020")</f>
        <v/>
      </c>
      <c r="T96">
        <f>HYPERLINK("https://klasma.github.io/Logging_2161/kartor/A 3258-2020 karta.png", "A 3258-2020")</f>
        <v/>
      </c>
      <c r="U96">
        <f>HYPERLINK("https://klasma.github.io/Logging_2161/knärot/A 3258-2020 karta knärot.png", "A 3258-2020")</f>
        <v/>
      </c>
      <c r="V96">
        <f>HYPERLINK("https://klasma.github.io/Logging_2161/klagomål/A 3258-2020 FSC-klagomål.docx", "A 3258-2020")</f>
        <v/>
      </c>
      <c r="W96">
        <f>HYPERLINK("https://klasma.github.io/Logging_2161/klagomålsmail/A 3258-2020 FSC-klagomål mail.docx", "A 3258-2020")</f>
        <v/>
      </c>
      <c r="X96">
        <f>HYPERLINK("https://klasma.github.io/Logging_2161/tillsyn/A 3258-2020 tillsynsbegäran.docx", "A 3258-2020")</f>
        <v/>
      </c>
      <c r="Y96">
        <f>HYPERLINK("https://klasma.github.io/Logging_2161/tillsynsmail/A 3258-2020 tillsynsbegäran mail.docx", "A 3258-2020")</f>
        <v/>
      </c>
    </row>
    <row r="97" ht="15" customHeight="1">
      <c r="A97" t="inlineStr">
        <is>
          <t>A 7558-2020</t>
        </is>
      </c>
      <c r="B97" s="1" t="n">
        <v>43872</v>
      </c>
      <c r="C97" s="1" t="n">
        <v>45811</v>
      </c>
      <c r="D97" t="inlineStr">
        <is>
          <t>GÄVLEBORGS LÄN</t>
        </is>
      </c>
      <c r="E97" t="inlineStr">
        <is>
          <t>LJUSDAL</t>
        </is>
      </c>
      <c r="G97" t="n">
        <v>2.9</v>
      </c>
      <c r="H97" t="n">
        <v>0</v>
      </c>
      <c r="I97" t="n">
        <v>1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3</v>
      </c>
      <c r="R97" s="2" t="inlineStr">
        <is>
          <t>Dvärgbägarlav
Vedskivlav
Dropptaggsvamp</t>
        </is>
      </c>
      <c r="S97">
        <f>HYPERLINK("https://klasma.github.io/Logging_2161/artfynd/A 7558-2020 artfynd.xlsx", "A 7558-2020")</f>
        <v/>
      </c>
      <c r="T97">
        <f>HYPERLINK("https://klasma.github.io/Logging_2161/kartor/A 7558-2020 karta.png", "A 7558-2020")</f>
        <v/>
      </c>
      <c r="V97">
        <f>HYPERLINK("https://klasma.github.io/Logging_2161/klagomål/A 7558-2020 FSC-klagomål.docx", "A 7558-2020")</f>
        <v/>
      </c>
      <c r="W97">
        <f>HYPERLINK("https://klasma.github.io/Logging_2161/klagomålsmail/A 7558-2020 FSC-klagomål mail.docx", "A 7558-2020")</f>
        <v/>
      </c>
      <c r="X97">
        <f>HYPERLINK("https://klasma.github.io/Logging_2161/tillsyn/A 7558-2020 tillsynsbegäran.docx", "A 7558-2020")</f>
        <v/>
      </c>
      <c r="Y97">
        <f>HYPERLINK("https://klasma.github.io/Logging_2161/tillsynsmail/A 7558-2020 tillsynsbegäran mail.docx", "A 7558-2020")</f>
        <v/>
      </c>
    </row>
    <row r="98" ht="15" customHeight="1">
      <c r="A98" t="inlineStr">
        <is>
          <t>A 24470-2020</t>
        </is>
      </c>
      <c r="B98" s="1" t="n">
        <v>43977</v>
      </c>
      <c r="C98" s="1" t="n">
        <v>45811</v>
      </c>
      <c r="D98" t="inlineStr">
        <is>
          <t>GÄVLEBORGS LÄN</t>
        </is>
      </c>
      <c r="E98" t="inlineStr">
        <is>
          <t>LJUSDAL</t>
        </is>
      </c>
      <c r="F98" t="inlineStr">
        <is>
          <t>Naturvårdsverket</t>
        </is>
      </c>
      <c r="G98" t="n">
        <v>2.5</v>
      </c>
      <c r="H98" t="n">
        <v>1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3</v>
      </c>
      <c r="R98" s="2" t="inlineStr">
        <is>
          <t>Garnlav
Mörk kolflarnlav
Nattviol</t>
        </is>
      </c>
      <c r="S98">
        <f>HYPERLINK("https://klasma.github.io/Logging_2161/artfynd/A 24470-2020 artfynd.xlsx", "A 24470-2020")</f>
        <v/>
      </c>
      <c r="T98">
        <f>HYPERLINK("https://klasma.github.io/Logging_2161/kartor/A 24470-2020 karta.png", "A 24470-2020")</f>
        <v/>
      </c>
      <c r="V98">
        <f>HYPERLINK("https://klasma.github.io/Logging_2161/klagomål/A 24470-2020 FSC-klagomål.docx", "A 24470-2020")</f>
        <v/>
      </c>
      <c r="W98">
        <f>HYPERLINK("https://klasma.github.io/Logging_2161/klagomålsmail/A 24470-2020 FSC-klagomål mail.docx", "A 24470-2020")</f>
        <v/>
      </c>
      <c r="X98">
        <f>HYPERLINK("https://klasma.github.io/Logging_2161/tillsyn/A 24470-2020 tillsynsbegäran.docx", "A 24470-2020")</f>
        <v/>
      </c>
      <c r="Y98">
        <f>HYPERLINK("https://klasma.github.io/Logging_2161/tillsynsmail/A 24470-2020 tillsynsbegäran mail.docx", "A 24470-2020")</f>
        <v/>
      </c>
    </row>
    <row r="99" ht="15" customHeight="1">
      <c r="A99" t="inlineStr">
        <is>
          <t>A 56674-2020</t>
        </is>
      </c>
      <c r="B99" s="1" t="n">
        <v>44137</v>
      </c>
      <c r="C99" s="1" t="n">
        <v>45811</v>
      </c>
      <c r="D99" t="inlineStr">
        <is>
          <t>GÄVLEBORGS LÄN</t>
        </is>
      </c>
      <c r="E99" t="inlineStr">
        <is>
          <t>LJUSDAL</t>
        </is>
      </c>
      <c r="G99" t="n">
        <v>11</v>
      </c>
      <c r="H99" t="n">
        <v>1</v>
      </c>
      <c r="I99" t="n">
        <v>2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3</v>
      </c>
      <c r="R99" s="2" t="inlineStr">
        <is>
          <t>Knärot
Korallblylav
Mörk husmossa</t>
        </is>
      </c>
      <c r="S99">
        <f>HYPERLINK("https://klasma.github.io/Logging_2161/artfynd/A 56674-2020 artfynd.xlsx", "A 56674-2020")</f>
        <v/>
      </c>
      <c r="T99">
        <f>HYPERLINK("https://klasma.github.io/Logging_2161/kartor/A 56674-2020 karta.png", "A 56674-2020")</f>
        <v/>
      </c>
      <c r="U99">
        <f>HYPERLINK("https://klasma.github.io/Logging_2161/knärot/A 56674-2020 karta knärot.png", "A 56674-2020")</f>
        <v/>
      </c>
      <c r="V99">
        <f>HYPERLINK("https://klasma.github.io/Logging_2161/klagomål/A 56674-2020 FSC-klagomål.docx", "A 56674-2020")</f>
        <v/>
      </c>
      <c r="W99">
        <f>HYPERLINK("https://klasma.github.io/Logging_2161/klagomålsmail/A 56674-2020 FSC-klagomål mail.docx", "A 56674-2020")</f>
        <v/>
      </c>
      <c r="X99">
        <f>HYPERLINK("https://klasma.github.io/Logging_2161/tillsyn/A 56674-2020 tillsynsbegäran.docx", "A 56674-2020")</f>
        <v/>
      </c>
      <c r="Y99">
        <f>HYPERLINK("https://klasma.github.io/Logging_2161/tillsynsmail/A 56674-2020 tillsynsbegäran mail.docx", "A 56674-2020")</f>
        <v/>
      </c>
    </row>
    <row r="100" ht="15" customHeight="1">
      <c r="A100" t="inlineStr">
        <is>
          <t>A 60162-2020</t>
        </is>
      </c>
      <c r="B100" s="1" t="n">
        <v>44152</v>
      </c>
      <c r="C100" s="1" t="n">
        <v>45811</v>
      </c>
      <c r="D100" t="inlineStr">
        <is>
          <t>GÄVLEBORGS LÄN</t>
        </is>
      </c>
      <c r="E100" t="inlineStr">
        <is>
          <t>LJUSDAL</t>
        </is>
      </c>
      <c r="F100" t="inlineStr">
        <is>
          <t>Sveaskog</t>
        </is>
      </c>
      <c r="G100" t="n">
        <v>8.4</v>
      </c>
      <c r="H100" t="n">
        <v>0</v>
      </c>
      <c r="I100" t="n">
        <v>0</v>
      </c>
      <c r="J100" t="n">
        <v>3</v>
      </c>
      <c r="K100" t="n">
        <v>0</v>
      </c>
      <c r="L100" t="n">
        <v>0</v>
      </c>
      <c r="M100" t="n">
        <v>0</v>
      </c>
      <c r="N100" t="n">
        <v>0</v>
      </c>
      <c r="O100" t="n">
        <v>3</v>
      </c>
      <c r="P100" t="n">
        <v>0</v>
      </c>
      <c r="Q100" t="n">
        <v>3</v>
      </c>
      <c r="R100" s="2" t="inlineStr">
        <is>
          <t>Kolflarnlav
Lunglav
Skrovellav</t>
        </is>
      </c>
      <c r="S100">
        <f>HYPERLINK("https://klasma.github.io/Logging_2161/artfynd/A 60162-2020 artfynd.xlsx", "A 60162-2020")</f>
        <v/>
      </c>
      <c r="T100">
        <f>HYPERLINK("https://klasma.github.io/Logging_2161/kartor/A 60162-2020 karta.png", "A 60162-2020")</f>
        <v/>
      </c>
      <c r="V100">
        <f>HYPERLINK("https://klasma.github.io/Logging_2161/klagomål/A 60162-2020 FSC-klagomål.docx", "A 60162-2020")</f>
        <v/>
      </c>
      <c r="W100">
        <f>HYPERLINK("https://klasma.github.io/Logging_2161/klagomålsmail/A 60162-2020 FSC-klagomål mail.docx", "A 60162-2020")</f>
        <v/>
      </c>
      <c r="X100">
        <f>HYPERLINK("https://klasma.github.io/Logging_2161/tillsyn/A 60162-2020 tillsynsbegäran.docx", "A 60162-2020")</f>
        <v/>
      </c>
      <c r="Y100">
        <f>HYPERLINK("https://klasma.github.io/Logging_2161/tillsynsmail/A 60162-2020 tillsynsbegäran mail.docx", "A 60162-2020")</f>
        <v/>
      </c>
    </row>
    <row r="101" ht="15" customHeight="1">
      <c r="A101" t="inlineStr">
        <is>
          <t>A 64591-2020</t>
        </is>
      </c>
      <c r="B101" s="1" t="n">
        <v>44169</v>
      </c>
      <c r="C101" s="1" t="n">
        <v>45811</v>
      </c>
      <c r="D101" t="inlineStr">
        <is>
          <t>GÄVLEBORGS LÄN</t>
        </is>
      </c>
      <c r="E101" t="inlineStr">
        <is>
          <t>LJUSDAL</t>
        </is>
      </c>
      <c r="F101" t="inlineStr">
        <is>
          <t>Bergvik skog väst AB</t>
        </is>
      </c>
      <c r="G101" t="n">
        <v>3.5</v>
      </c>
      <c r="H101" t="n">
        <v>0</v>
      </c>
      <c r="I101" t="n">
        <v>2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3</v>
      </c>
      <c r="R101" s="2" t="inlineStr">
        <is>
          <t>Kandelabersvamp
Aspvedgnagare
Skinnlav</t>
        </is>
      </c>
      <c r="S101">
        <f>HYPERLINK("https://klasma.github.io/Logging_2161/artfynd/A 64591-2020 artfynd.xlsx", "A 64591-2020")</f>
        <v/>
      </c>
      <c r="T101">
        <f>HYPERLINK("https://klasma.github.io/Logging_2161/kartor/A 64591-2020 karta.png", "A 64591-2020")</f>
        <v/>
      </c>
      <c r="V101">
        <f>HYPERLINK("https://klasma.github.io/Logging_2161/klagomål/A 64591-2020 FSC-klagomål.docx", "A 64591-2020")</f>
        <v/>
      </c>
      <c r="W101">
        <f>HYPERLINK("https://klasma.github.io/Logging_2161/klagomålsmail/A 64591-2020 FSC-klagomål mail.docx", "A 64591-2020")</f>
        <v/>
      </c>
      <c r="X101">
        <f>HYPERLINK("https://klasma.github.io/Logging_2161/tillsyn/A 64591-2020 tillsynsbegäran.docx", "A 64591-2020")</f>
        <v/>
      </c>
      <c r="Y101">
        <f>HYPERLINK("https://klasma.github.io/Logging_2161/tillsynsmail/A 64591-2020 tillsynsbegäran mail.docx", "A 64591-2020")</f>
        <v/>
      </c>
    </row>
    <row r="102" ht="15" customHeight="1">
      <c r="A102" t="inlineStr">
        <is>
          <t>A 49099-2021</t>
        </is>
      </c>
      <c r="B102" s="1" t="n">
        <v>44453</v>
      </c>
      <c r="C102" s="1" t="n">
        <v>45811</v>
      </c>
      <c r="D102" t="inlineStr">
        <is>
          <t>GÄVLEBORGS LÄN</t>
        </is>
      </c>
      <c r="E102" t="inlineStr">
        <is>
          <t>LJUSDAL</t>
        </is>
      </c>
      <c r="F102" t="inlineStr">
        <is>
          <t>Sveaskog</t>
        </is>
      </c>
      <c r="G102" t="n">
        <v>10</v>
      </c>
      <c r="H102" t="n">
        <v>0</v>
      </c>
      <c r="I102" t="n">
        <v>0</v>
      </c>
      <c r="J102" t="n">
        <v>3</v>
      </c>
      <c r="K102" t="n">
        <v>0</v>
      </c>
      <c r="L102" t="n">
        <v>0</v>
      </c>
      <c r="M102" t="n">
        <v>0</v>
      </c>
      <c r="N102" t="n">
        <v>0</v>
      </c>
      <c r="O102" t="n">
        <v>3</v>
      </c>
      <c r="P102" t="n">
        <v>0</v>
      </c>
      <c r="Q102" t="n">
        <v>3</v>
      </c>
      <c r="R102" s="2" t="inlineStr">
        <is>
          <t>Garnlav
Lunglav
Skrovellav</t>
        </is>
      </c>
      <c r="S102">
        <f>HYPERLINK("https://klasma.github.io/Logging_2161/artfynd/A 49099-2021 artfynd.xlsx", "A 49099-2021")</f>
        <v/>
      </c>
      <c r="T102">
        <f>HYPERLINK("https://klasma.github.io/Logging_2161/kartor/A 49099-2021 karta.png", "A 49099-2021")</f>
        <v/>
      </c>
      <c r="U102">
        <f>HYPERLINK("https://klasma.github.io/Logging_2161/knärot/A 49099-2021 karta knärot.png", "A 49099-2021")</f>
        <v/>
      </c>
      <c r="V102">
        <f>HYPERLINK("https://klasma.github.io/Logging_2161/klagomål/A 49099-2021 FSC-klagomål.docx", "A 49099-2021")</f>
        <v/>
      </c>
      <c r="W102">
        <f>HYPERLINK("https://klasma.github.io/Logging_2161/klagomålsmail/A 49099-2021 FSC-klagomål mail.docx", "A 49099-2021")</f>
        <v/>
      </c>
      <c r="X102">
        <f>HYPERLINK("https://klasma.github.io/Logging_2161/tillsyn/A 49099-2021 tillsynsbegäran.docx", "A 49099-2021")</f>
        <v/>
      </c>
      <c r="Y102">
        <f>HYPERLINK("https://klasma.github.io/Logging_2161/tillsynsmail/A 49099-2021 tillsynsbegäran mail.docx", "A 49099-2021")</f>
        <v/>
      </c>
    </row>
    <row r="103" ht="15" customHeight="1">
      <c r="A103" t="inlineStr">
        <is>
          <t>A 21538-2022</t>
        </is>
      </c>
      <c r="B103" s="1" t="n">
        <v>44706</v>
      </c>
      <c r="C103" s="1" t="n">
        <v>45811</v>
      </c>
      <c r="D103" t="inlineStr">
        <is>
          <t>GÄVLEBORGS LÄN</t>
        </is>
      </c>
      <c r="E103" t="inlineStr">
        <is>
          <t>LJUSDAL</t>
        </is>
      </c>
      <c r="F103" t="inlineStr">
        <is>
          <t>Sveaskog</t>
        </is>
      </c>
      <c r="G103" t="n">
        <v>2.3</v>
      </c>
      <c r="H103" t="n">
        <v>0</v>
      </c>
      <c r="I103" t="n">
        <v>1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3</v>
      </c>
      <c r="R103" s="2" t="inlineStr">
        <is>
          <t>Kolflarnlav
Mörk kolflarnlav
Dropptaggsvamp</t>
        </is>
      </c>
      <c r="S103">
        <f>HYPERLINK("https://klasma.github.io/Logging_2161/artfynd/A 21538-2022 artfynd.xlsx", "A 21538-2022")</f>
        <v/>
      </c>
      <c r="T103">
        <f>HYPERLINK("https://klasma.github.io/Logging_2161/kartor/A 21538-2022 karta.png", "A 21538-2022")</f>
        <v/>
      </c>
      <c r="V103">
        <f>HYPERLINK("https://klasma.github.io/Logging_2161/klagomål/A 21538-2022 FSC-klagomål.docx", "A 21538-2022")</f>
        <v/>
      </c>
      <c r="W103">
        <f>HYPERLINK("https://klasma.github.io/Logging_2161/klagomålsmail/A 21538-2022 FSC-klagomål mail.docx", "A 21538-2022")</f>
        <v/>
      </c>
      <c r="X103">
        <f>HYPERLINK("https://klasma.github.io/Logging_2161/tillsyn/A 21538-2022 tillsynsbegäran.docx", "A 21538-2022")</f>
        <v/>
      </c>
      <c r="Y103">
        <f>HYPERLINK("https://klasma.github.io/Logging_2161/tillsynsmail/A 21538-2022 tillsynsbegäran mail.docx", "A 21538-2022")</f>
        <v/>
      </c>
    </row>
    <row r="104" ht="15" customHeight="1">
      <c r="A104" t="inlineStr">
        <is>
          <t>A 21797-2022</t>
        </is>
      </c>
      <c r="B104" s="1" t="n">
        <v>44708</v>
      </c>
      <c r="C104" s="1" t="n">
        <v>45811</v>
      </c>
      <c r="D104" t="inlineStr">
        <is>
          <t>GÄVLEBORGS LÄN</t>
        </is>
      </c>
      <c r="E104" t="inlineStr">
        <is>
          <t>LJUSDAL</t>
        </is>
      </c>
      <c r="F104" t="inlineStr">
        <is>
          <t>Holmen skog AB</t>
        </is>
      </c>
      <c r="G104" t="n">
        <v>2.5</v>
      </c>
      <c r="H104" t="n">
        <v>0</v>
      </c>
      <c r="I104" t="n">
        <v>2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3</v>
      </c>
      <c r="R104" s="2" t="inlineStr">
        <is>
          <t>Ullticka
Skinnlav
Vedticka</t>
        </is>
      </c>
      <c r="S104">
        <f>HYPERLINK("https://klasma.github.io/Logging_2161/artfynd/A 21797-2022 artfynd.xlsx", "A 21797-2022")</f>
        <v/>
      </c>
      <c r="T104">
        <f>HYPERLINK("https://klasma.github.io/Logging_2161/kartor/A 21797-2022 karta.png", "A 21797-2022")</f>
        <v/>
      </c>
      <c r="V104">
        <f>HYPERLINK("https://klasma.github.io/Logging_2161/klagomål/A 21797-2022 FSC-klagomål.docx", "A 21797-2022")</f>
        <v/>
      </c>
      <c r="W104">
        <f>HYPERLINK("https://klasma.github.io/Logging_2161/klagomålsmail/A 21797-2022 FSC-klagomål mail.docx", "A 21797-2022")</f>
        <v/>
      </c>
      <c r="X104">
        <f>HYPERLINK("https://klasma.github.io/Logging_2161/tillsyn/A 21797-2022 tillsynsbegäran.docx", "A 21797-2022")</f>
        <v/>
      </c>
      <c r="Y104">
        <f>HYPERLINK("https://klasma.github.io/Logging_2161/tillsynsmail/A 21797-2022 tillsynsbegäran mail.docx", "A 21797-2022")</f>
        <v/>
      </c>
    </row>
    <row r="105" ht="15" customHeight="1">
      <c r="A105" t="inlineStr">
        <is>
          <t>A 26055-2022</t>
        </is>
      </c>
      <c r="B105" s="1" t="n">
        <v>44734</v>
      </c>
      <c r="C105" s="1" t="n">
        <v>45811</v>
      </c>
      <c r="D105" t="inlineStr">
        <is>
          <t>GÄVLEBORGS LÄN</t>
        </is>
      </c>
      <c r="E105" t="inlineStr">
        <is>
          <t>LJUSDAL</t>
        </is>
      </c>
      <c r="F105" t="inlineStr">
        <is>
          <t>Bergvik skog väst AB</t>
        </is>
      </c>
      <c r="G105" t="n">
        <v>23.3</v>
      </c>
      <c r="H105" t="n">
        <v>0</v>
      </c>
      <c r="I105" t="n">
        <v>0</v>
      </c>
      <c r="J105" t="n">
        <v>2</v>
      </c>
      <c r="K105" t="n">
        <v>1</v>
      </c>
      <c r="L105" t="n">
        <v>0</v>
      </c>
      <c r="M105" t="n">
        <v>0</v>
      </c>
      <c r="N105" t="n">
        <v>0</v>
      </c>
      <c r="O105" t="n">
        <v>3</v>
      </c>
      <c r="P105" t="n">
        <v>1</v>
      </c>
      <c r="Q105" t="n">
        <v>3</v>
      </c>
      <c r="R105" s="2" t="inlineStr">
        <is>
          <t>Aspfjädermossa
Stiftgelélav
Vedtrappmossa</t>
        </is>
      </c>
      <c r="S105">
        <f>HYPERLINK("https://klasma.github.io/Logging_2161/artfynd/A 26055-2022 artfynd.xlsx", "A 26055-2022")</f>
        <v/>
      </c>
      <c r="T105">
        <f>HYPERLINK("https://klasma.github.io/Logging_2161/kartor/A 26055-2022 karta.png", "A 26055-2022")</f>
        <v/>
      </c>
      <c r="V105">
        <f>HYPERLINK("https://klasma.github.io/Logging_2161/klagomål/A 26055-2022 FSC-klagomål.docx", "A 26055-2022")</f>
        <v/>
      </c>
      <c r="W105">
        <f>HYPERLINK("https://klasma.github.io/Logging_2161/klagomålsmail/A 26055-2022 FSC-klagomål mail.docx", "A 26055-2022")</f>
        <v/>
      </c>
      <c r="X105">
        <f>HYPERLINK("https://klasma.github.io/Logging_2161/tillsyn/A 26055-2022 tillsynsbegäran.docx", "A 26055-2022")</f>
        <v/>
      </c>
      <c r="Y105">
        <f>HYPERLINK("https://klasma.github.io/Logging_2161/tillsynsmail/A 26055-2022 tillsynsbegäran mail.docx", "A 26055-2022")</f>
        <v/>
      </c>
    </row>
    <row r="106" ht="15" customHeight="1">
      <c r="A106" t="inlineStr">
        <is>
          <t>A 31019-2022</t>
        </is>
      </c>
      <c r="B106" s="1" t="n">
        <v>44768</v>
      </c>
      <c r="C106" s="1" t="n">
        <v>45811</v>
      </c>
      <c r="D106" t="inlineStr">
        <is>
          <t>GÄVLEBORGS LÄN</t>
        </is>
      </c>
      <c r="E106" t="inlineStr">
        <is>
          <t>LJUSDAL</t>
        </is>
      </c>
      <c r="F106" t="inlineStr">
        <is>
          <t>Allmännings- och besparingsskogar</t>
        </is>
      </c>
      <c r="G106" t="n">
        <v>2</v>
      </c>
      <c r="H106" t="n">
        <v>1</v>
      </c>
      <c r="I106" t="n">
        <v>0</v>
      </c>
      <c r="J106" t="n">
        <v>2</v>
      </c>
      <c r="K106" t="n">
        <v>1</v>
      </c>
      <c r="L106" t="n">
        <v>0</v>
      </c>
      <c r="M106" t="n">
        <v>0</v>
      </c>
      <c r="N106" t="n">
        <v>0</v>
      </c>
      <c r="O106" t="n">
        <v>3</v>
      </c>
      <c r="P106" t="n">
        <v>1</v>
      </c>
      <c r="Q106" t="n">
        <v>3</v>
      </c>
      <c r="R106" s="2" t="inlineStr">
        <is>
          <t>Knärot
Garnlav
Tallticka</t>
        </is>
      </c>
      <c r="S106">
        <f>HYPERLINK("https://klasma.github.io/Logging_2161/artfynd/A 31019-2022 artfynd.xlsx", "A 31019-2022")</f>
        <v/>
      </c>
      <c r="T106">
        <f>HYPERLINK("https://klasma.github.io/Logging_2161/kartor/A 31019-2022 karta.png", "A 31019-2022")</f>
        <v/>
      </c>
      <c r="U106">
        <f>HYPERLINK("https://klasma.github.io/Logging_2161/knärot/A 31019-2022 karta knärot.png", "A 31019-2022")</f>
        <v/>
      </c>
      <c r="V106">
        <f>HYPERLINK("https://klasma.github.io/Logging_2161/klagomål/A 31019-2022 FSC-klagomål.docx", "A 31019-2022")</f>
        <v/>
      </c>
      <c r="W106">
        <f>HYPERLINK("https://klasma.github.io/Logging_2161/klagomålsmail/A 31019-2022 FSC-klagomål mail.docx", "A 31019-2022")</f>
        <v/>
      </c>
      <c r="X106">
        <f>HYPERLINK("https://klasma.github.io/Logging_2161/tillsyn/A 31019-2022 tillsynsbegäran.docx", "A 31019-2022")</f>
        <v/>
      </c>
      <c r="Y106">
        <f>HYPERLINK("https://klasma.github.io/Logging_2161/tillsynsmail/A 31019-2022 tillsynsbegäran mail.docx", "A 31019-2022")</f>
        <v/>
      </c>
    </row>
    <row r="107" ht="15" customHeight="1">
      <c r="A107" t="inlineStr">
        <is>
          <t>A 40292-2022</t>
        </is>
      </c>
      <c r="B107" s="1" t="n">
        <v>44821</v>
      </c>
      <c r="C107" s="1" t="n">
        <v>45811</v>
      </c>
      <c r="D107" t="inlineStr">
        <is>
          <t>GÄVLEBORGS LÄN</t>
        </is>
      </c>
      <c r="E107" t="inlineStr">
        <is>
          <t>LJUSDAL</t>
        </is>
      </c>
      <c r="F107" t="inlineStr">
        <is>
          <t>Sveaskog</t>
        </is>
      </c>
      <c r="G107" t="n">
        <v>3.1</v>
      </c>
      <c r="H107" t="n">
        <v>0</v>
      </c>
      <c r="I107" t="n">
        <v>1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3</v>
      </c>
      <c r="R107" s="2" t="inlineStr">
        <is>
          <t>Kolflarnlav
Mörk kolflarnlav
Dropptaggsvamp</t>
        </is>
      </c>
      <c r="S107">
        <f>HYPERLINK("https://klasma.github.io/Logging_2161/artfynd/A 40292-2022 artfynd.xlsx", "A 40292-2022")</f>
        <v/>
      </c>
      <c r="T107">
        <f>HYPERLINK("https://klasma.github.io/Logging_2161/kartor/A 40292-2022 karta.png", "A 40292-2022")</f>
        <v/>
      </c>
      <c r="V107">
        <f>HYPERLINK("https://klasma.github.io/Logging_2161/klagomål/A 40292-2022 FSC-klagomål.docx", "A 40292-2022")</f>
        <v/>
      </c>
      <c r="W107">
        <f>HYPERLINK("https://klasma.github.io/Logging_2161/klagomålsmail/A 40292-2022 FSC-klagomål mail.docx", "A 40292-2022")</f>
        <v/>
      </c>
      <c r="X107">
        <f>HYPERLINK("https://klasma.github.io/Logging_2161/tillsyn/A 40292-2022 tillsynsbegäran.docx", "A 40292-2022")</f>
        <v/>
      </c>
      <c r="Y107">
        <f>HYPERLINK("https://klasma.github.io/Logging_2161/tillsynsmail/A 40292-2022 tillsynsbegäran mail.docx", "A 40292-2022")</f>
        <v/>
      </c>
    </row>
    <row r="108" ht="15" customHeight="1">
      <c r="A108" t="inlineStr">
        <is>
          <t>A 49671-2022</t>
        </is>
      </c>
      <c r="B108" s="1" t="n">
        <v>44862</v>
      </c>
      <c r="C108" s="1" t="n">
        <v>45811</v>
      </c>
      <c r="D108" t="inlineStr">
        <is>
          <t>GÄVLEBORGS LÄN</t>
        </is>
      </c>
      <c r="E108" t="inlineStr">
        <is>
          <t>LJUSDAL</t>
        </is>
      </c>
      <c r="F108" t="inlineStr">
        <is>
          <t>Sveaskog</t>
        </is>
      </c>
      <c r="G108" t="n">
        <v>11.4</v>
      </c>
      <c r="H108" t="n">
        <v>2</v>
      </c>
      <c r="I108" t="n">
        <v>0</v>
      </c>
      <c r="J108" t="n">
        <v>1</v>
      </c>
      <c r="K108" t="n">
        <v>1</v>
      </c>
      <c r="L108" t="n">
        <v>0</v>
      </c>
      <c r="M108" t="n">
        <v>0</v>
      </c>
      <c r="N108" t="n">
        <v>0</v>
      </c>
      <c r="O108" t="n">
        <v>2</v>
      </c>
      <c r="P108" t="n">
        <v>1</v>
      </c>
      <c r="Q108" t="n">
        <v>3</v>
      </c>
      <c r="R108" s="2" t="inlineStr">
        <is>
          <t>Knärot
Lunglav
Trana</t>
        </is>
      </c>
      <c r="S108">
        <f>HYPERLINK("https://klasma.github.io/Logging_2161/artfynd/A 49671-2022 artfynd.xlsx", "A 49671-2022")</f>
        <v/>
      </c>
      <c r="T108">
        <f>HYPERLINK("https://klasma.github.io/Logging_2161/kartor/A 49671-2022 karta.png", "A 49671-2022")</f>
        <v/>
      </c>
      <c r="U108">
        <f>HYPERLINK("https://klasma.github.io/Logging_2161/knärot/A 49671-2022 karta knärot.png", "A 49671-2022")</f>
        <v/>
      </c>
      <c r="V108">
        <f>HYPERLINK("https://klasma.github.io/Logging_2161/klagomål/A 49671-2022 FSC-klagomål.docx", "A 49671-2022")</f>
        <v/>
      </c>
      <c r="W108">
        <f>HYPERLINK("https://klasma.github.io/Logging_2161/klagomålsmail/A 49671-2022 FSC-klagomål mail.docx", "A 49671-2022")</f>
        <v/>
      </c>
      <c r="X108">
        <f>HYPERLINK("https://klasma.github.io/Logging_2161/tillsyn/A 49671-2022 tillsynsbegäran.docx", "A 49671-2022")</f>
        <v/>
      </c>
      <c r="Y108">
        <f>HYPERLINK("https://klasma.github.io/Logging_2161/tillsynsmail/A 49671-2022 tillsynsbegäran mail.docx", "A 49671-2022")</f>
        <v/>
      </c>
      <c r="Z108">
        <f>HYPERLINK("https://klasma.github.io/Logging_2161/fåglar/A 49671-2022 prioriterade fågelarter.docx", "A 49671-2022")</f>
        <v/>
      </c>
    </row>
    <row r="109" ht="15" customHeight="1">
      <c r="A109" t="inlineStr">
        <is>
          <t>A 54472-2022</t>
        </is>
      </c>
      <c r="B109" s="1" t="n">
        <v>44882</v>
      </c>
      <c r="C109" s="1" t="n">
        <v>45811</v>
      </c>
      <c r="D109" t="inlineStr">
        <is>
          <t>GÄVLEBORGS LÄN</t>
        </is>
      </c>
      <c r="E109" t="inlineStr">
        <is>
          <t>LJUSDAL</t>
        </is>
      </c>
      <c r="F109" t="inlineStr">
        <is>
          <t>Bergvik skog väst AB</t>
        </is>
      </c>
      <c r="G109" t="n">
        <v>3.1</v>
      </c>
      <c r="H109" t="n">
        <v>0</v>
      </c>
      <c r="I109" t="n">
        <v>1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3</v>
      </c>
      <c r="R109" s="2" t="inlineStr">
        <is>
          <t>Lunglav
Skrovellav
Källmossa</t>
        </is>
      </c>
      <c r="S109">
        <f>HYPERLINK("https://klasma.github.io/Logging_2161/artfynd/A 54472-2022 artfynd.xlsx", "A 54472-2022")</f>
        <v/>
      </c>
      <c r="T109">
        <f>HYPERLINK("https://klasma.github.io/Logging_2161/kartor/A 54472-2022 karta.png", "A 54472-2022")</f>
        <v/>
      </c>
      <c r="U109">
        <f>HYPERLINK("https://klasma.github.io/Logging_2161/knärot/A 54472-2022 karta knärot.png", "A 54472-2022")</f>
        <v/>
      </c>
      <c r="V109">
        <f>HYPERLINK("https://klasma.github.io/Logging_2161/klagomål/A 54472-2022 FSC-klagomål.docx", "A 54472-2022")</f>
        <v/>
      </c>
      <c r="W109">
        <f>HYPERLINK("https://klasma.github.io/Logging_2161/klagomålsmail/A 54472-2022 FSC-klagomål mail.docx", "A 54472-2022")</f>
        <v/>
      </c>
      <c r="X109">
        <f>HYPERLINK("https://klasma.github.io/Logging_2161/tillsyn/A 54472-2022 tillsynsbegäran.docx", "A 54472-2022")</f>
        <v/>
      </c>
      <c r="Y109">
        <f>HYPERLINK("https://klasma.github.io/Logging_2161/tillsynsmail/A 54472-2022 tillsynsbegäran mail.docx", "A 54472-2022")</f>
        <v/>
      </c>
    </row>
    <row r="110" ht="15" customHeight="1">
      <c r="A110" t="inlineStr">
        <is>
          <t>A 12105-2023</t>
        </is>
      </c>
      <c r="B110" s="1" t="n">
        <v>44998</v>
      </c>
      <c r="C110" s="1" t="n">
        <v>45811</v>
      </c>
      <c r="D110" t="inlineStr">
        <is>
          <t>GÄVLEBORGS LÄN</t>
        </is>
      </c>
      <c r="E110" t="inlineStr">
        <is>
          <t>LJUSDAL</t>
        </is>
      </c>
      <c r="G110" t="n">
        <v>11.7</v>
      </c>
      <c r="H110" t="n">
        <v>1</v>
      </c>
      <c r="I110" t="n">
        <v>2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3</v>
      </c>
      <c r="R110" s="2" t="inlineStr">
        <is>
          <t>Knärot
Korallblylav
Mörk husmossa</t>
        </is>
      </c>
      <c r="S110">
        <f>HYPERLINK("https://klasma.github.io/Logging_2161/artfynd/A 12105-2023 artfynd.xlsx", "A 12105-2023")</f>
        <v/>
      </c>
      <c r="T110">
        <f>HYPERLINK("https://klasma.github.io/Logging_2161/kartor/A 12105-2023 karta.png", "A 12105-2023")</f>
        <v/>
      </c>
      <c r="U110">
        <f>HYPERLINK("https://klasma.github.io/Logging_2161/knärot/A 12105-2023 karta knärot.png", "A 12105-2023")</f>
        <v/>
      </c>
      <c r="V110">
        <f>HYPERLINK("https://klasma.github.io/Logging_2161/klagomål/A 12105-2023 FSC-klagomål.docx", "A 12105-2023")</f>
        <v/>
      </c>
      <c r="W110">
        <f>HYPERLINK("https://klasma.github.io/Logging_2161/klagomålsmail/A 12105-2023 FSC-klagomål mail.docx", "A 12105-2023")</f>
        <v/>
      </c>
      <c r="X110">
        <f>HYPERLINK("https://klasma.github.io/Logging_2161/tillsyn/A 12105-2023 tillsynsbegäran.docx", "A 12105-2023")</f>
        <v/>
      </c>
      <c r="Y110">
        <f>HYPERLINK("https://klasma.github.io/Logging_2161/tillsynsmail/A 12105-2023 tillsynsbegäran mail.docx", "A 12105-2023")</f>
        <v/>
      </c>
    </row>
    <row r="111" ht="15" customHeight="1">
      <c r="A111" t="inlineStr">
        <is>
          <t>A 24519-2023</t>
        </is>
      </c>
      <c r="B111" s="1" t="n">
        <v>45082</v>
      </c>
      <c r="C111" s="1" t="n">
        <v>45811</v>
      </c>
      <c r="D111" t="inlineStr">
        <is>
          <t>GÄVLEBORGS LÄN</t>
        </is>
      </c>
      <c r="E111" t="inlineStr">
        <is>
          <t>LJUSDAL</t>
        </is>
      </c>
      <c r="F111" t="inlineStr">
        <is>
          <t>Sveaskog</t>
        </is>
      </c>
      <c r="G111" t="n">
        <v>8.199999999999999</v>
      </c>
      <c r="H111" t="n">
        <v>0</v>
      </c>
      <c r="I111" t="n">
        <v>0</v>
      </c>
      <c r="J111" t="n">
        <v>3</v>
      </c>
      <c r="K111" t="n">
        <v>0</v>
      </c>
      <c r="L111" t="n">
        <v>0</v>
      </c>
      <c r="M111" t="n">
        <v>0</v>
      </c>
      <c r="N111" t="n">
        <v>0</v>
      </c>
      <c r="O111" t="n">
        <v>3</v>
      </c>
      <c r="P111" t="n">
        <v>0</v>
      </c>
      <c r="Q111" t="n">
        <v>3</v>
      </c>
      <c r="R111" s="2" t="inlineStr">
        <is>
          <t>Dvärgbägarlav
Kolflarnlav
Lunglav</t>
        </is>
      </c>
      <c r="S111">
        <f>HYPERLINK("https://klasma.github.io/Logging_2161/artfynd/A 24519-2023 artfynd.xlsx", "A 24519-2023")</f>
        <v/>
      </c>
      <c r="T111">
        <f>HYPERLINK("https://klasma.github.io/Logging_2161/kartor/A 24519-2023 karta.png", "A 24519-2023")</f>
        <v/>
      </c>
      <c r="V111">
        <f>HYPERLINK("https://klasma.github.io/Logging_2161/klagomål/A 24519-2023 FSC-klagomål.docx", "A 24519-2023")</f>
        <v/>
      </c>
      <c r="W111">
        <f>HYPERLINK("https://klasma.github.io/Logging_2161/klagomålsmail/A 24519-2023 FSC-klagomål mail.docx", "A 24519-2023")</f>
        <v/>
      </c>
      <c r="X111">
        <f>HYPERLINK("https://klasma.github.io/Logging_2161/tillsyn/A 24519-2023 tillsynsbegäran.docx", "A 24519-2023")</f>
        <v/>
      </c>
      <c r="Y111">
        <f>HYPERLINK("https://klasma.github.io/Logging_2161/tillsynsmail/A 24519-2023 tillsynsbegäran mail.docx", "A 24519-2023")</f>
        <v/>
      </c>
    </row>
    <row r="112" ht="15" customHeight="1">
      <c r="A112" t="inlineStr">
        <is>
          <t>A 25182-2023</t>
        </is>
      </c>
      <c r="B112" s="1" t="n">
        <v>45086</v>
      </c>
      <c r="C112" s="1" t="n">
        <v>45811</v>
      </c>
      <c r="D112" t="inlineStr">
        <is>
          <t>GÄVLEBORGS LÄN</t>
        </is>
      </c>
      <c r="E112" t="inlineStr">
        <is>
          <t>LJUSDAL</t>
        </is>
      </c>
      <c r="F112" t="inlineStr">
        <is>
          <t>Holmen skog AB</t>
        </is>
      </c>
      <c r="G112" t="n">
        <v>16.6</v>
      </c>
      <c r="H112" t="n">
        <v>3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3</v>
      </c>
      <c r="R112" s="2" t="inlineStr">
        <is>
          <t>Fläcknycklar
Myggblomster
Revlummer</t>
        </is>
      </c>
      <c r="S112">
        <f>HYPERLINK("https://klasma.github.io/Logging_2161/artfynd/A 25182-2023 artfynd.xlsx", "A 25182-2023")</f>
        <v/>
      </c>
      <c r="T112">
        <f>HYPERLINK("https://klasma.github.io/Logging_2161/kartor/A 25182-2023 karta.png", "A 25182-2023")</f>
        <v/>
      </c>
      <c r="V112">
        <f>HYPERLINK("https://klasma.github.io/Logging_2161/klagomål/A 25182-2023 FSC-klagomål.docx", "A 25182-2023")</f>
        <v/>
      </c>
      <c r="W112">
        <f>HYPERLINK("https://klasma.github.io/Logging_2161/klagomålsmail/A 25182-2023 FSC-klagomål mail.docx", "A 25182-2023")</f>
        <v/>
      </c>
      <c r="X112">
        <f>HYPERLINK("https://klasma.github.io/Logging_2161/tillsyn/A 25182-2023 tillsynsbegäran.docx", "A 25182-2023")</f>
        <v/>
      </c>
      <c r="Y112">
        <f>HYPERLINK("https://klasma.github.io/Logging_2161/tillsynsmail/A 25182-2023 tillsynsbegäran mail.docx", "A 25182-2023")</f>
        <v/>
      </c>
    </row>
    <row r="113" ht="15" customHeight="1">
      <c r="A113" t="inlineStr">
        <is>
          <t>A 30610-2023</t>
        </is>
      </c>
      <c r="B113" s="1" t="n">
        <v>45112</v>
      </c>
      <c r="C113" s="1" t="n">
        <v>45811</v>
      </c>
      <c r="D113" t="inlineStr">
        <is>
          <t>GÄVLEBORGS LÄN</t>
        </is>
      </c>
      <c r="E113" t="inlineStr">
        <is>
          <t>LJUSDAL</t>
        </is>
      </c>
      <c r="F113" t="inlineStr">
        <is>
          <t>Sveaskog</t>
        </is>
      </c>
      <c r="G113" t="n">
        <v>3.2</v>
      </c>
      <c r="H113" t="n">
        <v>2</v>
      </c>
      <c r="I113" t="n">
        <v>0</v>
      </c>
      <c r="J113" t="n">
        <v>2</v>
      </c>
      <c r="K113" t="n">
        <v>1</v>
      </c>
      <c r="L113" t="n">
        <v>0</v>
      </c>
      <c r="M113" t="n">
        <v>0</v>
      </c>
      <c r="N113" t="n">
        <v>0</v>
      </c>
      <c r="O113" t="n">
        <v>3</v>
      </c>
      <c r="P113" t="n">
        <v>1</v>
      </c>
      <c r="Q113" t="n">
        <v>3</v>
      </c>
      <c r="R113" s="2" t="inlineStr">
        <is>
          <t>Knärot
Knottrig blåslav
Talltita</t>
        </is>
      </c>
      <c r="S113">
        <f>HYPERLINK("https://klasma.github.io/Logging_2161/artfynd/A 30610-2023 artfynd.xlsx", "A 30610-2023")</f>
        <v/>
      </c>
      <c r="T113">
        <f>HYPERLINK("https://klasma.github.io/Logging_2161/kartor/A 30610-2023 karta.png", "A 30610-2023")</f>
        <v/>
      </c>
      <c r="U113">
        <f>HYPERLINK("https://klasma.github.io/Logging_2161/knärot/A 30610-2023 karta knärot.png", "A 30610-2023")</f>
        <v/>
      </c>
      <c r="V113">
        <f>HYPERLINK("https://klasma.github.io/Logging_2161/klagomål/A 30610-2023 FSC-klagomål.docx", "A 30610-2023")</f>
        <v/>
      </c>
      <c r="W113">
        <f>HYPERLINK("https://klasma.github.io/Logging_2161/klagomålsmail/A 30610-2023 FSC-klagomål mail.docx", "A 30610-2023")</f>
        <v/>
      </c>
      <c r="X113">
        <f>HYPERLINK("https://klasma.github.io/Logging_2161/tillsyn/A 30610-2023 tillsynsbegäran.docx", "A 30610-2023")</f>
        <v/>
      </c>
      <c r="Y113">
        <f>HYPERLINK("https://klasma.github.io/Logging_2161/tillsynsmail/A 30610-2023 tillsynsbegäran mail.docx", "A 30610-2023")</f>
        <v/>
      </c>
      <c r="Z113">
        <f>HYPERLINK("https://klasma.github.io/Logging_2161/fåglar/A 30610-2023 prioriterade fågelarter.docx", "A 30610-2023")</f>
        <v/>
      </c>
    </row>
    <row r="114" ht="15" customHeight="1">
      <c r="A114" t="inlineStr">
        <is>
          <t>A 31473-2023</t>
        </is>
      </c>
      <c r="B114" s="1" t="n">
        <v>45114</v>
      </c>
      <c r="C114" s="1" t="n">
        <v>45811</v>
      </c>
      <c r="D114" t="inlineStr">
        <is>
          <t>GÄVLEBORGS LÄN</t>
        </is>
      </c>
      <c r="E114" t="inlineStr">
        <is>
          <t>LJUSDAL</t>
        </is>
      </c>
      <c r="F114" t="inlineStr">
        <is>
          <t>Sveaskog</t>
        </is>
      </c>
      <c r="G114" t="n">
        <v>15.5</v>
      </c>
      <c r="H114" t="n">
        <v>1</v>
      </c>
      <c r="I114" t="n">
        <v>1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2</v>
      </c>
      <c r="P114" t="n">
        <v>0</v>
      </c>
      <c r="Q114" t="n">
        <v>3</v>
      </c>
      <c r="R114" s="2" t="inlineStr">
        <is>
          <t>Kolflarnlav
Lunglav
Plattlummer</t>
        </is>
      </c>
      <c r="S114">
        <f>HYPERLINK("https://klasma.github.io/Logging_2161/artfynd/A 31473-2023 artfynd.xlsx", "A 31473-2023")</f>
        <v/>
      </c>
      <c r="T114">
        <f>HYPERLINK("https://klasma.github.io/Logging_2161/kartor/A 31473-2023 karta.png", "A 31473-2023")</f>
        <v/>
      </c>
      <c r="V114">
        <f>HYPERLINK("https://klasma.github.io/Logging_2161/klagomål/A 31473-2023 FSC-klagomål.docx", "A 31473-2023")</f>
        <v/>
      </c>
      <c r="W114">
        <f>HYPERLINK("https://klasma.github.io/Logging_2161/klagomålsmail/A 31473-2023 FSC-klagomål mail.docx", "A 31473-2023")</f>
        <v/>
      </c>
      <c r="X114">
        <f>HYPERLINK("https://klasma.github.io/Logging_2161/tillsyn/A 31473-2023 tillsynsbegäran.docx", "A 31473-2023")</f>
        <v/>
      </c>
      <c r="Y114">
        <f>HYPERLINK("https://klasma.github.io/Logging_2161/tillsynsmail/A 31473-2023 tillsynsbegäran mail.docx", "A 31473-2023")</f>
        <v/>
      </c>
    </row>
    <row r="115" ht="15" customHeight="1">
      <c r="A115" t="inlineStr">
        <is>
          <t>A 56788-2023</t>
        </is>
      </c>
      <c r="B115" s="1" t="n">
        <v>45244</v>
      </c>
      <c r="C115" s="1" t="n">
        <v>45811</v>
      </c>
      <c r="D115" t="inlineStr">
        <is>
          <t>GÄVLEBORGS LÄN</t>
        </is>
      </c>
      <c r="E115" t="inlineStr">
        <is>
          <t>LJUSDAL</t>
        </is>
      </c>
      <c r="F115" t="inlineStr">
        <is>
          <t>Sveaskog</t>
        </is>
      </c>
      <c r="G115" t="n">
        <v>2.2</v>
      </c>
      <c r="H115" t="n">
        <v>2</v>
      </c>
      <c r="I115" t="n">
        <v>0</v>
      </c>
      <c r="J115" t="n">
        <v>2</v>
      </c>
      <c r="K115" t="n">
        <v>1</v>
      </c>
      <c r="L115" t="n">
        <v>0</v>
      </c>
      <c r="M115" t="n">
        <v>0</v>
      </c>
      <c r="N115" t="n">
        <v>0</v>
      </c>
      <c r="O115" t="n">
        <v>3</v>
      </c>
      <c r="P115" t="n">
        <v>1</v>
      </c>
      <c r="Q115" t="n">
        <v>3</v>
      </c>
      <c r="R115" s="2" t="inlineStr">
        <is>
          <t>Knärot
Garnlav
Järpe</t>
        </is>
      </c>
      <c r="S115">
        <f>HYPERLINK("https://klasma.github.io/Logging_2161/artfynd/A 56788-2023 artfynd.xlsx", "A 56788-2023")</f>
        <v/>
      </c>
      <c r="T115">
        <f>HYPERLINK("https://klasma.github.io/Logging_2161/kartor/A 56788-2023 karta.png", "A 56788-2023")</f>
        <v/>
      </c>
      <c r="U115">
        <f>HYPERLINK("https://klasma.github.io/Logging_2161/knärot/A 56788-2023 karta knärot.png", "A 56788-2023")</f>
        <v/>
      </c>
      <c r="V115">
        <f>HYPERLINK("https://klasma.github.io/Logging_2161/klagomål/A 56788-2023 FSC-klagomål.docx", "A 56788-2023")</f>
        <v/>
      </c>
      <c r="W115">
        <f>HYPERLINK("https://klasma.github.io/Logging_2161/klagomålsmail/A 56788-2023 FSC-klagomål mail.docx", "A 56788-2023")</f>
        <v/>
      </c>
      <c r="X115">
        <f>HYPERLINK("https://klasma.github.io/Logging_2161/tillsyn/A 56788-2023 tillsynsbegäran.docx", "A 56788-2023")</f>
        <v/>
      </c>
      <c r="Y115">
        <f>HYPERLINK("https://klasma.github.io/Logging_2161/tillsynsmail/A 56788-2023 tillsynsbegäran mail.docx", "A 56788-2023")</f>
        <v/>
      </c>
      <c r="Z115">
        <f>HYPERLINK("https://klasma.github.io/Logging_2161/fåglar/A 56788-2023 prioriterade fågelarter.docx", "A 56788-2023")</f>
        <v/>
      </c>
    </row>
    <row r="116" ht="15" customHeight="1">
      <c r="A116" t="inlineStr">
        <is>
          <t>A 22229-2024</t>
        </is>
      </c>
      <c r="B116" s="1" t="n">
        <v>45446</v>
      </c>
      <c r="C116" s="1" t="n">
        <v>45811</v>
      </c>
      <c r="D116" t="inlineStr">
        <is>
          <t>GÄVLEBORGS LÄN</t>
        </is>
      </c>
      <c r="E116" t="inlineStr">
        <is>
          <t>LJUSDAL</t>
        </is>
      </c>
      <c r="F116" t="inlineStr">
        <is>
          <t>Sveaskog</t>
        </is>
      </c>
      <c r="G116" t="n">
        <v>4.2</v>
      </c>
      <c r="H116" t="n">
        <v>2</v>
      </c>
      <c r="I116" t="n">
        <v>0</v>
      </c>
      <c r="J116" t="n">
        <v>2</v>
      </c>
      <c r="K116" t="n">
        <v>1</v>
      </c>
      <c r="L116" t="n">
        <v>0</v>
      </c>
      <c r="M116" t="n">
        <v>0</v>
      </c>
      <c r="N116" t="n">
        <v>0</v>
      </c>
      <c r="O116" t="n">
        <v>3</v>
      </c>
      <c r="P116" t="n">
        <v>1</v>
      </c>
      <c r="Q116" t="n">
        <v>3</v>
      </c>
      <c r="R116" s="2" t="inlineStr">
        <is>
          <t>Topplåsbräken
Höstlåsbräken
Månlåsbräken</t>
        </is>
      </c>
      <c r="S116">
        <f>HYPERLINK("https://klasma.github.io/Logging_2161/artfynd/A 22229-2024 artfynd.xlsx", "A 22229-2024")</f>
        <v/>
      </c>
      <c r="T116">
        <f>HYPERLINK("https://klasma.github.io/Logging_2161/kartor/A 22229-2024 karta.png", "A 22229-2024")</f>
        <v/>
      </c>
      <c r="V116">
        <f>HYPERLINK("https://klasma.github.io/Logging_2161/klagomål/A 22229-2024 FSC-klagomål.docx", "A 22229-2024")</f>
        <v/>
      </c>
      <c r="W116">
        <f>HYPERLINK("https://klasma.github.io/Logging_2161/klagomålsmail/A 22229-2024 FSC-klagomål mail.docx", "A 22229-2024")</f>
        <v/>
      </c>
      <c r="X116">
        <f>HYPERLINK("https://klasma.github.io/Logging_2161/tillsyn/A 22229-2024 tillsynsbegäran.docx", "A 22229-2024")</f>
        <v/>
      </c>
      <c r="Y116">
        <f>HYPERLINK("https://klasma.github.io/Logging_2161/tillsynsmail/A 22229-2024 tillsynsbegäran mail.docx", "A 22229-2024")</f>
        <v/>
      </c>
    </row>
    <row r="117" ht="15" customHeight="1">
      <c r="A117" t="inlineStr">
        <is>
          <t>A 22239-2024</t>
        </is>
      </c>
      <c r="B117" s="1" t="n">
        <v>45446</v>
      </c>
      <c r="C117" s="1" t="n">
        <v>45811</v>
      </c>
      <c r="D117" t="inlineStr">
        <is>
          <t>GÄVLEBORGS LÄN</t>
        </is>
      </c>
      <c r="E117" t="inlineStr">
        <is>
          <t>LJUSDAL</t>
        </is>
      </c>
      <c r="F117" t="inlineStr">
        <is>
          <t>Sveaskog</t>
        </is>
      </c>
      <c r="G117" t="n">
        <v>4.4</v>
      </c>
      <c r="H117" t="n">
        <v>0</v>
      </c>
      <c r="I117" t="n">
        <v>0</v>
      </c>
      <c r="J117" t="n">
        <v>3</v>
      </c>
      <c r="K117" t="n">
        <v>0</v>
      </c>
      <c r="L117" t="n">
        <v>0</v>
      </c>
      <c r="M117" t="n">
        <v>0</v>
      </c>
      <c r="N117" t="n">
        <v>0</v>
      </c>
      <c r="O117" t="n">
        <v>3</v>
      </c>
      <c r="P117" t="n">
        <v>0</v>
      </c>
      <c r="Q117" t="n">
        <v>3</v>
      </c>
      <c r="R117" s="2" t="inlineStr">
        <is>
          <t>Kolflarnlav
Vedflamlav
Vedskivlav</t>
        </is>
      </c>
      <c r="S117">
        <f>HYPERLINK("https://klasma.github.io/Logging_2161/artfynd/A 22239-2024 artfynd.xlsx", "A 22239-2024")</f>
        <v/>
      </c>
      <c r="T117">
        <f>HYPERLINK("https://klasma.github.io/Logging_2161/kartor/A 22239-2024 karta.png", "A 22239-2024")</f>
        <v/>
      </c>
      <c r="V117">
        <f>HYPERLINK("https://klasma.github.io/Logging_2161/klagomål/A 22239-2024 FSC-klagomål.docx", "A 22239-2024")</f>
        <v/>
      </c>
      <c r="W117">
        <f>HYPERLINK("https://klasma.github.io/Logging_2161/klagomålsmail/A 22239-2024 FSC-klagomål mail.docx", "A 22239-2024")</f>
        <v/>
      </c>
      <c r="X117">
        <f>HYPERLINK("https://klasma.github.io/Logging_2161/tillsyn/A 22239-2024 tillsynsbegäran.docx", "A 22239-2024")</f>
        <v/>
      </c>
      <c r="Y117">
        <f>HYPERLINK("https://klasma.github.io/Logging_2161/tillsynsmail/A 22239-2024 tillsynsbegäran mail.docx", "A 22239-2024")</f>
        <v/>
      </c>
    </row>
    <row r="118" ht="15" customHeight="1">
      <c r="A118" t="inlineStr">
        <is>
          <t>A 22916-2024</t>
        </is>
      </c>
      <c r="B118" s="1" t="n">
        <v>45448</v>
      </c>
      <c r="C118" s="1" t="n">
        <v>45811</v>
      </c>
      <c r="D118" t="inlineStr">
        <is>
          <t>GÄVLEBORGS LÄN</t>
        </is>
      </c>
      <c r="E118" t="inlineStr">
        <is>
          <t>LJUSDAL</t>
        </is>
      </c>
      <c r="F118" t="inlineStr">
        <is>
          <t>Sveaskog</t>
        </is>
      </c>
      <c r="G118" t="n">
        <v>28.4</v>
      </c>
      <c r="H118" t="n">
        <v>0</v>
      </c>
      <c r="I118" t="n">
        <v>0</v>
      </c>
      <c r="J118" t="n">
        <v>3</v>
      </c>
      <c r="K118" t="n">
        <v>0</v>
      </c>
      <c r="L118" t="n">
        <v>0</v>
      </c>
      <c r="M118" t="n">
        <v>0</v>
      </c>
      <c r="N118" t="n">
        <v>0</v>
      </c>
      <c r="O118" t="n">
        <v>3</v>
      </c>
      <c r="P118" t="n">
        <v>0</v>
      </c>
      <c r="Q118" t="n">
        <v>3</v>
      </c>
      <c r="R118" s="2" t="inlineStr">
        <is>
          <t>Kolflarnlav
Mörk kolflarnlav
Vedflamlav</t>
        </is>
      </c>
      <c r="S118">
        <f>HYPERLINK("https://klasma.github.io/Logging_2161/artfynd/A 22916-2024 artfynd.xlsx", "A 22916-2024")</f>
        <v/>
      </c>
      <c r="T118">
        <f>HYPERLINK("https://klasma.github.io/Logging_2161/kartor/A 22916-2024 karta.png", "A 22916-2024")</f>
        <v/>
      </c>
      <c r="V118">
        <f>HYPERLINK("https://klasma.github.io/Logging_2161/klagomål/A 22916-2024 FSC-klagomål.docx", "A 22916-2024")</f>
        <v/>
      </c>
      <c r="W118">
        <f>HYPERLINK("https://klasma.github.io/Logging_2161/klagomålsmail/A 22916-2024 FSC-klagomål mail.docx", "A 22916-2024")</f>
        <v/>
      </c>
      <c r="X118">
        <f>HYPERLINK("https://klasma.github.io/Logging_2161/tillsyn/A 22916-2024 tillsynsbegäran.docx", "A 22916-2024")</f>
        <v/>
      </c>
      <c r="Y118">
        <f>HYPERLINK("https://klasma.github.io/Logging_2161/tillsynsmail/A 22916-2024 tillsynsbegäran mail.docx", "A 22916-2024")</f>
        <v/>
      </c>
    </row>
    <row r="119" ht="15" customHeight="1">
      <c r="A119" t="inlineStr">
        <is>
          <t>A 26877-2024</t>
        </is>
      </c>
      <c r="B119" s="1" t="n">
        <v>45470</v>
      </c>
      <c r="C119" s="1" t="n">
        <v>45811</v>
      </c>
      <c r="D119" t="inlineStr">
        <is>
          <t>GÄVLEBORGS LÄN</t>
        </is>
      </c>
      <c r="E119" t="inlineStr">
        <is>
          <t>LJUSDAL</t>
        </is>
      </c>
      <c r="F119" t="inlineStr">
        <is>
          <t>Sveaskog</t>
        </is>
      </c>
      <c r="G119" t="n">
        <v>2.5</v>
      </c>
      <c r="H119" t="n">
        <v>1</v>
      </c>
      <c r="I119" t="n">
        <v>0</v>
      </c>
      <c r="J119" t="n">
        <v>2</v>
      </c>
      <c r="K119" t="n">
        <v>0</v>
      </c>
      <c r="L119" t="n">
        <v>0</v>
      </c>
      <c r="M119" t="n">
        <v>0</v>
      </c>
      <c r="N119" t="n">
        <v>0</v>
      </c>
      <c r="O119" t="n">
        <v>2</v>
      </c>
      <c r="P119" t="n">
        <v>0</v>
      </c>
      <c r="Q119" t="n">
        <v>3</v>
      </c>
      <c r="R119" s="2" t="inlineStr">
        <is>
          <t>Kolflarnlav
Lunglav
Nattviol</t>
        </is>
      </c>
      <c r="S119">
        <f>HYPERLINK("https://klasma.github.io/Logging_2161/artfynd/A 26877-2024 artfynd.xlsx", "A 26877-2024")</f>
        <v/>
      </c>
      <c r="T119">
        <f>HYPERLINK("https://klasma.github.io/Logging_2161/kartor/A 26877-2024 karta.png", "A 26877-2024")</f>
        <v/>
      </c>
      <c r="V119">
        <f>HYPERLINK("https://klasma.github.io/Logging_2161/klagomål/A 26877-2024 FSC-klagomål.docx", "A 26877-2024")</f>
        <v/>
      </c>
      <c r="W119">
        <f>HYPERLINK("https://klasma.github.io/Logging_2161/klagomålsmail/A 26877-2024 FSC-klagomål mail.docx", "A 26877-2024")</f>
        <v/>
      </c>
      <c r="X119">
        <f>HYPERLINK("https://klasma.github.io/Logging_2161/tillsyn/A 26877-2024 tillsynsbegäran.docx", "A 26877-2024")</f>
        <v/>
      </c>
      <c r="Y119">
        <f>HYPERLINK("https://klasma.github.io/Logging_2161/tillsynsmail/A 26877-2024 tillsynsbegäran mail.docx", "A 26877-2024")</f>
        <v/>
      </c>
    </row>
    <row r="120" ht="15" customHeight="1">
      <c r="A120" t="inlineStr">
        <is>
          <t>A 30783-2024</t>
        </is>
      </c>
      <c r="B120" s="1" t="n">
        <v>45497</v>
      </c>
      <c r="C120" s="1" t="n">
        <v>45811</v>
      </c>
      <c r="D120" t="inlineStr">
        <is>
          <t>GÄVLEBORGS LÄN</t>
        </is>
      </c>
      <c r="E120" t="inlineStr">
        <is>
          <t>LJUSDAL</t>
        </is>
      </c>
      <c r="F120" t="inlineStr">
        <is>
          <t>SCA</t>
        </is>
      </c>
      <c r="G120" t="n">
        <v>4.8</v>
      </c>
      <c r="H120" t="n">
        <v>2</v>
      </c>
      <c r="I120" t="n">
        <v>1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3</v>
      </c>
      <c r="R120" s="2" t="inlineStr">
        <is>
          <t>Garnlav
Plattlummer
Mattlummer</t>
        </is>
      </c>
      <c r="S120">
        <f>HYPERLINK("https://klasma.github.io/Logging_2161/artfynd/A 30783-2024 artfynd.xlsx", "A 30783-2024")</f>
        <v/>
      </c>
      <c r="T120">
        <f>HYPERLINK("https://klasma.github.io/Logging_2161/kartor/A 30783-2024 karta.png", "A 30783-2024")</f>
        <v/>
      </c>
      <c r="V120">
        <f>HYPERLINK("https://klasma.github.io/Logging_2161/klagomål/A 30783-2024 FSC-klagomål.docx", "A 30783-2024")</f>
        <v/>
      </c>
      <c r="W120">
        <f>HYPERLINK("https://klasma.github.io/Logging_2161/klagomålsmail/A 30783-2024 FSC-klagomål mail.docx", "A 30783-2024")</f>
        <v/>
      </c>
      <c r="X120">
        <f>HYPERLINK("https://klasma.github.io/Logging_2161/tillsyn/A 30783-2024 tillsynsbegäran.docx", "A 30783-2024")</f>
        <v/>
      </c>
      <c r="Y120">
        <f>HYPERLINK("https://klasma.github.io/Logging_2161/tillsynsmail/A 30783-2024 tillsynsbegäran mail.docx", "A 30783-2024")</f>
        <v/>
      </c>
    </row>
    <row r="121" ht="15" customHeight="1">
      <c r="A121" t="inlineStr">
        <is>
          <t>A 32134-2024</t>
        </is>
      </c>
      <c r="B121" s="1" t="n">
        <v>45511</v>
      </c>
      <c r="C121" s="1" t="n">
        <v>45811</v>
      </c>
      <c r="D121" t="inlineStr">
        <is>
          <t>GÄVLEBORGS LÄN</t>
        </is>
      </c>
      <c r="E121" t="inlineStr">
        <is>
          <t>LJUSDAL</t>
        </is>
      </c>
      <c r="G121" t="n">
        <v>6.5</v>
      </c>
      <c r="H121" t="n">
        <v>1</v>
      </c>
      <c r="I121" t="n">
        <v>1</v>
      </c>
      <c r="J121" t="n">
        <v>1</v>
      </c>
      <c r="K121" t="n">
        <v>1</v>
      </c>
      <c r="L121" t="n">
        <v>0</v>
      </c>
      <c r="M121" t="n">
        <v>0</v>
      </c>
      <c r="N121" t="n">
        <v>0</v>
      </c>
      <c r="O121" t="n">
        <v>2</v>
      </c>
      <c r="P121" t="n">
        <v>1</v>
      </c>
      <c r="Q121" t="n">
        <v>3</v>
      </c>
      <c r="R121" s="2" t="inlineStr">
        <is>
          <t>Knärot
Lunglav
Gulnål</t>
        </is>
      </c>
      <c r="S121">
        <f>HYPERLINK("https://klasma.github.io/Logging_2161/artfynd/A 32134-2024 artfynd.xlsx", "A 32134-2024")</f>
        <v/>
      </c>
      <c r="T121">
        <f>HYPERLINK("https://klasma.github.io/Logging_2161/kartor/A 32134-2024 karta.png", "A 32134-2024")</f>
        <v/>
      </c>
      <c r="U121">
        <f>HYPERLINK("https://klasma.github.io/Logging_2161/knärot/A 32134-2024 karta knärot.png", "A 32134-2024")</f>
        <v/>
      </c>
      <c r="V121">
        <f>HYPERLINK("https://klasma.github.io/Logging_2161/klagomål/A 32134-2024 FSC-klagomål.docx", "A 32134-2024")</f>
        <v/>
      </c>
      <c r="W121">
        <f>HYPERLINK("https://klasma.github.io/Logging_2161/klagomålsmail/A 32134-2024 FSC-klagomål mail.docx", "A 32134-2024")</f>
        <v/>
      </c>
      <c r="X121">
        <f>HYPERLINK("https://klasma.github.io/Logging_2161/tillsyn/A 32134-2024 tillsynsbegäran.docx", "A 32134-2024")</f>
        <v/>
      </c>
      <c r="Y121">
        <f>HYPERLINK("https://klasma.github.io/Logging_2161/tillsynsmail/A 32134-2024 tillsynsbegäran mail.docx", "A 32134-2024")</f>
        <v/>
      </c>
    </row>
    <row r="122" ht="15" customHeight="1">
      <c r="A122" t="inlineStr">
        <is>
          <t>A 36621-2024</t>
        </is>
      </c>
      <c r="B122" s="1" t="n">
        <v>45537</v>
      </c>
      <c r="C122" s="1" t="n">
        <v>45811</v>
      </c>
      <c r="D122" t="inlineStr">
        <is>
          <t>GÄVLEBORGS LÄN</t>
        </is>
      </c>
      <c r="E122" t="inlineStr">
        <is>
          <t>LJUSDAL</t>
        </is>
      </c>
      <c r="F122" t="inlineStr">
        <is>
          <t>Sveaskog</t>
        </is>
      </c>
      <c r="G122" t="n">
        <v>2.9</v>
      </c>
      <c r="H122" t="n">
        <v>0</v>
      </c>
      <c r="I122" t="n">
        <v>0</v>
      </c>
      <c r="J122" t="n">
        <v>3</v>
      </c>
      <c r="K122" t="n">
        <v>0</v>
      </c>
      <c r="L122" t="n">
        <v>0</v>
      </c>
      <c r="M122" t="n">
        <v>0</v>
      </c>
      <c r="N122" t="n">
        <v>0</v>
      </c>
      <c r="O122" t="n">
        <v>3</v>
      </c>
      <c r="P122" t="n">
        <v>0</v>
      </c>
      <c r="Q122" t="n">
        <v>3</v>
      </c>
      <c r="R122" s="2" t="inlineStr">
        <is>
          <t>Kolflarnlav
Lunglav
Mörk kolflarnlav</t>
        </is>
      </c>
      <c r="S122">
        <f>HYPERLINK("https://klasma.github.io/Logging_2161/artfynd/A 36621-2024 artfynd.xlsx", "A 36621-2024")</f>
        <v/>
      </c>
      <c r="T122">
        <f>HYPERLINK("https://klasma.github.io/Logging_2161/kartor/A 36621-2024 karta.png", "A 36621-2024")</f>
        <v/>
      </c>
      <c r="V122">
        <f>HYPERLINK("https://klasma.github.io/Logging_2161/klagomål/A 36621-2024 FSC-klagomål.docx", "A 36621-2024")</f>
        <v/>
      </c>
      <c r="W122">
        <f>HYPERLINK("https://klasma.github.io/Logging_2161/klagomålsmail/A 36621-2024 FSC-klagomål mail.docx", "A 36621-2024")</f>
        <v/>
      </c>
      <c r="X122">
        <f>HYPERLINK("https://klasma.github.io/Logging_2161/tillsyn/A 36621-2024 tillsynsbegäran.docx", "A 36621-2024")</f>
        <v/>
      </c>
      <c r="Y122">
        <f>HYPERLINK("https://klasma.github.io/Logging_2161/tillsynsmail/A 36621-2024 tillsynsbegäran mail.docx", "A 36621-2024")</f>
        <v/>
      </c>
    </row>
    <row r="123" ht="15" customHeight="1">
      <c r="A123" t="inlineStr">
        <is>
          <t>A 36629-2024</t>
        </is>
      </c>
      <c r="B123" s="1" t="n">
        <v>45537</v>
      </c>
      <c r="C123" s="1" t="n">
        <v>45811</v>
      </c>
      <c r="D123" t="inlineStr">
        <is>
          <t>GÄVLEBORGS LÄN</t>
        </is>
      </c>
      <c r="E123" t="inlineStr">
        <is>
          <t>LJUSDAL</t>
        </is>
      </c>
      <c r="F123" t="inlineStr">
        <is>
          <t>Sveaskog</t>
        </is>
      </c>
      <c r="G123" t="n">
        <v>1.1</v>
      </c>
      <c r="H123" t="n">
        <v>0</v>
      </c>
      <c r="I123" t="n">
        <v>0</v>
      </c>
      <c r="J123" t="n">
        <v>3</v>
      </c>
      <c r="K123" t="n">
        <v>0</v>
      </c>
      <c r="L123" t="n">
        <v>0</v>
      </c>
      <c r="M123" t="n">
        <v>0</v>
      </c>
      <c r="N123" t="n">
        <v>0</v>
      </c>
      <c r="O123" t="n">
        <v>3</v>
      </c>
      <c r="P123" t="n">
        <v>0</v>
      </c>
      <c r="Q123" t="n">
        <v>3</v>
      </c>
      <c r="R123" s="2" t="inlineStr">
        <is>
          <t>Garnlav
Kolflarnlav
Mörk kolflarnlav</t>
        </is>
      </c>
      <c r="S123">
        <f>HYPERLINK("https://klasma.github.io/Logging_2161/artfynd/A 36629-2024 artfynd.xlsx", "A 36629-2024")</f>
        <v/>
      </c>
      <c r="T123">
        <f>HYPERLINK("https://klasma.github.io/Logging_2161/kartor/A 36629-2024 karta.png", "A 36629-2024")</f>
        <v/>
      </c>
      <c r="V123">
        <f>HYPERLINK("https://klasma.github.io/Logging_2161/klagomål/A 36629-2024 FSC-klagomål.docx", "A 36629-2024")</f>
        <v/>
      </c>
      <c r="W123">
        <f>HYPERLINK("https://klasma.github.io/Logging_2161/klagomålsmail/A 36629-2024 FSC-klagomål mail.docx", "A 36629-2024")</f>
        <v/>
      </c>
      <c r="X123">
        <f>HYPERLINK("https://klasma.github.io/Logging_2161/tillsyn/A 36629-2024 tillsynsbegäran.docx", "A 36629-2024")</f>
        <v/>
      </c>
      <c r="Y123">
        <f>HYPERLINK("https://klasma.github.io/Logging_2161/tillsynsmail/A 36629-2024 tillsynsbegäran mail.docx", "A 36629-2024")</f>
        <v/>
      </c>
    </row>
    <row r="124" ht="15" customHeight="1">
      <c r="A124" t="inlineStr">
        <is>
          <t>A 36623-2024</t>
        </is>
      </c>
      <c r="B124" s="1" t="n">
        <v>45537</v>
      </c>
      <c r="C124" s="1" t="n">
        <v>45811</v>
      </c>
      <c r="D124" t="inlineStr">
        <is>
          <t>GÄVLEBORGS LÄN</t>
        </is>
      </c>
      <c r="E124" t="inlineStr">
        <is>
          <t>LJUSDAL</t>
        </is>
      </c>
      <c r="F124" t="inlineStr">
        <is>
          <t>Sveaskog</t>
        </is>
      </c>
      <c r="G124" t="n">
        <v>24.7</v>
      </c>
      <c r="H124" t="n">
        <v>0</v>
      </c>
      <c r="I124" t="n">
        <v>0</v>
      </c>
      <c r="J124" t="n">
        <v>3</v>
      </c>
      <c r="K124" t="n">
        <v>0</v>
      </c>
      <c r="L124" t="n">
        <v>0</v>
      </c>
      <c r="M124" t="n">
        <v>0</v>
      </c>
      <c r="N124" t="n">
        <v>0</v>
      </c>
      <c r="O124" t="n">
        <v>3</v>
      </c>
      <c r="P124" t="n">
        <v>0</v>
      </c>
      <c r="Q124" t="n">
        <v>3</v>
      </c>
      <c r="R124" s="2" t="inlineStr">
        <is>
          <t>Kolflarnlav
Lunglav
Mörk kolflarnlav</t>
        </is>
      </c>
      <c r="S124">
        <f>HYPERLINK("https://klasma.github.io/Logging_2161/artfynd/A 36623-2024 artfynd.xlsx", "A 36623-2024")</f>
        <v/>
      </c>
      <c r="T124">
        <f>HYPERLINK("https://klasma.github.io/Logging_2161/kartor/A 36623-2024 karta.png", "A 36623-2024")</f>
        <v/>
      </c>
      <c r="V124">
        <f>HYPERLINK("https://klasma.github.io/Logging_2161/klagomål/A 36623-2024 FSC-klagomål.docx", "A 36623-2024")</f>
        <v/>
      </c>
      <c r="W124">
        <f>HYPERLINK("https://klasma.github.io/Logging_2161/klagomålsmail/A 36623-2024 FSC-klagomål mail.docx", "A 36623-2024")</f>
        <v/>
      </c>
      <c r="X124">
        <f>HYPERLINK("https://klasma.github.io/Logging_2161/tillsyn/A 36623-2024 tillsynsbegäran.docx", "A 36623-2024")</f>
        <v/>
      </c>
      <c r="Y124">
        <f>HYPERLINK("https://klasma.github.io/Logging_2161/tillsynsmail/A 36623-2024 tillsynsbegäran mail.docx", "A 36623-2024")</f>
        <v/>
      </c>
    </row>
    <row r="125" ht="15" customHeight="1">
      <c r="A125" t="inlineStr">
        <is>
          <t>A 36627-2024</t>
        </is>
      </c>
      <c r="B125" s="1" t="n">
        <v>45537</v>
      </c>
      <c r="C125" s="1" t="n">
        <v>45811</v>
      </c>
      <c r="D125" t="inlineStr">
        <is>
          <t>GÄVLEBORGS LÄN</t>
        </is>
      </c>
      <c r="E125" t="inlineStr">
        <is>
          <t>LJUSDAL</t>
        </is>
      </c>
      <c r="F125" t="inlineStr">
        <is>
          <t>Sveaskog</t>
        </is>
      </c>
      <c r="G125" t="n">
        <v>11.8</v>
      </c>
      <c r="H125" t="n">
        <v>0</v>
      </c>
      <c r="I125" t="n">
        <v>0</v>
      </c>
      <c r="J125" t="n">
        <v>3</v>
      </c>
      <c r="K125" t="n">
        <v>0</v>
      </c>
      <c r="L125" t="n">
        <v>0</v>
      </c>
      <c r="M125" t="n">
        <v>0</v>
      </c>
      <c r="N125" t="n">
        <v>0</v>
      </c>
      <c r="O125" t="n">
        <v>3</v>
      </c>
      <c r="P125" t="n">
        <v>0</v>
      </c>
      <c r="Q125" t="n">
        <v>3</v>
      </c>
      <c r="R125" s="2" t="inlineStr">
        <is>
          <t>Garnlav
Kolflarnlav
Mörk kolflarnlav</t>
        </is>
      </c>
      <c r="S125">
        <f>HYPERLINK("https://klasma.github.io/Logging_2161/artfynd/A 36627-2024 artfynd.xlsx", "A 36627-2024")</f>
        <v/>
      </c>
      <c r="T125">
        <f>HYPERLINK("https://klasma.github.io/Logging_2161/kartor/A 36627-2024 karta.png", "A 36627-2024")</f>
        <v/>
      </c>
      <c r="V125">
        <f>HYPERLINK("https://klasma.github.io/Logging_2161/klagomål/A 36627-2024 FSC-klagomål.docx", "A 36627-2024")</f>
        <v/>
      </c>
      <c r="W125">
        <f>HYPERLINK("https://klasma.github.io/Logging_2161/klagomålsmail/A 36627-2024 FSC-klagomål mail.docx", "A 36627-2024")</f>
        <v/>
      </c>
      <c r="X125">
        <f>HYPERLINK("https://klasma.github.io/Logging_2161/tillsyn/A 36627-2024 tillsynsbegäran.docx", "A 36627-2024")</f>
        <v/>
      </c>
      <c r="Y125">
        <f>HYPERLINK("https://klasma.github.io/Logging_2161/tillsynsmail/A 36627-2024 tillsynsbegäran mail.docx", "A 36627-2024")</f>
        <v/>
      </c>
    </row>
    <row r="126" ht="15" customHeight="1">
      <c r="A126" t="inlineStr">
        <is>
          <t>A 38141-2024</t>
        </is>
      </c>
      <c r="B126" s="1" t="n">
        <v>45545</v>
      </c>
      <c r="C126" s="1" t="n">
        <v>45811</v>
      </c>
      <c r="D126" t="inlineStr">
        <is>
          <t>GÄVLEBORGS LÄN</t>
        </is>
      </c>
      <c r="E126" t="inlineStr">
        <is>
          <t>LJUSDAL</t>
        </is>
      </c>
      <c r="F126" t="inlineStr">
        <is>
          <t>Sveaskog</t>
        </is>
      </c>
      <c r="G126" t="n">
        <v>13.5</v>
      </c>
      <c r="H126" t="n">
        <v>0</v>
      </c>
      <c r="I126" t="n">
        <v>0</v>
      </c>
      <c r="J126" t="n">
        <v>3</v>
      </c>
      <c r="K126" t="n">
        <v>0</v>
      </c>
      <c r="L126" t="n">
        <v>0</v>
      </c>
      <c r="M126" t="n">
        <v>0</v>
      </c>
      <c r="N126" t="n">
        <v>0</v>
      </c>
      <c r="O126" t="n">
        <v>3</v>
      </c>
      <c r="P126" t="n">
        <v>0</v>
      </c>
      <c r="Q126" t="n">
        <v>3</v>
      </c>
      <c r="R126" s="2" t="inlineStr">
        <is>
          <t>Kolflarnlav
Mörk kolflarnlav
Vedflamlav</t>
        </is>
      </c>
      <c r="S126">
        <f>HYPERLINK("https://klasma.github.io/Logging_2161/artfynd/A 38141-2024 artfynd.xlsx", "A 38141-2024")</f>
        <v/>
      </c>
      <c r="T126">
        <f>HYPERLINK("https://klasma.github.io/Logging_2161/kartor/A 38141-2024 karta.png", "A 38141-2024")</f>
        <v/>
      </c>
      <c r="V126">
        <f>HYPERLINK("https://klasma.github.io/Logging_2161/klagomål/A 38141-2024 FSC-klagomål.docx", "A 38141-2024")</f>
        <v/>
      </c>
      <c r="W126">
        <f>HYPERLINK("https://klasma.github.io/Logging_2161/klagomålsmail/A 38141-2024 FSC-klagomål mail.docx", "A 38141-2024")</f>
        <v/>
      </c>
      <c r="X126">
        <f>HYPERLINK("https://klasma.github.io/Logging_2161/tillsyn/A 38141-2024 tillsynsbegäran.docx", "A 38141-2024")</f>
        <v/>
      </c>
      <c r="Y126">
        <f>HYPERLINK("https://klasma.github.io/Logging_2161/tillsynsmail/A 38141-2024 tillsynsbegäran mail.docx", "A 38141-2024")</f>
        <v/>
      </c>
    </row>
    <row r="127" ht="15" customHeight="1">
      <c r="A127" t="inlineStr">
        <is>
          <t>A 44451-2024</t>
        </is>
      </c>
      <c r="B127" s="1" t="n">
        <v>45574</v>
      </c>
      <c r="C127" s="1" t="n">
        <v>45811</v>
      </c>
      <c r="D127" t="inlineStr">
        <is>
          <t>GÄVLEBORGS LÄN</t>
        </is>
      </c>
      <c r="E127" t="inlineStr">
        <is>
          <t>LJUSDAL</t>
        </is>
      </c>
      <c r="G127" t="n">
        <v>1.4</v>
      </c>
      <c r="H127" t="n">
        <v>1</v>
      </c>
      <c r="I127" t="n">
        <v>1</v>
      </c>
      <c r="J127" t="n">
        <v>2</v>
      </c>
      <c r="K127" t="n">
        <v>0</v>
      </c>
      <c r="L127" t="n">
        <v>0</v>
      </c>
      <c r="M127" t="n">
        <v>0</v>
      </c>
      <c r="N127" t="n">
        <v>0</v>
      </c>
      <c r="O127" t="n">
        <v>2</v>
      </c>
      <c r="P127" t="n">
        <v>0</v>
      </c>
      <c r="Q127" t="n">
        <v>3</v>
      </c>
      <c r="R127" s="2" t="inlineStr">
        <is>
          <t>Kolflarnlav
Vedflamlav
Plattlummer</t>
        </is>
      </c>
      <c r="S127">
        <f>HYPERLINK("https://klasma.github.io/Logging_2161/artfynd/A 44451-2024 artfynd.xlsx", "A 44451-2024")</f>
        <v/>
      </c>
      <c r="T127">
        <f>HYPERLINK("https://klasma.github.io/Logging_2161/kartor/A 44451-2024 karta.png", "A 44451-2024")</f>
        <v/>
      </c>
      <c r="V127">
        <f>HYPERLINK("https://klasma.github.io/Logging_2161/klagomål/A 44451-2024 FSC-klagomål.docx", "A 44451-2024")</f>
        <v/>
      </c>
      <c r="W127">
        <f>HYPERLINK("https://klasma.github.io/Logging_2161/klagomålsmail/A 44451-2024 FSC-klagomål mail.docx", "A 44451-2024")</f>
        <v/>
      </c>
      <c r="X127">
        <f>HYPERLINK("https://klasma.github.io/Logging_2161/tillsyn/A 44451-2024 tillsynsbegäran.docx", "A 44451-2024")</f>
        <v/>
      </c>
      <c r="Y127">
        <f>HYPERLINK("https://klasma.github.io/Logging_2161/tillsynsmail/A 44451-2024 tillsynsbegäran mail.docx", "A 44451-2024")</f>
        <v/>
      </c>
    </row>
    <row r="128" ht="15" customHeight="1">
      <c r="A128" t="inlineStr">
        <is>
          <t>A 46244-2024</t>
        </is>
      </c>
      <c r="B128" s="1" t="n">
        <v>45581</v>
      </c>
      <c r="C128" s="1" t="n">
        <v>45811</v>
      </c>
      <c r="D128" t="inlineStr">
        <is>
          <t>GÄVLEBORGS LÄN</t>
        </is>
      </c>
      <c r="E128" t="inlineStr">
        <is>
          <t>LJUSDAL</t>
        </is>
      </c>
      <c r="F128" t="inlineStr">
        <is>
          <t>Sveaskog</t>
        </is>
      </c>
      <c r="G128" t="n">
        <v>5.8</v>
      </c>
      <c r="H128" t="n">
        <v>0</v>
      </c>
      <c r="I128" t="n">
        <v>1</v>
      </c>
      <c r="J128" t="n">
        <v>2</v>
      </c>
      <c r="K128" t="n">
        <v>0</v>
      </c>
      <c r="L128" t="n">
        <v>0</v>
      </c>
      <c r="M128" t="n">
        <v>0</v>
      </c>
      <c r="N128" t="n">
        <v>0</v>
      </c>
      <c r="O128" t="n">
        <v>2</v>
      </c>
      <c r="P128" t="n">
        <v>0</v>
      </c>
      <c r="Q128" t="n">
        <v>3</v>
      </c>
      <c r="R128" s="2" t="inlineStr">
        <is>
          <t>Motaggsvamp
Skrovlig taggsvamp
Dropptaggsvamp</t>
        </is>
      </c>
      <c r="S128">
        <f>HYPERLINK("https://klasma.github.io/Logging_2161/artfynd/A 46244-2024 artfynd.xlsx", "A 46244-2024")</f>
        <v/>
      </c>
      <c r="T128">
        <f>HYPERLINK("https://klasma.github.io/Logging_2161/kartor/A 46244-2024 karta.png", "A 46244-2024")</f>
        <v/>
      </c>
      <c r="V128">
        <f>HYPERLINK("https://klasma.github.io/Logging_2161/klagomål/A 46244-2024 FSC-klagomål.docx", "A 46244-2024")</f>
        <v/>
      </c>
      <c r="W128">
        <f>HYPERLINK("https://klasma.github.io/Logging_2161/klagomålsmail/A 46244-2024 FSC-klagomål mail.docx", "A 46244-2024")</f>
        <v/>
      </c>
      <c r="X128">
        <f>HYPERLINK("https://klasma.github.io/Logging_2161/tillsyn/A 46244-2024 tillsynsbegäran.docx", "A 46244-2024")</f>
        <v/>
      </c>
      <c r="Y128">
        <f>HYPERLINK("https://klasma.github.io/Logging_2161/tillsynsmail/A 46244-2024 tillsynsbegäran mail.docx", "A 46244-2024")</f>
        <v/>
      </c>
    </row>
    <row r="129" ht="15" customHeight="1">
      <c r="A129" t="inlineStr">
        <is>
          <t>A 59016-2024</t>
        </is>
      </c>
      <c r="B129" s="1" t="n">
        <v>45636</v>
      </c>
      <c r="C129" s="1" t="n">
        <v>45811</v>
      </c>
      <c r="D129" t="inlineStr">
        <is>
          <t>GÄVLEBORGS LÄN</t>
        </is>
      </c>
      <c r="E129" t="inlineStr">
        <is>
          <t>LJUSDAL</t>
        </is>
      </c>
      <c r="G129" t="n">
        <v>2.8</v>
      </c>
      <c r="H129" t="n">
        <v>3</v>
      </c>
      <c r="I129" t="n">
        <v>0</v>
      </c>
      <c r="J129" t="n">
        <v>2</v>
      </c>
      <c r="K129" t="n">
        <v>0</v>
      </c>
      <c r="L129" t="n">
        <v>0</v>
      </c>
      <c r="M129" t="n">
        <v>0</v>
      </c>
      <c r="N129" t="n">
        <v>0</v>
      </c>
      <c r="O129" t="n">
        <v>2</v>
      </c>
      <c r="P129" t="n">
        <v>0</v>
      </c>
      <c r="Q129" t="n">
        <v>3</v>
      </c>
      <c r="R129" s="2" t="inlineStr">
        <is>
          <t>Fransfladdermus
Nordfladdermus
Vattenfladdermus</t>
        </is>
      </c>
      <c r="S129">
        <f>HYPERLINK("https://klasma.github.io/Logging_2161/artfynd/A 59016-2024 artfynd.xlsx", "A 59016-2024")</f>
        <v/>
      </c>
      <c r="T129">
        <f>HYPERLINK("https://klasma.github.io/Logging_2161/kartor/A 59016-2024 karta.png", "A 59016-2024")</f>
        <v/>
      </c>
      <c r="V129">
        <f>HYPERLINK("https://klasma.github.io/Logging_2161/klagomål/A 59016-2024 FSC-klagomål.docx", "A 59016-2024")</f>
        <v/>
      </c>
      <c r="W129">
        <f>HYPERLINK("https://klasma.github.io/Logging_2161/klagomålsmail/A 59016-2024 FSC-klagomål mail.docx", "A 59016-2024")</f>
        <v/>
      </c>
      <c r="X129">
        <f>HYPERLINK("https://klasma.github.io/Logging_2161/tillsyn/A 59016-2024 tillsynsbegäran.docx", "A 59016-2024")</f>
        <v/>
      </c>
      <c r="Y129">
        <f>HYPERLINK("https://klasma.github.io/Logging_2161/tillsynsmail/A 59016-2024 tillsynsbegäran mail.docx", "A 59016-2024")</f>
        <v/>
      </c>
    </row>
    <row r="130" ht="15" customHeight="1">
      <c r="A130" t="inlineStr">
        <is>
          <t>A 17707-2025</t>
        </is>
      </c>
      <c r="B130" s="1" t="n">
        <v>45758</v>
      </c>
      <c r="C130" s="1" t="n">
        <v>45811</v>
      </c>
      <c r="D130" t="inlineStr">
        <is>
          <t>GÄVLEBORGS LÄN</t>
        </is>
      </c>
      <c r="E130" t="inlineStr">
        <is>
          <t>LJUSDAL</t>
        </is>
      </c>
      <c r="F130" t="inlineStr">
        <is>
          <t>Kyrkan</t>
        </is>
      </c>
      <c r="G130" t="n">
        <v>7.2</v>
      </c>
      <c r="H130" t="n">
        <v>2</v>
      </c>
      <c r="I130" t="n">
        <v>2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1</v>
      </c>
      <c r="P130" t="n">
        <v>1</v>
      </c>
      <c r="Q130" t="n">
        <v>3</v>
      </c>
      <c r="R130" s="2" t="inlineStr">
        <is>
          <t>Knärot
Grönpyrola
Plattlummer</t>
        </is>
      </c>
      <c r="S130">
        <f>HYPERLINK("https://klasma.github.io/Logging_212161/artfynd/A 17707-2025 artfynd.xlsx", "A 17707-2025")</f>
        <v/>
      </c>
      <c r="T130">
        <f>HYPERLINK("https://klasma.github.io/Logging_212161/kartor/A 17707-2025 karta.png", "A 17707-2025")</f>
        <v/>
      </c>
      <c r="U130">
        <f>HYPERLINK("https://klasma.github.io/Logging_212161/knärot/A 17707-2025 karta knärot.png", "A 17707-2025")</f>
        <v/>
      </c>
      <c r="V130">
        <f>HYPERLINK("https://klasma.github.io/Logging_212161/klagomål/A 17707-2025 FSC-klagomål.docx", "A 17707-2025")</f>
        <v/>
      </c>
      <c r="W130">
        <f>HYPERLINK("https://klasma.github.io/Logging_212161/klagomålsmail/A 17707-2025 FSC-klagomål mail.docx", "A 17707-2025")</f>
        <v/>
      </c>
      <c r="X130">
        <f>HYPERLINK("https://klasma.github.io/Logging_212161/tillsyn/A 17707-2025 tillsynsbegäran.docx", "A 17707-2025")</f>
        <v/>
      </c>
      <c r="Y130">
        <f>HYPERLINK("https://klasma.github.io/Logging_212161/tillsynsmail/A 17707-2025 tillsynsbegäran mail.docx", "A 17707-2025")</f>
        <v/>
      </c>
    </row>
    <row r="131" ht="15" customHeight="1">
      <c r="A131" t="inlineStr">
        <is>
          <t>A 17701-2025</t>
        </is>
      </c>
      <c r="B131" s="1" t="n">
        <v>45758</v>
      </c>
      <c r="C131" s="1" t="n">
        <v>45811</v>
      </c>
      <c r="D131" t="inlineStr">
        <is>
          <t>GÄVLEBORGS LÄN</t>
        </is>
      </c>
      <c r="E131" t="inlineStr">
        <is>
          <t>LJUSDAL</t>
        </is>
      </c>
      <c r="F131" t="inlineStr">
        <is>
          <t>Kyrkan</t>
        </is>
      </c>
      <c r="G131" t="n">
        <v>3.5</v>
      </c>
      <c r="H131" t="n">
        <v>2</v>
      </c>
      <c r="I131" t="n">
        <v>0</v>
      </c>
      <c r="J131" t="n">
        <v>0</v>
      </c>
      <c r="K131" t="n">
        <v>2</v>
      </c>
      <c r="L131" t="n">
        <v>0</v>
      </c>
      <c r="M131" t="n">
        <v>0</v>
      </c>
      <c r="N131" t="n">
        <v>0</v>
      </c>
      <c r="O131" t="n">
        <v>2</v>
      </c>
      <c r="P131" t="n">
        <v>2</v>
      </c>
      <c r="Q131" t="n">
        <v>3</v>
      </c>
      <c r="R131" s="2" t="inlineStr">
        <is>
          <t>Knärot
Rynkskinn
Tjäder</t>
        </is>
      </c>
      <c r="S131">
        <f>HYPERLINK("https://klasma.github.io/Logging_212161/artfynd/A 17701-2025 artfynd.xlsx", "A 17701-2025")</f>
        <v/>
      </c>
      <c r="T131">
        <f>HYPERLINK("https://klasma.github.io/Logging_212161/kartor/A 17701-2025 karta.png", "A 17701-2025")</f>
        <v/>
      </c>
      <c r="U131">
        <f>HYPERLINK("https://klasma.github.io/Logging_212161/knärot/A 17701-2025 karta knärot.png", "A 17701-2025")</f>
        <v/>
      </c>
      <c r="V131">
        <f>HYPERLINK("https://klasma.github.io/Logging_212161/klagomål/A 17701-2025 FSC-klagomål.docx", "A 17701-2025")</f>
        <v/>
      </c>
      <c r="W131">
        <f>HYPERLINK("https://klasma.github.io/Logging_212161/klagomålsmail/A 17701-2025 FSC-klagomål mail.docx", "A 17701-2025")</f>
        <v/>
      </c>
      <c r="X131">
        <f>HYPERLINK("https://klasma.github.io/Logging_212161/tillsyn/A 17701-2025 tillsynsbegäran.docx", "A 17701-2025")</f>
        <v/>
      </c>
      <c r="Y131">
        <f>HYPERLINK("https://klasma.github.io/Logging_212161/tillsynsmail/A 17701-2025 tillsynsbegäran mail.docx", "A 17701-2025")</f>
        <v/>
      </c>
      <c r="Z131">
        <f>HYPERLINK("https://klasma.github.io/Logging_212161/fåglar/A 17701-2025 prioriterade fågelarter.docx", "A 17701-2025")</f>
        <v/>
      </c>
    </row>
    <row r="132" ht="15" customHeight="1">
      <c r="A132" t="inlineStr">
        <is>
          <t>A 19770-2025</t>
        </is>
      </c>
      <c r="B132" s="1" t="n">
        <v>45771</v>
      </c>
      <c r="C132" s="1" t="n">
        <v>45811</v>
      </c>
      <c r="D132" t="inlineStr">
        <is>
          <t>GÄVLEBORGS LÄN</t>
        </is>
      </c>
      <c r="E132" t="inlineStr">
        <is>
          <t>LJUSDAL</t>
        </is>
      </c>
      <c r="F132" t="inlineStr">
        <is>
          <t>Bergvik skog väst AB</t>
        </is>
      </c>
      <c r="G132" t="n">
        <v>3.7</v>
      </c>
      <c r="H132" t="n">
        <v>1</v>
      </c>
      <c r="I132" t="n">
        <v>0</v>
      </c>
      <c r="J132" t="n">
        <v>3</v>
      </c>
      <c r="K132" t="n">
        <v>0</v>
      </c>
      <c r="L132" t="n">
        <v>0</v>
      </c>
      <c r="M132" t="n">
        <v>0</v>
      </c>
      <c r="N132" t="n">
        <v>0</v>
      </c>
      <c r="O132" t="n">
        <v>3</v>
      </c>
      <c r="P132" t="n">
        <v>0</v>
      </c>
      <c r="Q132" t="n">
        <v>3</v>
      </c>
      <c r="R132" s="2" t="inlineStr">
        <is>
          <t>Garnlav
Lunglav
Tretåig hackspett</t>
        </is>
      </c>
      <c r="S132">
        <f>HYPERLINK("https://klasma.github.io/Logging_212161/artfynd/A 19770-2025 artfynd.xlsx", "A 19770-2025")</f>
        <v/>
      </c>
      <c r="T132">
        <f>HYPERLINK("https://klasma.github.io/Logging_212161/kartor/A 19770-2025 karta.png", "A 19770-2025")</f>
        <v/>
      </c>
      <c r="U132">
        <f>HYPERLINK("https://klasma.github.io/Logging_212161/knärot/A 19770-2025 karta knärot.png", "A 19770-2025")</f>
        <v/>
      </c>
      <c r="V132">
        <f>HYPERLINK("https://klasma.github.io/Logging_212161/klagomål/A 19770-2025 FSC-klagomål.docx", "A 19770-2025")</f>
        <v/>
      </c>
      <c r="W132">
        <f>HYPERLINK("https://klasma.github.io/Logging_212161/klagomålsmail/A 19770-2025 FSC-klagomål mail.docx", "A 19770-2025")</f>
        <v/>
      </c>
      <c r="X132">
        <f>HYPERLINK("https://klasma.github.io/Logging_212161/tillsyn/A 19770-2025 tillsynsbegäran.docx", "A 19770-2025")</f>
        <v/>
      </c>
      <c r="Y132">
        <f>HYPERLINK("https://klasma.github.io/Logging_212161/tillsynsmail/A 19770-2025 tillsynsbegäran mail.docx", "A 19770-2025")</f>
        <v/>
      </c>
      <c r="Z132">
        <f>HYPERLINK("https://klasma.github.io/Logging_212161/fåglar/A 19770-2025 prioriterade fågelarter.docx", "A 19770-2025")</f>
        <v/>
      </c>
    </row>
    <row r="133" ht="15" customHeight="1">
      <c r="A133" t="inlineStr">
        <is>
          <t>A 23643-2025</t>
        </is>
      </c>
      <c r="B133" s="1" t="n">
        <v>45792</v>
      </c>
      <c r="C133" s="1" t="n">
        <v>45811</v>
      </c>
      <c r="D133" t="inlineStr">
        <is>
          <t>GÄVLEBORGS LÄN</t>
        </is>
      </c>
      <c r="E133" t="inlineStr">
        <is>
          <t>LJUSDAL</t>
        </is>
      </c>
      <c r="F133" t="inlineStr">
        <is>
          <t>Sveaskog</t>
        </is>
      </c>
      <c r="G133" t="n">
        <v>23.8</v>
      </c>
      <c r="H133" t="n">
        <v>0</v>
      </c>
      <c r="I133" t="n">
        <v>0</v>
      </c>
      <c r="J133" t="n">
        <v>3</v>
      </c>
      <c r="K133" t="n">
        <v>0</v>
      </c>
      <c r="L133" t="n">
        <v>0</v>
      </c>
      <c r="M133" t="n">
        <v>0</v>
      </c>
      <c r="N133" t="n">
        <v>0</v>
      </c>
      <c r="O133" t="n">
        <v>3</v>
      </c>
      <c r="P133" t="n">
        <v>0</v>
      </c>
      <c r="Q133" t="n">
        <v>3</v>
      </c>
      <c r="R133" s="2" t="inlineStr">
        <is>
          <t>Kolflarnlav
Lunglav
Vedflamlav</t>
        </is>
      </c>
      <c r="S133">
        <f>HYPERLINK("https://klasma.github.io/Logging_212161/artfynd/A 23643-2025 artfynd.xlsx", "A 23643-2025")</f>
        <v/>
      </c>
      <c r="T133">
        <f>HYPERLINK("https://klasma.github.io/Logging_212161/kartor/A 23643-2025 karta.png", "A 23643-2025")</f>
        <v/>
      </c>
      <c r="V133">
        <f>HYPERLINK("https://klasma.github.io/Logging_212161/klagomål/A 23643-2025 FSC-klagomål.docx", "A 23643-2025")</f>
        <v/>
      </c>
      <c r="W133">
        <f>HYPERLINK("https://klasma.github.io/Logging_212161/klagomålsmail/A 23643-2025 FSC-klagomål mail.docx", "A 23643-2025")</f>
        <v/>
      </c>
      <c r="X133">
        <f>HYPERLINK("https://klasma.github.io/Logging_212161/tillsyn/A 23643-2025 tillsynsbegäran.docx", "A 23643-2025")</f>
        <v/>
      </c>
      <c r="Y133">
        <f>HYPERLINK("https://klasma.github.io/Logging_212161/tillsynsmail/A 23643-2025 tillsynsbegäran mail.docx", "A 23643-2025")</f>
        <v/>
      </c>
    </row>
    <row r="134" ht="15" customHeight="1">
      <c r="A134" t="inlineStr">
        <is>
          <t>A 26606-2025</t>
        </is>
      </c>
      <c r="B134" s="1" t="n">
        <v>45809</v>
      </c>
      <c r="C134" s="1" t="n">
        <v>45811</v>
      </c>
      <c r="D134" t="inlineStr">
        <is>
          <t>GÄVLEBORGS LÄN</t>
        </is>
      </c>
      <c r="E134" t="inlineStr">
        <is>
          <t>LJUSDAL</t>
        </is>
      </c>
      <c r="G134" t="n">
        <v>11.1</v>
      </c>
      <c r="H134" t="n">
        <v>0</v>
      </c>
      <c r="I134" t="n">
        <v>0</v>
      </c>
      <c r="J134" t="n">
        <v>3</v>
      </c>
      <c r="K134" t="n">
        <v>0</v>
      </c>
      <c r="L134" t="n">
        <v>0</v>
      </c>
      <c r="M134" t="n">
        <v>0</v>
      </c>
      <c r="N134" t="n">
        <v>0</v>
      </c>
      <c r="O134" t="n">
        <v>3</v>
      </c>
      <c r="P134" t="n">
        <v>0</v>
      </c>
      <c r="Q134" t="n">
        <v>3</v>
      </c>
      <c r="R134" s="2" t="inlineStr">
        <is>
          <t>Garnlav
Talltaggsvamp
Vedskivlav</t>
        </is>
      </c>
      <c r="S134">
        <f>HYPERLINK("https://klasma.github.io/Logging_212161/artfynd/A 26606-2025 artfynd.xlsx", "A 26606-2025")</f>
        <v/>
      </c>
      <c r="T134">
        <f>HYPERLINK("https://klasma.github.io/Logging_212161/kartor/A 26606-2025 karta.png", "A 26606-2025")</f>
        <v/>
      </c>
      <c r="V134">
        <f>HYPERLINK("https://klasma.github.io/Logging_212161/klagomål/A 26606-2025 FSC-klagomål.docx", "A 26606-2025")</f>
        <v/>
      </c>
      <c r="W134">
        <f>HYPERLINK("https://klasma.github.io/Logging_212161/klagomålsmail/A 26606-2025 FSC-klagomål mail.docx", "A 26606-2025")</f>
        <v/>
      </c>
      <c r="X134">
        <f>HYPERLINK("https://klasma.github.io/Logging_212161/tillsyn/A 26606-2025 tillsynsbegäran.docx", "A 26606-2025")</f>
        <v/>
      </c>
      <c r="Y134">
        <f>HYPERLINK("https://klasma.github.io/Logging_212161/tillsynsmail/A 26606-2025 tillsynsbegäran mail.docx", "A 26606-2025")</f>
        <v/>
      </c>
    </row>
    <row r="135" ht="15" customHeight="1">
      <c r="A135" t="inlineStr">
        <is>
          <t>A 29812-2019</t>
        </is>
      </c>
      <c r="B135" s="1" t="n">
        <v>43629</v>
      </c>
      <c r="C135" s="1" t="n">
        <v>45811</v>
      </c>
      <c r="D135" t="inlineStr">
        <is>
          <t>GÄVLEBORGS LÄN</t>
        </is>
      </c>
      <c r="E135" t="inlineStr">
        <is>
          <t>LJUSDAL</t>
        </is>
      </c>
      <c r="F135" t="inlineStr">
        <is>
          <t>Holmen skog AB</t>
        </is>
      </c>
      <c r="G135" t="n">
        <v>2.4</v>
      </c>
      <c r="H135" t="n">
        <v>1</v>
      </c>
      <c r="I135" t="n">
        <v>1</v>
      </c>
      <c r="J135" t="n">
        <v>0</v>
      </c>
      <c r="K135" t="n">
        <v>1</v>
      </c>
      <c r="L135" t="n">
        <v>0</v>
      </c>
      <c r="M135" t="n">
        <v>0</v>
      </c>
      <c r="N135" t="n">
        <v>0</v>
      </c>
      <c r="O135" t="n">
        <v>1</v>
      </c>
      <c r="P135" t="n">
        <v>1</v>
      </c>
      <c r="Q135" t="n">
        <v>2</v>
      </c>
      <c r="R135" s="2" t="inlineStr">
        <is>
          <t>Knärot
Skinnlav</t>
        </is>
      </c>
      <c r="S135">
        <f>HYPERLINK("https://klasma.github.io/Logging_2161/artfynd/A 29812-2019 artfynd.xlsx", "A 29812-2019")</f>
        <v/>
      </c>
      <c r="T135">
        <f>HYPERLINK("https://klasma.github.io/Logging_2161/kartor/A 29812-2019 karta.png", "A 29812-2019")</f>
        <v/>
      </c>
      <c r="U135">
        <f>HYPERLINK("https://klasma.github.io/Logging_2161/knärot/A 29812-2019 karta knärot.png", "A 29812-2019")</f>
        <v/>
      </c>
      <c r="V135">
        <f>HYPERLINK("https://klasma.github.io/Logging_2161/klagomål/A 29812-2019 FSC-klagomål.docx", "A 29812-2019")</f>
        <v/>
      </c>
      <c r="W135">
        <f>HYPERLINK("https://klasma.github.io/Logging_2161/klagomålsmail/A 29812-2019 FSC-klagomål mail.docx", "A 29812-2019")</f>
        <v/>
      </c>
      <c r="X135">
        <f>HYPERLINK("https://klasma.github.io/Logging_2161/tillsyn/A 29812-2019 tillsynsbegäran.docx", "A 29812-2019")</f>
        <v/>
      </c>
      <c r="Y135">
        <f>HYPERLINK("https://klasma.github.io/Logging_2161/tillsynsmail/A 29812-2019 tillsynsbegäran mail.docx", "A 29812-2019")</f>
        <v/>
      </c>
    </row>
    <row r="136" ht="15" customHeight="1">
      <c r="A136" t="inlineStr">
        <is>
          <t>A 18913-2020</t>
        </is>
      </c>
      <c r="B136" s="1" t="n">
        <v>43935</v>
      </c>
      <c r="C136" s="1" t="n">
        <v>45811</v>
      </c>
      <c r="D136" t="inlineStr">
        <is>
          <t>GÄVLEBORGS LÄN</t>
        </is>
      </c>
      <c r="E136" t="inlineStr">
        <is>
          <t>LJUSDAL</t>
        </is>
      </c>
      <c r="F136" t="inlineStr">
        <is>
          <t>Sveaskog</t>
        </is>
      </c>
      <c r="G136" t="n">
        <v>3.6</v>
      </c>
      <c r="H136" t="n">
        <v>0</v>
      </c>
      <c r="I136" t="n">
        <v>0</v>
      </c>
      <c r="J136" t="n">
        <v>2</v>
      </c>
      <c r="K136" t="n">
        <v>0</v>
      </c>
      <c r="L136" t="n">
        <v>0</v>
      </c>
      <c r="M136" t="n">
        <v>0</v>
      </c>
      <c r="N136" t="n">
        <v>0</v>
      </c>
      <c r="O136" t="n">
        <v>2</v>
      </c>
      <c r="P136" t="n">
        <v>0</v>
      </c>
      <c r="Q136" t="n">
        <v>2</v>
      </c>
      <c r="R136" s="2" t="inlineStr">
        <is>
          <t>Kolflarnlav
Lunglav</t>
        </is>
      </c>
      <c r="S136">
        <f>HYPERLINK("https://klasma.github.io/Logging_2161/artfynd/A 18913-2020 artfynd.xlsx", "A 18913-2020")</f>
        <v/>
      </c>
      <c r="T136">
        <f>HYPERLINK("https://klasma.github.io/Logging_2161/kartor/A 18913-2020 karta.png", "A 18913-2020")</f>
        <v/>
      </c>
      <c r="V136">
        <f>HYPERLINK("https://klasma.github.io/Logging_2161/klagomål/A 18913-2020 FSC-klagomål.docx", "A 18913-2020")</f>
        <v/>
      </c>
      <c r="W136">
        <f>HYPERLINK("https://klasma.github.io/Logging_2161/klagomålsmail/A 18913-2020 FSC-klagomål mail.docx", "A 18913-2020")</f>
        <v/>
      </c>
      <c r="X136">
        <f>HYPERLINK("https://klasma.github.io/Logging_2161/tillsyn/A 18913-2020 tillsynsbegäran.docx", "A 18913-2020")</f>
        <v/>
      </c>
      <c r="Y136">
        <f>HYPERLINK("https://klasma.github.io/Logging_2161/tillsynsmail/A 18913-2020 tillsynsbegäran mail.docx", "A 18913-2020")</f>
        <v/>
      </c>
    </row>
    <row r="137" ht="15" customHeight="1">
      <c r="A137" t="inlineStr">
        <is>
          <t>A 24617-2020</t>
        </is>
      </c>
      <c r="B137" s="1" t="n">
        <v>43977</v>
      </c>
      <c r="C137" s="1" t="n">
        <v>45811</v>
      </c>
      <c r="D137" t="inlineStr">
        <is>
          <t>GÄVLEBORGS LÄN</t>
        </is>
      </c>
      <c r="E137" t="inlineStr">
        <is>
          <t>LJUSDAL</t>
        </is>
      </c>
      <c r="F137" t="inlineStr">
        <is>
          <t>Sveaskog</t>
        </is>
      </c>
      <c r="G137" t="n">
        <v>9.300000000000001</v>
      </c>
      <c r="H137" t="n">
        <v>0</v>
      </c>
      <c r="I137" t="n">
        <v>1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2</v>
      </c>
      <c r="R137" s="2" t="inlineStr">
        <is>
          <t>Kolflarnlav
Dropptaggsvamp</t>
        </is>
      </c>
      <c r="S137">
        <f>HYPERLINK("https://klasma.github.io/Logging_2161/artfynd/A 24617-2020 artfynd.xlsx", "A 24617-2020")</f>
        <v/>
      </c>
      <c r="T137">
        <f>HYPERLINK("https://klasma.github.io/Logging_2161/kartor/A 24617-2020 karta.png", "A 24617-2020")</f>
        <v/>
      </c>
      <c r="V137">
        <f>HYPERLINK("https://klasma.github.io/Logging_2161/klagomål/A 24617-2020 FSC-klagomål.docx", "A 24617-2020")</f>
        <v/>
      </c>
      <c r="W137">
        <f>HYPERLINK("https://klasma.github.io/Logging_2161/klagomålsmail/A 24617-2020 FSC-klagomål mail.docx", "A 24617-2020")</f>
        <v/>
      </c>
      <c r="X137">
        <f>HYPERLINK("https://klasma.github.io/Logging_2161/tillsyn/A 24617-2020 tillsynsbegäran.docx", "A 24617-2020")</f>
        <v/>
      </c>
      <c r="Y137">
        <f>HYPERLINK("https://klasma.github.io/Logging_2161/tillsynsmail/A 24617-2020 tillsynsbegäran mail.docx", "A 24617-2020")</f>
        <v/>
      </c>
    </row>
    <row r="138" ht="15" customHeight="1">
      <c r="A138" t="inlineStr">
        <is>
          <t>A 29692-2020</t>
        </is>
      </c>
      <c r="B138" s="1" t="n">
        <v>44005</v>
      </c>
      <c r="C138" s="1" t="n">
        <v>45811</v>
      </c>
      <c r="D138" t="inlineStr">
        <is>
          <t>GÄVLEBORGS LÄN</t>
        </is>
      </c>
      <c r="E138" t="inlineStr">
        <is>
          <t>LJUSDAL</t>
        </is>
      </c>
      <c r="F138" t="inlineStr">
        <is>
          <t>Sveaskog</t>
        </is>
      </c>
      <c r="G138" t="n">
        <v>21.9</v>
      </c>
      <c r="H138" t="n">
        <v>2</v>
      </c>
      <c r="I138" t="n">
        <v>0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1</v>
      </c>
      <c r="P138" t="n">
        <v>1</v>
      </c>
      <c r="Q138" t="n">
        <v>2</v>
      </c>
      <c r="R138" s="2" t="inlineStr">
        <is>
          <t>Knärot
Kungsfågel</t>
        </is>
      </c>
      <c r="S138">
        <f>HYPERLINK("https://klasma.github.io/Logging_2161/artfynd/A 29692-2020 artfynd.xlsx", "A 29692-2020")</f>
        <v/>
      </c>
      <c r="T138">
        <f>HYPERLINK("https://klasma.github.io/Logging_2161/kartor/A 29692-2020 karta.png", "A 29692-2020")</f>
        <v/>
      </c>
      <c r="U138">
        <f>HYPERLINK("https://klasma.github.io/Logging_2161/knärot/A 29692-2020 karta knärot.png", "A 29692-2020")</f>
        <v/>
      </c>
      <c r="V138">
        <f>HYPERLINK("https://klasma.github.io/Logging_2161/klagomål/A 29692-2020 FSC-klagomål.docx", "A 29692-2020")</f>
        <v/>
      </c>
      <c r="W138">
        <f>HYPERLINK("https://klasma.github.io/Logging_2161/klagomålsmail/A 29692-2020 FSC-klagomål mail.docx", "A 29692-2020")</f>
        <v/>
      </c>
      <c r="X138">
        <f>HYPERLINK("https://klasma.github.io/Logging_2161/tillsyn/A 29692-2020 tillsynsbegäran.docx", "A 29692-2020")</f>
        <v/>
      </c>
      <c r="Y138">
        <f>HYPERLINK("https://klasma.github.io/Logging_2161/tillsynsmail/A 29692-2020 tillsynsbegäran mail.docx", "A 29692-2020")</f>
        <v/>
      </c>
      <c r="Z138">
        <f>HYPERLINK("https://klasma.github.io/Logging_2161/fåglar/A 29692-2020 prioriterade fågelarter.docx", "A 29692-2020")</f>
        <v/>
      </c>
    </row>
    <row r="139" ht="15" customHeight="1">
      <c r="A139" t="inlineStr">
        <is>
          <t>A 49073-2020</t>
        </is>
      </c>
      <c r="B139" s="1" t="n">
        <v>44104</v>
      </c>
      <c r="C139" s="1" t="n">
        <v>45811</v>
      </c>
      <c r="D139" t="inlineStr">
        <is>
          <t>GÄVLEBORGS LÄN</t>
        </is>
      </c>
      <c r="E139" t="inlineStr">
        <is>
          <t>LJUSDAL</t>
        </is>
      </c>
      <c r="F139" t="inlineStr">
        <is>
          <t>Sveaskog</t>
        </is>
      </c>
      <c r="G139" t="n">
        <v>15.1</v>
      </c>
      <c r="H139" t="n">
        <v>2</v>
      </c>
      <c r="I139" t="n">
        <v>0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1</v>
      </c>
      <c r="P139" t="n">
        <v>1</v>
      </c>
      <c r="Q139" t="n">
        <v>2</v>
      </c>
      <c r="R139" s="2" t="inlineStr">
        <is>
          <t>Knärot
Fläcknycklar</t>
        </is>
      </c>
      <c r="S139">
        <f>HYPERLINK("https://klasma.github.io/Logging_2161/artfynd/A 49073-2020 artfynd.xlsx", "A 49073-2020")</f>
        <v/>
      </c>
      <c r="T139">
        <f>HYPERLINK("https://klasma.github.io/Logging_2161/kartor/A 49073-2020 karta.png", "A 49073-2020")</f>
        <v/>
      </c>
      <c r="U139">
        <f>HYPERLINK("https://klasma.github.io/Logging_2161/knärot/A 49073-2020 karta knärot.png", "A 49073-2020")</f>
        <v/>
      </c>
      <c r="V139">
        <f>HYPERLINK("https://klasma.github.io/Logging_2161/klagomål/A 49073-2020 FSC-klagomål.docx", "A 49073-2020")</f>
        <v/>
      </c>
      <c r="W139">
        <f>HYPERLINK("https://klasma.github.io/Logging_2161/klagomålsmail/A 49073-2020 FSC-klagomål mail.docx", "A 49073-2020")</f>
        <v/>
      </c>
      <c r="X139">
        <f>HYPERLINK("https://klasma.github.io/Logging_2161/tillsyn/A 49073-2020 tillsynsbegäran.docx", "A 49073-2020")</f>
        <v/>
      </c>
      <c r="Y139">
        <f>HYPERLINK("https://klasma.github.io/Logging_2161/tillsynsmail/A 49073-2020 tillsynsbegäran mail.docx", "A 49073-2020")</f>
        <v/>
      </c>
    </row>
    <row r="140" ht="15" customHeight="1">
      <c r="A140" t="inlineStr">
        <is>
          <t>A 21765-2021</t>
        </is>
      </c>
      <c r="B140" s="1" t="n">
        <v>44322</v>
      </c>
      <c r="C140" s="1" t="n">
        <v>45811</v>
      </c>
      <c r="D140" t="inlineStr">
        <is>
          <t>GÄVLEBORGS LÄN</t>
        </is>
      </c>
      <c r="E140" t="inlineStr">
        <is>
          <t>LJUSDAL</t>
        </is>
      </c>
      <c r="F140" t="inlineStr">
        <is>
          <t>Sveaskog</t>
        </is>
      </c>
      <c r="G140" t="n">
        <v>1</v>
      </c>
      <c r="H140" t="n">
        <v>2</v>
      </c>
      <c r="I140" t="n">
        <v>0</v>
      </c>
      <c r="J140" t="n">
        <v>2</v>
      </c>
      <c r="K140" t="n">
        <v>0</v>
      </c>
      <c r="L140" t="n">
        <v>0</v>
      </c>
      <c r="M140" t="n">
        <v>0</v>
      </c>
      <c r="N140" t="n">
        <v>0</v>
      </c>
      <c r="O140" t="n">
        <v>2</v>
      </c>
      <c r="P140" t="n">
        <v>0</v>
      </c>
      <c r="Q140" t="n">
        <v>2</v>
      </c>
      <c r="R140" s="2" t="inlineStr">
        <is>
          <t>Stenfalk
Ärtsångare</t>
        </is>
      </c>
      <c r="S140">
        <f>HYPERLINK("https://klasma.github.io/Logging_2161/artfynd/A 21765-2021 artfynd.xlsx", "A 21765-2021")</f>
        <v/>
      </c>
      <c r="T140">
        <f>HYPERLINK("https://klasma.github.io/Logging_2161/kartor/A 21765-2021 karta.png", "A 21765-2021")</f>
        <v/>
      </c>
      <c r="V140">
        <f>HYPERLINK("https://klasma.github.io/Logging_2161/klagomål/A 21765-2021 FSC-klagomål.docx", "A 21765-2021")</f>
        <v/>
      </c>
      <c r="W140">
        <f>HYPERLINK("https://klasma.github.io/Logging_2161/klagomålsmail/A 21765-2021 FSC-klagomål mail.docx", "A 21765-2021")</f>
        <v/>
      </c>
      <c r="X140">
        <f>HYPERLINK("https://klasma.github.io/Logging_2161/tillsyn/A 21765-2021 tillsynsbegäran.docx", "A 21765-2021")</f>
        <v/>
      </c>
      <c r="Y140">
        <f>HYPERLINK("https://klasma.github.io/Logging_2161/tillsynsmail/A 21765-2021 tillsynsbegäran mail.docx", "A 21765-2021")</f>
        <v/>
      </c>
      <c r="Z140">
        <f>HYPERLINK("https://klasma.github.io/Logging_2161/fåglar/A 21765-2021 prioriterade fågelarter.docx", "A 21765-2021")</f>
        <v/>
      </c>
    </row>
    <row r="141" ht="15" customHeight="1">
      <c r="A141" t="inlineStr">
        <is>
          <t>A 28727-2021</t>
        </is>
      </c>
      <c r="B141" s="1" t="n">
        <v>44357</v>
      </c>
      <c r="C141" s="1" t="n">
        <v>45811</v>
      </c>
      <c r="D141" t="inlineStr">
        <is>
          <t>GÄVLEBORGS LÄN</t>
        </is>
      </c>
      <c r="E141" t="inlineStr">
        <is>
          <t>LJUSDAL</t>
        </is>
      </c>
      <c r="F141" t="inlineStr">
        <is>
          <t>Sveaskog</t>
        </is>
      </c>
      <c r="G141" t="n">
        <v>45.9</v>
      </c>
      <c r="H141" t="n">
        <v>2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2</v>
      </c>
      <c r="R141" s="2" t="inlineStr">
        <is>
          <t>Plattlummer
Nattviol</t>
        </is>
      </c>
      <c r="S141">
        <f>HYPERLINK("https://klasma.github.io/Logging_2161/artfynd/A 28727-2021 artfynd.xlsx", "A 28727-2021")</f>
        <v/>
      </c>
      <c r="T141">
        <f>HYPERLINK("https://klasma.github.io/Logging_2161/kartor/A 28727-2021 karta.png", "A 28727-2021")</f>
        <v/>
      </c>
      <c r="V141">
        <f>HYPERLINK("https://klasma.github.io/Logging_2161/klagomål/A 28727-2021 FSC-klagomål.docx", "A 28727-2021")</f>
        <v/>
      </c>
      <c r="W141">
        <f>HYPERLINK("https://klasma.github.io/Logging_2161/klagomålsmail/A 28727-2021 FSC-klagomål mail.docx", "A 28727-2021")</f>
        <v/>
      </c>
      <c r="X141">
        <f>HYPERLINK("https://klasma.github.io/Logging_2161/tillsyn/A 28727-2021 tillsynsbegäran.docx", "A 28727-2021")</f>
        <v/>
      </c>
      <c r="Y141">
        <f>HYPERLINK("https://klasma.github.io/Logging_2161/tillsynsmail/A 28727-2021 tillsynsbegäran mail.docx", "A 28727-2021")</f>
        <v/>
      </c>
    </row>
    <row r="142" ht="15" customHeight="1">
      <c r="A142" t="inlineStr">
        <is>
          <t>A 37642-2021</t>
        </is>
      </c>
      <c r="B142" s="1" t="n">
        <v>44400</v>
      </c>
      <c r="C142" s="1" t="n">
        <v>45811</v>
      </c>
      <c r="D142" t="inlineStr">
        <is>
          <t>GÄVLEBORGS LÄN</t>
        </is>
      </c>
      <c r="E142" t="inlineStr">
        <is>
          <t>LJUSDAL</t>
        </is>
      </c>
      <c r="F142" t="inlineStr">
        <is>
          <t>Sveaskog</t>
        </is>
      </c>
      <c r="G142" t="n">
        <v>1.9</v>
      </c>
      <c r="H142" t="n">
        <v>1</v>
      </c>
      <c r="I142" t="n">
        <v>0</v>
      </c>
      <c r="J142" t="n">
        <v>1</v>
      </c>
      <c r="K142" t="n">
        <v>1</v>
      </c>
      <c r="L142" t="n">
        <v>0</v>
      </c>
      <c r="M142" t="n">
        <v>0</v>
      </c>
      <c r="N142" t="n">
        <v>0</v>
      </c>
      <c r="O142" t="n">
        <v>2</v>
      </c>
      <c r="P142" t="n">
        <v>1</v>
      </c>
      <c r="Q142" t="n">
        <v>2</v>
      </c>
      <c r="R142" s="2" t="inlineStr">
        <is>
          <t>Knärot
Lunglav</t>
        </is>
      </c>
      <c r="S142">
        <f>HYPERLINK("https://klasma.github.io/Logging_2161/artfynd/A 37642-2021 artfynd.xlsx", "A 37642-2021")</f>
        <v/>
      </c>
      <c r="T142">
        <f>HYPERLINK("https://klasma.github.io/Logging_2161/kartor/A 37642-2021 karta.png", "A 37642-2021")</f>
        <v/>
      </c>
      <c r="U142">
        <f>HYPERLINK("https://klasma.github.io/Logging_2161/knärot/A 37642-2021 karta knärot.png", "A 37642-2021")</f>
        <v/>
      </c>
      <c r="V142">
        <f>HYPERLINK("https://klasma.github.io/Logging_2161/klagomål/A 37642-2021 FSC-klagomål.docx", "A 37642-2021")</f>
        <v/>
      </c>
      <c r="W142">
        <f>HYPERLINK("https://klasma.github.io/Logging_2161/klagomålsmail/A 37642-2021 FSC-klagomål mail.docx", "A 37642-2021")</f>
        <v/>
      </c>
      <c r="X142">
        <f>HYPERLINK("https://klasma.github.io/Logging_2161/tillsyn/A 37642-2021 tillsynsbegäran.docx", "A 37642-2021")</f>
        <v/>
      </c>
      <c r="Y142">
        <f>HYPERLINK("https://klasma.github.io/Logging_2161/tillsynsmail/A 37642-2021 tillsynsbegäran mail.docx", "A 37642-2021")</f>
        <v/>
      </c>
    </row>
    <row r="143" ht="15" customHeight="1">
      <c r="A143" t="inlineStr">
        <is>
          <t>A 44692-2021</t>
        </is>
      </c>
      <c r="B143" s="1" t="n">
        <v>44438</v>
      </c>
      <c r="C143" s="1" t="n">
        <v>45811</v>
      </c>
      <c r="D143" t="inlineStr">
        <is>
          <t>GÄVLEBORGS LÄN</t>
        </is>
      </c>
      <c r="E143" t="inlineStr">
        <is>
          <t>LJUSDAL</t>
        </is>
      </c>
      <c r="F143" t="inlineStr">
        <is>
          <t>Sveaskog</t>
        </is>
      </c>
      <c r="G143" t="n">
        <v>2.5</v>
      </c>
      <c r="H143" t="n">
        <v>0</v>
      </c>
      <c r="I143" t="n">
        <v>0</v>
      </c>
      <c r="J143" t="n">
        <v>2</v>
      </c>
      <c r="K143" t="n">
        <v>0</v>
      </c>
      <c r="L143" t="n">
        <v>0</v>
      </c>
      <c r="M143" t="n">
        <v>0</v>
      </c>
      <c r="N143" t="n">
        <v>0</v>
      </c>
      <c r="O143" t="n">
        <v>2</v>
      </c>
      <c r="P143" t="n">
        <v>0</v>
      </c>
      <c r="Q143" t="n">
        <v>2</v>
      </c>
      <c r="R143" s="2" t="inlineStr">
        <is>
          <t>Kolflarnlav
Lunglav</t>
        </is>
      </c>
      <c r="S143">
        <f>HYPERLINK("https://klasma.github.io/Logging_2161/artfynd/A 44692-2021 artfynd.xlsx", "A 44692-2021")</f>
        <v/>
      </c>
      <c r="T143">
        <f>HYPERLINK("https://klasma.github.io/Logging_2161/kartor/A 44692-2021 karta.png", "A 44692-2021")</f>
        <v/>
      </c>
      <c r="V143">
        <f>HYPERLINK("https://klasma.github.io/Logging_2161/klagomål/A 44692-2021 FSC-klagomål.docx", "A 44692-2021")</f>
        <v/>
      </c>
      <c r="W143">
        <f>HYPERLINK("https://klasma.github.io/Logging_2161/klagomålsmail/A 44692-2021 FSC-klagomål mail.docx", "A 44692-2021")</f>
        <v/>
      </c>
      <c r="X143">
        <f>HYPERLINK("https://klasma.github.io/Logging_2161/tillsyn/A 44692-2021 tillsynsbegäran.docx", "A 44692-2021")</f>
        <v/>
      </c>
      <c r="Y143">
        <f>HYPERLINK("https://klasma.github.io/Logging_2161/tillsynsmail/A 44692-2021 tillsynsbegäran mail.docx", "A 44692-2021")</f>
        <v/>
      </c>
    </row>
    <row r="144" ht="15" customHeight="1">
      <c r="A144" t="inlineStr">
        <is>
          <t>A 57726-2021</t>
        </is>
      </c>
      <c r="B144" s="1" t="n">
        <v>44484</v>
      </c>
      <c r="C144" s="1" t="n">
        <v>45811</v>
      </c>
      <c r="D144" t="inlineStr">
        <is>
          <t>GÄVLEBORGS LÄN</t>
        </is>
      </c>
      <c r="E144" t="inlineStr">
        <is>
          <t>LJUSDAL</t>
        </is>
      </c>
      <c r="F144" t="inlineStr">
        <is>
          <t>Sveaskog</t>
        </is>
      </c>
      <c r="G144" t="n">
        <v>4.2</v>
      </c>
      <c r="H144" t="n">
        <v>0</v>
      </c>
      <c r="I144" t="n">
        <v>0</v>
      </c>
      <c r="J144" t="n">
        <v>2</v>
      </c>
      <c r="K144" t="n">
        <v>0</v>
      </c>
      <c r="L144" t="n">
        <v>0</v>
      </c>
      <c r="M144" t="n">
        <v>0</v>
      </c>
      <c r="N144" t="n">
        <v>0</v>
      </c>
      <c r="O144" t="n">
        <v>2</v>
      </c>
      <c r="P144" t="n">
        <v>0</v>
      </c>
      <c r="Q144" t="n">
        <v>2</v>
      </c>
      <c r="R144" s="2" t="inlineStr">
        <is>
          <t>Garnlav
Mörk kolflarnlav</t>
        </is>
      </c>
      <c r="S144">
        <f>HYPERLINK("https://klasma.github.io/Logging_2161/artfynd/A 57726-2021 artfynd.xlsx", "A 57726-2021")</f>
        <v/>
      </c>
      <c r="T144">
        <f>HYPERLINK("https://klasma.github.io/Logging_2161/kartor/A 57726-2021 karta.png", "A 57726-2021")</f>
        <v/>
      </c>
      <c r="V144">
        <f>HYPERLINK("https://klasma.github.io/Logging_2161/klagomål/A 57726-2021 FSC-klagomål.docx", "A 57726-2021")</f>
        <v/>
      </c>
      <c r="W144">
        <f>HYPERLINK("https://klasma.github.io/Logging_2161/klagomålsmail/A 57726-2021 FSC-klagomål mail.docx", "A 57726-2021")</f>
        <v/>
      </c>
      <c r="X144">
        <f>HYPERLINK("https://klasma.github.io/Logging_2161/tillsyn/A 57726-2021 tillsynsbegäran.docx", "A 57726-2021")</f>
        <v/>
      </c>
      <c r="Y144">
        <f>HYPERLINK("https://klasma.github.io/Logging_2161/tillsynsmail/A 57726-2021 tillsynsbegäran mail.docx", "A 57726-2021")</f>
        <v/>
      </c>
    </row>
    <row r="145" ht="15" customHeight="1">
      <c r="A145" t="inlineStr">
        <is>
          <t>A 23866-2022</t>
        </is>
      </c>
      <c r="B145" s="1" t="n">
        <v>44722</v>
      </c>
      <c r="C145" s="1" t="n">
        <v>45811</v>
      </c>
      <c r="D145" t="inlineStr">
        <is>
          <t>GÄVLEBORGS LÄN</t>
        </is>
      </c>
      <c r="E145" t="inlineStr">
        <is>
          <t>LJUSDAL</t>
        </is>
      </c>
      <c r="F145" t="inlineStr">
        <is>
          <t>Sveaskog</t>
        </is>
      </c>
      <c r="G145" t="n">
        <v>2.5</v>
      </c>
      <c r="H145" t="n">
        <v>1</v>
      </c>
      <c r="I145" t="n">
        <v>0</v>
      </c>
      <c r="J145" t="n">
        <v>1</v>
      </c>
      <c r="K145" t="n">
        <v>1</v>
      </c>
      <c r="L145" t="n">
        <v>0</v>
      </c>
      <c r="M145" t="n">
        <v>0</v>
      </c>
      <c r="N145" t="n">
        <v>0</v>
      </c>
      <c r="O145" t="n">
        <v>2</v>
      </c>
      <c r="P145" t="n">
        <v>1</v>
      </c>
      <c r="Q145" t="n">
        <v>2</v>
      </c>
      <c r="R145" s="2" t="inlineStr">
        <is>
          <t>Knärot
Lunglav</t>
        </is>
      </c>
      <c r="S145">
        <f>HYPERLINK("https://klasma.github.io/Logging_2161/artfynd/A 23866-2022 artfynd.xlsx", "A 23866-2022")</f>
        <v/>
      </c>
      <c r="T145">
        <f>HYPERLINK("https://klasma.github.io/Logging_2161/kartor/A 23866-2022 karta.png", "A 23866-2022")</f>
        <v/>
      </c>
      <c r="U145">
        <f>HYPERLINK("https://klasma.github.io/Logging_2161/knärot/A 23866-2022 karta knärot.png", "A 23866-2022")</f>
        <v/>
      </c>
      <c r="V145">
        <f>HYPERLINK("https://klasma.github.io/Logging_2161/klagomål/A 23866-2022 FSC-klagomål.docx", "A 23866-2022")</f>
        <v/>
      </c>
      <c r="W145">
        <f>HYPERLINK("https://klasma.github.io/Logging_2161/klagomålsmail/A 23866-2022 FSC-klagomål mail.docx", "A 23866-2022")</f>
        <v/>
      </c>
      <c r="X145">
        <f>HYPERLINK("https://klasma.github.io/Logging_2161/tillsyn/A 23866-2022 tillsynsbegäran.docx", "A 23866-2022")</f>
        <v/>
      </c>
      <c r="Y145">
        <f>HYPERLINK("https://klasma.github.io/Logging_2161/tillsynsmail/A 23866-2022 tillsynsbegäran mail.docx", "A 23866-2022")</f>
        <v/>
      </c>
    </row>
    <row r="146" ht="15" customHeight="1">
      <c r="A146" t="inlineStr">
        <is>
          <t>A 34503-2022</t>
        </is>
      </c>
      <c r="B146" s="1" t="n">
        <v>44792</v>
      </c>
      <c r="C146" s="1" t="n">
        <v>45811</v>
      </c>
      <c r="D146" t="inlineStr">
        <is>
          <t>GÄVLEBORGS LÄN</t>
        </is>
      </c>
      <c r="E146" t="inlineStr">
        <is>
          <t>LJUSDAL</t>
        </is>
      </c>
      <c r="F146" t="inlineStr">
        <is>
          <t>Sveaskog</t>
        </is>
      </c>
      <c r="G146" t="n">
        <v>12.5</v>
      </c>
      <c r="H146" t="n">
        <v>0</v>
      </c>
      <c r="I146" t="n">
        <v>0</v>
      </c>
      <c r="J146" t="n">
        <v>2</v>
      </c>
      <c r="K146" t="n">
        <v>0</v>
      </c>
      <c r="L146" t="n">
        <v>0</v>
      </c>
      <c r="M146" t="n">
        <v>0</v>
      </c>
      <c r="N146" t="n">
        <v>0</v>
      </c>
      <c r="O146" t="n">
        <v>2</v>
      </c>
      <c r="P146" t="n">
        <v>0</v>
      </c>
      <c r="Q146" t="n">
        <v>2</v>
      </c>
      <c r="R146" s="2" t="inlineStr">
        <is>
          <t>Lunglav
Skrovellav</t>
        </is>
      </c>
      <c r="S146">
        <f>HYPERLINK("https://klasma.github.io/Logging_2161/artfynd/A 34503-2022 artfynd.xlsx", "A 34503-2022")</f>
        <v/>
      </c>
      <c r="T146">
        <f>HYPERLINK("https://klasma.github.io/Logging_2161/kartor/A 34503-2022 karta.png", "A 34503-2022")</f>
        <v/>
      </c>
      <c r="V146">
        <f>HYPERLINK("https://klasma.github.io/Logging_2161/klagomål/A 34503-2022 FSC-klagomål.docx", "A 34503-2022")</f>
        <v/>
      </c>
      <c r="W146">
        <f>HYPERLINK("https://klasma.github.io/Logging_2161/klagomålsmail/A 34503-2022 FSC-klagomål mail.docx", "A 34503-2022")</f>
        <v/>
      </c>
      <c r="X146">
        <f>HYPERLINK("https://klasma.github.io/Logging_2161/tillsyn/A 34503-2022 tillsynsbegäran.docx", "A 34503-2022")</f>
        <v/>
      </c>
      <c r="Y146">
        <f>HYPERLINK("https://klasma.github.io/Logging_2161/tillsynsmail/A 34503-2022 tillsynsbegäran mail.docx", "A 34503-2022")</f>
        <v/>
      </c>
    </row>
    <row r="147" ht="15" customHeight="1">
      <c r="A147" t="inlineStr">
        <is>
          <t>A 35588-2022</t>
        </is>
      </c>
      <c r="B147" s="1" t="n">
        <v>44799</v>
      </c>
      <c r="C147" s="1" t="n">
        <v>45811</v>
      </c>
      <c r="D147" t="inlineStr">
        <is>
          <t>GÄVLEBORGS LÄN</t>
        </is>
      </c>
      <c r="E147" t="inlineStr">
        <is>
          <t>LJUSDAL</t>
        </is>
      </c>
      <c r="F147" t="inlineStr">
        <is>
          <t>Sveaskog</t>
        </is>
      </c>
      <c r="G147" t="n">
        <v>3.4</v>
      </c>
      <c r="H147" t="n">
        <v>0</v>
      </c>
      <c r="I147" t="n">
        <v>0</v>
      </c>
      <c r="J147" t="n">
        <v>2</v>
      </c>
      <c r="K147" t="n">
        <v>0</v>
      </c>
      <c r="L147" t="n">
        <v>0</v>
      </c>
      <c r="M147" t="n">
        <v>0</v>
      </c>
      <c r="N147" t="n">
        <v>0</v>
      </c>
      <c r="O147" t="n">
        <v>2</v>
      </c>
      <c r="P147" t="n">
        <v>0</v>
      </c>
      <c r="Q147" t="n">
        <v>2</v>
      </c>
      <c r="R147" s="2" t="inlineStr">
        <is>
          <t>Garnlav
Lunglav</t>
        </is>
      </c>
      <c r="S147">
        <f>HYPERLINK("https://klasma.github.io/Logging_2161/artfynd/A 35588-2022 artfynd.xlsx", "A 35588-2022")</f>
        <v/>
      </c>
      <c r="T147">
        <f>HYPERLINK("https://klasma.github.io/Logging_2161/kartor/A 35588-2022 karta.png", "A 35588-2022")</f>
        <v/>
      </c>
      <c r="V147">
        <f>HYPERLINK("https://klasma.github.io/Logging_2161/klagomål/A 35588-2022 FSC-klagomål.docx", "A 35588-2022")</f>
        <v/>
      </c>
      <c r="W147">
        <f>HYPERLINK("https://klasma.github.io/Logging_2161/klagomålsmail/A 35588-2022 FSC-klagomål mail.docx", "A 35588-2022")</f>
        <v/>
      </c>
      <c r="X147">
        <f>HYPERLINK("https://klasma.github.io/Logging_2161/tillsyn/A 35588-2022 tillsynsbegäran.docx", "A 35588-2022")</f>
        <v/>
      </c>
      <c r="Y147">
        <f>HYPERLINK("https://klasma.github.io/Logging_2161/tillsynsmail/A 35588-2022 tillsynsbegäran mail.docx", "A 35588-2022")</f>
        <v/>
      </c>
    </row>
    <row r="148" ht="15" customHeight="1">
      <c r="A148" t="inlineStr">
        <is>
          <t>A 41214-2022</t>
        </is>
      </c>
      <c r="B148" s="1" t="n">
        <v>44826</v>
      </c>
      <c r="C148" s="1" t="n">
        <v>45811</v>
      </c>
      <c r="D148" t="inlineStr">
        <is>
          <t>GÄVLEBORGS LÄN</t>
        </is>
      </c>
      <c r="E148" t="inlineStr">
        <is>
          <t>LJUSDAL</t>
        </is>
      </c>
      <c r="F148" t="inlineStr">
        <is>
          <t>Sveaskog</t>
        </is>
      </c>
      <c r="G148" t="n">
        <v>6.1</v>
      </c>
      <c r="H148" t="n">
        <v>0</v>
      </c>
      <c r="I148" t="n">
        <v>0</v>
      </c>
      <c r="J148" t="n">
        <v>2</v>
      </c>
      <c r="K148" t="n">
        <v>0</v>
      </c>
      <c r="L148" t="n">
        <v>0</v>
      </c>
      <c r="M148" t="n">
        <v>0</v>
      </c>
      <c r="N148" t="n">
        <v>0</v>
      </c>
      <c r="O148" t="n">
        <v>2</v>
      </c>
      <c r="P148" t="n">
        <v>0</v>
      </c>
      <c r="Q148" t="n">
        <v>2</v>
      </c>
      <c r="R148" s="2" t="inlineStr">
        <is>
          <t>Kolflarnlav
Lunglav</t>
        </is>
      </c>
      <c r="S148">
        <f>HYPERLINK("https://klasma.github.io/Logging_2161/artfynd/A 41214-2022 artfynd.xlsx", "A 41214-2022")</f>
        <v/>
      </c>
      <c r="T148">
        <f>HYPERLINK("https://klasma.github.io/Logging_2161/kartor/A 41214-2022 karta.png", "A 41214-2022")</f>
        <v/>
      </c>
      <c r="V148">
        <f>HYPERLINK("https://klasma.github.io/Logging_2161/klagomål/A 41214-2022 FSC-klagomål.docx", "A 41214-2022")</f>
        <v/>
      </c>
      <c r="W148">
        <f>HYPERLINK("https://klasma.github.io/Logging_2161/klagomålsmail/A 41214-2022 FSC-klagomål mail.docx", "A 41214-2022")</f>
        <v/>
      </c>
      <c r="X148">
        <f>HYPERLINK("https://klasma.github.io/Logging_2161/tillsyn/A 41214-2022 tillsynsbegäran.docx", "A 41214-2022")</f>
        <v/>
      </c>
      <c r="Y148">
        <f>HYPERLINK("https://klasma.github.io/Logging_2161/tillsynsmail/A 41214-2022 tillsynsbegäran mail.docx", "A 41214-2022")</f>
        <v/>
      </c>
    </row>
    <row r="149" ht="15" customHeight="1">
      <c r="A149" t="inlineStr">
        <is>
          <t>A 44116-2022</t>
        </is>
      </c>
      <c r="B149" s="1" t="n">
        <v>44839</v>
      </c>
      <c r="C149" s="1" t="n">
        <v>45811</v>
      </c>
      <c r="D149" t="inlineStr">
        <is>
          <t>GÄVLEBORGS LÄN</t>
        </is>
      </c>
      <c r="E149" t="inlineStr">
        <is>
          <t>LJUSDAL</t>
        </is>
      </c>
      <c r="F149" t="inlineStr">
        <is>
          <t>Sveaskog</t>
        </is>
      </c>
      <c r="G149" t="n">
        <v>9.199999999999999</v>
      </c>
      <c r="H149" t="n">
        <v>0</v>
      </c>
      <c r="I149" t="n">
        <v>0</v>
      </c>
      <c r="J149" t="n">
        <v>2</v>
      </c>
      <c r="K149" t="n">
        <v>0</v>
      </c>
      <c r="L149" t="n">
        <v>0</v>
      </c>
      <c r="M149" t="n">
        <v>0</v>
      </c>
      <c r="N149" t="n">
        <v>0</v>
      </c>
      <c r="O149" t="n">
        <v>2</v>
      </c>
      <c r="P149" t="n">
        <v>0</v>
      </c>
      <c r="Q149" t="n">
        <v>2</v>
      </c>
      <c r="R149" s="2" t="inlineStr">
        <is>
          <t>Kolflarnlav
Lunglav</t>
        </is>
      </c>
      <c r="S149">
        <f>HYPERLINK("https://klasma.github.io/Logging_2161/artfynd/A 44116-2022 artfynd.xlsx", "A 44116-2022")</f>
        <v/>
      </c>
      <c r="T149">
        <f>HYPERLINK("https://klasma.github.io/Logging_2161/kartor/A 44116-2022 karta.png", "A 44116-2022")</f>
        <v/>
      </c>
      <c r="V149">
        <f>HYPERLINK("https://klasma.github.io/Logging_2161/klagomål/A 44116-2022 FSC-klagomål.docx", "A 44116-2022")</f>
        <v/>
      </c>
      <c r="W149">
        <f>HYPERLINK("https://klasma.github.io/Logging_2161/klagomålsmail/A 44116-2022 FSC-klagomål mail.docx", "A 44116-2022")</f>
        <v/>
      </c>
      <c r="X149">
        <f>HYPERLINK("https://klasma.github.io/Logging_2161/tillsyn/A 44116-2022 tillsynsbegäran.docx", "A 44116-2022")</f>
        <v/>
      </c>
      <c r="Y149">
        <f>HYPERLINK("https://klasma.github.io/Logging_2161/tillsynsmail/A 44116-2022 tillsynsbegäran mail.docx", "A 44116-2022")</f>
        <v/>
      </c>
    </row>
    <row r="150" ht="15" customHeight="1">
      <c r="A150" t="inlineStr">
        <is>
          <t>A 51330-2022</t>
        </is>
      </c>
      <c r="B150" s="1" t="n">
        <v>44869</v>
      </c>
      <c r="C150" s="1" t="n">
        <v>45811</v>
      </c>
      <c r="D150" t="inlineStr">
        <is>
          <t>GÄVLEBORGS LÄN</t>
        </is>
      </c>
      <c r="E150" t="inlineStr">
        <is>
          <t>LJUSDAL</t>
        </is>
      </c>
      <c r="F150" t="inlineStr">
        <is>
          <t>Bergvik skog väst AB</t>
        </is>
      </c>
      <c r="G150" t="n">
        <v>9.199999999999999</v>
      </c>
      <c r="H150" t="n">
        <v>2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2</v>
      </c>
      <c r="R150" s="2" t="inlineStr">
        <is>
          <t>Järpe
Orre</t>
        </is>
      </c>
      <c r="S150">
        <f>HYPERLINK("https://klasma.github.io/Logging_2161/artfynd/A 51330-2022 artfynd.xlsx", "A 51330-2022")</f>
        <v/>
      </c>
      <c r="T150">
        <f>HYPERLINK("https://klasma.github.io/Logging_2161/kartor/A 51330-2022 karta.png", "A 51330-2022")</f>
        <v/>
      </c>
      <c r="V150">
        <f>HYPERLINK("https://klasma.github.io/Logging_2161/klagomål/A 51330-2022 FSC-klagomål.docx", "A 51330-2022")</f>
        <v/>
      </c>
      <c r="W150">
        <f>HYPERLINK("https://klasma.github.io/Logging_2161/klagomålsmail/A 51330-2022 FSC-klagomål mail.docx", "A 51330-2022")</f>
        <v/>
      </c>
      <c r="X150">
        <f>HYPERLINK("https://klasma.github.io/Logging_2161/tillsyn/A 51330-2022 tillsynsbegäran.docx", "A 51330-2022")</f>
        <v/>
      </c>
      <c r="Y150">
        <f>HYPERLINK("https://klasma.github.io/Logging_2161/tillsynsmail/A 51330-2022 tillsynsbegäran mail.docx", "A 51330-2022")</f>
        <v/>
      </c>
      <c r="Z150">
        <f>HYPERLINK("https://klasma.github.io/Logging_2161/fåglar/A 51330-2022 prioriterade fågelarter.docx", "A 51330-2022")</f>
        <v/>
      </c>
    </row>
    <row r="151" ht="15" customHeight="1">
      <c r="A151" t="inlineStr">
        <is>
          <t>A 54108-2022</t>
        </is>
      </c>
      <c r="B151" s="1" t="n">
        <v>44881</v>
      </c>
      <c r="C151" s="1" t="n">
        <v>45811</v>
      </c>
      <c r="D151" t="inlineStr">
        <is>
          <t>GÄVLEBORGS LÄN</t>
        </is>
      </c>
      <c r="E151" t="inlineStr">
        <is>
          <t>LJUSDAL</t>
        </is>
      </c>
      <c r="F151" t="inlineStr">
        <is>
          <t>Sveaskog</t>
        </is>
      </c>
      <c r="G151" t="n">
        <v>7.9</v>
      </c>
      <c r="H151" t="n">
        <v>0</v>
      </c>
      <c r="I151" t="n">
        <v>1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2</v>
      </c>
      <c r="R151" s="2" t="inlineStr">
        <is>
          <t>Kolflarnlav
Dropptaggsvamp</t>
        </is>
      </c>
      <c r="S151">
        <f>HYPERLINK("https://klasma.github.io/Logging_2161/artfynd/A 54108-2022 artfynd.xlsx", "A 54108-2022")</f>
        <v/>
      </c>
      <c r="T151">
        <f>HYPERLINK("https://klasma.github.io/Logging_2161/kartor/A 54108-2022 karta.png", "A 54108-2022")</f>
        <v/>
      </c>
      <c r="V151">
        <f>HYPERLINK("https://klasma.github.io/Logging_2161/klagomål/A 54108-2022 FSC-klagomål.docx", "A 54108-2022")</f>
        <v/>
      </c>
      <c r="W151">
        <f>HYPERLINK("https://klasma.github.io/Logging_2161/klagomålsmail/A 54108-2022 FSC-klagomål mail.docx", "A 54108-2022")</f>
        <v/>
      </c>
      <c r="X151">
        <f>HYPERLINK("https://klasma.github.io/Logging_2161/tillsyn/A 54108-2022 tillsynsbegäran.docx", "A 54108-2022")</f>
        <v/>
      </c>
      <c r="Y151">
        <f>HYPERLINK("https://klasma.github.io/Logging_2161/tillsynsmail/A 54108-2022 tillsynsbegäran mail.docx", "A 54108-2022")</f>
        <v/>
      </c>
    </row>
    <row r="152" ht="15" customHeight="1">
      <c r="A152" t="inlineStr">
        <is>
          <t>A 60541-2022</t>
        </is>
      </c>
      <c r="B152" s="1" t="n">
        <v>44911</v>
      </c>
      <c r="C152" s="1" t="n">
        <v>45811</v>
      </c>
      <c r="D152" t="inlineStr">
        <is>
          <t>GÄVLEBORGS LÄN</t>
        </is>
      </c>
      <c r="E152" t="inlineStr">
        <is>
          <t>LJUSDAL</t>
        </is>
      </c>
      <c r="F152" t="inlineStr">
        <is>
          <t>Bergvik skog väst AB</t>
        </is>
      </c>
      <c r="G152" t="n">
        <v>5.4</v>
      </c>
      <c r="H152" t="n">
        <v>2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2</v>
      </c>
      <c r="R152" s="2" t="inlineStr">
        <is>
          <t>Orre
Pärluggla</t>
        </is>
      </c>
      <c r="S152">
        <f>HYPERLINK("https://klasma.github.io/Logging_2161/artfynd/A 60541-2022 artfynd.xlsx", "A 60541-2022")</f>
        <v/>
      </c>
      <c r="T152">
        <f>HYPERLINK("https://klasma.github.io/Logging_2161/kartor/A 60541-2022 karta.png", "A 60541-2022")</f>
        <v/>
      </c>
      <c r="V152">
        <f>HYPERLINK("https://klasma.github.io/Logging_2161/klagomål/A 60541-2022 FSC-klagomål.docx", "A 60541-2022")</f>
        <v/>
      </c>
      <c r="W152">
        <f>HYPERLINK("https://klasma.github.io/Logging_2161/klagomålsmail/A 60541-2022 FSC-klagomål mail.docx", "A 60541-2022")</f>
        <v/>
      </c>
      <c r="X152">
        <f>HYPERLINK("https://klasma.github.io/Logging_2161/tillsyn/A 60541-2022 tillsynsbegäran.docx", "A 60541-2022")</f>
        <v/>
      </c>
      <c r="Y152">
        <f>HYPERLINK("https://klasma.github.io/Logging_2161/tillsynsmail/A 60541-2022 tillsynsbegäran mail.docx", "A 60541-2022")</f>
        <v/>
      </c>
      <c r="Z152">
        <f>HYPERLINK("https://klasma.github.io/Logging_2161/fåglar/A 60541-2022 prioriterade fågelarter.docx", "A 60541-2022")</f>
        <v/>
      </c>
    </row>
    <row r="153" ht="15" customHeight="1">
      <c r="A153" t="inlineStr">
        <is>
          <t>A 9999-2023</t>
        </is>
      </c>
      <c r="B153" s="1" t="n">
        <v>44985</v>
      </c>
      <c r="C153" s="1" t="n">
        <v>45811</v>
      </c>
      <c r="D153" t="inlineStr">
        <is>
          <t>GÄVLEBORGS LÄN</t>
        </is>
      </c>
      <c r="E153" t="inlineStr">
        <is>
          <t>LJUSDAL</t>
        </is>
      </c>
      <c r="F153" t="inlineStr">
        <is>
          <t>Bergvik skog väst AB</t>
        </is>
      </c>
      <c r="G153" t="n">
        <v>13.7</v>
      </c>
      <c r="H153" t="n">
        <v>2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2</v>
      </c>
      <c r="R153" s="2" t="inlineStr">
        <is>
          <t>Spillkråka
Pärluggla</t>
        </is>
      </c>
      <c r="S153">
        <f>HYPERLINK("https://klasma.github.io/Logging_2161/artfynd/A 9999-2023 artfynd.xlsx", "A 9999-2023")</f>
        <v/>
      </c>
      <c r="T153">
        <f>HYPERLINK("https://klasma.github.io/Logging_2161/kartor/A 9999-2023 karta.png", "A 9999-2023")</f>
        <v/>
      </c>
      <c r="V153">
        <f>HYPERLINK("https://klasma.github.io/Logging_2161/klagomål/A 9999-2023 FSC-klagomål.docx", "A 9999-2023")</f>
        <v/>
      </c>
      <c r="W153">
        <f>HYPERLINK("https://klasma.github.io/Logging_2161/klagomålsmail/A 9999-2023 FSC-klagomål mail.docx", "A 9999-2023")</f>
        <v/>
      </c>
      <c r="X153">
        <f>HYPERLINK("https://klasma.github.io/Logging_2161/tillsyn/A 9999-2023 tillsynsbegäran.docx", "A 9999-2023")</f>
        <v/>
      </c>
      <c r="Y153">
        <f>HYPERLINK("https://klasma.github.io/Logging_2161/tillsynsmail/A 9999-2023 tillsynsbegäran mail.docx", "A 9999-2023")</f>
        <v/>
      </c>
      <c r="Z153">
        <f>HYPERLINK("https://klasma.github.io/Logging_2161/fåglar/A 9999-2023 prioriterade fågelarter.docx", "A 9999-2023")</f>
        <v/>
      </c>
    </row>
    <row r="154" ht="15" customHeight="1">
      <c r="A154" t="inlineStr">
        <is>
          <t>A 10637-2023</t>
        </is>
      </c>
      <c r="B154" s="1" t="n">
        <v>44988</v>
      </c>
      <c r="C154" s="1" t="n">
        <v>45811</v>
      </c>
      <c r="D154" t="inlineStr">
        <is>
          <t>GÄVLEBORGS LÄN</t>
        </is>
      </c>
      <c r="E154" t="inlineStr">
        <is>
          <t>LJUSDAL</t>
        </is>
      </c>
      <c r="G154" t="n">
        <v>8.9</v>
      </c>
      <c r="H154" t="n">
        <v>0</v>
      </c>
      <c r="I154" t="n">
        <v>0</v>
      </c>
      <c r="J154" t="n">
        <v>2</v>
      </c>
      <c r="K154" t="n">
        <v>0</v>
      </c>
      <c r="L154" t="n">
        <v>0</v>
      </c>
      <c r="M154" t="n">
        <v>0</v>
      </c>
      <c r="N154" t="n">
        <v>0</v>
      </c>
      <c r="O154" t="n">
        <v>2</v>
      </c>
      <c r="P154" t="n">
        <v>0</v>
      </c>
      <c r="Q154" t="n">
        <v>2</v>
      </c>
      <c r="R154" s="2" t="inlineStr">
        <is>
          <t>Garnlav
Lunglav</t>
        </is>
      </c>
      <c r="S154">
        <f>HYPERLINK("https://klasma.github.io/Logging_2161/artfynd/A 10637-2023 artfynd.xlsx", "A 10637-2023")</f>
        <v/>
      </c>
      <c r="T154">
        <f>HYPERLINK("https://klasma.github.io/Logging_2161/kartor/A 10637-2023 karta.png", "A 10637-2023")</f>
        <v/>
      </c>
      <c r="V154">
        <f>HYPERLINK("https://klasma.github.io/Logging_2161/klagomål/A 10637-2023 FSC-klagomål.docx", "A 10637-2023")</f>
        <v/>
      </c>
      <c r="W154">
        <f>HYPERLINK("https://klasma.github.io/Logging_2161/klagomålsmail/A 10637-2023 FSC-klagomål mail.docx", "A 10637-2023")</f>
        <v/>
      </c>
      <c r="X154">
        <f>HYPERLINK("https://klasma.github.io/Logging_2161/tillsyn/A 10637-2023 tillsynsbegäran.docx", "A 10637-2023")</f>
        <v/>
      </c>
      <c r="Y154">
        <f>HYPERLINK("https://klasma.github.io/Logging_2161/tillsynsmail/A 10637-2023 tillsynsbegäran mail.docx", "A 10637-2023")</f>
        <v/>
      </c>
    </row>
    <row r="155" ht="15" customHeight="1">
      <c r="A155" t="inlineStr">
        <is>
          <t>A 26487-2023</t>
        </is>
      </c>
      <c r="B155" s="1" t="n">
        <v>45092</v>
      </c>
      <c r="C155" s="1" t="n">
        <v>45811</v>
      </c>
      <c r="D155" t="inlineStr">
        <is>
          <t>GÄVLEBORGS LÄN</t>
        </is>
      </c>
      <c r="E155" t="inlineStr">
        <is>
          <t>LJUSDAL</t>
        </is>
      </c>
      <c r="F155" t="inlineStr">
        <is>
          <t>Sveaskog</t>
        </is>
      </c>
      <c r="G155" t="n">
        <v>11.2</v>
      </c>
      <c r="H155" t="n">
        <v>0</v>
      </c>
      <c r="I155" t="n">
        <v>0</v>
      </c>
      <c r="J155" t="n">
        <v>2</v>
      </c>
      <c r="K155" t="n">
        <v>0</v>
      </c>
      <c r="L155" t="n">
        <v>0</v>
      </c>
      <c r="M155" t="n">
        <v>0</v>
      </c>
      <c r="N155" t="n">
        <v>0</v>
      </c>
      <c r="O155" t="n">
        <v>2</v>
      </c>
      <c r="P155" t="n">
        <v>0</v>
      </c>
      <c r="Q155" t="n">
        <v>2</v>
      </c>
      <c r="R155" s="2" t="inlineStr">
        <is>
          <t>Lunglav
Skrovellav</t>
        </is>
      </c>
      <c r="S155">
        <f>HYPERLINK("https://klasma.github.io/Logging_2161/artfynd/A 26487-2023 artfynd.xlsx", "A 26487-2023")</f>
        <v/>
      </c>
      <c r="T155">
        <f>HYPERLINK("https://klasma.github.io/Logging_2161/kartor/A 26487-2023 karta.png", "A 26487-2023")</f>
        <v/>
      </c>
      <c r="V155">
        <f>HYPERLINK("https://klasma.github.io/Logging_2161/klagomål/A 26487-2023 FSC-klagomål.docx", "A 26487-2023")</f>
        <v/>
      </c>
      <c r="W155">
        <f>HYPERLINK("https://klasma.github.io/Logging_2161/klagomålsmail/A 26487-2023 FSC-klagomål mail.docx", "A 26487-2023")</f>
        <v/>
      </c>
      <c r="X155">
        <f>HYPERLINK("https://klasma.github.io/Logging_2161/tillsyn/A 26487-2023 tillsynsbegäran.docx", "A 26487-2023")</f>
        <v/>
      </c>
      <c r="Y155">
        <f>HYPERLINK("https://klasma.github.io/Logging_2161/tillsynsmail/A 26487-2023 tillsynsbegäran mail.docx", "A 26487-2023")</f>
        <v/>
      </c>
    </row>
    <row r="156" ht="15" customHeight="1">
      <c r="A156" t="inlineStr">
        <is>
          <t>A 26527-2023</t>
        </is>
      </c>
      <c r="B156" s="1" t="n">
        <v>45092</v>
      </c>
      <c r="C156" s="1" t="n">
        <v>45811</v>
      </c>
      <c r="D156" t="inlineStr">
        <is>
          <t>GÄVLEBORGS LÄN</t>
        </is>
      </c>
      <c r="E156" t="inlineStr">
        <is>
          <t>LJUSDAL</t>
        </is>
      </c>
      <c r="F156" t="inlineStr">
        <is>
          <t>Sveaskog</t>
        </is>
      </c>
      <c r="G156" t="n">
        <v>2.8</v>
      </c>
      <c r="H156" t="n">
        <v>0</v>
      </c>
      <c r="I156" t="n">
        <v>1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2</v>
      </c>
      <c r="R156" s="2" t="inlineStr">
        <is>
          <t>Garnlav
Stuplav</t>
        </is>
      </c>
      <c r="S156">
        <f>HYPERLINK("https://klasma.github.io/Logging_2161/artfynd/A 26527-2023 artfynd.xlsx", "A 26527-2023")</f>
        <v/>
      </c>
      <c r="T156">
        <f>HYPERLINK("https://klasma.github.io/Logging_2161/kartor/A 26527-2023 karta.png", "A 26527-2023")</f>
        <v/>
      </c>
      <c r="V156">
        <f>HYPERLINK("https://klasma.github.io/Logging_2161/klagomål/A 26527-2023 FSC-klagomål.docx", "A 26527-2023")</f>
        <v/>
      </c>
      <c r="W156">
        <f>HYPERLINK("https://klasma.github.io/Logging_2161/klagomålsmail/A 26527-2023 FSC-klagomål mail.docx", "A 26527-2023")</f>
        <v/>
      </c>
      <c r="X156">
        <f>HYPERLINK("https://klasma.github.io/Logging_2161/tillsyn/A 26527-2023 tillsynsbegäran.docx", "A 26527-2023")</f>
        <v/>
      </c>
      <c r="Y156">
        <f>HYPERLINK("https://klasma.github.io/Logging_2161/tillsynsmail/A 26527-2023 tillsynsbegäran mail.docx", "A 26527-2023")</f>
        <v/>
      </c>
    </row>
    <row r="157" ht="15" customHeight="1">
      <c r="A157" t="inlineStr">
        <is>
          <t>A 30237-2023</t>
        </is>
      </c>
      <c r="B157" s="1" t="n">
        <v>45110</v>
      </c>
      <c r="C157" s="1" t="n">
        <v>45811</v>
      </c>
      <c r="D157" t="inlineStr">
        <is>
          <t>GÄVLEBORGS LÄN</t>
        </is>
      </c>
      <c r="E157" t="inlineStr">
        <is>
          <t>LJUSDAL</t>
        </is>
      </c>
      <c r="F157" t="inlineStr">
        <is>
          <t>Sveaskog</t>
        </is>
      </c>
      <c r="G157" t="n">
        <v>1.7</v>
      </c>
      <c r="H157" t="n">
        <v>0</v>
      </c>
      <c r="I157" t="n">
        <v>0</v>
      </c>
      <c r="J157" t="n">
        <v>2</v>
      </c>
      <c r="K157" t="n">
        <v>0</v>
      </c>
      <c r="L157" t="n">
        <v>0</v>
      </c>
      <c r="M157" t="n">
        <v>0</v>
      </c>
      <c r="N157" t="n">
        <v>0</v>
      </c>
      <c r="O157" t="n">
        <v>2</v>
      </c>
      <c r="P157" t="n">
        <v>0</v>
      </c>
      <c r="Q157" t="n">
        <v>2</v>
      </c>
      <c r="R157" s="2" t="inlineStr">
        <is>
          <t>Kolflarnlav
Lunglav</t>
        </is>
      </c>
      <c r="S157">
        <f>HYPERLINK("https://klasma.github.io/Logging_2161/artfynd/A 30237-2023 artfynd.xlsx", "A 30237-2023")</f>
        <v/>
      </c>
      <c r="T157">
        <f>HYPERLINK("https://klasma.github.io/Logging_2161/kartor/A 30237-2023 karta.png", "A 30237-2023")</f>
        <v/>
      </c>
      <c r="V157">
        <f>HYPERLINK("https://klasma.github.io/Logging_2161/klagomål/A 30237-2023 FSC-klagomål.docx", "A 30237-2023")</f>
        <v/>
      </c>
      <c r="W157">
        <f>HYPERLINK("https://klasma.github.io/Logging_2161/klagomålsmail/A 30237-2023 FSC-klagomål mail.docx", "A 30237-2023")</f>
        <v/>
      </c>
      <c r="X157">
        <f>HYPERLINK("https://klasma.github.io/Logging_2161/tillsyn/A 30237-2023 tillsynsbegäran.docx", "A 30237-2023")</f>
        <v/>
      </c>
      <c r="Y157">
        <f>HYPERLINK("https://klasma.github.io/Logging_2161/tillsynsmail/A 30237-2023 tillsynsbegäran mail.docx", "A 30237-2023")</f>
        <v/>
      </c>
    </row>
    <row r="158" ht="15" customHeight="1">
      <c r="A158" t="inlineStr">
        <is>
          <t>A 31123-2023</t>
        </is>
      </c>
      <c r="B158" s="1" t="n">
        <v>45113</v>
      </c>
      <c r="C158" s="1" t="n">
        <v>45811</v>
      </c>
      <c r="D158" t="inlineStr">
        <is>
          <t>GÄVLEBORGS LÄN</t>
        </is>
      </c>
      <c r="E158" t="inlineStr">
        <is>
          <t>LJUSDAL</t>
        </is>
      </c>
      <c r="F158" t="inlineStr">
        <is>
          <t>Sveaskog</t>
        </is>
      </c>
      <c r="G158" t="n">
        <v>10.2</v>
      </c>
      <c r="H158" t="n">
        <v>0</v>
      </c>
      <c r="I158" t="n">
        <v>0</v>
      </c>
      <c r="J158" t="n">
        <v>1</v>
      </c>
      <c r="K158" t="n">
        <v>1</v>
      </c>
      <c r="L158" t="n">
        <v>0</v>
      </c>
      <c r="M158" t="n">
        <v>0</v>
      </c>
      <c r="N158" t="n">
        <v>0</v>
      </c>
      <c r="O158" t="n">
        <v>2</v>
      </c>
      <c r="P158" t="n">
        <v>1</v>
      </c>
      <c r="Q158" t="n">
        <v>2</v>
      </c>
      <c r="R158" s="2" t="inlineStr">
        <is>
          <t>Norsk näverlav
Kolflarnlav</t>
        </is>
      </c>
      <c r="S158">
        <f>HYPERLINK("https://klasma.github.io/Logging_2161/artfynd/A 31123-2023 artfynd.xlsx", "A 31123-2023")</f>
        <v/>
      </c>
      <c r="T158">
        <f>HYPERLINK("https://klasma.github.io/Logging_2161/kartor/A 31123-2023 karta.png", "A 31123-2023")</f>
        <v/>
      </c>
      <c r="V158">
        <f>HYPERLINK("https://klasma.github.io/Logging_2161/klagomål/A 31123-2023 FSC-klagomål.docx", "A 31123-2023")</f>
        <v/>
      </c>
      <c r="W158">
        <f>HYPERLINK("https://klasma.github.io/Logging_2161/klagomålsmail/A 31123-2023 FSC-klagomål mail.docx", "A 31123-2023")</f>
        <v/>
      </c>
      <c r="X158">
        <f>HYPERLINK("https://klasma.github.io/Logging_2161/tillsyn/A 31123-2023 tillsynsbegäran.docx", "A 31123-2023")</f>
        <v/>
      </c>
      <c r="Y158">
        <f>HYPERLINK("https://klasma.github.io/Logging_2161/tillsynsmail/A 31123-2023 tillsynsbegäran mail.docx", "A 31123-2023")</f>
        <v/>
      </c>
    </row>
    <row r="159" ht="15" customHeight="1">
      <c r="A159" t="inlineStr">
        <is>
          <t>A 32502-2023</t>
        </is>
      </c>
      <c r="B159" s="1" t="n">
        <v>45121</v>
      </c>
      <c r="C159" s="1" t="n">
        <v>45811</v>
      </c>
      <c r="D159" t="inlineStr">
        <is>
          <t>GÄVLEBORGS LÄN</t>
        </is>
      </c>
      <c r="E159" t="inlineStr">
        <is>
          <t>LJUSDAL</t>
        </is>
      </c>
      <c r="F159" t="inlineStr">
        <is>
          <t>Sveaskog</t>
        </is>
      </c>
      <c r="G159" t="n">
        <v>9.199999999999999</v>
      </c>
      <c r="H159" t="n">
        <v>0</v>
      </c>
      <c r="I159" t="n">
        <v>1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2</v>
      </c>
      <c r="R159" s="2" t="inlineStr">
        <is>
          <t>Garnlav
Dropptaggsvamp</t>
        </is>
      </c>
      <c r="S159">
        <f>HYPERLINK("https://klasma.github.io/Logging_2161/artfynd/A 32502-2023 artfynd.xlsx", "A 32502-2023")</f>
        <v/>
      </c>
      <c r="T159">
        <f>HYPERLINK("https://klasma.github.io/Logging_2161/kartor/A 32502-2023 karta.png", "A 32502-2023")</f>
        <v/>
      </c>
      <c r="V159">
        <f>HYPERLINK("https://klasma.github.io/Logging_2161/klagomål/A 32502-2023 FSC-klagomål.docx", "A 32502-2023")</f>
        <v/>
      </c>
      <c r="W159">
        <f>HYPERLINK("https://klasma.github.io/Logging_2161/klagomålsmail/A 32502-2023 FSC-klagomål mail.docx", "A 32502-2023")</f>
        <v/>
      </c>
      <c r="X159">
        <f>HYPERLINK("https://klasma.github.io/Logging_2161/tillsyn/A 32502-2023 tillsynsbegäran.docx", "A 32502-2023")</f>
        <v/>
      </c>
      <c r="Y159">
        <f>HYPERLINK("https://klasma.github.io/Logging_2161/tillsynsmail/A 32502-2023 tillsynsbegäran mail.docx", "A 32502-2023")</f>
        <v/>
      </c>
    </row>
    <row r="160" ht="15" customHeight="1">
      <c r="A160" t="inlineStr">
        <is>
          <t>A 33199-2023</t>
        </is>
      </c>
      <c r="B160" s="1" t="n">
        <v>45127</v>
      </c>
      <c r="C160" s="1" t="n">
        <v>45811</v>
      </c>
      <c r="D160" t="inlineStr">
        <is>
          <t>GÄVLEBORGS LÄN</t>
        </is>
      </c>
      <c r="E160" t="inlineStr">
        <is>
          <t>LJUSDAL</t>
        </is>
      </c>
      <c r="F160" t="inlineStr">
        <is>
          <t>Bergvik skog väst AB</t>
        </is>
      </c>
      <c r="G160" t="n">
        <v>6.7</v>
      </c>
      <c r="H160" t="n">
        <v>1</v>
      </c>
      <c r="I160" t="n">
        <v>0</v>
      </c>
      <c r="J160" t="n">
        <v>2</v>
      </c>
      <c r="K160" t="n">
        <v>0</v>
      </c>
      <c r="L160" t="n">
        <v>0</v>
      </c>
      <c r="M160" t="n">
        <v>0</v>
      </c>
      <c r="N160" t="n">
        <v>0</v>
      </c>
      <c r="O160" t="n">
        <v>2</v>
      </c>
      <c r="P160" t="n">
        <v>0</v>
      </c>
      <c r="Q160" t="n">
        <v>2</v>
      </c>
      <c r="R160" s="2" t="inlineStr">
        <is>
          <t>Garnlav
Tretåig hackspett</t>
        </is>
      </c>
      <c r="S160">
        <f>HYPERLINK("https://klasma.github.io/Logging_2161/artfynd/A 33199-2023 artfynd.xlsx", "A 33199-2023")</f>
        <v/>
      </c>
      <c r="T160">
        <f>HYPERLINK("https://klasma.github.io/Logging_2161/kartor/A 33199-2023 karta.png", "A 33199-2023")</f>
        <v/>
      </c>
      <c r="V160">
        <f>HYPERLINK("https://klasma.github.io/Logging_2161/klagomål/A 33199-2023 FSC-klagomål.docx", "A 33199-2023")</f>
        <v/>
      </c>
      <c r="W160">
        <f>HYPERLINK("https://klasma.github.io/Logging_2161/klagomålsmail/A 33199-2023 FSC-klagomål mail.docx", "A 33199-2023")</f>
        <v/>
      </c>
      <c r="X160">
        <f>HYPERLINK("https://klasma.github.io/Logging_2161/tillsyn/A 33199-2023 tillsynsbegäran.docx", "A 33199-2023")</f>
        <v/>
      </c>
      <c r="Y160">
        <f>HYPERLINK("https://klasma.github.io/Logging_2161/tillsynsmail/A 33199-2023 tillsynsbegäran mail.docx", "A 33199-2023")</f>
        <v/>
      </c>
      <c r="Z160">
        <f>HYPERLINK("https://klasma.github.io/Logging_2161/fåglar/A 33199-2023 prioriterade fågelarter.docx", "A 33199-2023")</f>
        <v/>
      </c>
    </row>
    <row r="161" ht="15" customHeight="1">
      <c r="A161" t="inlineStr">
        <is>
          <t>A 36586-2023</t>
        </is>
      </c>
      <c r="B161" s="1" t="n">
        <v>45153</v>
      </c>
      <c r="C161" s="1" t="n">
        <v>45811</v>
      </c>
      <c r="D161" t="inlineStr">
        <is>
          <t>GÄVLEBORGS LÄN</t>
        </is>
      </c>
      <c r="E161" t="inlineStr">
        <is>
          <t>LJUSDAL</t>
        </is>
      </c>
      <c r="F161" t="inlineStr">
        <is>
          <t>Bergvik skog väst AB</t>
        </is>
      </c>
      <c r="G161" t="n">
        <v>27</v>
      </c>
      <c r="H161" t="n">
        <v>1</v>
      </c>
      <c r="I161" t="n">
        <v>0</v>
      </c>
      <c r="J161" t="n">
        <v>2</v>
      </c>
      <c r="K161" t="n">
        <v>0</v>
      </c>
      <c r="L161" t="n">
        <v>0</v>
      </c>
      <c r="M161" t="n">
        <v>0</v>
      </c>
      <c r="N161" t="n">
        <v>0</v>
      </c>
      <c r="O161" t="n">
        <v>2</v>
      </c>
      <c r="P161" t="n">
        <v>0</v>
      </c>
      <c r="Q161" t="n">
        <v>2</v>
      </c>
      <c r="R161" s="2" t="inlineStr">
        <is>
          <t>Lunglav
Tretåig hackspett</t>
        </is>
      </c>
      <c r="S161">
        <f>HYPERLINK("https://klasma.github.io/Logging_2161/artfynd/A 36586-2023 artfynd.xlsx", "A 36586-2023")</f>
        <v/>
      </c>
      <c r="T161">
        <f>HYPERLINK("https://klasma.github.io/Logging_2161/kartor/A 36586-2023 karta.png", "A 36586-2023")</f>
        <v/>
      </c>
      <c r="U161">
        <f>HYPERLINK("https://klasma.github.io/Logging_2161/knärot/A 36586-2023 karta knärot.png", "A 36586-2023")</f>
        <v/>
      </c>
      <c r="V161">
        <f>HYPERLINK("https://klasma.github.io/Logging_2161/klagomål/A 36586-2023 FSC-klagomål.docx", "A 36586-2023")</f>
        <v/>
      </c>
      <c r="W161">
        <f>HYPERLINK("https://klasma.github.io/Logging_2161/klagomålsmail/A 36586-2023 FSC-klagomål mail.docx", "A 36586-2023")</f>
        <v/>
      </c>
      <c r="X161">
        <f>HYPERLINK("https://klasma.github.io/Logging_2161/tillsyn/A 36586-2023 tillsynsbegäran.docx", "A 36586-2023")</f>
        <v/>
      </c>
      <c r="Y161">
        <f>HYPERLINK("https://klasma.github.io/Logging_2161/tillsynsmail/A 36586-2023 tillsynsbegäran mail.docx", "A 36586-2023")</f>
        <v/>
      </c>
      <c r="Z161">
        <f>HYPERLINK("https://klasma.github.io/Logging_2161/fåglar/A 36586-2023 prioriterade fågelarter.docx", "A 36586-2023")</f>
        <v/>
      </c>
    </row>
    <row r="162" ht="15" customHeight="1">
      <c r="A162" t="inlineStr">
        <is>
          <t>A 40743-2023</t>
        </is>
      </c>
      <c r="B162" s="1" t="n">
        <v>45170</v>
      </c>
      <c r="C162" s="1" t="n">
        <v>45811</v>
      </c>
      <c r="D162" t="inlineStr">
        <is>
          <t>GÄVLEBORGS LÄN</t>
        </is>
      </c>
      <c r="E162" t="inlineStr">
        <is>
          <t>LJUSDAL</t>
        </is>
      </c>
      <c r="F162" t="inlineStr">
        <is>
          <t>Sveaskog</t>
        </is>
      </c>
      <c r="G162" t="n">
        <v>12.2</v>
      </c>
      <c r="H162" t="n">
        <v>0</v>
      </c>
      <c r="I162" t="n">
        <v>0</v>
      </c>
      <c r="J162" t="n">
        <v>2</v>
      </c>
      <c r="K162" t="n">
        <v>0</v>
      </c>
      <c r="L162" t="n">
        <v>0</v>
      </c>
      <c r="M162" t="n">
        <v>0</v>
      </c>
      <c r="N162" t="n">
        <v>0</v>
      </c>
      <c r="O162" t="n">
        <v>2</v>
      </c>
      <c r="P162" t="n">
        <v>0</v>
      </c>
      <c r="Q162" t="n">
        <v>2</v>
      </c>
      <c r="R162" s="2" t="inlineStr">
        <is>
          <t>Kolflarnlav
Lunglav</t>
        </is>
      </c>
      <c r="S162">
        <f>HYPERLINK("https://klasma.github.io/Logging_2161/artfynd/A 40743-2023 artfynd.xlsx", "A 40743-2023")</f>
        <v/>
      </c>
      <c r="T162">
        <f>HYPERLINK("https://klasma.github.io/Logging_2161/kartor/A 40743-2023 karta.png", "A 40743-2023")</f>
        <v/>
      </c>
      <c r="V162">
        <f>HYPERLINK("https://klasma.github.io/Logging_2161/klagomål/A 40743-2023 FSC-klagomål.docx", "A 40743-2023")</f>
        <v/>
      </c>
      <c r="W162">
        <f>HYPERLINK("https://klasma.github.io/Logging_2161/klagomålsmail/A 40743-2023 FSC-klagomål mail.docx", "A 40743-2023")</f>
        <v/>
      </c>
      <c r="X162">
        <f>HYPERLINK("https://klasma.github.io/Logging_2161/tillsyn/A 40743-2023 tillsynsbegäran.docx", "A 40743-2023")</f>
        <v/>
      </c>
      <c r="Y162">
        <f>HYPERLINK("https://klasma.github.io/Logging_2161/tillsynsmail/A 40743-2023 tillsynsbegäran mail.docx", "A 40743-2023")</f>
        <v/>
      </c>
    </row>
    <row r="163" ht="15" customHeight="1">
      <c r="A163" t="inlineStr">
        <is>
          <t>A 42123-2023</t>
        </is>
      </c>
      <c r="B163" s="1" t="n">
        <v>45177</v>
      </c>
      <c r="C163" s="1" t="n">
        <v>45811</v>
      </c>
      <c r="D163" t="inlineStr">
        <is>
          <t>GÄVLEBORGS LÄN</t>
        </is>
      </c>
      <c r="E163" t="inlineStr">
        <is>
          <t>LJUSDAL</t>
        </is>
      </c>
      <c r="F163" t="inlineStr">
        <is>
          <t>Sveaskog</t>
        </is>
      </c>
      <c r="G163" t="n">
        <v>19.7</v>
      </c>
      <c r="H163" t="n">
        <v>0</v>
      </c>
      <c r="I163" t="n">
        <v>0</v>
      </c>
      <c r="J163" t="n">
        <v>2</v>
      </c>
      <c r="K163" t="n">
        <v>0</v>
      </c>
      <c r="L163" t="n">
        <v>0</v>
      </c>
      <c r="M163" t="n">
        <v>0</v>
      </c>
      <c r="N163" t="n">
        <v>0</v>
      </c>
      <c r="O163" t="n">
        <v>2</v>
      </c>
      <c r="P163" t="n">
        <v>0</v>
      </c>
      <c r="Q163" t="n">
        <v>2</v>
      </c>
      <c r="R163" s="2" t="inlineStr">
        <is>
          <t>Kolflarnlav
Mörk kolflarnlav</t>
        </is>
      </c>
      <c r="S163">
        <f>HYPERLINK("https://klasma.github.io/Logging_2161/artfynd/A 42123-2023 artfynd.xlsx", "A 42123-2023")</f>
        <v/>
      </c>
      <c r="T163">
        <f>HYPERLINK("https://klasma.github.io/Logging_2161/kartor/A 42123-2023 karta.png", "A 42123-2023")</f>
        <v/>
      </c>
      <c r="V163">
        <f>HYPERLINK("https://klasma.github.io/Logging_2161/klagomål/A 42123-2023 FSC-klagomål.docx", "A 42123-2023")</f>
        <v/>
      </c>
      <c r="W163">
        <f>HYPERLINK("https://klasma.github.io/Logging_2161/klagomålsmail/A 42123-2023 FSC-klagomål mail.docx", "A 42123-2023")</f>
        <v/>
      </c>
      <c r="X163">
        <f>HYPERLINK("https://klasma.github.io/Logging_2161/tillsyn/A 42123-2023 tillsynsbegäran.docx", "A 42123-2023")</f>
        <v/>
      </c>
      <c r="Y163">
        <f>HYPERLINK("https://klasma.github.io/Logging_2161/tillsynsmail/A 42123-2023 tillsynsbegäran mail.docx", "A 42123-2023")</f>
        <v/>
      </c>
    </row>
    <row r="164" ht="15" customHeight="1">
      <c r="A164" t="inlineStr">
        <is>
          <t>A 43723-2023</t>
        </is>
      </c>
      <c r="B164" s="1" t="n">
        <v>45187</v>
      </c>
      <c r="C164" s="1" t="n">
        <v>45811</v>
      </c>
      <c r="D164" t="inlineStr">
        <is>
          <t>GÄVLEBORGS LÄN</t>
        </is>
      </c>
      <c r="E164" t="inlineStr">
        <is>
          <t>LJUSDAL</t>
        </is>
      </c>
      <c r="F164" t="inlineStr">
        <is>
          <t>Sveaskog</t>
        </is>
      </c>
      <c r="G164" t="n">
        <v>5.1</v>
      </c>
      <c r="H164" t="n">
        <v>0</v>
      </c>
      <c r="I164" t="n">
        <v>0</v>
      </c>
      <c r="J164" t="n">
        <v>2</v>
      </c>
      <c r="K164" t="n">
        <v>0</v>
      </c>
      <c r="L164" t="n">
        <v>0</v>
      </c>
      <c r="M164" t="n">
        <v>0</v>
      </c>
      <c r="N164" t="n">
        <v>0</v>
      </c>
      <c r="O164" t="n">
        <v>2</v>
      </c>
      <c r="P164" t="n">
        <v>0</v>
      </c>
      <c r="Q164" t="n">
        <v>2</v>
      </c>
      <c r="R164" s="2" t="inlineStr">
        <is>
          <t>Kolflarnlav
Mörk kolflarnlav</t>
        </is>
      </c>
      <c r="S164">
        <f>HYPERLINK("https://klasma.github.io/Logging_2161/artfynd/A 43723-2023 artfynd.xlsx", "A 43723-2023")</f>
        <v/>
      </c>
      <c r="T164">
        <f>HYPERLINK("https://klasma.github.io/Logging_2161/kartor/A 43723-2023 karta.png", "A 43723-2023")</f>
        <v/>
      </c>
      <c r="V164">
        <f>HYPERLINK("https://klasma.github.io/Logging_2161/klagomål/A 43723-2023 FSC-klagomål.docx", "A 43723-2023")</f>
        <v/>
      </c>
      <c r="W164">
        <f>HYPERLINK("https://klasma.github.io/Logging_2161/klagomålsmail/A 43723-2023 FSC-klagomål mail.docx", "A 43723-2023")</f>
        <v/>
      </c>
      <c r="X164">
        <f>HYPERLINK("https://klasma.github.io/Logging_2161/tillsyn/A 43723-2023 tillsynsbegäran.docx", "A 43723-2023")</f>
        <v/>
      </c>
      <c r="Y164">
        <f>HYPERLINK("https://klasma.github.io/Logging_2161/tillsynsmail/A 43723-2023 tillsynsbegäran mail.docx", "A 43723-2023")</f>
        <v/>
      </c>
    </row>
    <row r="165" ht="15" customHeight="1">
      <c r="A165" t="inlineStr">
        <is>
          <t>A 47719-2023</t>
        </is>
      </c>
      <c r="B165" s="1" t="n">
        <v>45203</v>
      </c>
      <c r="C165" s="1" t="n">
        <v>45811</v>
      </c>
      <c r="D165" t="inlineStr">
        <is>
          <t>GÄVLEBORGS LÄN</t>
        </is>
      </c>
      <c r="E165" t="inlineStr">
        <is>
          <t>LJUSDAL</t>
        </is>
      </c>
      <c r="F165" t="inlineStr">
        <is>
          <t>Sveaskog</t>
        </is>
      </c>
      <c r="G165" t="n">
        <v>5.1</v>
      </c>
      <c r="H165" t="n">
        <v>0</v>
      </c>
      <c r="I165" t="n">
        <v>0</v>
      </c>
      <c r="J165" t="n">
        <v>2</v>
      </c>
      <c r="K165" t="n">
        <v>0</v>
      </c>
      <c r="L165" t="n">
        <v>0</v>
      </c>
      <c r="M165" t="n">
        <v>0</v>
      </c>
      <c r="N165" t="n">
        <v>0</v>
      </c>
      <c r="O165" t="n">
        <v>2</v>
      </c>
      <c r="P165" t="n">
        <v>0</v>
      </c>
      <c r="Q165" t="n">
        <v>2</v>
      </c>
      <c r="R165" s="2" t="inlineStr">
        <is>
          <t>Kolflarnlav
Orange taggsvamp</t>
        </is>
      </c>
      <c r="S165">
        <f>HYPERLINK("https://klasma.github.io/Logging_2161/artfynd/A 47719-2023 artfynd.xlsx", "A 47719-2023")</f>
        <v/>
      </c>
      <c r="T165">
        <f>HYPERLINK("https://klasma.github.io/Logging_2161/kartor/A 47719-2023 karta.png", "A 47719-2023")</f>
        <v/>
      </c>
      <c r="V165">
        <f>HYPERLINK("https://klasma.github.io/Logging_2161/klagomål/A 47719-2023 FSC-klagomål.docx", "A 47719-2023")</f>
        <v/>
      </c>
      <c r="W165">
        <f>HYPERLINK("https://klasma.github.io/Logging_2161/klagomålsmail/A 47719-2023 FSC-klagomål mail.docx", "A 47719-2023")</f>
        <v/>
      </c>
      <c r="X165">
        <f>HYPERLINK("https://klasma.github.io/Logging_2161/tillsyn/A 47719-2023 tillsynsbegäran.docx", "A 47719-2023")</f>
        <v/>
      </c>
      <c r="Y165">
        <f>HYPERLINK("https://klasma.github.io/Logging_2161/tillsynsmail/A 47719-2023 tillsynsbegäran mail.docx", "A 47719-2023")</f>
        <v/>
      </c>
    </row>
    <row r="166" ht="15" customHeight="1">
      <c r="A166" t="inlineStr">
        <is>
          <t>A 51222-2023</t>
        </is>
      </c>
      <c r="B166" s="1" t="n">
        <v>45219</v>
      </c>
      <c r="C166" s="1" t="n">
        <v>45811</v>
      </c>
      <c r="D166" t="inlineStr">
        <is>
          <t>GÄVLEBORGS LÄN</t>
        </is>
      </c>
      <c r="E166" t="inlineStr">
        <is>
          <t>LJUSDAL</t>
        </is>
      </c>
      <c r="F166" t="inlineStr">
        <is>
          <t>Sveaskog</t>
        </is>
      </c>
      <c r="G166" t="n">
        <v>6.5</v>
      </c>
      <c r="H166" t="n">
        <v>1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2</v>
      </c>
      <c r="R166" s="2" t="inlineStr">
        <is>
          <t>Lunglav
Lavskrika</t>
        </is>
      </c>
      <c r="S166">
        <f>HYPERLINK("https://klasma.github.io/Logging_2161/artfynd/A 51222-2023 artfynd.xlsx", "A 51222-2023")</f>
        <v/>
      </c>
      <c r="T166">
        <f>HYPERLINK("https://klasma.github.io/Logging_2161/kartor/A 51222-2023 karta.png", "A 51222-2023")</f>
        <v/>
      </c>
      <c r="V166">
        <f>HYPERLINK("https://klasma.github.io/Logging_2161/klagomål/A 51222-2023 FSC-klagomål.docx", "A 51222-2023")</f>
        <v/>
      </c>
      <c r="W166">
        <f>HYPERLINK("https://klasma.github.io/Logging_2161/klagomålsmail/A 51222-2023 FSC-klagomål mail.docx", "A 51222-2023")</f>
        <v/>
      </c>
      <c r="X166">
        <f>HYPERLINK("https://klasma.github.io/Logging_2161/tillsyn/A 51222-2023 tillsynsbegäran.docx", "A 51222-2023")</f>
        <v/>
      </c>
      <c r="Y166">
        <f>HYPERLINK("https://klasma.github.io/Logging_2161/tillsynsmail/A 51222-2023 tillsynsbegäran mail.docx", "A 51222-2023")</f>
        <v/>
      </c>
      <c r="Z166">
        <f>HYPERLINK("https://klasma.github.io/Logging_2161/fåglar/A 51222-2023 prioriterade fågelarter.docx", "A 51222-2023")</f>
        <v/>
      </c>
    </row>
    <row r="167" ht="15" customHeight="1">
      <c r="A167" t="inlineStr">
        <is>
          <t>A 18098-2024</t>
        </is>
      </c>
      <c r="B167" s="1" t="n">
        <v>45420</v>
      </c>
      <c r="C167" s="1" t="n">
        <v>45811</v>
      </c>
      <c r="D167" t="inlineStr">
        <is>
          <t>GÄVLEBORGS LÄN</t>
        </is>
      </c>
      <c r="E167" t="inlineStr">
        <is>
          <t>LJUSDAL</t>
        </is>
      </c>
      <c r="F167" t="inlineStr">
        <is>
          <t>Sveaskog</t>
        </is>
      </c>
      <c r="G167" t="n">
        <v>3.3</v>
      </c>
      <c r="H167" t="n">
        <v>1</v>
      </c>
      <c r="I167" t="n">
        <v>0</v>
      </c>
      <c r="J167" t="n">
        <v>2</v>
      </c>
      <c r="K167" t="n">
        <v>0</v>
      </c>
      <c r="L167" t="n">
        <v>0</v>
      </c>
      <c r="M167" t="n">
        <v>0</v>
      </c>
      <c r="N167" t="n">
        <v>0</v>
      </c>
      <c r="O167" t="n">
        <v>2</v>
      </c>
      <c r="P167" t="n">
        <v>0</v>
      </c>
      <c r="Q167" t="n">
        <v>2</v>
      </c>
      <c r="R167" s="2" t="inlineStr">
        <is>
          <t>Kolflarnlav
Varglav</t>
        </is>
      </c>
      <c r="S167">
        <f>HYPERLINK("https://klasma.github.io/Logging_2161/artfynd/A 18098-2024 artfynd.xlsx", "A 18098-2024")</f>
        <v/>
      </c>
      <c r="T167">
        <f>HYPERLINK("https://klasma.github.io/Logging_2161/kartor/A 18098-2024 karta.png", "A 18098-2024")</f>
        <v/>
      </c>
      <c r="V167">
        <f>HYPERLINK("https://klasma.github.io/Logging_2161/klagomål/A 18098-2024 FSC-klagomål.docx", "A 18098-2024")</f>
        <v/>
      </c>
      <c r="W167">
        <f>HYPERLINK("https://klasma.github.io/Logging_2161/klagomålsmail/A 18098-2024 FSC-klagomål mail.docx", "A 18098-2024")</f>
        <v/>
      </c>
      <c r="X167">
        <f>HYPERLINK("https://klasma.github.io/Logging_2161/tillsyn/A 18098-2024 tillsynsbegäran.docx", "A 18098-2024")</f>
        <v/>
      </c>
      <c r="Y167">
        <f>HYPERLINK("https://klasma.github.io/Logging_2161/tillsynsmail/A 18098-2024 tillsynsbegäran mail.docx", "A 18098-2024")</f>
        <v/>
      </c>
    </row>
    <row r="168" ht="15" customHeight="1">
      <c r="A168" t="inlineStr">
        <is>
          <t>A 18101-2024</t>
        </is>
      </c>
      <c r="B168" s="1" t="n">
        <v>45420</v>
      </c>
      <c r="C168" s="1" t="n">
        <v>45811</v>
      </c>
      <c r="D168" t="inlineStr">
        <is>
          <t>GÄVLEBORGS LÄN</t>
        </is>
      </c>
      <c r="E168" t="inlineStr">
        <is>
          <t>LJUSDAL</t>
        </is>
      </c>
      <c r="F168" t="inlineStr">
        <is>
          <t>Sveaskog</t>
        </is>
      </c>
      <c r="G168" t="n">
        <v>2.8</v>
      </c>
      <c r="H168" t="n">
        <v>0</v>
      </c>
      <c r="I168" t="n">
        <v>0</v>
      </c>
      <c r="J168" t="n">
        <v>2</v>
      </c>
      <c r="K168" t="n">
        <v>0</v>
      </c>
      <c r="L168" t="n">
        <v>0</v>
      </c>
      <c r="M168" t="n">
        <v>0</v>
      </c>
      <c r="N168" t="n">
        <v>0</v>
      </c>
      <c r="O168" t="n">
        <v>2</v>
      </c>
      <c r="P168" t="n">
        <v>0</v>
      </c>
      <c r="Q168" t="n">
        <v>2</v>
      </c>
      <c r="R168" s="2" t="inlineStr">
        <is>
          <t>Kolflarnlav
Mörk kolflarnlav</t>
        </is>
      </c>
      <c r="S168">
        <f>HYPERLINK("https://klasma.github.io/Logging_2161/artfynd/A 18101-2024 artfynd.xlsx", "A 18101-2024")</f>
        <v/>
      </c>
      <c r="T168">
        <f>HYPERLINK("https://klasma.github.io/Logging_2161/kartor/A 18101-2024 karta.png", "A 18101-2024")</f>
        <v/>
      </c>
      <c r="V168">
        <f>HYPERLINK("https://klasma.github.io/Logging_2161/klagomål/A 18101-2024 FSC-klagomål.docx", "A 18101-2024")</f>
        <v/>
      </c>
      <c r="W168">
        <f>HYPERLINK("https://klasma.github.io/Logging_2161/klagomålsmail/A 18101-2024 FSC-klagomål mail.docx", "A 18101-2024")</f>
        <v/>
      </c>
      <c r="X168">
        <f>HYPERLINK("https://klasma.github.io/Logging_2161/tillsyn/A 18101-2024 tillsynsbegäran.docx", "A 18101-2024")</f>
        <v/>
      </c>
      <c r="Y168">
        <f>HYPERLINK("https://klasma.github.io/Logging_2161/tillsynsmail/A 18101-2024 tillsynsbegäran mail.docx", "A 18101-2024")</f>
        <v/>
      </c>
    </row>
    <row r="169" ht="15" customHeight="1">
      <c r="A169" t="inlineStr">
        <is>
          <t>A 18108-2024</t>
        </is>
      </c>
      <c r="B169" s="1" t="n">
        <v>45420</v>
      </c>
      <c r="C169" s="1" t="n">
        <v>45811</v>
      </c>
      <c r="D169" t="inlineStr">
        <is>
          <t>GÄVLEBORGS LÄN</t>
        </is>
      </c>
      <c r="E169" t="inlineStr">
        <is>
          <t>LJUSDAL</t>
        </is>
      </c>
      <c r="F169" t="inlineStr">
        <is>
          <t>Sveaskog</t>
        </is>
      </c>
      <c r="G169" t="n">
        <v>2.2</v>
      </c>
      <c r="H169" t="n">
        <v>0</v>
      </c>
      <c r="I169" t="n">
        <v>0</v>
      </c>
      <c r="J169" t="n">
        <v>2</v>
      </c>
      <c r="K169" t="n">
        <v>0</v>
      </c>
      <c r="L169" t="n">
        <v>0</v>
      </c>
      <c r="M169" t="n">
        <v>0</v>
      </c>
      <c r="N169" t="n">
        <v>0</v>
      </c>
      <c r="O169" t="n">
        <v>2</v>
      </c>
      <c r="P169" t="n">
        <v>0</v>
      </c>
      <c r="Q169" t="n">
        <v>2</v>
      </c>
      <c r="R169" s="2" t="inlineStr">
        <is>
          <t>Kolflarnlav
Lunglav</t>
        </is>
      </c>
      <c r="S169">
        <f>HYPERLINK("https://klasma.github.io/Logging_2161/artfynd/A 18108-2024 artfynd.xlsx", "A 18108-2024")</f>
        <v/>
      </c>
      <c r="T169">
        <f>HYPERLINK("https://klasma.github.io/Logging_2161/kartor/A 18108-2024 karta.png", "A 18108-2024")</f>
        <v/>
      </c>
      <c r="V169">
        <f>HYPERLINK("https://klasma.github.io/Logging_2161/klagomål/A 18108-2024 FSC-klagomål.docx", "A 18108-2024")</f>
        <v/>
      </c>
      <c r="W169">
        <f>HYPERLINK("https://klasma.github.io/Logging_2161/klagomålsmail/A 18108-2024 FSC-klagomål mail.docx", "A 18108-2024")</f>
        <v/>
      </c>
      <c r="X169">
        <f>HYPERLINK("https://klasma.github.io/Logging_2161/tillsyn/A 18108-2024 tillsynsbegäran.docx", "A 18108-2024")</f>
        <v/>
      </c>
      <c r="Y169">
        <f>HYPERLINK("https://klasma.github.io/Logging_2161/tillsynsmail/A 18108-2024 tillsynsbegäran mail.docx", "A 18108-2024")</f>
        <v/>
      </c>
    </row>
    <row r="170" ht="15" customHeight="1">
      <c r="A170" t="inlineStr">
        <is>
          <t>A 18103-2024</t>
        </is>
      </c>
      <c r="B170" s="1" t="n">
        <v>45420</v>
      </c>
      <c r="C170" s="1" t="n">
        <v>45811</v>
      </c>
      <c r="D170" t="inlineStr">
        <is>
          <t>GÄVLEBORGS LÄN</t>
        </is>
      </c>
      <c r="E170" t="inlineStr">
        <is>
          <t>LJUSDAL</t>
        </is>
      </c>
      <c r="F170" t="inlineStr">
        <is>
          <t>Sveaskog</t>
        </is>
      </c>
      <c r="G170" t="n">
        <v>3.9</v>
      </c>
      <c r="H170" t="n">
        <v>0</v>
      </c>
      <c r="I170" t="n">
        <v>0</v>
      </c>
      <c r="J170" t="n">
        <v>2</v>
      </c>
      <c r="K170" t="n">
        <v>0</v>
      </c>
      <c r="L170" t="n">
        <v>0</v>
      </c>
      <c r="M170" t="n">
        <v>0</v>
      </c>
      <c r="N170" t="n">
        <v>0</v>
      </c>
      <c r="O170" t="n">
        <v>2</v>
      </c>
      <c r="P170" t="n">
        <v>0</v>
      </c>
      <c r="Q170" t="n">
        <v>2</v>
      </c>
      <c r="R170" s="2" t="inlineStr">
        <is>
          <t>Kolflarnlav
Mörk kolflarnlav</t>
        </is>
      </c>
      <c r="S170">
        <f>HYPERLINK("https://klasma.github.io/Logging_2161/artfynd/A 18103-2024 artfynd.xlsx", "A 18103-2024")</f>
        <v/>
      </c>
      <c r="T170">
        <f>HYPERLINK("https://klasma.github.io/Logging_2161/kartor/A 18103-2024 karta.png", "A 18103-2024")</f>
        <v/>
      </c>
      <c r="V170">
        <f>HYPERLINK("https://klasma.github.io/Logging_2161/klagomål/A 18103-2024 FSC-klagomål.docx", "A 18103-2024")</f>
        <v/>
      </c>
      <c r="W170">
        <f>HYPERLINK("https://klasma.github.io/Logging_2161/klagomålsmail/A 18103-2024 FSC-klagomål mail.docx", "A 18103-2024")</f>
        <v/>
      </c>
      <c r="X170">
        <f>HYPERLINK("https://klasma.github.io/Logging_2161/tillsyn/A 18103-2024 tillsynsbegäran.docx", "A 18103-2024")</f>
        <v/>
      </c>
      <c r="Y170">
        <f>HYPERLINK("https://klasma.github.io/Logging_2161/tillsynsmail/A 18103-2024 tillsynsbegäran mail.docx", "A 18103-2024")</f>
        <v/>
      </c>
    </row>
    <row r="171" ht="15" customHeight="1">
      <c r="A171" t="inlineStr">
        <is>
          <t>A 18986-2024</t>
        </is>
      </c>
      <c r="B171" s="1" t="n">
        <v>45427</v>
      </c>
      <c r="C171" s="1" t="n">
        <v>45811</v>
      </c>
      <c r="D171" t="inlineStr">
        <is>
          <t>GÄVLEBORGS LÄN</t>
        </is>
      </c>
      <c r="E171" t="inlineStr">
        <is>
          <t>LJUSDAL</t>
        </is>
      </c>
      <c r="F171" t="inlineStr">
        <is>
          <t>Sveaskog</t>
        </is>
      </c>
      <c r="G171" t="n">
        <v>5.7</v>
      </c>
      <c r="H171" t="n">
        <v>0</v>
      </c>
      <c r="I171" t="n">
        <v>0</v>
      </c>
      <c r="J171" t="n">
        <v>2</v>
      </c>
      <c r="K171" t="n">
        <v>0</v>
      </c>
      <c r="L171" t="n">
        <v>0</v>
      </c>
      <c r="M171" t="n">
        <v>0</v>
      </c>
      <c r="N171" t="n">
        <v>0</v>
      </c>
      <c r="O171" t="n">
        <v>2</v>
      </c>
      <c r="P171" t="n">
        <v>0</v>
      </c>
      <c r="Q171" t="n">
        <v>2</v>
      </c>
      <c r="R171" s="2" t="inlineStr">
        <is>
          <t>Kolflarnlav
Mörk kolflarnlav</t>
        </is>
      </c>
      <c r="S171">
        <f>HYPERLINK("https://klasma.github.io/Logging_2161/artfynd/A 18986-2024 artfynd.xlsx", "A 18986-2024")</f>
        <v/>
      </c>
      <c r="T171">
        <f>HYPERLINK("https://klasma.github.io/Logging_2161/kartor/A 18986-2024 karta.png", "A 18986-2024")</f>
        <v/>
      </c>
      <c r="V171">
        <f>HYPERLINK("https://klasma.github.io/Logging_2161/klagomål/A 18986-2024 FSC-klagomål.docx", "A 18986-2024")</f>
        <v/>
      </c>
      <c r="W171">
        <f>HYPERLINK("https://klasma.github.io/Logging_2161/klagomålsmail/A 18986-2024 FSC-klagomål mail.docx", "A 18986-2024")</f>
        <v/>
      </c>
      <c r="X171">
        <f>HYPERLINK("https://klasma.github.io/Logging_2161/tillsyn/A 18986-2024 tillsynsbegäran.docx", "A 18986-2024")</f>
        <v/>
      </c>
      <c r="Y171">
        <f>HYPERLINK("https://klasma.github.io/Logging_2161/tillsynsmail/A 18986-2024 tillsynsbegäran mail.docx", "A 18986-2024")</f>
        <v/>
      </c>
    </row>
    <row r="172" ht="15" customHeight="1">
      <c r="A172" t="inlineStr">
        <is>
          <t>A 19848-2024</t>
        </is>
      </c>
      <c r="B172" s="1" t="n">
        <v>45433</v>
      </c>
      <c r="C172" s="1" t="n">
        <v>45811</v>
      </c>
      <c r="D172" t="inlineStr">
        <is>
          <t>GÄVLEBORGS LÄN</t>
        </is>
      </c>
      <c r="E172" t="inlineStr">
        <is>
          <t>LJUSDAL</t>
        </is>
      </c>
      <c r="F172" t="inlineStr">
        <is>
          <t>Sveaskog</t>
        </is>
      </c>
      <c r="G172" t="n">
        <v>3.1</v>
      </c>
      <c r="H172" t="n">
        <v>0</v>
      </c>
      <c r="I172" t="n">
        <v>0</v>
      </c>
      <c r="J172" t="n">
        <v>2</v>
      </c>
      <c r="K172" t="n">
        <v>0</v>
      </c>
      <c r="L172" t="n">
        <v>0</v>
      </c>
      <c r="M172" t="n">
        <v>0</v>
      </c>
      <c r="N172" t="n">
        <v>0</v>
      </c>
      <c r="O172" t="n">
        <v>2</v>
      </c>
      <c r="P172" t="n">
        <v>0</v>
      </c>
      <c r="Q172" t="n">
        <v>2</v>
      </c>
      <c r="R172" s="2" t="inlineStr">
        <is>
          <t>Kolflarnlav
Lunglav</t>
        </is>
      </c>
      <c r="S172">
        <f>HYPERLINK("https://klasma.github.io/Logging_2161/artfynd/A 19848-2024 artfynd.xlsx", "A 19848-2024")</f>
        <v/>
      </c>
      <c r="T172">
        <f>HYPERLINK("https://klasma.github.io/Logging_2161/kartor/A 19848-2024 karta.png", "A 19848-2024")</f>
        <v/>
      </c>
      <c r="V172">
        <f>HYPERLINK("https://klasma.github.io/Logging_2161/klagomål/A 19848-2024 FSC-klagomål.docx", "A 19848-2024")</f>
        <v/>
      </c>
      <c r="W172">
        <f>HYPERLINK("https://klasma.github.io/Logging_2161/klagomålsmail/A 19848-2024 FSC-klagomål mail.docx", "A 19848-2024")</f>
        <v/>
      </c>
      <c r="X172">
        <f>HYPERLINK("https://klasma.github.io/Logging_2161/tillsyn/A 19848-2024 tillsynsbegäran.docx", "A 19848-2024")</f>
        <v/>
      </c>
      <c r="Y172">
        <f>HYPERLINK("https://klasma.github.io/Logging_2161/tillsynsmail/A 19848-2024 tillsynsbegäran mail.docx", "A 19848-2024")</f>
        <v/>
      </c>
    </row>
    <row r="173" ht="15" customHeight="1">
      <c r="A173" t="inlineStr">
        <is>
          <t>A 19847-2024</t>
        </is>
      </c>
      <c r="B173" s="1" t="n">
        <v>45433</v>
      </c>
      <c r="C173" s="1" t="n">
        <v>45811</v>
      </c>
      <c r="D173" t="inlineStr">
        <is>
          <t>GÄVLEBORGS LÄN</t>
        </is>
      </c>
      <c r="E173" t="inlineStr">
        <is>
          <t>LJUSDAL</t>
        </is>
      </c>
      <c r="F173" t="inlineStr">
        <is>
          <t>Sveaskog</t>
        </is>
      </c>
      <c r="G173" t="n">
        <v>10.3</v>
      </c>
      <c r="H173" t="n">
        <v>0</v>
      </c>
      <c r="I173" t="n">
        <v>0</v>
      </c>
      <c r="J173" t="n">
        <v>2</v>
      </c>
      <c r="K173" t="n">
        <v>0</v>
      </c>
      <c r="L173" t="n">
        <v>0</v>
      </c>
      <c r="M173" t="n">
        <v>0</v>
      </c>
      <c r="N173" t="n">
        <v>0</v>
      </c>
      <c r="O173" t="n">
        <v>2</v>
      </c>
      <c r="P173" t="n">
        <v>0</v>
      </c>
      <c r="Q173" t="n">
        <v>2</v>
      </c>
      <c r="R173" s="2" t="inlineStr">
        <is>
          <t>Lunglav
Mörk kolflarnlav</t>
        </is>
      </c>
      <c r="S173">
        <f>HYPERLINK("https://klasma.github.io/Logging_2161/artfynd/A 19847-2024 artfynd.xlsx", "A 19847-2024")</f>
        <v/>
      </c>
      <c r="T173">
        <f>HYPERLINK("https://klasma.github.io/Logging_2161/kartor/A 19847-2024 karta.png", "A 19847-2024")</f>
        <v/>
      </c>
      <c r="V173">
        <f>HYPERLINK("https://klasma.github.io/Logging_2161/klagomål/A 19847-2024 FSC-klagomål.docx", "A 19847-2024")</f>
        <v/>
      </c>
      <c r="W173">
        <f>HYPERLINK("https://klasma.github.io/Logging_2161/klagomålsmail/A 19847-2024 FSC-klagomål mail.docx", "A 19847-2024")</f>
        <v/>
      </c>
      <c r="X173">
        <f>HYPERLINK("https://klasma.github.io/Logging_2161/tillsyn/A 19847-2024 tillsynsbegäran.docx", "A 19847-2024")</f>
        <v/>
      </c>
      <c r="Y173">
        <f>HYPERLINK("https://klasma.github.io/Logging_2161/tillsynsmail/A 19847-2024 tillsynsbegäran mail.docx", "A 19847-2024")</f>
        <v/>
      </c>
    </row>
    <row r="174" ht="15" customHeight="1">
      <c r="A174" t="inlineStr">
        <is>
          <t>A 22063-2024</t>
        </is>
      </c>
      <c r="B174" s="1" t="n">
        <v>45443</v>
      </c>
      <c r="C174" s="1" t="n">
        <v>45811</v>
      </c>
      <c r="D174" t="inlineStr">
        <is>
          <t>GÄVLEBORGS LÄN</t>
        </is>
      </c>
      <c r="E174" t="inlineStr">
        <is>
          <t>LJUSDAL</t>
        </is>
      </c>
      <c r="F174" t="inlineStr">
        <is>
          <t>Sveaskog</t>
        </is>
      </c>
      <c r="G174" t="n">
        <v>18</v>
      </c>
      <c r="H174" t="n">
        <v>1</v>
      </c>
      <c r="I174" t="n">
        <v>1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2</v>
      </c>
      <c r="R174" s="2" t="inlineStr">
        <is>
          <t>Lunglav
Plattlummer</t>
        </is>
      </c>
      <c r="S174">
        <f>HYPERLINK("https://klasma.github.io/Logging_2161/artfynd/A 22063-2024 artfynd.xlsx", "A 22063-2024")</f>
        <v/>
      </c>
      <c r="T174">
        <f>HYPERLINK("https://klasma.github.io/Logging_2161/kartor/A 22063-2024 karta.png", "A 22063-2024")</f>
        <v/>
      </c>
      <c r="V174">
        <f>HYPERLINK("https://klasma.github.io/Logging_2161/klagomål/A 22063-2024 FSC-klagomål.docx", "A 22063-2024")</f>
        <v/>
      </c>
      <c r="W174">
        <f>HYPERLINK("https://klasma.github.io/Logging_2161/klagomålsmail/A 22063-2024 FSC-klagomål mail.docx", "A 22063-2024")</f>
        <v/>
      </c>
      <c r="X174">
        <f>HYPERLINK("https://klasma.github.io/Logging_2161/tillsyn/A 22063-2024 tillsynsbegäran.docx", "A 22063-2024")</f>
        <v/>
      </c>
      <c r="Y174">
        <f>HYPERLINK("https://klasma.github.io/Logging_2161/tillsynsmail/A 22063-2024 tillsynsbegäran mail.docx", "A 22063-2024")</f>
        <v/>
      </c>
    </row>
    <row r="175" ht="15" customHeight="1">
      <c r="A175" t="inlineStr">
        <is>
          <t>A 23399-2024</t>
        </is>
      </c>
      <c r="B175" s="1" t="n">
        <v>45453</v>
      </c>
      <c r="C175" s="1" t="n">
        <v>45811</v>
      </c>
      <c r="D175" t="inlineStr">
        <is>
          <t>GÄVLEBORGS LÄN</t>
        </is>
      </c>
      <c r="E175" t="inlineStr">
        <is>
          <t>LJUSDAL</t>
        </is>
      </c>
      <c r="G175" t="n">
        <v>1.7</v>
      </c>
      <c r="H175" t="n">
        <v>0</v>
      </c>
      <c r="I175" t="n">
        <v>0</v>
      </c>
      <c r="J175" t="n">
        <v>2</v>
      </c>
      <c r="K175" t="n">
        <v>0</v>
      </c>
      <c r="L175" t="n">
        <v>0</v>
      </c>
      <c r="M175" t="n">
        <v>0</v>
      </c>
      <c r="N175" t="n">
        <v>0</v>
      </c>
      <c r="O175" t="n">
        <v>2</v>
      </c>
      <c r="P175" t="n">
        <v>0</v>
      </c>
      <c r="Q175" t="n">
        <v>2</v>
      </c>
      <c r="R175" s="2" t="inlineStr">
        <is>
          <t>Kolflarnlav
Vedflamlav</t>
        </is>
      </c>
      <c r="S175">
        <f>HYPERLINK("https://klasma.github.io/Logging_2161/artfynd/A 23399-2024 artfynd.xlsx", "A 23399-2024")</f>
        <v/>
      </c>
      <c r="T175">
        <f>HYPERLINK("https://klasma.github.io/Logging_2161/kartor/A 23399-2024 karta.png", "A 23399-2024")</f>
        <v/>
      </c>
      <c r="V175">
        <f>HYPERLINK("https://klasma.github.io/Logging_2161/klagomål/A 23399-2024 FSC-klagomål.docx", "A 23399-2024")</f>
        <v/>
      </c>
      <c r="W175">
        <f>HYPERLINK("https://klasma.github.io/Logging_2161/klagomålsmail/A 23399-2024 FSC-klagomål mail.docx", "A 23399-2024")</f>
        <v/>
      </c>
      <c r="X175">
        <f>HYPERLINK("https://klasma.github.io/Logging_2161/tillsyn/A 23399-2024 tillsynsbegäran.docx", "A 23399-2024")</f>
        <v/>
      </c>
      <c r="Y175">
        <f>HYPERLINK("https://klasma.github.io/Logging_2161/tillsynsmail/A 23399-2024 tillsynsbegäran mail.docx", "A 23399-2024")</f>
        <v/>
      </c>
    </row>
    <row r="176" ht="15" customHeight="1">
      <c r="A176" t="inlineStr">
        <is>
          <t>A 23606-2024</t>
        </is>
      </c>
      <c r="B176" s="1" t="n">
        <v>45454</v>
      </c>
      <c r="C176" s="1" t="n">
        <v>45811</v>
      </c>
      <c r="D176" t="inlineStr">
        <is>
          <t>GÄVLEBORGS LÄN</t>
        </is>
      </c>
      <c r="E176" t="inlineStr">
        <is>
          <t>LJUSDAL</t>
        </is>
      </c>
      <c r="F176" t="inlineStr">
        <is>
          <t>Sveaskog</t>
        </is>
      </c>
      <c r="G176" t="n">
        <v>4.4</v>
      </c>
      <c r="H176" t="n">
        <v>0</v>
      </c>
      <c r="I176" t="n">
        <v>0</v>
      </c>
      <c r="J176" t="n">
        <v>2</v>
      </c>
      <c r="K176" t="n">
        <v>0</v>
      </c>
      <c r="L176" t="n">
        <v>0</v>
      </c>
      <c r="M176" t="n">
        <v>0</v>
      </c>
      <c r="N176" t="n">
        <v>0</v>
      </c>
      <c r="O176" t="n">
        <v>2</v>
      </c>
      <c r="P176" t="n">
        <v>0</v>
      </c>
      <c r="Q176" t="n">
        <v>2</v>
      </c>
      <c r="R176" s="2" t="inlineStr">
        <is>
          <t>Kolflarnlav
Lunglav</t>
        </is>
      </c>
      <c r="S176">
        <f>HYPERLINK("https://klasma.github.io/Logging_2161/artfynd/A 23606-2024 artfynd.xlsx", "A 23606-2024")</f>
        <v/>
      </c>
      <c r="T176">
        <f>HYPERLINK("https://klasma.github.io/Logging_2161/kartor/A 23606-2024 karta.png", "A 23606-2024")</f>
        <v/>
      </c>
      <c r="V176">
        <f>HYPERLINK("https://klasma.github.io/Logging_2161/klagomål/A 23606-2024 FSC-klagomål.docx", "A 23606-2024")</f>
        <v/>
      </c>
      <c r="W176">
        <f>HYPERLINK("https://klasma.github.io/Logging_2161/klagomålsmail/A 23606-2024 FSC-klagomål mail.docx", "A 23606-2024")</f>
        <v/>
      </c>
      <c r="X176">
        <f>HYPERLINK("https://klasma.github.io/Logging_2161/tillsyn/A 23606-2024 tillsynsbegäran.docx", "A 23606-2024")</f>
        <v/>
      </c>
      <c r="Y176">
        <f>HYPERLINK("https://klasma.github.io/Logging_2161/tillsynsmail/A 23606-2024 tillsynsbegäran mail.docx", "A 23606-2024")</f>
        <v/>
      </c>
    </row>
    <row r="177" ht="15" customHeight="1">
      <c r="A177" t="inlineStr">
        <is>
          <t>A 24868-2024</t>
        </is>
      </c>
      <c r="B177" s="1" t="n">
        <v>45461</v>
      </c>
      <c r="C177" s="1" t="n">
        <v>45811</v>
      </c>
      <c r="D177" t="inlineStr">
        <is>
          <t>GÄVLEBORGS LÄN</t>
        </is>
      </c>
      <c r="E177" t="inlineStr">
        <is>
          <t>LJUSDAL</t>
        </is>
      </c>
      <c r="F177" t="inlineStr">
        <is>
          <t>Bergvik skog väst AB</t>
        </is>
      </c>
      <c r="G177" t="n">
        <v>8.5</v>
      </c>
      <c r="H177" t="n">
        <v>1</v>
      </c>
      <c r="I177" t="n">
        <v>1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2</v>
      </c>
      <c r="R177" s="2" t="inlineStr">
        <is>
          <t>Granticka
Spindelblomster</t>
        </is>
      </c>
      <c r="S177">
        <f>HYPERLINK("https://klasma.github.io/Logging_2161/artfynd/A 24868-2024 artfynd.xlsx", "A 24868-2024")</f>
        <v/>
      </c>
      <c r="T177">
        <f>HYPERLINK("https://klasma.github.io/Logging_2161/kartor/A 24868-2024 karta.png", "A 24868-2024")</f>
        <v/>
      </c>
      <c r="V177">
        <f>HYPERLINK("https://klasma.github.io/Logging_2161/klagomål/A 24868-2024 FSC-klagomål.docx", "A 24868-2024")</f>
        <v/>
      </c>
      <c r="W177">
        <f>HYPERLINK("https://klasma.github.io/Logging_2161/klagomålsmail/A 24868-2024 FSC-klagomål mail.docx", "A 24868-2024")</f>
        <v/>
      </c>
      <c r="X177">
        <f>HYPERLINK("https://klasma.github.io/Logging_2161/tillsyn/A 24868-2024 tillsynsbegäran.docx", "A 24868-2024")</f>
        <v/>
      </c>
      <c r="Y177">
        <f>HYPERLINK("https://klasma.github.io/Logging_2161/tillsynsmail/A 24868-2024 tillsynsbegäran mail.docx", "A 24868-2024")</f>
        <v/>
      </c>
    </row>
    <row r="178" ht="15" customHeight="1">
      <c r="A178" t="inlineStr">
        <is>
          <t>A 25863-2024</t>
        </is>
      </c>
      <c r="B178" s="1" t="n">
        <v>45467</v>
      </c>
      <c r="C178" s="1" t="n">
        <v>45811</v>
      </c>
      <c r="D178" t="inlineStr">
        <is>
          <t>GÄVLEBORGS LÄN</t>
        </is>
      </c>
      <c r="E178" t="inlineStr">
        <is>
          <t>LJUSDAL</t>
        </is>
      </c>
      <c r="F178" t="inlineStr">
        <is>
          <t>Sveaskog</t>
        </is>
      </c>
      <c r="G178" t="n">
        <v>10.7</v>
      </c>
      <c r="H178" t="n">
        <v>0</v>
      </c>
      <c r="I178" t="n">
        <v>0</v>
      </c>
      <c r="J178" t="n">
        <v>2</v>
      </c>
      <c r="K178" t="n">
        <v>0</v>
      </c>
      <c r="L178" t="n">
        <v>0</v>
      </c>
      <c r="M178" t="n">
        <v>0</v>
      </c>
      <c r="N178" t="n">
        <v>0</v>
      </c>
      <c r="O178" t="n">
        <v>2</v>
      </c>
      <c r="P178" t="n">
        <v>0</v>
      </c>
      <c r="Q178" t="n">
        <v>2</v>
      </c>
      <c r="R178" s="2" t="inlineStr">
        <is>
          <t>Kolflarnlav
Lunglav</t>
        </is>
      </c>
      <c r="S178">
        <f>HYPERLINK("https://klasma.github.io/Logging_2161/artfynd/A 25863-2024 artfynd.xlsx", "A 25863-2024")</f>
        <v/>
      </c>
      <c r="T178">
        <f>HYPERLINK("https://klasma.github.io/Logging_2161/kartor/A 25863-2024 karta.png", "A 25863-2024")</f>
        <v/>
      </c>
      <c r="V178">
        <f>HYPERLINK("https://klasma.github.io/Logging_2161/klagomål/A 25863-2024 FSC-klagomål.docx", "A 25863-2024")</f>
        <v/>
      </c>
      <c r="W178">
        <f>HYPERLINK("https://klasma.github.io/Logging_2161/klagomålsmail/A 25863-2024 FSC-klagomål mail.docx", "A 25863-2024")</f>
        <v/>
      </c>
      <c r="X178">
        <f>HYPERLINK("https://klasma.github.io/Logging_2161/tillsyn/A 25863-2024 tillsynsbegäran.docx", "A 25863-2024")</f>
        <v/>
      </c>
      <c r="Y178">
        <f>HYPERLINK("https://klasma.github.io/Logging_2161/tillsynsmail/A 25863-2024 tillsynsbegäran mail.docx", "A 25863-2024")</f>
        <v/>
      </c>
    </row>
    <row r="179" ht="15" customHeight="1">
      <c r="A179" t="inlineStr">
        <is>
          <t>A 28422-2024</t>
        </is>
      </c>
      <c r="B179" s="1" t="n">
        <v>45477</v>
      </c>
      <c r="C179" s="1" t="n">
        <v>45811</v>
      </c>
      <c r="D179" t="inlineStr">
        <is>
          <t>GÄVLEBORGS LÄN</t>
        </is>
      </c>
      <c r="E179" t="inlineStr">
        <is>
          <t>LJUSDAL</t>
        </is>
      </c>
      <c r="F179" t="inlineStr">
        <is>
          <t>Allmännings- och besparingsskogar</t>
        </is>
      </c>
      <c r="G179" t="n">
        <v>11.9</v>
      </c>
      <c r="H179" t="n">
        <v>0</v>
      </c>
      <c r="I179" t="n">
        <v>0</v>
      </c>
      <c r="J179" t="n">
        <v>2</v>
      </c>
      <c r="K179" t="n">
        <v>0</v>
      </c>
      <c r="L179" t="n">
        <v>0</v>
      </c>
      <c r="M179" t="n">
        <v>0</v>
      </c>
      <c r="N179" t="n">
        <v>0</v>
      </c>
      <c r="O179" t="n">
        <v>2</v>
      </c>
      <c r="P179" t="n">
        <v>0</v>
      </c>
      <c r="Q179" t="n">
        <v>2</v>
      </c>
      <c r="R179" s="2" t="inlineStr">
        <is>
          <t>Garnlav
Lunglav</t>
        </is>
      </c>
      <c r="S179">
        <f>HYPERLINK("https://klasma.github.io/Logging_2161/artfynd/A 28422-2024 artfynd.xlsx", "A 28422-2024")</f>
        <v/>
      </c>
      <c r="T179">
        <f>HYPERLINK("https://klasma.github.io/Logging_2161/kartor/A 28422-2024 karta.png", "A 28422-2024")</f>
        <v/>
      </c>
      <c r="V179">
        <f>HYPERLINK("https://klasma.github.io/Logging_2161/klagomål/A 28422-2024 FSC-klagomål.docx", "A 28422-2024")</f>
        <v/>
      </c>
      <c r="W179">
        <f>HYPERLINK("https://klasma.github.io/Logging_2161/klagomålsmail/A 28422-2024 FSC-klagomål mail.docx", "A 28422-2024")</f>
        <v/>
      </c>
      <c r="X179">
        <f>HYPERLINK("https://klasma.github.io/Logging_2161/tillsyn/A 28422-2024 tillsynsbegäran.docx", "A 28422-2024")</f>
        <v/>
      </c>
      <c r="Y179">
        <f>HYPERLINK("https://klasma.github.io/Logging_2161/tillsynsmail/A 28422-2024 tillsynsbegäran mail.docx", "A 28422-2024")</f>
        <v/>
      </c>
    </row>
    <row r="180" ht="15" customHeight="1">
      <c r="A180" t="inlineStr">
        <is>
          <t>A 30884-2024</t>
        </is>
      </c>
      <c r="B180" s="1" t="n">
        <v>45498</v>
      </c>
      <c r="C180" s="1" t="n">
        <v>45811</v>
      </c>
      <c r="D180" t="inlineStr">
        <is>
          <t>GÄVLEBORGS LÄN</t>
        </is>
      </c>
      <c r="E180" t="inlineStr">
        <is>
          <t>LJUSDAL</t>
        </is>
      </c>
      <c r="F180" t="inlineStr">
        <is>
          <t>Sveaskog</t>
        </is>
      </c>
      <c r="G180" t="n">
        <v>3.2</v>
      </c>
      <c r="H180" t="n">
        <v>1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2</v>
      </c>
      <c r="R180" s="2" t="inlineStr">
        <is>
          <t>Kolflarnlav
Fläcknycklar</t>
        </is>
      </c>
      <c r="S180">
        <f>HYPERLINK("https://klasma.github.io/Logging_2161/artfynd/A 30884-2024 artfynd.xlsx", "A 30884-2024")</f>
        <v/>
      </c>
      <c r="T180">
        <f>HYPERLINK("https://klasma.github.io/Logging_2161/kartor/A 30884-2024 karta.png", "A 30884-2024")</f>
        <v/>
      </c>
      <c r="V180">
        <f>HYPERLINK("https://klasma.github.io/Logging_2161/klagomål/A 30884-2024 FSC-klagomål.docx", "A 30884-2024")</f>
        <v/>
      </c>
      <c r="W180">
        <f>HYPERLINK("https://klasma.github.io/Logging_2161/klagomålsmail/A 30884-2024 FSC-klagomål mail.docx", "A 30884-2024")</f>
        <v/>
      </c>
      <c r="X180">
        <f>HYPERLINK("https://klasma.github.io/Logging_2161/tillsyn/A 30884-2024 tillsynsbegäran.docx", "A 30884-2024")</f>
        <v/>
      </c>
      <c r="Y180">
        <f>HYPERLINK("https://klasma.github.io/Logging_2161/tillsynsmail/A 30884-2024 tillsynsbegäran mail.docx", "A 30884-2024")</f>
        <v/>
      </c>
    </row>
    <row r="181" ht="15" customHeight="1">
      <c r="A181" t="inlineStr">
        <is>
          <t>A 30885-2024</t>
        </is>
      </c>
      <c r="B181" s="1" t="n">
        <v>45498</v>
      </c>
      <c r="C181" s="1" t="n">
        <v>45811</v>
      </c>
      <c r="D181" t="inlineStr">
        <is>
          <t>GÄVLEBORGS LÄN</t>
        </is>
      </c>
      <c r="E181" t="inlineStr">
        <is>
          <t>LJUSDAL</t>
        </is>
      </c>
      <c r="F181" t="inlineStr">
        <is>
          <t>Sveaskog</t>
        </is>
      </c>
      <c r="G181" t="n">
        <v>11.2</v>
      </c>
      <c r="H181" t="n">
        <v>1</v>
      </c>
      <c r="I181" t="n">
        <v>1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2</v>
      </c>
      <c r="R181" s="2" t="inlineStr">
        <is>
          <t>Kolflarnlav
Plattlummer</t>
        </is>
      </c>
      <c r="S181">
        <f>HYPERLINK("https://klasma.github.io/Logging_2161/artfynd/A 30885-2024 artfynd.xlsx", "A 30885-2024")</f>
        <v/>
      </c>
      <c r="T181">
        <f>HYPERLINK("https://klasma.github.io/Logging_2161/kartor/A 30885-2024 karta.png", "A 30885-2024")</f>
        <v/>
      </c>
      <c r="V181">
        <f>HYPERLINK("https://klasma.github.io/Logging_2161/klagomål/A 30885-2024 FSC-klagomål.docx", "A 30885-2024")</f>
        <v/>
      </c>
      <c r="W181">
        <f>HYPERLINK("https://klasma.github.io/Logging_2161/klagomålsmail/A 30885-2024 FSC-klagomål mail.docx", "A 30885-2024")</f>
        <v/>
      </c>
      <c r="X181">
        <f>HYPERLINK("https://klasma.github.io/Logging_2161/tillsyn/A 30885-2024 tillsynsbegäran.docx", "A 30885-2024")</f>
        <v/>
      </c>
      <c r="Y181">
        <f>HYPERLINK("https://klasma.github.io/Logging_2161/tillsynsmail/A 30885-2024 tillsynsbegäran mail.docx", "A 30885-2024")</f>
        <v/>
      </c>
    </row>
    <row r="182" ht="15" customHeight="1">
      <c r="A182" t="inlineStr">
        <is>
          <t>A 32173-2024</t>
        </is>
      </c>
      <c r="B182" s="1" t="n">
        <v>45511</v>
      </c>
      <c r="C182" s="1" t="n">
        <v>45811</v>
      </c>
      <c r="D182" t="inlineStr">
        <is>
          <t>GÄVLEBORGS LÄN</t>
        </is>
      </c>
      <c r="E182" t="inlineStr">
        <is>
          <t>LJUSDAL</t>
        </is>
      </c>
      <c r="F182" t="inlineStr">
        <is>
          <t>Bergvik skog väst AB</t>
        </is>
      </c>
      <c r="G182" t="n">
        <v>10.3</v>
      </c>
      <c r="H182" t="n">
        <v>0</v>
      </c>
      <c r="I182" t="n">
        <v>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2</v>
      </c>
      <c r="R182" s="2" t="inlineStr">
        <is>
          <t>Skinnlav
Stor aspticka</t>
        </is>
      </c>
      <c r="S182">
        <f>HYPERLINK("https://klasma.github.io/Logging_2161/artfynd/A 32173-2024 artfynd.xlsx", "A 32173-2024")</f>
        <v/>
      </c>
      <c r="T182">
        <f>HYPERLINK("https://klasma.github.io/Logging_2161/kartor/A 32173-2024 karta.png", "A 32173-2024")</f>
        <v/>
      </c>
      <c r="U182">
        <f>HYPERLINK("https://klasma.github.io/Logging_2161/knärot/A 32173-2024 karta knärot.png", "A 32173-2024")</f>
        <v/>
      </c>
      <c r="V182">
        <f>HYPERLINK("https://klasma.github.io/Logging_2161/klagomål/A 32173-2024 FSC-klagomål.docx", "A 32173-2024")</f>
        <v/>
      </c>
      <c r="W182">
        <f>HYPERLINK("https://klasma.github.io/Logging_2161/klagomålsmail/A 32173-2024 FSC-klagomål mail.docx", "A 32173-2024")</f>
        <v/>
      </c>
      <c r="X182">
        <f>HYPERLINK("https://klasma.github.io/Logging_2161/tillsyn/A 32173-2024 tillsynsbegäran.docx", "A 32173-2024")</f>
        <v/>
      </c>
      <c r="Y182">
        <f>HYPERLINK("https://klasma.github.io/Logging_2161/tillsynsmail/A 32173-2024 tillsynsbegäran mail.docx", "A 32173-2024")</f>
        <v/>
      </c>
    </row>
    <row r="183" ht="15" customHeight="1">
      <c r="A183" t="inlineStr">
        <is>
          <t>A 32364-2024</t>
        </is>
      </c>
      <c r="B183" s="1" t="n">
        <v>45512</v>
      </c>
      <c r="C183" s="1" t="n">
        <v>45811</v>
      </c>
      <c r="D183" t="inlineStr">
        <is>
          <t>GÄVLEBORGS LÄN</t>
        </is>
      </c>
      <c r="E183" t="inlineStr">
        <is>
          <t>LJUSDAL</t>
        </is>
      </c>
      <c r="F183" t="inlineStr">
        <is>
          <t>Sveaskog</t>
        </is>
      </c>
      <c r="G183" t="n">
        <v>1</v>
      </c>
      <c r="H183" t="n">
        <v>0</v>
      </c>
      <c r="I183" t="n">
        <v>0</v>
      </c>
      <c r="J183" t="n">
        <v>2</v>
      </c>
      <c r="K183" t="n">
        <v>0</v>
      </c>
      <c r="L183" t="n">
        <v>0</v>
      </c>
      <c r="M183" t="n">
        <v>0</v>
      </c>
      <c r="N183" t="n">
        <v>0</v>
      </c>
      <c r="O183" t="n">
        <v>2</v>
      </c>
      <c r="P183" t="n">
        <v>0</v>
      </c>
      <c r="Q183" t="n">
        <v>2</v>
      </c>
      <c r="R183" s="2" t="inlineStr">
        <is>
          <t>Kolflarnlav
Mörk kolflarnlav</t>
        </is>
      </c>
      <c r="S183">
        <f>HYPERLINK("https://klasma.github.io/Logging_2161/artfynd/A 32364-2024 artfynd.xlsx", "A 32364-2024")</f>
        <v/>
      </c>
      <c r="T183">
        <f>HYPERLINK("https://klasma.github.io/Logging_2161/kartor/A 32364-2024 karta.png", "A 32364-2024")</f>
        <v/>
      </c>
      <c r="V183">
        <f>HYPERLINK("https://klasma.github.io/Logging_2161/klagomål/A 32364-2024 FSC-klagomål.docx", "A 32364-2024")</f>
        <v/>
      </c>
      <c r="W183">
        <f>HYPERLINK("https://klasma.github.io/Logging_2161/klagomålsmail/A 32364-2024 FSC-klagomål mail.docx", "A 32364-2024")</f>
        <v/>
      </c>
      <c r="X183">
        <f>HYPERLINK("https://klasma.github.io/Logging_2161/tillsyn/A 32364-2024 tillsynsbegäran.docx", "A 32364-2024")</f>
        <v/>
      </c>
      <c r="Y183">
        <f>HYPERLINK("https://klasma.github.io/Logging_2161/tillsynsmail/A 32364-2024 tillsynsbegäran mail.docx", "A 32364-2024")</f>
        <v/>
      </c>
    </row>
    <row r="184" ht="15" customHeight="1">
      <c r="A184" t="inlineStr">
        <is>
          <t>A 34997-2024</t>
        </is>
      </c>
      <c r="B184" s="1" t="n">
        <v>45527</v>
      </c>
      <c r="C184" s="1" t="n">
        <v>45811</v>
      </c>
      <c r="D184" t="inlineStr">
        <is>
          <t>GÄVLEBORGS LÄN</t>
        </is>
      </c>
      <c r="E184" t="inlineStr">
        <is>
          <t>LJUSDAL</t>
        </is>
      </c>
      <c r="F184" t="inlineStr">
        <is>
          <t>Sveaskog</t>
        </is>
      </c>
      <c r="G184" t="n">
        <v>5.3</v>
      </c>
      <c r="H184" t="n">
        <v>0</v>
      </c>
      <c r="I184" t="n">
        <v>0</v>
      </c>
      <c r="J184" t="n">
        <v>2</v>
      </c>
      <c r="K184" t="n">
        <v>0</v>
      </c>
      <c r="L184" t="n">
        <v>0</v>
      </c>
      <c r="M184" t="n">
        <v>0</v>
      </c>
      <c r="N184" t="n">
        <v>0</v>
      </c>
      <c r="O184" t="n">
        <v>2</v>
      </c>
      <c r="P184" t="n">
        <v>0</v>
      </c>
      <c r="Q184" t="n">
        <v>2</v>
      </c>
      <c r="R184" s="2" t="inlineStr">
        <is>
          <t>Kolflarnlav
Lunglav</t>
        </is>
      </c>
      <c r="S184">
        <f>HYPERLINK("https://klasma.github.io/Logging_2161/artfynd/A 34997-2024 artfynd.xlsx", "A 34997-2024")</f>
        <v/>
      </c>
      <c r="T184">
        <f>HYPERLINK("https://klasma.github.io/Logging_2161/kartor/A 34997-2024 karta.png", "A 34997-2024")</f>
        <v/>
      </c>
      <c r="V184">
        <f>HYPERLINK("https://klasma.github.io/Logging_2161/klagomål/A 34997-2024 FSC-klagomål.docx", "A 34997-2024")</f>
        <v/>
      </c>
      <c r="W184">
        <f>HYPERLINK("https://klasma.github.io/Logging_2161/klagomålsmail/A 34997-2024 FSC-klagomål mail.docx", "A 34997-2024")</f>
        <v/>
      </c>
      <c r="X184">
        <f>HYPERLINK("https://klasma.github.io/Logging_2161/tillsyn/A 34997-2024 tillsynsbegäran.docx", "A 34997-2024")</f>
        <v/>
      </c>
      <c r="Y184">
        <f>HYPERLINK("https://klasma.github.io/Logging_2161/tillsynsmail/A 34997-2024 tillsynsbegäran mail.docx", "A 34997-2024")</f>
        <v/>
      </c>
    </row>
    <row r="185" ht="15" customHeight="1">
      <c r="A185" t="inlineStr">
        <is>
          <t>A 35697-2024</t>
        </is>
      </c>
      <c r="B185" s="1" t="n">
        <v>45532</v>
      </c>
      <c r="C185" s="1" t="n">
        <v>45811</v>
      </c>
      <c r="D185" t="inlineStr">
        <is>
          <t>GÄVLEBORGS LÄN</t>
        </is>
      </c>
      <c r="E185" t="inlineStr">
        <is>
          <t>LJUSDAL</t>
        </is>
      </c>
      <c r="F185" t="inlineStr">
        <is>
          <t>Bergvik skog väst AB</t>
        </is>
      </c>
      <c r="G185" t="n">
        <v>9.800000000000001</v>
      </c>
      <c r="H185" t="n">
        <v>1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2</v>
      </c>
      <c r="R185" s="2" t="inlineStr">
        <is>
          <t>Garnlav
Nattviol</t>
        </is>
      </c>
      <c r="S185">
        <f>HYPERLINK("https://klasma.github.io/Logging_2161/artfynd/A 35697-2024 artfynd.xlsx", "A 35697-2024")</f>
        <v/>
      </c>
      <c r="T185">
        <f>HYPERLINK("https://klasma.github.io/Logging_2161/kartor/A 35697-2024 karta.png", "A 35697-2024")</f>
        <v/>
      </c>
      <c r="V185">
        <f>HYPERLINK("https://klasma.github.io/Logging_2161/klagomål/A 35697-2024 FSC-klagomål.docx", "A 35697-2024")</f>
        <v/>
      </c>
      <c r="W185">
        <f>HYPERLINK("https://klasma.github.io/Logging_2161/klagomålsmail/A 35697-2024 FSC-klagomål mail.docx", "A 35697-2024")</f>
        <v/>
      </c>
      <c r="X185">
        <f>HYPERLINK("https://klasma.github.io/Logging_2161/tillsyn/A 35697-2024 tillsynsbegäran.docx", "A 35697-2024")</f>
        <v/>
      </c>
      <c r="Y185">
        <f>HYPERLINK("https://klasma.github.io/Logging_2161/tillsynsmail/A 35697-2024 tillsynsbegäran mail.docx", "A 35697-2024")</f>
        <v/>
      </c>
    </row>
    <row r="186" ht="15" customHeight="1">
      <c r="A186" t="inlineStr">
        <is>
          <t>A 36074-2024</t>
        </is>
      </c>
      <c r="B186" s="1" t="n">
        <v>45533</v>
      </c>
      <c r="C186" s="1" t="n">
        <v>45811</v>
      </c>
      <c r="D186" t="inlineStr">
        <is>
          <t>GÄVLEBORGS LÄN</t>
        </is>
      </c>
      <c r="E186" t="inlineStr">
        <is>
          <t>LJUSDAL</t>
        </is>
      </c>
      <c r="F186" t="inlineStr">
        <is>
          <t>Sveaskog</t>
        </is>
      </c>
      <c r="G186" t="n">
        <v>1</v>
      </c>
      <c r="H186" t="n">
        <v>0</v>
      </c>
      <c r="I186" t="n">
        <v>0</v>
      </c>
      <c r="J186" t="n">
        <v>2</v>
      </c>
      <c r="K186" t="n">
        <v>0</v>
      </c>
      <c r="L186" t="n">
        <v>0</v>
      </c>
      <c r="M186" t="n">
        <v>0</v>
      </c>
      <c r="N186" t="n">
        <v>0</v>
      </c>
      <c r="O186" t="n">
        <v>2</v>
      </c>
      <c r="P186" t="n">
        <v>0</v>
      </c>
      <c r="Q186" t="n">
        <v>2</v>
      </c>
      <c r="R186" s="2" t="inlineStr">
        <is>
          <t>Kolflarnlav
Vedflamlav</t>
        </is>
      </c>
      <c r="S186">
        <f>HYPERLINK("https://klasma.github.io/Logging_2161/artfynd/A 36074-2024 artfynd.xlsx", "A 36074-2024")</f>
        <v/>
      </c>
      <c r="T186">
        <f>HYPERLINK("https://klasma.github.io/Logging_2161/kartor/A 36074-2024 karta.png", "A 36074-2024")</f>
        <v/>
      </c>
      <c r="V186">
        <f>HYPERLINK("https://klasma.github.io/Logging_2161/klagomål/A 36074-2024 FSC-klagomål.docx", "A 36074-2024")</f>
        <v/>
      </c>
      <c r="W186">
        <f>HYPERLINK("https://klasma.github.io/Logging_2161/klagomålsmail/A 36074-2024 FSC-klagomål mail.docx", "A 36074-2024")</f>
        <v/>
      </c>
      <c r="X186">
        <f>HYPERLINK("https://klasma.github.io/Logging_2161/tillsyn/A 36074-2024 tillsynsbegäran.docx", "A 36074-2024")</f>
        <v/>
      </c>
      <c r="Y186">
        <f>HYPERLINK("https://klasma.github.io/Logging_2161/tillsynsmail/A 36074-2024 tillsynsbegäran mail.docx", "A 36074-2024")</f>
        <v/>
      </c>
    </row>
    <row r="187" ht="15" customHeight="1">
      <c r="A187" t="inlineStr">
        <is>
          <t>A 38306-2024</t>
        </is>
      </c>
      <c r="B187" s="1" t="n">
        <v>45545</v>
      </c>
      <c r="C187" s="1" t="n">
        <v>45811</v>
      </c>
      <c r="D187" t="inlineStr">
        <is>
          <t>GÄVLEBORGS LÄN</t>
        </is>
      </c>
      <c r="E187" t="inlineStr">
        <is>
          <t>LJUSDAL</t>
        </is>
      </c>
      <c r="F187" t="inlineStr">
        <is>
          <t>Sveaskog</t>
        </is>
      </c>
      <c r="G187" t="n">
        <v>4.1</v>
      </c>
      <c r="H187" t="n">
        <v>0</v>
      </c>
      <c r="I187" t="n">
        <v>0</v>
      </c>
      <c r="J187" t="n">
        <v>2</v>
      </c>
      <c r="K187" t="n">
        <v>0</v>
      </c>
      <c r="L187" t="n">
        <v>0</v>
      </c>
      <c r="M187" t="n">
        <v>0</v>
      </c>
      <c r="N187" t="n">
        <v>0</v>
      </c>
      <c r="O187" t="n">
        <v>2</v>
      </c>
      <c r="P187" t="n">
        <v>0</v>
      </c>
      <c r="Q187" t="n">
        <v>2</v>
      </c>
      <c r="R187" s="2" t="inlineStr">
        <is>
          <t>Garnlav
Lunglav</t>
        </is>
      </c>
      <c r="S187">
        <f>HYPERLINK("https://klasma.github.io/Logging_2161/artfynd/A 38306-2024 artfynd.xlsx", "A 38306-2024")</f>
        <v/>
      </c>
      <c r="T187">
        <f>HYPERLINK("https://klasma.github.io/Logging_2161/kartor/A 38306-2024 karta.png", "A 38306-2024")</f>
        <v/>
      </c>
      <c r="V187">
        <f>HYPERLINK("https://klasma.github.io/Logging_2161/klagomål/A 38306-2024 FSC-klagomål.docx", "A 38306-2024")</f>
        <v/>
      </c>
      <c r="W187">
        <f>HYPERLINK("https://klasma.github.io/Logging_2161/klagomålsmail/A 38306-2024 FSC-klagomål mail.docx", "A 38306-2024")</f>
        <v/>
      </c>
      <c r="X187">
        <f>HYPERLINK("https://klasma.github.io/Logging_2161/tillsyn/A 38306-2024 tillsynsbegäran.docx", "A 38306-2024")</f>
        <v/>
      </c>
      <c r="Y187">
        <f>HYPERLINK("https://klasma.github.io/Logging_2161/tillsynsmail/A 38306-2024 tillsynsbegäran mail.docx", "A 38306-2024")</f>
        <v/>
      </c>
    </row>
    <row r="188" ht="15" customHeight="1">
      <c r="A188" t="inlineStr">
        <is>
          <t>A 39889-2024</t>
        </is>
      </c>
      <c r="B188" s="1" t="n">
        <v>45553</v>
      </c>
      <c r="C188" s="1" t="n">
        <v>45811</v>
      </c>
      <c r="D188" t="inlineStr">
        <is>
          <t>GÄVLEBORGS LÄN</t>
        </is>
      </c>
      <c r="E188" t="inlineStr">
        <is>
          <t>LJUSDAL</t>
        </is>
      </c>
      <c r="F188" t="inlineStr">
        <is>
          <t>Sveaskog</t>
        </is>
      </c>
      <c r="G188" t="n">
        <v>1.5</v>
      </c>
      <c r="H188" t="n">
        <v>1</v>
      </c>
      <c r="I188" t="n">
        <v>0</v>
      </c>
      <c r="J188" t="n">
        <v>1</v>
      </c>
      <c r="K188" t="n">
        <v>1</v>
      </c>
      <c r="L188" t="n">
        <v>0</v>
      </c>
      <c r="M188" t="n">
        <v>0</v>
      </c>
      <c r="N188" t="n">
        <v>0</v>
      </c>
      <c r="O188" t="n">
        <v>2</v>
      </c>
      <c r="P188" t="n">
        <v>1</v>
      </c>
      <c r="Q188" t="n">
        <v>2</v>
      </c>
      <c r="R188" s="2" t="inlineStr">
        <is>
          <t>Knärot
Ullticka</t>
        </is>
      </c>
      <c r="S188">
        <f>HYPERLINK("https://klasma.github.io/Logging_2161/artfynd/A 39889-2024 artfynd.xlsx", "A 39889-2024")</f>
        <v/>
      </c>
      <c r="T188">
        <f>HYPERLINK("https://klasma.github.io/Logging_2161/kartor/A 39889-2024 karta.png", "A 39889-2024")</f>
        <v/>
      </c>
      <c r="U188">
        <f>HYPERLINK("https://klasma.github.io/Logging_2161/knärot/A 39889-2024 karta knärot.png", "A 39889-2024")</f>
        <v/>
      </c>
      <c r="V188">
        <f>HYPERLINK("https://klasma.github.io/Logging_2161/klagomål/A 39889-2024 FSC-klagomål.docx", "A 39889-2024")</f>
        <v/>
      </c>
      <c r="W188">
        <f>HYPERLINK("https://klasma.github.io/Logging_2161/klagomålsmail/A 39889-2024 FSC-klagomål mail.docx", "A 39889-2024")</f>
        <v/>
      </c>
      <c r="X188">
        <f>HYPERLINK("https://klasma.github.io/Logging_2161/tillsyn/A 39889-2024 tillsynsbegäran.docx", "A 39889-2024")</f>
        <v/>
      </c>
      <c r="Y188">
        <f>HYPERLINK("https://klasma.github.io/Logging_2161/tillsynsmail/A 39889-2024 tillsynsbegäran mail.docx", "A 39889-2024")</f>
        <v/>
      </c>
    </row>
    <row r="189" ht="15" customHeight="1">
      <c r="A189" t="inlineStr">
        <is>
          <t>A 41163-2024</t>
        </is>
      </c>
      <c r="B189" s="1" t="n">
        <v>45559</v>
      </c>
      <c r="C189" s="1" t="n">
        <v>45811</v>
      </c>
      <c r="D189" t="inlineStr">
        <is>
          <t>GÄVLEBORGS LÄN</t>
        </is>
      </c>
      <c r="E189" t="inlineStr">
        <is>
          <t>LJUSDAL</t>
        </is>
      </c>
      <c r="G189" t="n">
        <v>2.9</v>
      </c>
      <c r="H189" t="n">
        <v>1</v>
      </c>
      <c r="I189" t="n">
        <v>0</v>
      </c>
      <c r="J189" t="n">
        <v>2</v>
      </c>
      <c r="K189" t="n">
        <v>0</v>
      </c>
      <c r="L189" t="n">
        <v>0</v>
      </c>
      <c r="M189" t="n">
        <v>0</v>
      </c>
      <c r="N189" t="n">
        <v>0</v>
      </c>
      <c r="O189" t="n">
        <v>2</v>
      </c>
      <c r="P189" t="n">
        <v>0</v>
      </c>
      <c r="Q189" t="n">
        <v>2</v>
      </c>
      <c r="R189" s="2" t="inlineStr">
        <is>
          <t>Tretåig hackspett
Ullticka</t>
        </is>
      </c>
      <c r="S189">
        <f>HYPERLINK("https://klasma.github.io/Logging_2161/artfynd/A 41163-2024 artfynd.xlsx", "A 41163-2024")</f>
        <v/>
      </c>
      <c r="T189">
        <f>HYPERLINK("https://klasma.github.io/Logging_2161/kartor/A 41163-2024 karta.png", "A 41163-2024")</f>
        <v/>
      </c>
      <c r="V189">
        <f>HYPERLINK("https://klasma.github.io/Logging_2161/klagomål/A 41163-2024 FSC-klagomål.docx", "A 41163-2024")</f>
        <v/>
      </c>
      <c r="W189">
        <f>HYPERLINK("https://klasma.github.io/Logging_2161/klagomålsmail/A 41163-2024 FSC-klagomål mail.docx", "A 41163-2024")</f>
        <v/>
      </c>
      <c r="X189">
        <f>HYPERLINK("https://klasma.github.io/Logging_2161/tillsyn/A 41163-2024 tillsynsbegäran.docx", "A 41163-2024")</f>
        <v/>
      </c>
      <c r="Y189">
        <f>HYPERLINK("https://klasma.github.io/Logging_2161/tillsynsmail/A 41163-2024 tillsynsbegäran mail.docx", "A 41163-2024")</f>
        <v/>
      </c>
      <c r="Z189">
        <f>HYPERLINK("https://klasma.github.io/Logging_2161/fåglar/A 41163-2024 prioriterade fågelarter.docx", "A 41163-2024")</f>
        <v/>
      </c>
    </row>
    <row r="190" ht="15" customHeight="1">
      <c r="A190" t="inlineStr">
        <is>
          <t>A 45270-2024</t>
        </is>
      </c>
      <c r="B190" s="1" t="n">
        <v>45576</v>
      </c>
      <c r="C190" s="1" t="n">
        <v>45811</v>
      </c>
      <c r="D190" t="inlineStr">
        <is>
          <t>GÄVLEBORGS LÄN</t>
        </is>
      </c>
      <c r="E190" t="inlineStr">
        <is>
          <t>LJUSDAL</t>
        </is>
      </c>
      <c r="F190" t="inlineStr">
        <is>
          <t>Sveaskog</t>
        </is>
      </c>
      <c r="G190" t="n">
        <v>5</v>
      </c>
      <c r="H190" t="n">
        <v>0</v>
      </c>
      <c r="I190" t="n">
        <v>0</v>
      </c>
      <c r="J190" t="n">
        <v>2</v>
      </c>
      <c r="K190" t="n">
        <v>0</v>
      </c>
      <c r="L190" t="n">
        <v>0</v>
      </c>
      <c r="M190" t="n">
        <v>0</v>
      </c>
      <c r="N190" t="n">
        <v>0</v>
      </c>
      <c r="O190" t="n">
        <v>2</v>
      </c>
      <c r="P190" t="n">
        <v>0</v>
      </c>
      <c r="Q190" t="n">
        <v>2</v>
      </c>
      <c r="R190" s="2" t="inlineStr">
        <is>
          <t>Kolflarnlav
Mörk kolflarnlav</t>
        </is>
      </c>
      <c r="S190">
        <f>HYPERLINK("https://klasma.github.io/Logging_2161/artfynd/A 45270-2024 artfynd.xlsx", "A 45270-2024")</f>
        <v/>
      </c>
      <c r="T190">
        <f>HYPERLINK("https://klasma.github.io/Logging_2161/kartor/A 45270-2024 karta.png", "A 45270-2024")</f>
        <v/>
      </c>
      <c r="V190">
        <f>HYPERLINK("https://klasma.github.io/Logging_2161/klagomål/A 45270-2024 FSC-klagomål.docx", "A 45270-2024")</f>
        <v/>
      </c>
      <c r="W190">
        <f>HYPERLINK("https://klasma.github.io/Logging_2161/klagomålsmail/A 45270-2024 FSC-klagomål mail.docx", "A 45270-2024")</f>
        <v/>
      </c>
      <c r="X190">
        <f>HYPERLINK("https://klasma.github.io/Logging_2161/tillsyn/A 45270-2024 tillsynsbegäran.docx", "A 45270-2024")</f>
        <v/>
      </c>
      <c r="Y190">
        <f>HYPERLINK("https://klasma.github.io/Logging_2161/tillsynsmail/A 45270-2024 tillsynsbegäran mail.docx", "A 45270-2024")</f>
        <v/>
      </c>
    </row>
    <row r="191" ht="15" customHeight="1">
      <c r="A191" t="inlineStr">
        <is>
          <t>A 46247-2024</t>
        </is>
      </c>
      <c r="B191" s="1" t="n">
        <v>45581</v>
      </c>
      <c r="C191" s="1" t="n">
        <v>45811</v>
      </c>
      <c r="D191" t="inlineStr">
        <is>
          <t>GÄVLEBORGS LÄN</t>
        </is>
      </c>
      <c r="E191" t="inlineStr">
        <is>
          <t>LJUSDAL</t>
        </is>
      </c>
      <c r="F191" t="inlineStr">
        <is>
          <t>Sveaskog</t>
        </is>
      </c>
      <c r="G191" t="n">
        <v>3</v>
      </c>
      <c r="H191" t="n">
        <v>0</v>
      </c>
      <c r="I191" t="n">
        <v>1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2</v>
      </c>
      <c r="R191" s="2" t="inlineStr">
        <is>
          <t>Garnlav
Dropptaggsvamp</t>
        </is>
      </c>
      <c r="S191">
        <f>HYPERLINK("https://klasma.github.io/Logging_2161/artfynd/A 46247-2024 artfynd.xlsx", "A 46247-2024")</f>
        <v/>
      </c>
      <c r="T191">
        <f>HYPERLINK("https://klasma.github.io/Logging_2161/kartor/A 46247-2024 karta.png", "A 46247-2024")</f>
        <v/>
      </c>
      <c r="V191">
        <f>HYPERLINK("https://klasma.github.io/Logging_2161/klagomål/A 46247-2024 FSC-klagomål.docx", "A 46247-2024")</f>
        <v/>
      </c>
      <c r="W191">
        <f>HYPERLINK("https://klasma.github.io/Logging_2161/klagomålsmail/A 46247-2024 FSC-klagomål mail.docx", "A 46247-2024")</f>
        <v/>
      </c>
      <c r="X191">
        <f>HYPERLINK("https://klasma.github.io/Logging_2161/tillsyn/A 46247-2024 tillsynsbegäran.docx", "A 46247-2024")</f>
        <v/>
      </c>
      <c r="Y191">
        <f>HYPERLINK("https://klasma.github.io/Logging_2161/tillsynsmail/A 46247-2024 tillsynsbegäran mail.docx", "A 46247-2024")</f>
        <v/>
      </c>
    </row>
    <row r="192" ht="15" customHeight="1">
      <c r="A192" t="inlineStr">
        <is>
          <t>A 46868-2024</t>
        </is>
      </c>
      <c r="B192" s="1" t="n">
        <v>45583</v>
      </c>
      <c r="C192" s="1" t="n">
        <v>45811</v>
      </c>
      <c r="D192" t="inlineStr">
        <is>
          <t>GÄVLEBORGS LÄN</t>
        </is>
      </c>
      <c r="E192" t="inlineStr">
        <is>
          <t>LJUSDAL</t>
        </is>
      </c>
      <c r="F192" t="inlineStr">
        <is>
          <t>Sveaskog</t>
        </is>
      </c>
      <c r="G192" t="n">
        <v>1</v>
      </c>
      <c r="H192" t="n">
        <v>0</v>
      </c>
      <c r="I192" t="n">
        <v>1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2</v>
      </c>
      <c r="R192" s="2" t="inlineStr">
        <is>
          <t>Blå taggsvamp
Dropptaggsvamp</t>
        </is>
      </c>
      <c r="S192">
        <f>HYPERLINK("https://klasma.github.io/Logging_2161/artfynd/A 46868-2024 artfynd.xlsx", "A 46868-2024")</f>
        <v/>
      </c>
      <c r="T192">
        <f>HYPERLINK("https://klasma.github.io/Logging_2161/kartor/A 46868-2024 karta.png", "A 46868-2024")</f>
        <v/>
      </c>
      <c r="V192">
        <f>HYPERLINK("https://klasma.github.io/Logging_2161/klagomål/A 46868-2024 FSC-klagomål.docx", "A 46868-2024")</f>
        <v/>
      </c>
      <c r="W192">
        <f>HYPERLINK("https://klasma.github.io/Logging_2161/klagomålsmail/A 46868-2024 FSC-klagomål mail.docx", "A 46868-2024")</f>
        <v/>
      </c>
      <c r="X192">
        <f>HYPERLINK("https://klasma.github.io/Logging_2161/tillsyn/A 46868-2024 tillsynsbegäran.docx", "A 46868-2024")</f>
        <v/>
      </c>
      <c r="Y192">
        <f>HYPERLINK("https://klasma.github.io/Logging_2161/tillsynsmail/A 46868-2024 tillsynsbegäran mail.docx", "A 46868-2024")</f>
        <v/>
      </c>
    </row>
    <row r="193" ht="15" customHeight="1">
      <c r="A193" t="inlineStr">
        <is>
          <t>A 47230-2024</t>
        </is>
      </c>
      <c r="B193" s="1" t="n">
        <v>45586</v>
      </c>
      <c r="C193" s="1" t="n">
        <v>45811</v>
      </c>
      <c r="D193" t="inlineStr">
        <is>
          <t>GÄVLEBORGS LÄN</t>
        </is>
      </c>
      <c r="E193" t="inlineStr">
        <is>
          <t>LJUSDAL</t>
        </is>
      </c>
      <c r="F193" t="inlineStr">
        <is>
          <t>Sveaskog</t>
        </is>
      </c>
      <c r="G193" t="n">
        <v>16.1</v>
      </c>
      <c r="H193" t="n">
        <v>0</v>
      </c>
      <c r="I193" t="n">
        <v>0</v>
      </c>
      <c r="J193" t="n">
        <v>2</v>
      </c>
      <c r="K193" t="n">
        <v>0</v>
      </c>
      <c r="L193" t="n">
        <v>0</v>
      </c>
      <c r="M193" t="n">
        <v>0</v>
      </c>
      <c r="N193" t="n">
        <v>0</v>
      </c>
      <c r="O193" t="n">
        <v>2</v>
      </c>
      <c r="P193" t="n">
        <v>0</v>
      </c>
      <c r="Q193" t="n">
        <v>2</v>
      </c>
      <c r="R193" s="2" t="inlineStr">
        <is>
          <t>Grantaggsvamp
Lunglav</t>
        </is>
      </c>
      <c r="S193">
        <f>HYPERLINK("https://klasma.github.io/Logging_2161/artfynd/A 47230-2024 artfynd.xlsx", "A 47230-2024")</f>
        <v/>
      </c>
      <c r="T193">
        <f>HYPERLINK("https://klasma.github.io/Logging_2161/kartor/A 47230-2024 karta.png", "A 47230-2024")</f>
        <v/>
      </c>
      <c r="V193">
        <f>HYPERLINK("https://klasma.github.io/Logging_2161/klagomål/A 47230-2024 FSC-klagomål.docx", "A 47230-2024")</f>
        <v/>
      </c>
      <c r="W193">
        <f>HYPERLINK("https://klasma.github.io/Logging_2161/klagomålsmail/A 47230-2024 FSC-klagomål mail.docx", "A 47230-2024")</f>
        <v/>
      </c>
      <c r="X193">
        <f>HYPERLINK("https://klasma.github.io/Logging_2161/tillsyn/A 47230-2024 tillsynsbegäran.docx", "A 47230-2024")</f>
        <v/>
      </c>
      <c r="Y193">
        <f>HYPERLINK("https://klasma.github.io/Logging_2161/tillsynsmail/A 47230-2024 tillsynsbegäran mail.docx", "A 47230-2024")</f>
        <v/>
      </c>
    </row>
    <row r="194" ht="15" customHeight="1">
      <c r="A194" t="inlineStr">
        <is>
          <t>A 11000-2025</t>
        </is>
      </c>
      <c r="B194" s="1" t="n">
        <v>45723</v>
      </c>
      <c r="C194" s="1" t="n">
        <v>45811</v>
      </c>
      <c r="D194" t="inlineStr">
        <is>
          <t>GÄVLEBORGS LÄN</t>
        </is>
      </c>
      <c r="E194" t="inlineStr">
        <is>
          <t>LJUSDAL</t>
        </is>
      </c>
      <c r="F194" t="inlineStr">
        <is>
          <t>Sveaskog</t>
        </is>
      </c>
      <c r="G194" t="n">
        <v>10.8</v>
      </c>
      <c r="H194" t="n">
        <v>1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2</v>
      </c>
      <c r="R194" s="2" t="inlineStr">
        <is>
          <t>Garnlav
Fläcknycklar</t>
        </is>
      </c>
      <c r="S194">
        <f>HYPERLINK("https://klasma.github.io/Logging_212161/artfynd/A 11000-2025 artfynd.xlsx", "A 11000-2025")</f>
        <v/>
      </c>
      <c r="T194">
        <f>HYPERLINK("https://klasma.github.io/Logging_212161/kartor/A 11000-2025 karta.png", "A 11000-2025")</f>
        <v/>
      </c>
      <c r="V194">
        <f>HYPERLINK("https://klasma.github.io/Logging_212161/klagomål/A 11000-2025 FSC-klagomål.docx", "A 11000-2025")</f>
        <v/>
      </c>
      <c r="W194">
        <f>HYPERLINK("https://klasma.github.io/Logging_212161/klagomålsmail/A 11000-2025 FSC-klagomål mail.docx", "A 11000-2025")</f>
        <v/>
      </c>
      <c r="X194">
        <f>HYPERLINK("https://klasma.github.io/Logging_212161/tillsyn/A 11000-2025 tillsynsbegäran.docx", "A 11000-2025")</f>
        <v/>
      </c>
      <c r="Y194">
        <f>HYPERLINK("https://klasma.github.io/Logging_212161/tillsynsmail/A 11000-2025 tillsynsbegäran mail.docx", "A 11000-2025")</f>
        <v/>
      </c>
    </row>
    <row r="195" ht="15" customHeight="1">
      <c r="A195" t="inlineStr">
        <is>
          <t>A 17474-2025</t>
        </is>
      </c>
      <c r="B195" s="1" t="n">
        <v>45757</v>
      </c>
      <c r="C195" s="1" t="n">
        <v>45811</v>
      </c>
      <c r="D195" t="inlineStr">
        <is>
          <t>GÄVLEBORGS LÄN</t>
        </is>
      </c>
      <c r="E195" t="inlineStr">
        <is>
          <t>LJUSDAL</t>
        </is>
      </c>
      <c r="F195" t="inlineStr">
        <is>
          <t>Sveaskog</t>
        </is>
      </c>
      <c r="G195" t="n">
        <v>9.4</v>
      </c>
      <c r="H195" t="n">
        <v>0</v>
      </c>
      <c r="I195" t="n">
        <v>0</v>
      </c>
      <c r="J195" t="n">
        <v>2</v>
      </c>
      <c r="K195" t="n">
        <v>0</v>
      </c>
      <c r="L195" t="n">
        <v>0</v>
      </c>
      <c r="M195" t="n">
        <v>0</v>
      </c>
      <c r="N195" t="n">
        <v>0</v>
      </c>
      <c r="O195" t="n">
        <v>2</v>
      </c>
      <c r="P195" t="n">
        <v>0</v>
      </c>
      <c r="Q195" t="n">
        <v>2</v>
      </c>
      <c r="R195" s="2" t="inlineStr">
        <is>
          <t>Kolflarnlav
Lunglav</t>
        </is>
      </c>
      <c r="S195">
        <f>HYPERLINK("https://klasma.github.io/Logging_212161/artfynd/A 17474-2025 artfynd.xlsx", "A 17474-2025")</f>
        <v/>
      </c>
      <c r="T195">
        <f>HYPERLINK("https://klasma.github.io/Logging_212161/kartor/A 17474-2025 karta.png", "A 17474-2025")</f>
        <v/>
      </c>
      <c r="V195">
        <f>HYPERLINK("https://klasma.github.io/Logging_212161/klagomål/A 17474-2025 FSC-klagomål.docx", "A 17474-2025")</f>
        <v/>
      </c>
      <c r="W195">
        <f>HYPERLINK("https://klasma.github.io/Logging_212161/klagomålsmail/A 17474-2025 FSC-klagomål mail.docx", "A 17474-2025")</f>
        <v/>
      </c>
      <c r="X195">
        <f>HYPERLINK("https://klasma.github.io/Logging_212161/tillsyn/A 17474-2025 tillsynsbegäran.docx", "A 17474-2025")</f>
        <v/>
      </c>
      <c r="Y195">
        <f>HYPERLINK("https://klasma.github.io/Logging_212161/tillsynsmail/A 17474-2025 tillsynsbegäran mail.docx", "A 17474-2025")</f>
        <v/>
      </c>
    </row>
    <row r="196" ht="15" customHeight="1">
      <c r="A196" t="inlineStr">
        <is>
          <t>A 17472-2025</t>
        </is>
      </c>
      <c r="B196" s="1" t="n">
        <v>45757</v>
      </c>
      <c r="C196" s="1" t="n">
        <v>45811</v>
      </c>
      <c r="D196" t="inlineStr">
        <is>
          <t>GÄVLEBORGS LÄN</t>
        </is>
      </c>
      <c r="E196" t="inlineStr">
        <is>
          <t>LJUSDAL</t>
        </is>
      </c>
      <c r="F196" t="inlineStr">
        <is>
          <t>Sveaskog</t>
        </is>
      </c>
      <c r="G196" t="n">
        <v>3</v>
      </c>
      <c r="H196" t="n">
        <v>0</v>
      </c>
      <c r="I196" t="n">
        <v>0</v>
      </c>
      <c r="J196" t="n">
        <v>2</v>
      </c>
      <c r="K196" t="n">
        <v>0</v>
      </c>
      <c r="L196" t="n">
        <v>0</v>
      </c>
      <c r="M196" t="n">
        <v>0</v>
      </c>
      <c r="N196" t="n">
        <v>0</v>
      </c>
      <c r="O196" t="n">
        <v>2</v>
      </c>
      <c r="P196" t="n">
        <v>0</v>
      </c>
      <c r="Q196" t="n">
        <v>2</v>
      </c>
      <c r="R196" s="2" t="inlineStr">
        <is>
          <t>Kolflarnlav
Mörk kolflarnlav</t>
        </is>
      </c>
      <c r="S196">
        <f>HYPERLINK("https://klasma.github.io/Logging_212161/artfynd/A 17472-2025 artfynd.xlsx", "A 17472-2025")</f>
        <v/>
      </c>
      <c r="T196">
        <f>HYPERLINK("https://klasma.github.io/Logging_212161/kartor/A 17472-2025 karta.png", "A 17472-2025")</f>
        <v/>
      </c>
      <c r="V196">
        <f>HYPERLINK("https://klasma.github.io/Logging_212161/klagomål/A 17472-2025 FSC-klagomål.docx", "A 17472-2025")</f>
        <v/>
      </c>
      <c r="W196">
        <f>HYPERLINK("https://klasma.github.io/Logging_212161/klagomålsmail/A 17472-2025 FSC-klagomål mail.docx", "A 17472-2025")</f>
        <v/>
      </c>
      <c r="X196">
        <f>HYPERLINK("https://klasma.github.io/Logging_212161/tillsyn/A 17472-2025 tillsynsbegäran.docx", "A 17472-2025")</f>
        <v/>
      </c>
      <c r="Y196">
        <f>HYPERLINK("https://klasma.github.io/Logging_212161/tillsynsmail/A 17472-2025 tillsynsbegäran mail.docx", "A 17472-2025")</f>
        <v/>
      </c>
    </row>
    <row r="197" ht="15" customHeight="1">
      <c r="A197" t="inlineStr">
        <is>
          <t>A 20247-2025</t>
        </is>
      </c>
      <c r="B197" s="1" t="n">
        <v>45772</v>
      </c>
      <c r="C197" s="1" t="n">
        <v>45811</v>
      </c>
      <c r="D197" t="inlineStr">
        <is>
          <t>GÄVLEBORGS LÄN</t>
        </is>
      </c>
      <c r="E197" t="inlineStr">
        <is>
          <t>LJUSDAL</t>
        </is>
      </c>
      <c r="F197" t="inlineStr">
        <is>
          <t>Sveaskog</t>
        </is>
      </c>
      <c r="G197" t="n">
        <v>6</v>
      </c>
      <c r="H197" t="n">
        <v>0</v>
      </c>
      <c r="I197" t="n">
        <v>0</v>
      </c>
      <c r="J197" t="n">
        <v>2</v>
      </c>
      <c r="K197" t="n">
        <v>0</v>
      </c>
      <c r="L197" t="n">
        <v>0</v>
      </c>
      <c r="M197" t="n">
        <v>0</v>
      </c>
      <c r="N197" t="n">
        <v>0</v>
      </c>
      <c r="O197" t="n">
        <v>2</v>
      </c>
      <c r="P197" t="n">
        <v>0</v>
      </c>
      <c r="Q197" t="n">
        <v>2</v>
      </c>
      <c r="R197" s="2" t="inlineStr">
        <is>
          <t>Kolflarnlav
Lunglav</t>
        </is>
      </c>
      <c r="S197">
        <f>HYPERLINK("https://klasma.github.io/Logging_212161/artfynd/A 20247-2025 artfynd.xlsx", "A 20247-2025")</f>
        <v/>
      </c>
      <c r="T197">
        <f>HYPERLINK("https://klasma.github.io/Logging_212161/kartor/A 20247-2025 karta.png", "A 20247-2025")</f>
        <v/>
      </c>
      <c r="V197">
        <f>HYPERLINK("https://klasma.github.io/Logging_212161/klagomål/A 20247-2025 FSC-klagomål.docx", "A 20247-2025")</f>
        <v/>
      </c>
      <c r="W197">
        <f>HYPERLINK("https://klasma.github.io/Logging_212161/klagomålsmail/A 20247-2025 FSC-klagomål mail.docx", "A 20247-2025")</f>
        <v/>
      </c>
      <c r="X197">
        <f>HYPERLINK("https://klasma.github.io/Logging_212161/tillsyn/A 20247-2025 tillsynsbegäran.docx", "A 20247-2025")</f>
        <v/>
      </c>
      <c r="Y197">
        <f>HYPERLINK("https://klasma.github.io/Logging_212161/tillsynsmail/A 20247-2025 tillsynsbegäran mail.docx", "A 20247-2025")</f>
        <v/>
      </c>
    </row>
    <row r="198" ht="15" customHeight="1">
      <c r="A198" t="inlineStr">
        <is>
          <t>A 20098-2025</t>
        </is>
      </c>
      <c r="B198" s="1" t="n">
        <v>45772</v>
      </c>
      <c r="C198" s="1" t="n">
        <v>45811</v>
      </c>
      <c r="D198" t="inlineStr">
        <is>
          <t>GÄVLEBORGS LÄN</t>
        </is>
      </c>
      <c r="E198" t="inlineStr">
        <is>
          <t>LJUSDAL</t>
        </is>
      </c>
      <c r="F198" t="inlineStr">
        <is>
          <t>Sveaskog</t>
        </is>
      </c>
      <c r="G198" t="n">
        <v>14.7</v>
      </c>
      <c r="H198" t="n">
        <v>0</v>
      </c>
      <c r="I198" t="n">
        <v>0</v>
      </c>
      <c r="J198" t="n">
        <v>2</v>
      </c>
      <c r="K198" t="n">
        <v>0</v>
      </c>
      <c r="L198" t="n">
        <v>0</v>
      </c>
      <c r="M198" t="n">
        <v>0</v>
      </c>
      <c r="N198" t="n">
        <v>0</v>
      </c>
      <c r="O198" t="n">
        <v>2</v>
      </c>
      <c r="P198" t="n">
        <v>0</v>
      </c>
      <c r="Q198" t="n">
        <v>2</v>
      </c>
      <c r="R198" s="2" t="inlineStr">
        <is>
          <t>Kolflarnlav
Mörk kolflarnlav</t>
        </is>
      </c>
      <c r="S198">
        <f>HYPERLINK("https://klasma.github.io/Logging_212161/artfynd/A 20098-2025 artfynd.xlsx", "A 20098-2025")</f>
        <v/>
      </c>
      <c r="T198">
        <f>HYPERLINK("https://klasma.github.io/Logging_212161/kartor/A 20098-2025 karta.png", "A 20098-2025")</f>
        <v/>
      </c>
      <c r="V198">
        <f>HYPERLINK("https://klasma.github.io/Logging_212161/klagomål/A 20098-2025 FSC-klagomål.docx", "A 20098-2025")</f>
        <v/>
      </c>
      <c r="W198">
        <f>HYPERLINK("https://klasma.github.io/Logging_212161/klagomålsmail/A 20098-2025 FSC-klagomål mail.docx", "A 20098-2025")</f>
        <v/>
      </c>
      <c r="X198">
        <f>HYPERLINK("https://klasma.github.io/Logging_212161/tillsyn/A 20098-2025 tillsynsbegäran.docx", "A 20098-2025")</f>
        <v/>
      </c>
      <c r="Y198">
        <f>HYPERLINK("https://klasma.github.io/Logging_212161/tillsynsmail/A 20098-2025 tillsynsbegäran mail.docx", "A 20098-2025")</f>
        <v/>
      </c>
    </row>
    <row r="199" ht="15" customHeight="1">
      <c r="A199" t="inlineStr">
        <is>
          <t>A 23483-2025</t>
        </is>
      </c>
      <c r="B199" s="1" t="n">
        <v>45792</v>
      </c>
      <c r="C199" s="1" t="n">
        <v>45811</v>
      </c>
      <c r="D199" t="inlineStr">
        <is>
          <t>GÄVLEBORGS LÄN</t>
        </is>
      </c>
      <c r="E199" t="inlineStr">
        <is>
          <t>LJUSDAL</t>
        </is>
      </c>
      <c r="F199" t="inlineStr">
        <is>
          <t>Sveaskog</t>
        </is>
      </c>
      <c r="G199" t="n">
        <v>3.6</v>
      </c>
      <c r="H199" t="n">
        <v>0</v>
      </c>
      <c r="I199" t="n">
        <v>0</v>
      </c>
      <c r="J199" t="n">
        <v>2</v>
      </c>
      <c r="K199" t="n">
        <v>0</v>
      </c>
      <c r="L199" t="n">
        <v>0</v>
      </c>
      <c r="M199" t="n">
        <v>0</v>
      </c>
      <c r="N199" t="n">
        <v>0</v>
      </c>
      <c r="O199" t="n">
        <v>2</v>
      </c>
      <c r="P199" t="n">
        <v>0</v>
      </c>
      <c r="Q199" t="n">
        <v>2</v>
      </c>
      <c r="R199" s="2" t="inlineStr">
        <is>
          <t>Kolflarnlav
Lunglav</t>
        </is>
      </c>
      <c r="S199">
        <f>HYPERLINK("https://klasma.github.io/Logging_212161/artfynd/A 23483-2025 artfynd.xlsx", "A 23483-2025")</f>
        <v/>
      </c>
      <c r="T199">
        <f>HYPERLINK("https://klasma.github.io/Logging_212161/kartor/A 23483-2025 karta.png", "A 23483-2025")</f>
        <v/>
      </c>
      <c r="V199">
        <f>HYPERLINK("https://klasma.github.io/Logging_212161/klagomål/A 23483-2025 FSC-klagomål.docx", "A 23483-2025")</f>
        <v/>
      </c>
      <c r="W199">
        <f>HYPERLINK("https://klasma.github.io/Logging_212161/klagomålsmail/A 23483-2025 FSC-klagomål mail.docx", "A 23483-2025")</f>
        <v/>
      </c>
      <c r="X199">
        <f>HYPERLINK("https://klasma.github.io/Logging_212161/tillsyn/A 23483-2025 tillsynsbegäran.docx", "A 23483-2025")</f>
        <v/>
      </c>
      <c r="Y199">
        <f>HYPERLINK("https://klasma.github.io/Logging_212161/tillsynsmail/A 23483-2025 tillsynsbegäran mail.docx", "A 23483-2025")</f>
        <v/>
      </c>
    </row>
    <row r="200" ht="15" customHeight="1">
      <c r="A200" t="inlineStr">
        <is>
          <t>A 26415-2025</t>
        </is>
      </c>
      <c r="B200" s="1" t="n">
        <v>45807</v>
      </c>
      <c r="C200" s="1" t="n">
        <v>45811</v>
      </c>
      <c r="D200" t="inlineStr">
        <is>
          <t>GÄVLEBORGS LÄN</t>
        </is>
      </c>
      <c r="E200" t="inlineStr">
        <is>
          <t>LJUSDAL</t>
        </is>
      </c>
      <c r="F200" t="inlineStr">
        <is>
          <t>Naturvårdsverket</t>
        </is>
      </c>
      <c r="G200" t="n">
        <v>16.2</v>
      </c>
      <c r="H200" t="n">
        <v>2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2</v>
      </c>
      <c r="R200" s="2" t="inlineStr">
        <is>
          <t>Spillkråka
Revlummer</t>
        </is>
      </c>
      <c r="S200">
        <f>HYPERLINK("https://klasma.github.io/Logging_212161/artfynd/A 26415-2025 artfynd.xlsx", "A 26415-2025")</f>
        <v/>
      </c>
      <c r="T200">
        <f>HYPERLINK("https://klasma.github.io/Logging_212161/kartor/A 26415-2025 karta.png", "A 26415-2025")</f>
        <v/>
      </c>
      <c r="V200">
        <f>HYPERLINK("https://klasma.github.io/Logging_212161/klagomål/A 26415-2025 FSC-klagomål.docx", "A 26415-2025")</f>
        <v/>
      </c>
      <c r="W200">
        <f>HYPERLINK("https://klasma.github.io/Logging_212161/klagomålsmail/A 26415-2025 FSC-klagomål mail.docx", "A 26415-2025")</f>
        <v/>
      </c>
      <c r="X200">
        <f>HYPERLINK("https://klasma.github.io/Logging_212161/tillsyn/A 26415-2025 tillsynsbegäran.docx", "A 26415-2025")</f>
        <v/>
      </c>
      <c r="Y200">
        <f>HYPERLINK("https://klasma.github.io/Logging_212161/tillsynsmail/A 26415-2025 tillsynsbegäran mail.docx", "A 26415-2025")</f>
        <v/>
      </c>
      <c r="Z200">
        <f>HYPERLINK("https://klasma.github.io/Logging_212161/fåglar/A 26415-2025 prioriterade fågelarter.docx", "A 26415-2025")</f>
        <v/>
      </c>
    </row>
    <row r="201" ht="15" customHeight="1">
      <c r="A201" t="inlineStr">
        <is>
          <t>A 26817-2025</t>
        </is>
      </c>
      <c r="B201" s="1" t="n">
        <v>45810</v>
      </c>
      <c r="C201" s="1" t="n">
        <v>45811</v>
      </c>
      <c r="D201" t="inlineStr">
        <is>
          <t>GÄVLEBORGS LÄN</t>
        </is>
      </c>
      <c r="E201" t="inlineStr">
        <is>
          <t>LJUSDAL</t>
        </is>
      </c>
      <c r="F201" t="inlineStr">
        <is>
          <t>SCA</t>
        </is>
      </c>
      <c r="G201" t="n">
        <v>4.4</v>
      </c>
      <c r="H201" t="n">
        <v>2</v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2</v>
      </c>
      <c r="R201" s="2" t="inlineStr">
        <is>
          <t>Plattlummer
Nattviol</t>
        </is>
      </c>
      <c r="S201">
        <f>HYPERLINK("https://klasma.github.io/Logging_212161/artfynd/A 26817-2025 artfynd.xlsx", "A 26817-2025")</f>
        <v/>
      </c>
      <c r="T201">
        <f>HYPERLINK("https://klasma.github.io/Logging_212161/kartor/A 26817-2025 karta.png", "A 26817-2025")</f>
        <v/>
      </c>
      <c r="V201">
        <f>HYPERLINK("https://klasma.github.io/Logging_212161/klagomål/A 26817-2025 FSC-klagomål.docx", "A 26817-2025")</f>
        <v/>
      </c>
      <c r="W201">
        <f>HYPERLINK("https://klasma.github.io/Logging_212161/klagomålsmail/A 26817-2025 FSC-klagomål mail.docx", "A 26817-2025")</f>
        <v/>
      </c>
      <c r="X201">
        <f>HYPERLINK("https://klasma.github.io/Logging_212161/tillsyn/A 26817-2025 tillsynsbegäran.docx", "A 26817-2025")</f>
        <v/>
      </c>
      <c r="Y201">
        <f>HYPERLINK("https://klasma.github.io/Logging_212161/tillsynsmail/A 26817-2025 tillsynsbegäran mail.docx", "A 26817-2025")</f>
        <v/>
      </c>
    </row>
    <row r="202" ht="15" customHeight="1">
      <c r="A202" t="inlineStr">
        <is>
          <t>A 17966-2019</t>
        </is>
      </c>
      <c r="B202" s="1" t="n">
        <v>43557</v>
      </c>
      <c r="C202" s="1" t="n">
        <v>45811</v>
      </c>
      <c r="D202" t="inlineStr">
        <is>
          <t>GÄVLEBORGS LÄN</t>
        </is>
      </c>
      <c r="E202" t="inlineStr">
        <is>
          <t>LJUSDAL</t>
        </is>
      </c>
      <c r="G202" t="n">
        <v>0.7</v>
      </c>
      <c r="H202" t="n">
        <v>1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Talltita</t>
        </is>
      </c>
      <c r="S202">
        <f>HYPERLINK("https://klasma.github.io/Logging_2161/artfynd/A 17966-2019 artfynd.xlsx", "A 17966-2019")</f>
        <v/>
      </c>
      <c r="T202">
        <f>HYPERLINK("https://klasma.github.io/Logging_2161/kartor/A 17966-2019 karta.png", "A 17966-2019")</f>
        <v/>
      </c>
      <c r="V202">
        <f>HYPERLINK("https://klasma.github.io/Logging_2161/klagomål/A 17966-2019 FSC-klagomål.docx", "A 17966-2019")</f>
        <v/>
      </c>
      <c r="W202">
        <f>HYPERLINK("https://klasma.github.io/Logging_2161/klagomålsmail/A 17966-2019 FSC-klagomål mail.docx", "A 17966-2019")</f>
        <v/>
      </c>
      <c r="X202">
        <f>HYPERLINK("https://klasma.github.io/Logging_2161/tillsyn/A 17966-2019 tillsynsbegäran.docx", "A 17966-2019")</f>
        <v/>
      </c>
      <c r="Y202">
        <f>HYPERLINK("https://klasma.github.io/Logging_2161/tillsynsmail/A 17966-2019 tillsynsbegäran mail.docx", "A 17966-2019")</f>
        <v/>
      </c>
      <c r="Z202">
        <f>HYPERLINK("https://klasma.github.io/Logging_2161/fåglar/A 17966-2019 prioriterade fågelarter.docx", "A 17966-2019")</f>
        <v/>
      </c>
    </row>
    <row r="203" ht="15" customHeight="1">
      <c r="A203" t="inlineStr">
        <is>
          <t>A 67154-2019</t>
        </is>
      </c>
      <c r="B203" s="1" t="n">
        <v>43811</v>
      </c>
      <c r="C203" s="1" t="n">
        <v>45811</v>
      </c>
      <c r="D203" t="inlineStr">
        <is>
          <t>GÄVLEBORGS LÄN</t>
        </is>
      </c>
      <c r="E203" t="inlineStr">
        <is>
          <t>LJUSDAL</t>
        </is>
      </c>
      <c r="G203" t="n">
        <v>12.9</v>
      </c>
      <c r="H203" t="n">
        <v>0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Rosenticka</t>
        </is>
      </c>
      <c r="S203">
        <f>HYPERLINK("https://klasma.github.io/Logging_2161/artfynd/A 67154-2019 artfynd.xlsx", "A 67154-2019")</f>
        <v/>
      </c>
      <c r="T203">
        <f>HYPERLINK("https://klasma.github.io/Logging_2161/kartor/A 67154-2019 karta.png", "A 67154-2019")</f>
        <v/>
      </c>
      <c r="V203">
        <f>HYPERLINK("https://klasma.github.io/Logging_2161/klagomål/A 67154-2019 FSC-klagomål.docx", "A 67154-2019")</f>
        <v/>
      </c>
      <c r="W203">
        <f>HYPERLINK("https://klasma.github.io/Logging_2161/klagomålsmail/A 67154-2019 FSC-klagomål mail.docx", "A 67154-2019")</f>
        <v/>
      </c>
      <c r="X203">
        <f>HYPERLINK("https://klasma.github.io/Logging_2161/tillsyn/A 67154-2019 tillsynsbegäran.docx", "A 67154-2019")</f>
        <v/>
      </c>
      <c r="Y203">
        <f>HYPERLINK("https://klasma.github.io/Logging_2161/tillsynsmail/A 67154-2019 tillsynsbegäran mail.docx", "A 67154-2019")</f>
        <v/>
      </c>
    </row>
    <row r="204" ht="15" customHeight="1">
      <c r="A204" t="inlineStr">
        <is>
          <t>A 7560-2020</t>
        </is>
      </c>
      <c r="B204" s="1" t="n">
        <v>43872</v>
      </c>
      <c r="C204" s="1" t="n">
        <v>45811</v>
      </c>
      <c r="D204" t="inlineStr">
        <is>
          <t>GÄVLEBORGS LÄN</t>
        </is>
      </c>
      <c r="E204" t="inlineStr">
        <is>
          <t>LJUSDAL</t>
        </is>
      </c>
      <c r="G204" t="n">
        <v>3.9</v>
      </c>
      <c r="H204" t="n">
        <v>0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Blanksvart spiklav</t>
        </is>
      </c>
      <c r="S204">
        <f>HYPERLINK("https://klasma.github.io/Logging_2161/artfynd/A 7560-2020 artfynd.xlsx", "A 7560-2020")</f>
        <v/>
      </c>
      <c r="T204">
        <f>HYPERLINK("https://klasma.github.io/Logging_2161/kartor/A 7560-2020 karta.png", "A 7560-2020")</f>
        <v/>
      </c>
      <c r="V204">
        <f>HYPERLINK("https://klasma.github.io/Logging_2161/klagomål/A 7560-2020 FSC-klagomål.docx", "A 7560-2020")</f>
        <v/>
      </c>
      <c r="W204">
        <f>HYPERLINK("https://klasma.github.io/Logging_2161/klagomålsmail/A 7560-2020 FSC-klagomål mail.docx", "A 7560-2020")</f>
        <v/>
      </c>
      <c r="X204">
        <f>HYPERLINK("https://klasma.github.io/Logging_2161/tillsyn/A 7560-2020 tillsynsbegäran.docx", "A 7560-2020")</f>
        <v/>
      </c>
      <c r="Y204">
        <f>HYPERLINK("https://klasma.github.io/Logging_2161/tillsynsmail/A 7560-2020 tillsynsbegäran mail.docx", "A 7560-2020")</f>
        <v/>
      </c>
    </row>
    <row r="205" ht="15" customHeight="1">
      <c r="A205" t="inlineStr">
        <is>
          <t>A 19023-2020</t>
        </is>
      </c>
      <c r="B205" s="1" t="n">
        <v>43936</v>
      </c>
      <c r="C205" s="1" t="n">
        <v>45811</v>
      </c>
      <c r="D205" t="inlineStr">
        <is>
          <t>GÄVLEBORGS LÄN</t>
        </is>
      </c>
      <c r="E205" t="inlineStr">
        <is>
          <t>LJUSDAL</t>
        </is>
      </c>
      <c r="G205" t="n">
        <v>5.9</v>
      </c>
      <c r="H205" t="n">
        <v>0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Violettgrå tagellav</t>
        </is>
      </c>
      <c r="S205">
        <f>HYPERLINK("https://klasma.github.io/Logging_2161/artfynd/A 19023-2020 artfynd.xlsx", "A 19023-2020")</f>
        <v/>
      </c>
      <c r="T205">
        <f>HYPERLINK("https://klasma.github.io/Logging_2161/kartor/A 19023-2020 karta.png", "A 19023-2020")</f>
        <v/>
      </c>
      <c r="V205">
        <f>HYPERLINK("https://klasma.github.io/Logging_2161/klagomål/A 19023-2020 FSC-klagomål.docx", "A 19023-2020")</f>
        <v/>
      </c>
      <c r="W205">
        <f>HYPERLINK("https://klasma.github.io/Logging_2161/klagomålsmail/A 19023-2020 FSC-klagomål mail.docx", "A 19023-2020")</f>
        <v/>
      </c>
      <c r="X205">
        <f>HYPERLINK("https://klasma.github.io/Logging_2161/tillsyn/A 19023-2020 tillsynsbegäran.docx", "A 19023-2020")</f>
        <v/>
      </c>
      <c r="Y205">
        <f>HYPERLINK("https://klasma.github.io/Logging_2161/tillsynsmail/A 19023-2020 tillsynsbegäran mail.docx", "A 19023-2020")</f>
        <v/>
      </c>
    </row>
    <row r="206" ht="15" customHeight="1">
      <c r="A206" t="inlineStr">
        <is>
          <t>A 25005-2020</t>
        </is>
      </c>
      <c r="B206" s="1" t="n">
        <v>43979</v>
      </c>
      <c r="C206" s="1" t="n">
        <v>45811</v>
      </c>
      <c r="D206" t="inlineStr">
        <is>
          <t>GÄVLEBORGS LÄN</t>
        </is>
      </c>
      <c r="E206" t="inlineStr">
        <is>
          <t>LJUSDAL</t>
        </is>
      </c>
      <c r="F206" t="inlineStr">
        <is>
          <t>Sveaskog</t>
        </is>
      </c>
      <c r="G206" t="n">
        <v>1.9</v>
      </c>
      <c r="H206" t="n">
        <v>0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Kolflarnlav</t>
        </is>
      </c>
      <c r="S206">
        <f>HYPERLINK("https://klasma.github.io/Logging_2161/artfynd/A 25005-2020 artfynd.xlsx", "A 25005-2020")</f>
        <v/>
      </c>
      <c r="T206">
        <f>HYPERLINK("https://klasma.github.io/Logging_2161/kartor/A 25005-2020 karta.png", "A 25005-2020")</f>
        <v/>
      </c>
      <c r="V206">
        <f>HYPERLINK("https://klasma.github.io/Logging_2161/klagomål/A 25005-2020 FSC-klagomål.docx", "A 25005-2020")</f>
        <v/>
      </c>
      <c r="W206">
        <f>HYPERLINK("https://klasma.github.io/Logging_2161/klagomålsmail/A 25005-2020 FSC-klagomål mail.docx", "A 25005-2020")</f>
        <v/>
      </c>
      <c r="X206">
        <f>HYPERLINK("https://klasma.github.io/Logging_2161/tillsyn/A 25005-2020 tillsynsbegäran.docx", "A 25005-2020")</f>
        <v/>
      </c>
      <c r="Y206">
        <f>HYPERLINK("https://klasma.github.io/Logging_2161/tillsynsmail/A 25005-2020 tillsynsbegäran mail.docx", "A 25005-2020")</f>
        <v/>
      </c>
    </row>
    <row r="207" ht="15" customHeight="1">
      <c r="A207" t="inlineStr">
        <is>
          <t>A 38855-2020</t>
        </is>
      </c>
      <c r="B207" s="1" t="n">
        <v>44062</v>
      </c>
      <c r="C207" s="1" t="n">
        <v>45811</v>
      </c>
      <c r="D207" t="inlineStr">
        <is>
          <t>GÄVLEBORGS LÄN</t>
        </is>
      </c>
      <c r="E207" t="inlineStr">
        <is>
          <t>LJUSDAL</t>
        </is>
      </c>
      <c r="F207" t="inlineStr">
        <is>
          <t>Holmen skog AB</t>
        </is>
      </c>
      <c r="G207" t="n">
        <v>3.8</v>
      </c>
      <c r="H207" t="n">
        <v>1</v>
      </c>
      <c r="I207" t="n">
        <v>0</v>
      </c>
      <c r="J207" t="n">
        <v>0</v>
      </c>
      <c r="K207" t="n">
        <v>1</v>
      </c>
      <c r="L207" t="n">
        <v>0</v>
      </c>
      <c r="M207" t="n">
        <v>0</v>
      </c>
      <c r="N207" t="n">
        <v>0</v>
      </c>
      <c r="O207" t="n">
        <v>1</v>
      </c>
      <c r="P207" t="n">
        <v>1</v>
      </c>
      <c r="Q207" t="n">
        <v>1</v>
      </c>
      <c r="R207" s="2" t="inlineStr">
        <is>
          <t>Knärot</t>
        </is>
      </c>
      <c r="S207">
        <f>HYPERLINK("https://klasma.github.io/Logging_2161/artfynd/A 38855-2020 artfynd.xlsx", "A 38855-2020")</f>
        <v/>
      </c>
      <c r="T207">
        <f>HYPERLINK("https://klasma.github.io/Logging_2161/kartor/A 38855-2020 karta.png", "A 38855-2020")</f>
        <v/>
      </c>
      <c r="U207">
        <f>HYPERLINK("https://klasma.github.io/Logging_2161/knärot/A 38855-2020 karta knärot.png", "A 38855-2020")</f>
        <v/>
      </c>
      <c r="V207">
        <f>HYPERLINK("https://klasma.github.io/Logging_2161/klagomål/A 38855-2020 FSC-klagomål.docx", "A 38855-2020")</f>
        <v/>
      </c>
      <c r="W207">
        <f>HYPERLINK("https://klasma.github.io/Logging_2161/klagomålsmail/A 38855-2020 FSC-klagomål mail.docx", "A 38855-2020")</f>
        <v/>
      </c>
      <c r="X207">
        <f>HYPERLINK("https://klasma.github.io/Logging_2161/tillsyn/A 38855-2020 tillsynsbegäran.docx", "A 38855-2020")</f>
        <v/>
      </c>
      <c r="Y207">
        <f>HYPERLINK("https://klasma.github.io/Logging_2161/tillsynsmail/A 38855-2020 tillsynsbegäran mail.docx", "A 38855-2020")</f>
        <v/>
      </c>
    </row>
    <row r="208" ht="15" customHeight="1">
      <c r="A208" t="inlineStr">
        <is>
          <t>A 40597-2020</t>
        </is>
      </c>
      <c r="B208" s="1" t="n">
        <v>44069</v>
      </c>
      <c r="C208" s="1" t="n">
        <v>45811</v>
      </c>
      <c r="D208" t="inlineStr">
        <is>
          <t>GÄVLEBORGS LÄN</t>
        </is>
      </c>
      <c r="E208" t="inlineStr">
        <is>
          <t>LJUSDAL</t>
        </is>
      </c>
      <c r="F208" t="inlineStr">
        <is>
          <t>Sveaskog</t>
        </is>
      </c>
      <c r="G208" t="n">
        <v>9.5</v>
      </c>
      <c r="H208" t="n">
        <v>0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Lunglav</t>
        </is>
      </c>
      <c r="S208">
        <f>HYPERLINK("https://klasma.github.io/Logging_2161/artfynd/A 40597-2020 artfynd.xlsx", "A 40597-2020")</f>
        <v/>
      </c>
      <c r="T208">
        <f>HYPERLINK("https://klasma.github.io/Logging_2161/kartor/A 40597-2020 karta.png", "A 40597-2020")</f>
        <v/>
      </c>
      <c r="V208">
        <f>HYPERLINK("https://klasma.github.io/Logging_2161/klagomål/A 40597-2020 FSC-klagomål.docx", "A 40597-2020")</f>
        <v/>
      </c>
      <c r="W208">
        <f>HYPERLINK("https://klasma.github.io/Logging_2161/klagomålsmail/A 40597-2020 FSC-klagomål mail.docx", "A 40597-2020")</f>
        <v/>
      </c>
      <c r="X208">
        <f>HYPERLINK("https://klasma.github.io/Logging_2161/tillsyn/A 40597-2020 tillsynsbegäran.docx", "A 40597-2020")</f>
        <v/>
      </c>
      <c r="Y208">
        <f>HYPERLINK("https://klasma.github.io/Logging_2161/tillsynsmail/A 40597-2020 tillsynsbegäran mail.docx", "A 40597-2020")</f>
        <v/>
      </c>
    </row>
    <row r="209" ht="15" customHeight="1">
      <c r="A209" t="inlineStr">
        <is>
          <t>A 42009-2020</t>
        </is>
      </c>
      <c r="B209" s="1" t="n">
        <v>44075</v>
      </c>
      <c r="C209" s="1" t="n">
        <v>45811</v>
      </c>
      <c r="D209" t="inlineStr">
        <is>
          <t>GÄVLEBORGS LÄN</t>
        </is>
      </c>
      <c r="E209" t="inlineStr">
        <is>
          <t>LJUSDAL</t>
        </is>
      </c>
      <c r="F209" t="inlineStr">
        <is>
          <t>Sveaskog</t>
        </is>
      </c>
      <c r="G209" t="n">
        <v>1.4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Tallticka</t>
        </is>
      </c>
      <c r="S209">
        <f>HYPERLINK("https://klasma.github.io/Logging_2161/artfynd/A 42009-2020 artfynd.xlsx", "A 42009-2020")</f>
        <v/>
      </c>
      <c r="T209">
        <f>HYPERLINK("https://klasma.github.io/Logging_2161/kartor/A 42009-2020 karta.png", "A 42009-2020")</f>
        <v/>
      </c>
      <c r="V209">
        <f>HYPERLINK("https://klasma.github.io/Logging_2161/klagomål/A 42009-2020 FSC-klagomål.docx", "A 42009-2020")</f>
        <v/>
      </c>
      <c r="W209">
        <f>HYPERLINK("https://klasma.github.io/Logging_2161/klagomålsmail/A 42009-2020 FSC-klagomål mail.docx", "A 42009-2020")</f>
        <v/>
      </c>
      <c r="X209">
        <f>HYPERLINK("https://klasma.github.io/Logging_2161/tillsyn/A 42009-2020 tillsynsbegäran.docx", "A 42009-2020")</f>
        <v/>
      </c>
      <c r="Y209">
        <f>HYPERLINK("https://klasma.github.io/Logging_2161/tillsynsmail/A 42009-2020 tillsynsbegäran mail.docx", "A 42009-2020")</f>
        <v/>
      </c>
    </row>
    <row r="210" ht="15" customHeight="1">
      <c r="A210" t="inlineStr">
        <is>
          <t>A 52294-2020</t>
        </is>
      </c>
      <c r="B210" s="1" t="n">
        <v>44117</v>
      </c>
      <c r="C210" s="1" t="n">
        <v>45811</v>
      </c>
      <c r="D210" t="inlineStr">
        <is>
          <t>GÄVLEBORGS LÄN</t>
        </is>
      </c>
      <c r="E210" t="inlineStr">
        <is>
          <t>LJUSDAL</t>
        </is>
      </c>
      <c r="F210" t="inlineStr">
        <is>
          <t>Sveaskog</t>
        </is>
      </c>
      <c r="G210" t="n">
        <v>8.4</v>
      </c>
      <c r="H210" t="n">
        <v>1</v>
      </c>
      <c r="I210" t="n">
        <v>0</v>
      </c>
      <c r="J210" t="n">
        <v>0</v>
      </c>
      <c r="K210" t="n">
        <v>1</v>
      </c>
      <c r="L210" t="n">
        <v>0</v>
      </c>
      <c r="M210" t="n">
        <v>0</v>
      </c>
      <c r="N210" t="n">
        <v>0</v>
      </c>
      <c r="O210" t="n">
        <v>1</v>
      </c>
      <c r="P210" t="n">
        <v>1</v>
      </c>
      <c r="Q210" t="n">
        <v>1</v>
      </c>
      <c r="R210" s="2" t="inlineStr">
        <is>
          <t>Knärot</t>
        </is>
      </c>
      <c r="S210">
        <f>HYPERLINK("https://klasma.github.io/Logging_2161/artfynd/A 52294-2020 artfynd.xlsx", "A 52294-2020")</f>
        <v/>
      </c>
      <c r="T210">
        <f>HYPERLINK("https://klasma.github.io/Logging_2161/kartor/A 52294-2020 karta.png", "A 52294-2020")</f>
        <v/>
      </c>
      <c r="U210">
        <f>HYPERLINK("https://klasma.github.io/Logging_2161/knärot/A 52294-2020 karta knärot.png", "A 52294-2020")</f>
        <v/>
      </c>
      <c r="V210">
        <f>HYPERLINK("https://klasma.github.io/Logging_2161/klagomål/A 52294-2020 FSC-klagomål.docx", "A 52294-2020")</f>
        <v/>
      </c>
      <c r="W210">
        <f>HYPERLINK("https://klasma.github.io/Logging_2161/klagomålsmail/A 52294-2020 FSC-klagomål mail.docx", "A 52294-2020")</f>
        <v/>
      </c>
      <c r="X210">
        <f>HYPERLINK("https://klasma.github.io/Logging_2161/tillsyn/A 52294-2020 tillsynsbegäran.docx", "A 52294-2020")</f>
        <v/>
      </c>
      <c r="Y210">
        <f>HYPERLINK("https://klasma.github.io/Logging_2161/tillsynsmail/A 52294-2020 tillsynsbegäran mail.docx", "A 52294-2020")</f>
        <v/>
      </c>
    </row>
    <row r="211" ht="15" customHeight="1">
      <c r="A211" t="inlineStr">
        <is>
          <t>A 59348-2020</t>
        </is>
      </c>
      <c r="B211" s="1" t="n">
        <v>44148</v>
      </c>
      <c r="C211" s="1" t="n">
        <v>45811</v>
      </c>
      <c r="D211" t="inlineStr">
        <is>
          <t>GÄVLEBORGS LÄN</t>
        </is>
      </c>
      <c r="E211" t="inlineStr">
        <is>
          <t>LJUSDAL</t>
        </is>
      </c>
      <c r="F211" t="inlineStr">
        <is>
          <t>Sveaskog</t>
        </is>
      </c>
      <c r="G211" t="n">
        <v>20.4</v>
      </c>
      <c r="H211" t="n">
        <v>1</v>
      </c>
      <c r="I211" t="n">
        <v>0</v>
      </c>
      <c r="J211" t="n">
        <v>0</v>
      </c>
      <c r="K211" t="n">
        <v>1</v>
      </c>
      <c r="L211" t="n">
        <v>0</v>
      </c>
      <c r="M211" t="n">
        <v>0</v>
      </c>
      <c r="N211" t="n">
        <v>0</v>
      </c>
      <c r="O211" t="n">
        <v>1</v>
      </c>
      <c r="P211" t="n">
        <v>1</v>
      </c>
      <c r="Q211" t="n">
        <v>1</v>
      </c>
      <c r="R211" s="2" t="inlineStr">
        <is>
          <t>Knärot</t>
        </is>
      </c>
      <c r="S211">
        <f>HYPERLINK("https://klasma.github.io/Logging_2161/artfynd/A 59348-2020 artfynd.xlsx", "A 59348-2020")</f>
        <v/>
      </c>
      <c r="T211">
        <f>HYPERLINK("https://klasma.github.io/Logging_2161/kartor/A 59348-2020 karta.png", "A 59348-2020")</f>
        <v/>
      </c>
      <c r="U211">
        <f>HYPERLINK("https://klasma.github.io/Logging_2161/knärot/A 59348-2020 karta knärot.png", "A 59348-2020")</f>
        <v/>
      </c>
      <c r="V211">
        <f>HYPERLINK("https://klasma.github.io/Logging_2161/klagomål/A 59348-2020 FSC-klagomål.docx", "A 59348-2020")</f>
        <v/>
      </c>
      <c r="W211">
        <f>HYPERLINK("https://klasma.github.io/Logging_2161/klagomålsmail/A 59348-2020 FSC-klagomål mail.docx", "A 59348-2020")</f>
        <v/>
      </c>
      <c r="X211">
        <f>HYPERLINK("https://klasma.github.io/Logging_2161/tillsyn/A 59348-2020 tillsynsbegäran.docx", "A 59348-2020")</f>
        <v/>
      </c>
      <c r="Y211">
        <f>HYPERLINK("https://klasma.github.io/Logging_2161/tillsynsmail/A 59348-2020 tillsynsbegäran mail.docx", "A 59348-2020")</f>
        <v/>
      </c>
    </row>
    <row r="212" ht="15" customHeight="1">
      <c r="A212" t="inlineStr">
        <is>
          <t>A 25490-2021</t>
        </is>
      </c>
      <c r="B212" s="1" t="n">
        <v>44342</v>
      </c>
      <c r="C212" s="1" t="n">
        <v>45811</v>
      </c>
      <c r="D212" t="inlineStr">
        <is>
          <t>GÄVLEBORGS LÄN</t>
        </is>
      </c>
      <c r="E212" t="inlineStr">
        <is>
          <t>LJUSDAL</t>
        </is>
      </c>
      <c r="G212" t="n">
        <v>6.3</v>
      </c>
      <c r="H212" t="n">
        <v>1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Tretåig hackspett</t>
        </is>
      </c>
      <c r="S212">
        <f>HYPERLINK("https://klasma.github.io/Logging_2161/artfynd/A 25490-2021 artfynd.xlsx", "A 25490-2021")</f>
        <v/>
      </c>
      <c r="T212">
        <f>HYPERLINK("https://klasma.github.io/Logging_2161/kartor/A 25490-2021 karta.png", "A 25490-2021")</f>
        <v/>
      </c>
      <c r="U212">
        <f>HYPERLINK("https://klasma.github.io/Logging_2161/knärot/A 25490-2021 karta knärot.png", "A 25490-2021")</f>
        <v/>
      </c>
      <c r="V212">
        <f>HYPERLINK("https://klasma.github.io/Logging_2161/klagomål/A 25490-2021 FSC-klagomål.docx", "A 25490-2021")</f>
        <v/>
      </c>
      <c r="W212">
        <f>HYPERLINK("https://klasma.github.io/Logging_2161/klagomålsmail/A 25490-2021 FSC-klagomål mail.docx", "A 25490-2021")</f>
        <v/>
      </c>
      <c r="X212">
        <f>HYPERLINK("https://klasma.github.io/Logging_2161/tillsyn/A 25490-2021 tillsynsbegäran.docx", "A 25490-2021")</f>
        <v/>
      </c>
      <c r="Y212">
        <f>HYPERLINK("https://klasma.github.io/Logging_2161/tillsynsmail/A 25490-2021 tillsynsbegäran mail.docx", "A 25490-2021")</f>
        <v/>
      </c>
      <c r="Z212">
        <f>HYPERLINK("https://klasma.github.io/Logging_2161/fåglar/A 25490-2021 prioriterade fågelarter.docx", "A 25490-2021")</f>
        <v/>
      </c>
    </row>
    <row r="213" ht="15" customHeight="1">
      <c r="A213" t="inlineStr">
        <is>
          <t>A 34192-2021</t>
        </is>
      </c>
      <c r="B213" s="1" t="n">
        <v>44379</v>
      </c>
      <c r="C213" s="1" t="n">
        <v>45811</v>
      </c>
      <c r="D213" t="inlineStr">
        <is>
          <t>GÄVLEBORGS LÄN</t>
        </is>
      </c>
      <c r="E213" t="inlineStr">
        <is>
          <t>LJUSDAL</t>
        </is>
      </c>
      <c r="F213" t="inlineStr">
        <is>
          <t>Sveaskog</t>
        </is>
      </c>
      <c r="G213" t="n">
        <v>14.6</v>
      </c>
      <c r="H213" t="n">
        <v>1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s="2" t="inlineStr">
        <is>
          <t>Mattlummer</t>
        </is>
      </c>
      <c r="S213">
        <f>HYPERLINK("https://klasma.github.io/Logging_2161/artfynd/A 34192-2021 artfynd.xlsx", "A 34192-2021")</f>
        <v/>
      </c>
      <c r="T213">
        <f>HYPERLINK("https://klasma.github.io/Logging_2161/kartor/A 34192-2021 karta.png", "A 34192-2021")</f>
        <v/>
      </c>
      <c r="V213">
        <f>HYPERLINK("https://klasma.github.io/Logging_2161/klagomål/A 34192-2021 FSC-klagomål.docx", "A 34192-2021")</f>
        <v/>
      </c>
      <c r="W213">
        <f>HYPERLINK("https://klasma.github.io/Logging_2161/klagomålsmail/A 34192-2021 FSC-klagomål mail.docx", "A 34192-2021")</f>
        <v/>
      </c>
      <c r="X213">
        <f>HYPERLINK("https://klasma.github.io/Logging_2161/tillsyn/A 34192-2021 tillsynsbegäran.docx", "A 34192-2021")</f>
        <v/>
      </c>
      <c r="Y213">
        <f>HYPERLINK("https://klasma.github.io/Logging_2161/tillsynsmail/A 34192-2021 tillsynsbegäran mail.docx", "A 34192-2021")</f>
        <v/>
      </c>
    </row>
    <row r="214" ht="15" customHeight="1">
      <c r="A214" t="inlineStr">
        <is>
          <t>A 38115-2021</t>
        </is>
      </c>
      <c r="B214" s="1" t="n">
        <v>44405</v>
      </c>
      <c r="C214" s="1" t="n">
        <v>45811</v>
      </c>
      <c r="D214" t="inlineStr">
        <is>
          <t>GÄVLEBORGS LÄN</t>
        </is>
      </c>
      <c r="E214" t="inlineStr">
        <is>
          <t>LJUSDAL</t>
        </is>
      </c>
      <c r="F214" t="inlineStr">
        <is>
          <t>Sveaskog</t>
        </is>
      </c>
      <c r="G214" t="n">
        <v>2.7</v>
      </c>
      <c r="H214" t="n">
        <v>1</v>
      </c>
      <c r="I214" t="n">
        <v>0</v>
      </c>
      <c r="J214" t="n">
        <v>0</v>
      </c>
      <c r="K214" t="n">
        <v>1</v>
      </c>
      <c r="L214" t="n">
        <v>0</v>
      </c>
      <c r="M214" t="n">
        <v>0</v>
      </c>
      <c r="N214" t="n">
        <v>0</v>
      </c>
      <c r="O214" t="n">
        <v>1</v>
      </c>
      <c r="P214" t="n">
        <v>1</v>
      </c>
      <c r="Q214" t="n">
        <v>1</v>
      </c>
      <c r="R214" s="2" t="inlineStr">
        <is>
          <t>Knärot</t>
        </is>
      </c>
      <c r="S214">
        <f>HYPERLINK("https://klasma.github.io/Logging_2161/artfynd/A 38115-2021 artfynd.xlsx", "A 38115-2021")</f>
        <v/>
      </c>
      <c r="T214">
        <f>HYPERLINK("https://klasma.github.io/Logging_2161/kartor/A 38115-2021 karta.png", "A 38115-2021")</f>
        <v/>
      </c>
      <c r="U214">
        <f>HYPERLINK("https://klasma.github.io/Logging_2161/knärot/A 38115-2021 karta knärot.png", "A 38115-2021")</f>
        <v/>
      </c>
      <c r="V214">
        <f>HYPERLINK("https://klasma.github.io/Logging_2161/klagomål/A 38115-2021 FSC-klagomål.docx", "A 38115-2021")</f>
        <v/>
      </c>
      <c r="W214">
        <f>HYPERLINK("https://klasma.github.io/Logging_2161/klagomålsmail/A 38115-2021 FSC-klagomål mail.docx", "A 38115-2021")</f>
        <v/>
      </c>
      <c r="X214">
        <f>HYPERLINK("https://klasma.github.io/Logging_2161/tillsyn/A 38115-2021 tillsynsbegäran.docx", "A 38115-2021")</f>
        <v/>
      </c>
      <c r="Y214">
        <f>HYPERLINK("https://klasma.github.io/Logging_2161/tillsynsmail/A 38115-2021 tillsynsbegäran mail.docx", "A 38115-2021")</f>
        <v/>
      </c>
    </row>
    <row r="215" ht="15" customHeight="1">
      <c r="A215" t="inlineStr">
        <is>
          <t>A 38388-2021</t>
        </is>
      </c>
      <c r="B215" s="1" t="n">
        <v>44406</v>
      </c>
      <c r="C215" s="1" t="n">
        <v>45811</v>
      </c>
      <c r="D215" t="inlineStr">
        <is>
          <t>GÄVLEBORGS LÄN</t>
        </is>
      </c>
      <c r="E215" t="inlineStr">
        <is>
          <t>LJUSDAL</t>
        </is>
      </c>
      <c r="F215" t="inlineStr">
        <is>
          <t>Sveaskog</t>
        </is>
      </c>
      <c r="G215" t="n">
        <v>9.199999999999999</v>
      </c>
      <c r="H215" t="n">
        <v>1</v>
      </c>
      <c r="I215" t="n">
        <v>0</v>
      </c>
      <c r="J215" t="n">
        <v>0</v>
      </c>
      <c r="K215" t="n">
        <v>0</v>
      </c>
      <c r="L215" t="n">
        <v>1</v>
      </c>
      <c r="M215" t="n">
        <v>0</v>
      </c>
      <c r="N215" t="n">
        <v>0</v>
      </c>
      <c r="O215" t="n">
        <v>1</v>
      </c>
      <c r="P215" t="n">
        <v>1</v>
      </c>
      <c r="Q215" t="n">
        <v>1</v>
      </c>
      <c r="R215" s="2" t="inlineStr">
        <is>
          <t>Mosippa</t>
        </is>
      </c>
      <c r="S215">
        <f>HYPERLINK("https://klasma.github.io/Logging_2161/artfynd/A 38388-2021 artfynd.xlsx", "A 38388-2021")</f>
        <v/>
      </c>
      <c r="T215">
        <f>HYPERLINK("https://klasma.github.io/Logging_2161/kartor/A 38388-2021 karta.png", "A 38388-2021")</f>
        <v/>
      </c>
      <c r="V215">
        <f>HYPERLINK("https://klasma.github.io/Logging_2161/klagomål/A 38388-2021 FSC-klagomål.docx", "A 38388-2021")</f>
        <v/>
      </c>
      <c r="W215">
        <f>HYPERLINK("https://klasma.github.io/Logging_2161/klagomålsmail/A 38388-2021 FSC-klagomål mail.docx", "A 38388-2021")</f>
        <v/>
      </c>
      <c r="X215">
        <f>HYPERLINK("https://klasma.github.io/Logging_2161/tillsyn/A 38388-2021 tillsynsbegäran.docx", "A 38388-2021")</f>
        <v/>
      </c>
      <c r="Y215">
        <f>HYPERLINK("https://klasma.github.io/Logging_2161/tillsynsmail/A 38388-2021 tillsynsbegäran mail.docx", "A 38388-2021")</f>
        <v/>
      </c>
    </row>
    <row r="216" ht="15" customHeight="1">
      <c r="A216" t="inlineStr">
        <is>
          <t>A 43383-2021</t>
        </is>
      </c>
      <c r="B216" s="1" t="n">
        <v>44432</v>
      </c>
      <c r="C216" s="1" t="n">
        <v>45811</v>
      </c>
      <c r="D216" t="inlineStr">
        <is>
          <t>GÄVLEBORGS LÄN</t>
        </is>
      </c>
      <c r="E216" t="inlineStr">
        <is>
          <t>LJUSDAL</t>
        </is>
      </c>
      <c r="F216" t="inlineStr">
        <is>
          <t>Sveaskog</t>
        </is>
      </c>
      <c r="G216" t="n">
        <v>5.9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Violettgrå tagellav</t>
        </is>
      </c>
      <c r="S216">
        <f>HYPERLINK("https://klasma.github.io/Logging_2161/artfynd/A 43383-2021 artfynd.xlsx", "A 43383-2021")</f>
        <v/>
      </c>
      <c r="T216">
        <f>HYPERLINK("https://klasma.github.io/Logging_2161/kartor/A 43383-2021 karta.png", "A 43383-2021")</f>
        <v/>
      </c>
      <c r="V216">
        <f>HYPERLINK("https://klasma.github.io/Logging_2161/klagomål/A 43383-2021 FSC-klagomål.docx", "A 43383-2021")</f>
        <v/>
      </c>
      <c r="W216">
        <f>HYPERLINK("https://klasma.github.io/Logging_2161/klagomålsmail/A 43383-2021 FSC-klagomål mail.docx", "A 43383-2021")</f>
        <v/>
      </c>
      <c r="X216">
        <f>HYPERLINK("https://klasma.github.io/Logging_2161/tillsyn/A 43383-2021 tillsynsbegäran.docx", "A 43383-2021")</f>
        <v/>
      </c>
      <c r="Y216">
        <f>HYPERLINK("https://klasma.github.io/Logging_2161/tillsynsmail/A 43383-2021 tillsynsbegäran mail.docx", "A 43383-2021")</f>
        <v/>
      </c>
    </row>
    <row r="217" ht="15" customHeight="1">
      <c r="A217" t="inlineStr">
        <is>
          <t>A 44694-2021</t>
        </is>
      </c>
      <c r="B217" s="1" t="n">
        <v>44438</v>
      </c>
      <c r="C217" s="1" t="n">
        <v>45811</v>
      </c>
      <c r="D217" t="inlineStr">
        <is>
          <t>GÄVLEBORGS LÄN</t>
        </is>
      </c>
      <c r="E217" t="inlineStr">
        <is>
          <t>LJUSDAL</t>
        </is>
      </c>
      <c r="F217" t="inlineStr">
        <is>
          <t>Sveaskog</t>
        </is>
      </c>
      <c r="G217" t="n">
        <v>3.2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Granticka</t>
        </is>
      </c>
      <c r="S217">
        <f>HYPERLINK("https://klasma.github.io/Logging_2161/artfynd/A 44694-2021 artfynd.xlsx", "A 44694-2021")</f>
        <v/>
      </c>
      <c r="T217">
        <f>HYPERLINK("https://klasma.github.io/Logging_2161/kartor/A 44694-2021 karta.png", "A 44694-2021")</f>
        <v/>
      </c>
      <c r="V217">
        <f>HYPERLINK("https://klasma.github.io/Logging_2161/klagomål/A 44694-2021 FSC-klagomål.docx", "A 44694-2021")</f>
        <v/>
      </c>
      <c r="W217">
        <f>HYPERLINK("https://klasma.github.io/Logging_2161/klagomålsmail/A 44694-2021 FSC-klagomål mail.docx", "A 44694-2021")</f>
        <v/>
      </c>
      <c r="X217">
        <f>HYPERLINK("https://klasma.github.io/Logging_2161/tillsyn/A 44694-2021 tillsynsbegäran.docx", "A 44694-2021")</f>
        <v/>
      </c>
      <c r="Y217">
        <f>HYPERLINK("https://klasma.github.io/Logging_2161/tillsynsmail/A 44694-2021 tillsynsbegäran mail.docx", "A 44694-2021")</f>
        <v/>
      </c>
    </row>
    <row r="218" ht="15" customHeight="1">
      <c r="A218" t="inlineStr">
        <is>
          <t>A 48180-2021</t>
        </is>
      </c>
      <c r="B218" s="1" t="n">
        <v>44449</v>
      </c>
      <c r="C218" s="1" t="n">
        <v>45811</v>
      </c>
      <c r="D218" t="inlineStr">
        <is>
          <t>GÄVLEBORGS LÄN</t>
        </is>
      </c>
      <c r="E218" t="inlineStr">
        <is>
          <t>LJUSDAL</t>
        </is>
      </c>
      <c r="F218" t="inlineStr">
        <is>
          <t>Sveaskog</t>
        </is>
      </c>
      <c r="G218" t="n">
        <v>1.4</v>
      </c>
      <c r="H218" t="n">
        <v>0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Garnlav</t>
        </is>
      </c>
      <c r="S218">
        <f>HYPERLINK("https://klasma.github.io/Logging_2161/artfynd/A 48180-2021 artfynd.xlsx", "A 48180-2021")</f>
        <v/>
      </c>
      <c r="T218">
        <f>HYPERLINK("https://klasma.github.io/Logging_2161/kartor/A 48180-2021 karta.png", "A 48180-2021")</f>
        <v/>
      </c>
      <c r="V218">
        <f>HYPERLINK("https://klasma.github.io/Logging_2161/klagomål/A 48180-2021 FSC-klagomål.docx", "A 48180-2021")</f>
        <v/>
      </c>
      <c r="W218">
        <f>HYPERLINK("https://klasma.github.io/Logging_2161/klagomålsmail/A 48180-2021 FSC-klagomål mail.docx", "A 48180-2021")</f>
        <v/>
      </c>
      <c r="X218">
        <f>HYPERLINK("https://klasma.github.io/Logging_2161/tillsyn/A 48180-2021 tillsynsbegäran.docx", "A 48180-2021")</f>
        <v/>
      </c>
      <c r="Y218">
        <f>HYPERLINK("https://klasma.github.io/Logging_2161/tillsynsmail/A 48180-2021 tillsynsbegäran mail.docx", "A 48180-2021")</f>
        <v/>
      </c>
    </row>
    <row r="219" ht="15" customHeight="1">
      <c r="A219" t="inlineStr">
        <is>
          <t>A 56589-2021</t>
        </is>
      </c>
      <c r="B219" s="1" t="n">
        <v>44480</v>
      </c>
      <c r="C219" s="1" t="n">
        <v>45811</v>
      </c>
      <c r="D219" t="inlineStr">
        <is>
          <t>GÄVLEBORGS LÄN</t>
        </is>
      </c>
      <c r="E219" t="inlineStr">
        <is>
          <t>LJUSDAL</t>
        </is>
      </c>
      <c r="G219" t="n">
        <v>11.4</v>
      </c>
      <c r="H219" t="n">
        <v>1</v>
      </c>
      <c r="I219" t="n">
        <v>0</v>
      </c>
      <c r="J219" t="n">
        <v>0</v>
      </c>
      <c r="K219" t="n">
        <v>1</v>
      </c>
      <c r="L219" t="n">
        <v>0</v>
      </c>
      <c r="M219" t="n">
        <v>0</v>
      </c>
      <c r="N219" t="n">
        <v>0</v>
      </c>
      <c r="O219" t="n">
        <v>1</v>
      </c>
      <c r="P219" t="n">
        <v>1</v>
      </c>
      <c r="Q219" t="n">
        <v>1</v>
      </c>
      <c r="R219" s="2" t="inlineStr">
        <is>
          <t>Tallbit</t>
        </is>
      </c>
      <c r="S219">
        <f>HYPERLINK("https://klasma.github.io/Logging_2161/artfynd/A 56589-2021 artfynd.xlsx", "A 56589-2021")</f>
        <v/>
      </c>
      <c r="T219">
        <f>HYPERLINK("https://klasma.github.io/Logging_2161/kartor/A 56589-2021 karta.png", "A 56589-2021")</f>
        <v/>
      </c>
      <c r="V219">
        <f>HYPERLINK("https://klasma.github.io/Logging_2161/klagomål/A 56589-2021 FSC-klagomål.docx", "A 56589-2021")</f>
        <v/>
      </c>
      <c r="W219">
        <f>HYPERLINK("https://klasma.github.io/Logging_2161/klagomålsmail/A 56589-2021 FSC-klagomål mail.docx", "A 56589-2021")</f>
        <v/>
      </c>
      <c r="X219">
        <f>HYPERLINK("https://klasma.github.io/Logging_2161/tillsyn/A 56589-2021 tillsynsbegäran.docx", "A 56589-2021")</f>
        <v/>
      </c>
      <c r="Y219">
        <f>HYPERLINK("https://klasma.github.io/Logging_2161/tillsynsmail/A 56589-2021 tillsynsbegäran mail.docx", "A 56589-2021")</f>
        <v/>
      </c>
      <c r="Z219">
        <f>HYPERLINK("https://klasma.github.io/Logging_2161/fåglar/A 56589-2021 prioriterade fågelarter.docx", "A 56589-2021")</f>
        <v/>
      </c>
    </row>
    <row r="220" ht="15" customHeight="1">
      <c r="A220" t="inlineStr">
        <is>
          <t>A 58900-2021</t>
        </is>
      </c>
      <c r="B220" s="1" t="n">
        <v>44489</v>
      </c>
      <c r="C220" s="1" t="n">
        <v>45811</v>
      </c>
      <c r="D220" t="inlineStr">
        <is>
          <t>GÄVLEBORGS LÄN</t>
        </is>
      </c>
      <c r="E220" t="inlineStr">
        <is>
          <t>LJUSDAL</t>
        </is>
      </c>
      <c r="F220" t="inlineStr">
        <is>
          <t>Sveaskog</t>
        </is>
      </c>
      <c r="G220" t="n">
        <v>5.2</v>
      </c>
      <c r="H220" t="n">
        <v>0</v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1</v>
      </c>
      <c r="R220" s="2" t="inlineStr">
        <is>
          <t>Skuggblåslav</t>
        </is>
      </c>
      <c r="S220">
        <f>HYPERLINK("https://klasma.github.io/Logging_2161/artfynd/A 58900-2021 artfynd.xlsx", "A 58900-2021")</f>
        <v/>
      </c>
      <c r="T220">
        <f>HYPERLINK("https://klasma.github.io/Logging_2161/kartor/A 58900-2021 karta.png", "A 58900-2021")</f>
        <v/>
      </c>
      <c r="V220">
        <f>HYPERLINK("https://klasma.github.io/Logging_2161/klagomål/A 58900-2021 FSC-klagomål.docx", "A 58900-2021")</f>
        <v/>
      </c>
      <c r="W220">
        <f>HYPERLINK("https://klasma.github.io/Logging_2161/klagomålsmail/A 58900-2021 FSC-klagomål mail.docx", "A 58900-2021")</f>
        <v/>
      </c>
      <c r="X220">
        <f>HYPERLINK("https://klasma.github.io/Logging_2161/tillsyn/A 58900-2021 tillsynsbegäran.docx", "A 58900-2021")</f>
        <v/>
      </c>
      <c r="Y220">
        <f>HYPERLINK("https://klasma.github.io/Logging_2161/tillsynsmail/A 58900-2021 tillsynsbegäran mail.docx", "A 58900-2021")</f>
        <v/>
      </c>
    </row>
    <row r="221" ht="15" customHeight="1">
      <c r="A221" t="inlineStr">
        <is>
          <t>A 59607-2021</t>
        </is>
      </c>
      <c r="B221" s="1" t="n">
        <v>44491</v>
      </c>
      <c r="C221" s="1" t="n">
        <v>45811</v>
      </c>
      <c r="D221" t="inlineStr">
        <is>
          <t>GÄVLEBORGS LÄN</t>
        </is>
      </c>
      <c r="E221" t="inlineStr">
        <is>
          <t>LJUSDAL</t>
        </is>
      </c>
      <c r="F221" t="inlineStr">
        <is>
          <t>Sveaskog</t>
        </is>
      </c>
      <c r="G221" t="n">
        <v>1.7</v>
      </c>
      <c r="H221" t="n">
        <v>1</v>
      </c>
      <c r="I221" t="n">
        <v>0</v>
      </c>
      <c r="J221" t="n">
        <v>0</v>
      </c>
      <c r="K221" t="n">
        <v>1</v>
      </c>
      <c r="L221" t="n">
        <v>0</v>
      </c>
      <c r="M221" t="n">
        <v>0</v>
      </c>
      <c r="N221" t="n">
        <v>0</v>
      </c>
      <c r="O221" t="n">
        <v>1</v>
      </c>
      <c r="P221" t="n">
        <v>1</v>
      </c>
      <c r="Q221" t="n">
        <v>1</v>
      </c>
      <c r="R221" s="2" t="inlineStr">
        <is>
          <t>Knärot</t>
        </is>
      </c>
      <c r="S221">
        <f>HYPERLINK("https://klasma.github.io/Logging_2161/artfynd/A 59607-2021 artfynd.xlsx", "A 59607-2021")</f>
        <v/>
      </c>
      <c r="T221">
        <f>HYPERLINK("https://klasma.github.io/Logging_2161/kartor/A 59607-2021 karta.png", "A 59607-2021")</f>
        <v/>
      </c>
      <c r="U221">
        <f>HYPERLINK("https://klasma.github.io/Logging_2161/knärot/A 59607-2021 karta knärot.png", "A 59607-2021")</f>
        <v/>
      </c>
      <c r="V221">
        <f>HYPERLINK("https://klasma.github.io/Logging_2161/klagomål/A 59607-2021 FSC-klagomål.docx", "A 59607-2021")</f>
        <v/>
      </c>
      <c r="W221">
        <f>HYPERLINK("https://klasma.github.io/Logging_2161/klagomålsmail/A 59607-2021 FSC-klagomål mail.docx", "A 59607-2021")</f>
        <v/>
      </c>
      <c r="X221">
        <f>HYPERLINK("https://klasma.github.io/Logging_2161/tillsyn/A 59607-2021 tillsynsbegäran.docx", "A 59607-2021")</f>
        <v/>
      </c>
      <c r="Y221">
        <f>HYPERLINK("https://klasma.github.io/Logging_2161/tillsynsmail/A 59607-2021 tillsynsbegäran mail.docx", "A 59607-2021")</f>
        <v/>
      </c>
    </row>
    <row r="222" ht="15" customHeight="1">
      <c r="A222" t="inlineStr">
        <is>
          <t>A 15470-2022</t>
        </is>
      </c>
      <c r="B222" s="1" t="n">
        <v>44662</v>
      </c>
      <c r="C222" s="1" t="n">
        <v>45811</v>
      </c>
      <c r="D222" t="inlineStr">
        <is>
          <t>GÄVLEBORGS LÄN</t>
        </is>
      </c>
      <c r="E222" t="inlineStr">
        <is>
          <t>LJUSDAL</t>
        </is>
      </c>
      <c r="F222" t="inlineStr">
        <is>
          <t>Kyrkan</t>
        </is>
      </c>
      <c r="G222" t="n">
        <v>35</v>
      </c>
      <c r="H222" t="n">
        <v>1</v>
      </c>
      <c r="I222" t="n">
        <v>0</v>
      </c>
      <c r="J222" t="n">
        <v>0</v>
      </c>
      <c r="K222" t="n">
        <v>1</v>
      </c>
      <c r="L222" t="n">
        <v>0</v>
      </c>
      <c r="M222" t="n">
        <v>0</v>
      </c>
      <c r="N222" t="n">
        <v>0</v>
      </c>
      <c r="O222" t="n">
        <v>1</v>
      </c>
      <c r="P222" t="n">
        <v>1</v>
      </c>
      <c r="Q222" t="n">
        <v>1</v>
      </c>
      <c r="R222" s="2" t="inlineStr">
        <is>
          <t>Knärot</t>
        </is>
      </c>
      <c r="S222">
        <f>HYPERLINK("https://klasma.github.io/Logging_2161/artfynd/A 15470-2022 artfynd.xlsx", "A 15470-2022")</f>
        <v/>
      </c>
      <c r="T222">
        <f>HYPERLINK("https://klasma.github.io/Logging_2161/kartor/A 15470-2022 karta.png", "A 15470-2022")</f>
        <v/>
      </c>
      <c r="U222">
        <f>HYPERLINK("https://klasma.github.io/Logging_2161/knärot/A 15470-2022 karta knärot.png", "A 15470-2022")</f>
        <v/>
      </c>
      <c r="V222">
        <f>HYPERLINK("https://klasma.github.io/Logging_2161/klagomål/A 15470-2022 FSC-klagomål.docx", "A 15470-2022")</f>
        <v/>
      </c>
      <c r="W222">
        <f>HYPERLINK("https://klasma.github.io/Logging_2161/klagomålsmail/A 15470-2022 FSC-klagomål mail.docx", "A 15470-2022")</f>
        <v/>
      </c>
      <c r="X222">
        <f>HYPERLINK("https://klasma.github.io/Logging_2161/tillsyn/A 15470-2022 tillsynsbegäran.docx", "A 15470-2022")</f>
        <v/>
      </c>
      <c r="Y222">
        <f>HYPERLINK("https://klasma.github.io/Logging_2161/tillsynsmail/A 15470-2022 tillsynsbegäran mail.docx", "A 15470-2022")</f>
        <v/>
      </c>
    </row>
    <row r="223" ht="15" customHeight="1">
      <c r="A223" t="inlineStr">
        <is>
          <t>A 18058-2022</t>
        </is>
      </c>
      <c r="B223" s="1" t="n">
        <v>44684</v>
      </c>
      <c r="C223" s="1" t="n">
        <v>45811</v>
      </c>
      <c r="D223" t="inlineStr">
        <is>
          <t>GÄVLEBORGS LÄN</t>
        </is>
      </c>
      <c r="E223" t="inlineStr">
        <is>
          <t>LJUSDAL</t>
        </is>
      </c>
      <c r="F223" t="inlineStr">
        <is>
          <t>Sveaskog</t>
        </is>
      </c>
      <c r="G223" t="n">
        <v>8.5</v>
      </c>
      <c r="H223" t="n">
        <v>0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Lunglav</t>
        </is>
      </c>
      <c r="S223">
        <f>HYPERLINK("https://klasma.github.io/Logging_2161/artfynd/A 18058-2022 artfynd.xlsx", "A 18058-2022")</f>
        <v/>
      </c>
      <c r="T223">
        <f>HYPERLINK("https://klasma.github.io/Logging_2161/kartor/A 18058-2022 karta.png", "A 18058-2022")</f>
        <v/>
      </c>
      <c r="V223">
        <f>HYPERLINK("https://klasma.github.io/Logging_2161/klagomål/A 18058-2022 FSC-klagomål.docx", "A 18058-2022")</f>
        <v/>
      </c>
      <c r="W223">
        <f>HYPERLINK("https://klasma.github.io/Logging_2161/klagomålsmail/A 18058-2022 FSC-klagomål mail.docx", "A 18058-2022")</f>
        <v/>
      </c>
      <c r="X223">
        <f>HYPERLINK("https://klasma.github.io/Logging_2161/tillsyn/A 18058-2022 tillsynsbegäran.docx", "A 18058-2022")</f>
        <v/>
      </c>
      <c r="Y223">
        <f>HYPERLINK("https://klasma.github.io/Logging_2161/tillsynsmail/A 18058-2022 tillsynsbegäran mail.docx", "A 18058-2022")</f>
        <v/>
      </c>
    </row>
    <row r="224" ht="15" customHeight="1">
      <c r="A224" t="inlineStr">
        <is>
          <t>A 20211-2022</t>
        </is>
      </c>
      <c r="B224" s="1" t="n">
        <v>44698</v>
      </c>
      <c r="C224" s="1" t="n">
        <v>45811</v>
      </c>
      <c r="D224" t="inlineStr">
        <is>
          <t>GÄVLEBORGS LÄN</t>
        </is>
      </c>
      <c r="E224" t="inlineStr">
        <is>
          <t>LJUSDAL</t>
        </is>
      </c>
      <c r="F224" t="inlineStr">
        <is>
          <t>Sveaskog</t>
        </is>
      </c>
      <c r="G224" t="n">
        <v>4.4</v>
      </c>
      <c r="H224" t="n">
        <v>0</v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1</v>
      </c>
      <c r="R224" s="2" t="inlineStr">
        <is>
          <t>Dropptaggsvamp</t>
        </is>
      </c>
      <c r="S224">
        <f>HYPERLINK("https://klasma.github.io/Logging_2161/artfynd/A 20211-2022 artfynd.xlsx", "A 20211-2022")</f>
        <v/>
      </c>
      <c r="T224">
        <f>HYPERLINK("https://klasma.github.io/Logging_2161/kartor/A 20211-2022 karta.png", "A 20211-2022")</f>
        <v/>
      </c>
      <c r="V224">
        <f>HYPERLINK("https://klasma.github.io/Logging_2161/klagomål/A 20211-2022 FSC-klagomål.docx", "A 20211-2022")</f>
        <v/>
      </c>
      <c r="W224">
        <f>HYPERLINK("https://klasma.github.io/Logging_2161/klagomålsmail/A 20211-2022 FSC-klagomål mail.docx", "A 20211-2022")</f>
        <v/>
      </c>
      <c r="X224">
        <f>HYPERLINK("https://klasma.github.io/Logging_2161/tillsyn/A 20211-2022 tillsynsbegäran.docx", "A 20211-2022")</f>
        <v/>
      </c>
      <c r="Y224">
        <f>HYPERLINK("https://klasma.github.io/Logging_2161/tillsynsmail/A 20211-2022 tillsynsbegäran mail.docx", "A 20211-2022")</f>
        <v/>
      </c>
    </row>
    <row r="225" ht="15" customHeight="1">
      <c r="A225" t="inlineStr">
        <is>
          <t>A 21786-2022</t>
        </is>
      </c>
      <c r="B225" s="1" t="n">
        <v>44708</v>
      </c>
      <c r="C225" s="1" t="n">
        <v>45811</v>
      </c>
      <c r="D225" t="inlineStr">
        <is>
          <t>GÄVLEBORGS LÄN</t>
        </is>
      </c>
      <c r="E225" t="inlineStr">
        <is>
          <t>LJUSDAL</t>
        </is>
      </c>
      <c r="F225" t="inlineStr">
        <is>
          <t>Holmen skog AB</t>
        </is>
      </c>
      <c r="G225" t="n">
        <v>1</v>
      </c>
      <c r="H225" t="n">
        <v>0</v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s="2" t="inlineStr">
        <is>
          <t>Vågbandad barkbock</t>
        </is>
      </c>
      <c r="S225">
        <f>HYPERLINK("https://klasma.github.io/Logging_2161/artfynd/A 21786-2022 artfynd.xlsx", "A 21786-2022")</f>
        <v/>
      </c>
      <c r="T225">
        <f>HYPERLINK("https://klasma.github.io/Logging_2161/kartor/A 21786-2022 karta.png", "A 21786-2022")</f>
        <v/>
      </c>
      <c r="V225">
        <f>HYPERLINK("https://klasma.github.io/Logging_2161/klagomål/A 21786-2022 FSC-klagomål.docx", "A 21786-2022")</f>
        <v/>
      </c>
      <c r="W225">
        <f>HYPERLINK("https://klasma.github.io/Logging_2161/klagomålsmail/A 21786-2022 FSC-klagomål mail.docx", "A 21786-2022")</f>
        <v/>
      </c>
      <c r="X225">
        <f>HYPERLINK("https://klasma.github.io/Logging_2161/tillsyn/A 21786-2022 tillsynsbegäran.docx", "A 21786-2022")</f>
        <v/>
      </c>
      <c r="Y225">
        <f>HYPERLINK("https://klasma.github.io/Logging_2161/tillsynsmail/A 21786-2022 tillsynsbegäran mail.docx", "A 21786-2022")</f>
        <v/>
      </c>
    </row>
    <row r="226" ht="15" customHeight="1">
      <c r="A226" t="inlineStr">
        <is>
          <t>A 23857-2022</t>
        </is>
      </c>
      <c r="B226" s="1" t="n">
        <v>44722</v>
      </c>
      <c r="C226" s="1" t="n">
        <v>45811</v>
      </c>
      <c r="D226" t="inlineStr">
        <is>
          <t>GÄVLEBORGS LÄN</t>
        </is>
      </c>
      <c r="E226" t="inlineStr">
        <is>
          <t>LJUSDAL</t>
        </is>
      </c>
      <c r="F226" t="inlineStr">
        <is>
          <t>Sveaskog</t>
        </is>
      </c>
      <c r="G226" t="n">
        <v>5.5</v>
      </c>
      <c r="H226" t="n">
        <v>0</v>
      </c>
      <c r="I226" t="n">
        <v>0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1</v>
      </c>
      <c r="R226" s="2" t="inlineStr">
        <is>
          <t>Lunglav</t>
        </is>
      </c>
      <c r="S226">
        <f>HYPERLINK("https://klasma.github.io/Logging_2161/artfynd/A 23857-2022 artfynd.xlsx", "A 23857-2022")</f>
        <v/>
      </c>
      <c r="T226">
        <f>HYPERLINK("https://klasma.github.io/Logging_2161/kartor/A 23857-2022 karta.png", "A 23857-2022")</f>
        <v/>
      </c>
      <c r="V226">
        <f>HYPERLINK("https://klasma.github.io/Logging_2161/klagomål/A 23857-2022 FSC-klagomål.docx", "A 23857-2022")</f>
        <v/>
      </c>
      <c r="W226">
        <f>HYPERLINK("https://klasma.github.io/Logging_2161/klagomålsmail/A 23857-2022 FSC-klagomål mail.docx", "A 23857-2022")</f>
        <v/>
      </c>
      <c r="X226">
        <f>HYPERLINK("https://klasma.github.io/Logging_2161/tillsyn/A 23857-2022 tillsynsbegäran.docx", "A 23857-2022")</f>
        <v/>
      </c>
      <c r="Y226">
        <f>HYPERLINK("https://klasma.github.io/Logging_2161/tillsynsmail/A 23857-2022 tillsynsbegäran mail.docx", "A 23857-2022")</f>
        <v/>
      </c>
    </row>
    <row r="227" ht="15" customHeight="1">
      <c r="A227" t="inlineStr">
        <is>
          <t>A 24444-2022</t>
        </is>
      </c>
      <c r="B227" s="1" t="n">
        <v>44726</v>
      </c>
      <c r="C227" s="1" t="n">
        <v>45811</v>
      </c>
      <c r="D227" t="inlineStr">
        <is>
          <t>GÄVLEBORGS LÄN</t>
        </is>
      </c>
      <c r="E227" t="inlineStr">
        <is>
          <t>LJUSDAL</t>
        </is>
      </c>
      <c r="F227" t="inlineStr">
        <is>
          <t>Sveaskog</t>
        </is>
      </c>
      <c r="G227" t="n">
        <v>15.6</v>
      </c>
      <c r="H227" t="n">
        <v>0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1</v>
      </c>
      <c r="R227" s="2" t="inlineStr">
        <is>
          <t>Garnlav</t>
        </is>
      </c>
      <c r="S227">
        <f>HYPERLINK("https://klasma.github.io/Logging_2161/artfynd/A 24444-2022 artfynd.xlsx", "A 24444-2022")</f>
        <v/>
      </c>
      <c r="T227">
        <f>HYPERLINK("https://klasma.github.io/Logging_2161/kartor/A 24444-2022 karta.png", "A 24444-2022")</f>
        <v/>
      </c>
      <c r="V227">
        <f>HYPERLINK("https://klasma.github.io/Logging_2161/klagomål/A 24444-2022 FSC-klagomål.docx", "A 24444-2022")</f>
        <v/>
      </c>
      <c r="W227">
        <f>HYPERLINK("https://klasma.github.io/Logging_2161/klagomålsmail/A 24444-2022 FSC-klagomål mail.docx", "A 24444-2022")</f>
        <v/>
      </c>
      <c r="X227">
        <f>HYPERLINK("https://klasma.github.io/Logging_2161/tillsyn/A 24444-2022 tillsynsbegäran.docx", "A 24444-2022")</f>
        <v/>
      </c>
      <c r="Y227">
        <f>HYPERLINK("https://klasma.github.io/Logging_2161/tillsynsmail/A 24444-2022 tillsynsbegäran mail.docx", "A 24444-2022")</f>
        <v/>
      </c>
    </row>
    <row r="228" ht="15" customHeight="1">
      <c r="A228" t="inlineStr">
        <is>
          <t>A 27508-2022</t>
        </is>
      </c>
      <c r="B228" s="1" t="n">
        <v>44742</v>
      </c>
      <c r="C228" s="1" t="n">
        <v>45811</v>
      </c>
      <c r="D228" t="inlineStr">
        <is>
          <t>GÄVLEBORGS LÄN</t>
        </is>
      </c>
      <c r="E228" t="inlineStr">
        <is>
          <t>LJUSDAL</t>
        </is>
      </c>
      <c r="F228" t="inlineStr">
        <is>
          <t>Kommuner</t>
        </is>
      </c>
      <c r="G228" t="n">
        <v>1.8</v>
      </c>
      <c r="H228" t="n">
        <v>0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Violettgrå tagellav</t>
        </is>
      </c>
      <c r="S228">
        <f>HYPERLINK("https://klasma.github.io/Logging_2161/artfynd/A 27508-2022 artfynd.xlsx", "A 27508-2022")</f>
        <v/>
      </c>
      <c r="T228">
        <f>HYPERLINK("https://klasma.github.io/Logging_2161/kartor/A 27508-2022 karta.png", "A 27508-2022")</f>
        <v/>
      </c>
      <c r="V228">
        <f>HYPERLINK("https://klasma.github.io/Logging_2161/klagomål/A 27508-2022 FSC-klagomål.docx", "A 27508-2022")</f>
        <v/>
      </c>
      <c r="W228">
        <f>HYPERLINK("https://klasma.github.io/Logging_2161/klagomålsmail/A 27508-2022 FSC-klagomål mail.docx", "A 27508-2022")</f>
        <v/>
      </c>
      <c r="X228">
        <f>HYPERLINK("https://klasma.github.io/Logging_2161/tillsyn/A 27508-2022 tillsynsbegäran.docx", "A 27508-2022")</f>
        <v/>
      </c>
      <c r="Y228">
        <f>HYPERLINK("https://klasma.github.io/Logging_2161/tillsynsmail/A 27508-2022 tillsynsbegäran mail.docx", "A 27508-2022")</f>
        <v/>
      </c>
    </row>
    <row r="229" ht="15" customHeight="1">
      <c r="A229" t="inlineStr">
        <is>
          <t>A 27896-2022</t>
        </is>
      </c>
      <c r="B229" s="1" t="n">
        <v>44743</v>
      </c>
      <c r="C229" s="1" t="n">
        <v>45811</v>
      </c>
      <c r="D229" t="inlineStr">
        <is>
          <t>GÄVLEBORGS LÄN</t>
        </is>
      </c>
      <c r="E229" t="inlineStr">
        <is>
          <t>LJUSDAL</t>
        </is>
      </c>
      <c r="F229" t="inlineStr">
        <is>
          <t>Bergvik skog väst AB</t>
        </is>
      </c>
      <c r="G229" t="n">
        <v>5.4</v>
      </c>
      <c r="H229" t="n">
        <v>0</v>
      </c>
      <c r="I229" t="n">
        <v>0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1</v>
      </c>
      <c r="R229" s="2" t="inlineStr">
        <is>
          <t>Stiftgelélav</t>
        </is>
      </c>
      <c r="S229">
        <f>HYPERLINK("https://klasma.github.io/Logging_2161/artfynd/A 27896-2022 artfynd.xlsx", "A 27896-2022")</f>
        <v/>
      </c>
      <c r="T229">
        <f>HYPERLINK("https://klasma.github.io/Logging_2161/kartor/A 27896-2022 karta.png", "A 27896-2022")</f>
        <v/>
      </c>
      <c r="V229">
        <f>HYPERLINK("https://klasma.github.io/Logging_2161/klagomål/A 27896-2022 FSC-klagomål.docx", "A 27896-2022")</f>
        <v/>
      </c>
      <c r="W229">
        <f>HYPERLINK("https://klasma.github.io/Logging_2161/klagomålsmail/A 27896-2022 FSC-klagomål mail.docx", "A 27896-2022")</f>
        <v/>
      </c>
      <c r="X229">
        <f>HYPERLINK("https://klasma.github.io/Logging_2161/tillsyn/A 27896-2022 tillsynsbegäran.docx", "A 27896-2022")</f>
        <v/>
      </c>
      <c r="Y229">
        <f>HYPERLINK("https://klasma.github.io/Logging_2161/tillsynsmail/A 27896-2022 tillsynsbegäran mail.docx", "A 27896-2022")</f>
        <v/>
      </c>
    </row>
    <row r="230" ht="15" customHeight="1">
      <c r="A230" t="inlineStr">
        <is>
          <t>A 32036-2022</t>
        </is>
      </c>
      <c r="B230" s="1" t="n">
        <v>44778</v>
      </c>
      <c r="C230" s="1" t="n">
        <v>45811</v>
      </c>
      <c r="D230" t="inlineStr">
        <is>
          <t>GÄVLEBORGS LÄN</t>
        </is>
      </c>
      <c r="E230" t="inlineStr">
        <is>
          <t>LJUSDAL</t>
        </is>
      </c>
      <c r="F230" t="inlineStr">
        <is>
          <t>Sveaskog</t>
        </is>
      </c>
      <c r="G230" t="n">
        <v>2.9</v>
      </c>
      <c r="H230" t="n">
        <v>0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Kolflarnlav</t>
        </is>
      </c>
      <c r="S230">
        <f>HYPERLINK("https://klasma.github.io/Logging_2161/artfynd/A 32036-2022 artfynd.xlsx", "A 32036-2022")</f>
        <v/>
      </c>
      <c r="T230">
        <f>HYPERLINK("https://klasma.github.io/Logging_2161/kartor/A 32036-2022 karta.png", "A 32036-2022")</f>
        <v/>
      </c>
      <c r="V230">
        <f>HYPERLINK("https://klasma.github.io/Logging_2161/klagomål/A 32036-2022 FSC-klagomål.docx", "A 32036-2022")</f>
        <v/>
      </c>
      <c r="W230">
        <f>HYPERLINK("https://klasma.github.io/Logging_2161/klagomålsmail/A 32036-2022 FSC-klagomål mail.docx", "A 32036-2022")</f>
        <v/>
      </c>
      <c r="X230">
        <f>HYPERLINK("https://klasma.github.io/Logging_2161/tillsyn/A 32036-2022 tillsynsbegäran.docx", "A 32036-2022")</f>
        <v/>
      </c>
      <c r="Y230">
        <f>HYPERLINK("https://klasma.github.io/Logging_2161/tillsynsmail/A 32036-2022 tillsynsbegäran mail.docx", "A 32036-2022")</f>
        <v/>
      </c>
    </row>
    <row r="231" ht="15" customHeight="1">
      <c r="A231" t="inlineStr">
        <is>
          <t>A 35582-2022</t>
        </is>
      </c>
      <c r="B231" s="1" t="n">
        <v>44799</v>
      </c>
      <c r="C231" s="1" t="n">
        <v>45811</v>
      </c>
      <c r="D231" t="inlineStr">
        <is>
          <t>GÄVLEBORGS LÄN</t>
        </is>
      </c>
      <c r="E231" t="inlineStr">
        <is>
          <t>LJUSDAL</t>
        </is>
      </c>
      <c r="F231" t="inlineStr">
        <is>
          <t>Sveaskog</t>
        </is>
      </c>
      <c r="G231" t="n">
        <v>3.3</v>
      </c>
      <c r="H231" t="n">
        <v>0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1</v>
      </c>
      <c r="R231" s="2" t="inlineStr">
        <is>
          <t>Lunglav</t>
        </is>
      </c>
      <c r="S231">
        <f>HYPERLINK("https://klasma.github.io/Logging_2161/artfynd/A 35582-2022 artfynd.xlsx", "A 35582-2022")</f>
        <v/>
      </c>
      <c r="T231">
        <f>HYPERLINK("https://klasma.github.io/Logging_2161/kartor/A 35582-2022 karta.png", "A 35582-2022")</f>
        <v/>
      </c>
      <c r="V231">
        <f>HYPERLINK("https://klasma.github.io/Logging_2161/klagomål/A 35582-2022 FSC-klagomål.docx", "A 35582-2022")</f>
        <v/>
      </c>
      <c r="W231">
        <f>HYPERLINK("https://klasma.github.io/Logging_2161/klagomålsmail/A 35582-2022 FSC-klagomål mail.docx", "A 35582-2022")</f>
        <v/>
      </c>
      <c r="X231">
        <f>HYPERLINK("https://klasma.github.io/Logging_2161/tillsyn/A 35582-2022 tillsynsbegäran.docx", "A 35582-2022")</f>
        <v/>
      </c>
      <c r="Y231">
        <f>HYPERLINK("https://klasma.github.io/Logging_2161/tillsynsmail/A 35582-2022 tillsynsbegäran mail.docx", "A 35582-2022")</f>
        <v/>
      </c>
    </row>
    <row r="232" ht="15" customHeight="1">
      <c r="A232" t="inlineStr">
        <is>
          <t>A 42937-2022</t>
        </is>
      </c>
      <c r="B232" s="1" t="n">
        <v>44833</v>
      </c>
      <c r="C232" s="1" t="n">
        <v>45811</v>
      </c>
      <c r="D232" t="inlineStr">
        <is>
          <t>GÄVLEBORGS LÄN</t>
        </is>
      </c>
      <c r="E232" t="inlineStr">
        <is>
          <t>LJUSDAL</t>
        </is>
      </c>
      <c r="G232" t="n">
        <v>0.7</v>
      </c>
      <c r="H232" t="n">
        <v>0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Lunglav</t>
        </is>
      </c>
      <c r="S232">
        <f>HYPERLINK("https://klasma.github.io/Logging_2161/artfynd/A 42937-2022 artfynd.xlsx", "A 42937-2022")</f>
        <v/>
      </c>
      <c r="T232">
        <f>HYPERLINK("https://klasma.github.io/Logging_2161/kartor/A 42937-2022 karta.png", "A 42937-2022")</f>
        <v/>
      </c>
      <c r="V232">
        <f>HYPERLINK("https://klasma.github.io/Logging_2161/klagomål/A 42937-2022 FSC-klagomål.docx", "A 42937-2022")</f>
        <v/>
      </c>
      <c r="W232">
        <f>HYPERLINK("https://klasma.github.io/Logging_2161/klagomålsmail/A 42937-2022 FSC-klagomål mail.docx", "A 42937-2022")</f>
        <v/>
      </c>
      <c r="X232">
        <f>HYPERLINK("https://klasma.github.io/Logging_2161/tillsyn/A 42937-2022 tillsynsbegäran.docx", "A 42937-2022")</f>
        <v/>
      </c>
      <c r="Y232">
        <f>HYPERLINK("https://klasma.github.io/Logging_2161/tillsynsmail/A 42937-2022 tillsynsbegäran mail.docx", "A 42937-2022")</f>
        <v/>
      </c>
    </row>
    <row r="233" ht="15" customHeight="1">
      <c r="A233" t="inlineStr">
        <is>
          <t>A 53487-2022</t>
        </is>
      </c>
      <c r="B233" s="1" t="n">
        <v>44879</v>
      </c>
      <c r="C233" s="1" t="n">
        <v>45811</v>
      </c>
      <c r="D233" t="inlineStr">
        <is>
          <t>GÄVLEBORGS LÄN</t>
        </is>
      </c>
      <c r="E233" t="inlineStr">
        <is>
          <t>LJUSDAL</t>
        </is>
      </c>
      <c r="G233" t="n">
        <v>1.7</v>
      </c>
      <c r="H233" t="n">
        <v>0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Garnlav</t>
        </is>
      </c>
      <c r="S233">
        <f>HYPERLINK("https://klasma.github.io/Logging_2161/artfynd/A 53487-2022 artfynd.xlsx", "A 53487-2022")</f>
        <v/>
      </c>
      <c r="T233">
        <f>HYPERLINK("https://klasma.github.io/Logging_2161/kartor/A 53487-2022 karta.png", "A 53487-2022")</f>
        <v/>
      </c>
      <c r="V233">
        <f>HYPERLINK("https://klasma.github.io/Logging_2161/klagomål/A 53487-2022 FSC-klagomål.docx", "A 53487-2022")</f>
        <v/>
      </c>
      <c r="W233">
        <f>HYPERLINK("https://klasma.github.io/Logging_2161/klagomålsmail/A 53487-2022 FSC-klagomål mail.docx", "A 53487-2022")</f>
        <v/>
      </c>
      <c r="X233">
        <f>HYPERLINK("https://klasma.github.io/Logging_2161/tillsyn/A 53487-2022 tillsynsbegäran.docx", "A 53487-2022")</f>
        <v/>
      </c>
      <c r="Y233">
        <f>HYPERLINK("https://klasma.github.io/Logging_2161/tillsynsmail/A 53487-2022 tillsynsbegäran mail.docx", "A 53487-2022")</f>
        <v/>
      </c>
    </row>
    <row r="234" ht="15" customHeight="1">
      <c r="A234" t="inlineStr">
        <is>
          <t>A 53457-2022</t>
        </is>
      </c>
      <c r="B234" s="1" t="n">
        <v>44879</v>
      </c>
      <c r="C234" s="1" t="n">
        <v>45811</v>
      </c>
      <c r="D234" t="inlineStr">
        <is>
          <t>GÄVLEBORGS LÄN</t>
        </is>
      </c>
      <c r="E234" t="inlineStr">
        <is>
          <t>LJUSDAL</t>
        </is>
      </c>
      <c r="F234" t="inlineStr">
        <is>
          <t>Sveaskog</t>
        </is>
      </c>
      <c r="G234" t="n">
        <v>17</v>
      </c>
      <c r="H234" t="n">
        <v>0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Kolflarnlav</t>
        </is>
      </c>
      <c r="S234">
        <f>HYPERLINK("https://klasma.github.io/Logging_2161/artfynd/A 53457-2022 artfynd.xlsx", "A 53457-2022")</f>
        <v/>
      </c>
      <c r="T234">
        <f>HYPERLINK("https://klasma.github.io/Logging_2161/kartor/A 53457-2022 karta.png", "A 53457-2022")</f>
        <v/>
      </c>
      <c r="V234">
        <f>HYPERLINK("https://klasma.github.io/Logging_2161/klagomål/A 53457-2022 FSC-klagomål.docx", "A 53457-2022")</f>
        <v/>
      </c>
      <c r="W234">
        <f>HYPERLINK("https://klasma.github.io/Logging_2161/klagomålsmail/A 53457-2022 FSC-klagomål mail.docx", "A 53457-2022")</f>
        <v/>
      </c>
      <c r="X234">
        <f>HYPERLINK("https://klasma.github.io/Logging_2161/tillsyn/A 53457-2022 tillsynsbegäran.docx", "A 53457-2022")</f>
        <v/>
      </c>
      <c r="Y234">
        <f>HYPERLINK("https://klasma.github.io/Logging_2161/tillsynsmail/A 53457-2022 tillsynsbegäran mail.docx", "A 53457-2022")</f>
        <v/>
      </c>
    </row>
    <row r="235" ht="15" customHeight="1">
      <c r="A235" t="inlineStr">
        <is>
          <t>A 53926-2022</t>
        </is>
      </c>
      <c r="B235" s="1" t="n">
        <v>44880</v>
      </c>
      <c r="C235" s="1" t="n">
        <v>45811</v>
      </c>
      <c r="D235" t="inlineStr">
        <is>
          <t>GÄVLEBORGS LÄN</t>
        </is>
      </c>
      <c r="E235" t="inlineStr">
        <is>
          <t>LJUSDAL</t>
        </is>
      </c>
      <c r="F235" t="inlineStr">
        <is>
          <t>Naturvårdsverket</t>
        </is>
      </c>
      <c r="G235" t="n">
        <v>9.1</v>
      </c>
      <c r="H235" t="n">
        <v>1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1</v>
      </c>
      <c r="R235" s="2" t="inlineStr">
        <is>
          <t>Lavskrika</t>
        </is>
      </c>
      <c r="S235">
        <f>HYPERLINK("https://klasma.github.io/Logging_2161/artfynd/A 53926-2022 artfynd.xlsx", "A 53926-2022")</f>
        <v/>
      </c>
      <c r="T235">
        <f>HYPERLINK("https://klasma.github.io/Logging_2161/kartor/A 53926-2022 karta.png", "A 53926-2022")</f>
        <v/>
      </c>
      <c r="V235">
        <f>HYPERLINK("https://klasma.github.io/Logging_2161/klagomål/A 53926-2022 FSC-klagomål.docx", "A 53926-2022")</f>
        <v/>
      </c>
      <c r="W235">
        <f>HYPERLINK("https://klasma.github.io/Logging_2161/klagomålsmail/A 53926-2022 FSC-klagomål mail.docx", "A 53926-2022")</f>
        <v/>
      </c>
      <c r="X235">
        <f>HYPERLINK("https://klasma.github.io/Logging_2161/tillsyn/A 53926-2022 tillsynsbegäran.docx", "A 53926-2022")</f>
        <v/>
      </c>
      <c r="Y235">
        <f>HYPERLINK("https://klasma.github.io/Logging_2161/tillsynsmail/A 53926-2022 tillsynsbegäran mail.docx", "A 53926-2022")</f>
        <v/>
      </c>
      <c r="Z235">
        <f>HYPERLINK("https://klasma.github.io/Logging_2161/fåglar/A 53926-2022 prioriterade fågelarter.docx", "A 53926-2022")</f>
        <v/>
      </c>
    </row>
    <row r="236" ht="15" customHeight="1">
      <c r="A236" t="inlineStr">
        <is>
          <t>A 55216-2022</t>
        </is>
      </c>
      <c r="B236" s="1" t="n">
        <v>44886</v>
      </c>
      <c r="C236" s="1" t="n">
        <v>45811</v>
      </c>
      <c r="D236" t="inlineStr">
        <is>
          <t>GÄVLEBORGS LÄN</t>
        </is>
      </c>
      <c r="E236" t="inlineStr">
        <is>
          <t>LJUSDAL</t>
        </is>
      </c>
      <c r="F236" t="inlineStr">
        <is>
          <t>SCA</t>
        </is>
      </c>
      <c r="G236" t="n">
        <v>10.1</v>
      </c>
      <c r="H236" t="n">
        <v>1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s="2" t="inlineStr">
        <is>
          <t>Kungsfågel</t>
        </is>
      </c>
      <c r="S236">
        <f>HYPERLINK("https://klasma.github.io/Logging_2161/artfynd/A 55216-2022 artfynd.xlsx", "A 55216-2022")</f>
        <v/>
      </c>
      <c r="T236">
        <f>HYPERLINK("https://klasma.github.io/Logging_2161/kartor/A 55216-2022 karta.png", "A 55216-2022")</f>
        <v/>
      </c>
      <c r="V236">
        <f>HYPERLINK("https://klasma.github.io/Logging_2161/klagomål/A 55216-2022 FSC-klagomål.docx", "A 55216-2022")</f>
        <v/>
      </c>
      <c r="W236">
        <f>HYPERLINK("https://klasma.github.io/Logging_2161/klagomålsmail/A 55216-2022 FSC-klagomål mail.docx", "A 55216-2022")</f>
        <v/>
      </c>
      <c r="X236">
        <f>HYPERLINK("https://klasma.github.io/Logging_2161/tillsyn/A 55216-2022 tillsynsbegäran.docx", "A 55216-2022")</f>
        <v/>
      </c>
      <c r="Y236">
        <f>HYPERLINK("https://klasma.github.io/Logging_2161/tillsynsmail/A 55216-2022 tillsynsbegäran mail.docx", "A 55216-2022")</f>
        <v/>
      </c>
      <c r="Z236">
        <f>HYPERLINK("https://klasma.github.io/Logging_2161/fåglar/A 55216-2022 prioriterade fågelarter.docx", "A 55216-2022")</f>
        <v/>
      </c>
    </row>
    <row r="237" ht="15" customHeight="1">
      <c r="A237" t="inlineStr">
        <is>
          <t>A 4696-2023</t>
        </is>
      </c>
      <c r="B237" s="1" t="n">
        <v>44957</v>
      </c>
      <c r="C237" s="1" t="n">
        <v>45811</v>
      </c>
      <c r="D237" t="inlineStr">
        <is>
          <t>GÄVLEBORGS LÄN</t>
        </is>
      </c>
      <c r="E237" t="inlineStr">
        <is>
          <t>LJUSDAL</t>
        </is>
      </c>
      <c r="F237" t="inlineStr">
        <is>
          <t>Holmen skog AB</t>
        </is>
      </c>
      <c r="G237" t="n">
        <v>7.3</v>
      </c>
      <c r="H237" t="n">
        <v>0</v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1</v>
      </c>
      <c r="R237" s="2" t="inlineStr">
        <is>
          <t>Vedticka</t>
        </is>
      </c>
      <c r="S237">
        <f>HYPERLINK("https://klasma.github.io/Logging_2161/artfynd/A 4696-2023 artfynd.xlsx", "A 4696-2023")</f>
        <v/>
      </c>
      <c r="T237">
        <f>HYPERLINK("https://klasma.github.io/Logging_2161/kartor/A 4696-2023 karta.png", "A 4696-2023")</f>
        <v/>
      </c>
      <c r="V237">
        <f>HYPERLINK("https://klasma.github.io/Logging_2161/klagomål/A 4696-2023 FSC-klagomål.docx", "A 4696-2023")</f>
        <v/>
      </c>
      <c r="W237">
        <f>HYPERLINK("https://klasma.github.io/Logging_2161/klagomålsmail/A 4696-2023 FSC-klagomål mail.docx", "A 4696-2023")</f>
        <v/>
      </c>
      <c r="X237">
        <f>HYPERLINK("https://klasma.github.io/Logging_2161/tillsyn/A 4696-2023 tillsynsbegäran.docx", "A 4696-2023")</f>
        <v/>
      </c>
      <c r="Y237">
        <f>HYPERLINK("https://klasma.github.io/Logging_2161/tillsynsmail/A 4696-2023 tillsynsbegäran mail.docx", "A 4696-2023")</f>
        <v/>
      </c>
    </row>
    <row r="238" ht="15" customHeight="1">
      <c r="A238" t="inlineStr">
        <is>
          <t>A 7148-2023</t>
        </is>
      </c>
      <c r="B238" s="1" t="n">
        <v>44970</v>
      </c>
      <c r="C238" s="1" t="n">
        <v>45811</v>
      </c>
      <c r="D238" t="inlineStr">
        <is>
          <t>GÄVLEBORGS LÄN</t>
        </is>
      </c>
      <c r="E238" t="inlineStr">
        <is>
          <t>LJUSDAL</t>
        </is>
      </c>
      <c r="F238" t="inlineStr">
        <is>
          <t>Holmen skog AB</t>
        </is>
      </c>
      <c r="G238" t="n">
        <v>4.9</v>
      </c>
      <c r="H238" t="n">
        <v>0</v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Vedticka</t>
        </is>
      </c>
      <c r="S238">
        <f>HYPERLINK("https://klasma.github.io/Logging_2161/artfynd/A 7148-2023 artfynd.xlsx", "A 7148-2023")</f>
        <v/>
      </c>
      <c r="T238">
        <f>HYPERLINK("https://klasma.github.io/Logging_2161/kartor/A 7148-2023 karta.png", "A 7148-2023")</f>
        <v/>
      </c>
      <c r="V238">
        <f>HYPERLINK("https://klasma.github.io/Logging_2161/klagomål/A 7148-2023 FSC-klagomål.docx", "A 7148-2023")</f>
        <v/>
      </c>
      <c r="W238">
        <f>HYPERLINK("https://klasma.github.io/Logging_2161/klagomålsmail/A 7148-2023 FSC-klagomål mail.docx", "A 7148-2023")</f>
        <v/>
      </c>
      <c r="X238">
        <f>HYPERLINK("https://klasma.github.io/Logging_2161/tillsyn/A 7148-2023 tillsynsbegäran.docx", "A 7148-2023")</f>
        <v/>
      </c>
      <c r="Y238">
        <f>HYPERLINK("https://klasma.github.io/Logging_2161/tillsynsmail/A 7148-2023 tillsynsbegäran mail.docx", "A 7148-2023")</f>
        <v/>
      </c>
    </row>
    <row r="239" ht="15" customHeight="1">
      <c r="A239" t="inlineStr">
        <is>
          <t>A 8078-2023</t>
        </is>
      </c>
      <c r="B239" s="1" t="n">
        <v>44974</v>
      </c>
      <c r="C239" s="1" t="n">
        <v>45811</v>
      </c>
      <c r="D239" t="inlineStr">
        <is>
          <t>GÄVLEBORGS LÄN</t>
        </is>
      </c>
      <c r="E239" t="inlineStr">
        <is>
          <t>LJUSDAL</t>
        </is>
      </c>
      <c r="G239" t="n">
        <v>19.1</v>
      </c>
      <c r="H239" t="n">
        <v>0</v>
      </c>
      <c r="I239" t="n">
        <v>0</v>
      </c>
      <c r="J239" t="n">
        <v>0</v>
      </c>
      <c r="K239" t="n">
        <v>1</v>
      </c>
      <c r="L239" t="n">
        <v>0</v>
      </c>
      <c r="M239" t="n">
        <v>0</v>
      </c>
      <c r="N239" t="n">
        <v>0</v>
      </c>
      <c r="O239" t="n">
        <v>1</v>
      </c>
      <c r="P239" t="n">
        <v>1</v>
      </c>
      <c r="Q239" t="n">
        <v>1</v>
      </c>
      <c r="R239" s="2" t="inlineStr">
        <is>
          <t>Gräddporing</t>
        </is>
      </c>
      <c r="S239">
        <f>HYPERLINK("https://klasma.github.io/Logging_2161/artfynd/A 8078-2023 artfynd.xlsx", "A 8078-2023")</f>
        <v/>
      </c>
      <c r="T239">
        <f>HYPERLINK("https://klasma.github.io/Logging_2161/kartor/A 8078-2023 karta.png", "A 8078-2023")</f>
        <v/>
      </c>
      <c r="V239">
        <f>HYPERLINK("https://klasma.github.io/Logging_2161/klagomål/A 8078-2023 FSC-klagomål.docx", "A 8078-2023")</f>
        <v/>
      </c>
      <c r="W239">
        <f>HYPERLINK("https://klasma.github.io/Logging_2161/klagomålsmail/A 8078-2023 FSC-klagomål mail.docx", "A 8078-2023")</f>
        <v/>
      </c>
      <c r="X239">
        <f>HYPERLINK("https://klasma.github.io/Logging_2161/tillsyn/A 8078-2023 tillsynsbegäran.docx", "A 8078-2023")</f>
        <v/>
      </c>
      <c r="Y239">
        <f>HYPERLINK("https://klasma.github.io/Logging_2161/tillsynsmail/A 8078-2023 tillsynsbegäran mail.docx", "A 8078-2023")</f>
        <v/>
      </c>
    </row>
    <row r="240" ht="15" customHeight="1">
      <c r="A240" t="inlineStr">
        <is>
          <t>A 9937-2023</t>
        </is>
      </c>
      <c r="B240" s="1" t="n">
        <v>44985</v>
      </c>
      <c r="C240" s="1" t="n">
        <v>45811</v>
      </c>
      <c r="D240" t="inlineStr">
        <is>
          <t>GÄVLEBORGS LÄN</t>
        </is>
      </c>
      <c r="E240" t="inlineStr">
        <is>
          <t>LJUSDAL</t>
        </is>
      </c>
      <c r="F240" t="inlineStr">
        <is>
          <t>Bergvik skog väst AB</t>
        </is>
      </c>
      <c r="G240" t="n">
        <v>4.9</v>
      </c>
      <c r="H240" t="n">
        <v>1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1</v>
      </c>
      <c r="R240" s="2" t="inlineStr">
        <is>
          <t>Talltita</t>
        </is>
      </c>
      <c r="S240">
        <f>HYPERLINK("https://klasma.github.io/Logging_2161/artfynd/A 9937-2023 artfynd.xlsx", "A 9937-2023")</f>
        <v/>
      </c>
      <c r="T240">
        <f>HYPERLINK("https://klasma.github.io/Logging_2161/kartor/A 9937-2023 karta.png", "A 9937-2023")</f>
        <v/>
      </c>
      <c r="V240">
        <f>HYPERLINK("https://klasma.github.io/Logging_2161/klagomål/A 9937-2023 FSC-klagomål.docx", "A 9937-2023")</f>
        <v/>
      </c>
      <c r="W240">
        <f>HYPERLINK("https://klasma.github.io/Logging_2161/klagomålsmail/A 9937-2023 FSC-klagomål mail.docx", "A 9937-2023")</f>
        <v/>
      </c>
      <c r="X240">
        <f>HYPERLINK("https://klasma.github.io/Logging_2161/tillsyn/A 9937-2023 tillsynsbegäran.docx", "A 9937-2023")</f>
        <v/>
      </c>
      <c r="Y240">
        <f>HYPERLINK("https://klasma.github.io/Logging_2161/tillsynsmail/A 9937-2023 tillsynsbegäran mail.docx", "A 9937-2023")</f>
        <v/>
      </c>
      <c r="Z240">
        <f>HYPERLINK("https://klasma.github.io/Logging_2161/fåglar/A 9937-2023 prioriterade fågelarter.docx", "A 9937-2023")</f>
        <v/>
      </c>
    </row>
    <row r="241" ht="15" customHeight="1">
      <c r="A241" t="inlineStr">
        <is>
          <t>A 10157-2023</t>
        </is>
      </c>
      <c r="B241" s="1" t="n">
        <v>44986</v>
      </c>
      <c r="C241" s="1" t="n">
        <v>45811</v>
      </c>
      <c r="D241" t="inlineStr">
        <is>
          <t>GÄVLEBORGS LÄN</t>
        </is>
      </c>
      <c r="E241" t="inlineStr">
        <is>
          <t>LJUSDAL</t>
        </is>
      </c>
      <c r="F241" t="inlineStr">
        <is>
          <t>Bergvik skog väst AB</t>
        </is>
      </c>
      <c r="G241" t="n">
        <v>16.3</v>
      </c>
      <c r="H241" t="n">
        <v>1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1</v>
      </c>
      <c r="R241" s="2" t="inlineStr">
        <is>
          <t>Orre</t>
        </is>
      </c>
      <c r="S241">
        <f>HYPERLINK("https://klasma.github.io/Logging_2161/artfynd/A 10157-2023 artfynd.xlsx", "A 10157-2023")</f>
        <v/>
      </c>
      <c r="T241">
        <f>HYPERLINK("https://klasma.github.io/Logging_2161/kartor/A 10157-2023 karta.png", "A 10157-2023")</f>
        <v/>
      </c>
      <c r="V241">
        <f>HYPERLINK("https://klasma.github.io/Logging_2161/klagomål/A 10157-2023 FSC-klagomål.docx", "A 10157-2023")</f>
        <v/>
      </c>
      <c r="W241">
        <f>HYPERLINK("https://klasma.github.io/Logging_2161/klagomålsmail/A 10157-2023 FSC-klagomål mail.docx", "A 10157-2023")</f>
        <v/>
      </c>
      <c r="X241">
        <f>HYPERLINK("https://klasma.github.io/Logging_2161/tillsyn/A 10157-2023 tillsynsbegäran.docx", "A 10157-2023")</f>
        <v/>
      </c>
      <c r="Y241">
        <f>HYPERLINK("https://klasma.github.io/Logging_2161/tillsynsmail/A 10157-2023 tillsynsbegäran mail.docx", "A 10157-2023")</f>
        <v/>
      </c>
      <c r="Z241">
        <f>HYPERLINK("https://klasma.github.io/Logging_2161/fåglar/A 10157-2023 prioriterade fågelarter.docx", "A 10157-2023")</f>
        <v/>
      </c>
    </row>
    <row r="242" ht="15" customHeight="1">
      <c r="A242" t="inlineStr">
        <is>
          <t>A 10646-2023</t>
        </is>
      </c>
      <c r="B242" s="1" t="n">
        <v>44988</v>
      </c>
      <c r="C242" s="1" t="n">
        <v>45811</v>
      </c>
      <c r="D242" t="inlineStr">
        <is>
          <t>GÄVLEBORGS LÄN</t>
        </is>
      </c>
      <c r="E242" t="inlineStr">
        <is>
          <t>LJUSDAL</t>
        </is>
      </c>
      <c r="G242" t="n">
        <v>3.5</v>
      </c>
      <c r="H242" t="n">
        <v>0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1</v>
      </c>
      <c r="R242" s="2" t="inlineStr">
        <is>
          <t>Garnlav</t>
        </is>
      </c>
      <c r="S242">
        <f>HYPERLINK("https://klasma.github.io/Logging_2161/artfynd/A 10646-2023 artfynd.xlsx", "A 10646-2023")</f>
        <v/>
      </c>
      <c r="T242">
        <f>HYPERLINK("https://klasma.github.io/Logging_2161/kartor/A 10646-2023 karta.png", "A 10646-2023")</f>
        <v/>
      </c>
      <c r="V242">
        <f>HYPERLINK("https://klasma.github.io/Logging_2161/klagomål/A 10646-2023 FSC-klagomål.docx", "A 10646-2023")</f>
        <v/>
      </c>
      <c r="W242">
        <f>HYPERLINK("https://klasma.github.io/Logging_2161/klagomålsmail/A 10646-2023 FSC-klagomål mail.docx", "A 10646-2023")</f>
        <v/>
      </c>
      <c r="X242">
        <f>HYPERLINK("https://klasma.github.io/Logging_2161/tillsyn/A 10646-2023 tillsynsbegäran.docx", "A 10646-2023")</f>
        <v/>
      </c>
      <c r="Y242">
        <f>HYPERLINK("https://klasma.github.io/Logging_2161/tillsynsmail/A 10646-2023 tillsynsbegäran mail.docx", "A 10646-2023")</f>
        <v/>
      </c>
    </row>
    <row r="243" ht="15" customHeight="1">
      <c r="A243" t="inlineStr">
        <is>
          <t>A 20914-2023</t>
        </is>
      </c>
      <c r="B243" s="1" t="n">
        <v>45061</v>
      </c>
      <c r="C243" s="1" t="n">
        <v>45811</v>
      </c>
      <c r="D243" t="inlineStr">
        <is>
          <t>GÄVLEBORGS LÄN</t>
        </is>
      </c>
      <c r="E243" t="inlineStr">
        <is>
          <t>LJUSDAL</t>
        </is>
      </c>
      <c r="F243" t="inlineStr">
        <is>
          <t>Allmännings- och besparingsskogar</t>
        </is>
      </c>
      <c r="G243" t="n">
        <v>35.5</v>
      </c>
      <c r="H243" t="n">
        <v>1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Huggorm</t>
        </is>
      </c>
      <c r="S243">
        <f>HYPERLINK("https://klasma.github.io/Logging_2161/artfynd/A 20914-2023 artfynd.xlsx", "A 20914-2023")</f>
        <v/>
      </c>
      <c r="T243">
        <f>HYPERLINK("https://klasma.github.io/Logging_2161/kartor/A 20914-2023 karta.png", "A 20914-2023")</f>
        <v/>
      </c>
      <c r="V243">
        <f>HYPERLINK("https://klasma.github.io/Logging_2161/klagomål/A 20914-2023 FSC-klagomål.docx", "A 20914-2023")</f>
        <v/>
      </c>
      <c r="W243">
        <f>HYPERLINK("https://klasma.github.io/Logging_2161/klagomålsmail/A 20914-2023 FSC-klagomål mail.docx", "A 20914-2023")</f>
        <v/>
      </c>
      <c r="X243">
        <f>HYPERLINK("https://klasma.github.io/Logging_2161/tillsyn/A 20914-2023 tillsynsbegäran.docx", "A 20914-2023")</f>
        <v/>
      </c>
      <c r="Y243">
        <f>HYPERLINK("https://klasma.github.io/Logging_2161/tillsynsmail/A 20914-2023 tillsynsbegäran mail.docx", "A 20914-2023")</f>
        <v/>
      </c>
    </row>
    <row r="244" ht="15" customHeight="1">
      <c r="A244" t="inlineStr">
        <is>
          <t>A 22973-2023</t>
        </is>
      </c>
      <c r="B244" s="1" t="n">
        <v>45072</v>
      </c>
      <c r="C244" s="1" t="n">
        <v>45811</v>
      </c>
      <c r="D244" t="inlineStr">
        <is>
          <t>GÄVLEBORGS LÄN</t>
        </is>
      </c>
      <c r="E244" t="inlineStr">
        <is>
          <t>LJUSDAL</t>
        </is>
      </c>
      <c r="F244" t="inlineStr">
        <is>
          <t>Sveaskog</t>
        </is>
      </c>
      <c r="G244" t="n">
        <v>20.4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Kolflarnlav</t>
        </is>
      </c>
      <c r="S244">
        <f>HYPERLINK("https://klasma.github.io/Logging_2161/artfynd/A 22973-2023 artfynd.xlsx", "A 22973-2023")</f>
        <v/>
      </c>
      <c r="T244">
        <f>HYPERLINK("https://klasma.github.io/Logging_2161/kartor/A 22973-2023 karta.png", "A 22973-2023")</f>
        <v/>
      </c>
      <c r="V244">
        <f>HYPERLINK("https://klasma.github.io/Logging_2161/klagomål/A 22973-2023 FSC-klagomål.docx", "A 22973-2023")</f>
        <v/>
      </c>
      <c r="W244">
        <f>HYPERLINK("https://klasma.github.io/Logging_2161/klagomålsmail/A 22973-2023 FSC-klagomål mail.docx", "A 22973-2023")</f>
        <v/>
      </c>
      <c r="X244">
        <f>HYPERLINK("https://klasma.github.io/Logging_2161/tillsyn/A 22973-2023 tillsynsbegäran.docx", "A 22973-2023")</f>
        <v/>
      </c>
      <c r="Y244">
        <f>HYPERLINK("https://klasma.github.io/Logging_2161/tillsynsmail/A 22973-2023 tillsynsbegäran mail.docx", "A 22973-2023")</f>
        <v/>
      </c>
    </row>
    <row r="245" ht="15" customHeight="1">
      <c r="A245" t="inlineStr">
        <is>
          <t>A 23560-2023</t>
        </is>
      </c>
      <c r="B245" s="1" t="n">
        <v>45077</v>
      </c>
      <c r="C245" s="1" t="n">
        <v>45811</v>
      </c>
      <c r="D245" t="inlineStr">
        <is>
          <t>GÄVLEBORGS LÄN</t>
        </is>
      </c>
      <c r="E245" t="inlineStr">
        <is>
          <t>LJUSDAL</t>
        </is>
      </c>
      <c r="F245" t="inlineStr">
        <is>
          <t>Allmännings- och besparingsskogar</t>
        </is>
      </c>
      <c r="G245" t="n">
        <v>21</v>
      </c>
      <c r="H245" t="n">
        <v>0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1</v>
      </c>
      <c r="R245" s="2" t="inlineStr">
        <is>
          <t>Garnlav</t>
        </is>
      </c>
      <c r="S245">
        <f>HYPERLINK("https://klasma.github.io/Logging_2161/artfynd/A 23560-2023 artfynd.xlsx", "A 23560-2023")</f>
        <v/>
      </c>
      <c r="T245">
        <f>HYPERLINK("https://klasma.github.io/Logging_2161/kartor/A 23560-2023 karta.png", "A 23560-2023")</f>
        <v/>
      </c>
      <c r="V245">
        <f>HYPERLINK("https://klasma.github.io/Logging_2161/klagomål/A 23560-2023 FSC-klagomål.docx", "A 23560-2023")</f>
        <v/>
      </c>
      <c r="W245">
        <f>HYPERLINK("https://klasma.github.io/Logging_2161/klagomålsmail/A 23560-2023 FSC-klagomål mail.docx", "A 23560-2023")</f>
        <v/>
      </c>
      <c r="X245">
        <f>HYPERLINK("https://klasma.github.io/Logging_2161/tillsyn/A 23560-2023 tillsynsbegäran.docx", "A 23560-2023")</f>
        <v/>
      </c>
      <c r="Y245">
        <f>HYPERLINK("https://klasma.github.io/Logging_2161/tillsynsmail/A 23560-2023 tillsynsbegäran mail.docx", "A 23560-2023")</f>
        <v/>
      </c>
    </row>
    <row r="246" ht="15" customHeight="1">
      <c r="A246" t="inlineStr">
        <is>
          <t>A 25114-2023</t>
        </is>
      </c>
      <c r="B246" s="1" t="n">
        <v>45086</v>
      </c>
      <c r="C246" s="1" t="n">
        <v>45811</v>
      </c>
      <c r="D246" t="inlineStr">
        <is>
          <t>GÄVLEBORGS LÄN</t>
        </is>
      </c>
      <c r="E246" t="inlineStr">
        <is>
          <t>LJUSDAL</t>
        </is>
      </c>
      <c r="G246" t="n">
        <v>0.9</v>
      </c>
      <c r="H246" t="n">
        <v>0</v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Vedticka</t>
        </is>
      </c>
      <c r="S246">
        <f>HYPERLINK("https://klasma.github.io/Logging_2161/artfynd/A 25114-2023 artfynd.xlsx", "A 25114-2023")</f>
        <v/>
      </c>
      <c r="T246">
        <f>HYPERLINK("https://klasma.github.io/Logging_2161/kartor/A 25114-2023 karta.png", "A 25114-2023")</f>
        <v/>
      </c>
      <c r="U246">
        <f>HYPERLINK("https://klasma.github.io/Logging_2161/knärot/A 25114-2023 karta knärot.png", "A 25114-2023")</f>
        <v/>
      </c>
      <c r="V246">
        <f>HYPERLINK("https://klasma.github.io/Logging_2161/klagomål/A 25114-2023 FSC-klagomål.docx", "A 25114-2023")</f>
        <v/>
      </c>
      <c r="W246">
        <f>HYPERLINK("https://klasma.github.io/Logging_2161/klagomålsmail/A 25114-2023 FSC-klagomål mail.docx", "A 25114-2023")</f>
        <v/>
      </c>
      <c r="X246">
        <f>HYPERLINK("https://klasma.github.io/Logging_2161/tillsyn/A 25114-2023 tillsynsbegäran.docx", "A 25114-2023")</f>
        <v/>
      </c>
      <c r="Y246">
        <f>HYPERLINK("https://klasma.github.io/Logging_2161/tillsynsmail/A 25114-2023 tillsynsbegäran mail.docx", "A 25114-2023")</f>
        <v/>
      </c>
    </row>
    <row r="247" ht="15" customHeight="1">
      <c r="A247" t="inlineStr">
        <is>
          <t>A 26003-2023</t>
        </is>
      </c>
      <c r="B247" s="1" t="n">
        <v>45090</v>
      </c>
      <c r="C247" s="1" t="n">
        <v>45811</v>
      </c>
      <c r="D247" t="inlineStr">
        <is>
          <t>GÄVLEBORGS LÄN</t>
        </is>
      </c>
      <c r="E247" t="inlineStr">
        <is>
          <t>LJUSDAL</t>
        </is>
      </c>
      <c r="F247" t="inlineStr">
        <is>
          <t>SCA</t>
        </is>
      </c>
      <c r="G247" t="n">
        <v>19.8</v>
      </c>
      <c r="H247" t="n">
        <v>0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1</v>
      </c>
      <c r="R247" s="2" t="inlineStr">
        <is>
          <t>Lunglav</t>
        </is>
      </c>
      <c r="S247">
        <f>HYPERLINK("https://klasma.github.io/Logging_2161/artfynd/A 26003-2023 artfynd.xlsx", "A 26003-2023")</f>
        <v/>
      </c>
      <c r="T247">
        <f>HYPERLINK("https://klasma.github.io/Logging_2161/kartor/A 26003-2023 karta.png", "A 26003-2023")</f>
        <v/>
      </c>
      <c r="V247">
        <f>HYPERLINK("https://klasma.github.io/Logging_2161/klagomål/A 26003-2023 FSC-klagomål.docx", "A 26003-2023")</f>
        <v/>
      </c>
      <c r="W247">
        <f>HYPERLINK("https://klasma.github.io/Logging_2161/klagomålsmail/A 26003-2023 FSC-klagomål mail.docx", "A 26003-2023")</f>
        <v/>
      </c>
      <c r="X247">
        <f>HYPERLINK("https://klasma.github.io/Logging_2161/tillsyn/A 26003-2023 tillsynsbegäran.docx", "A 26003-2023")</f>
        <v/>
      </c>
      <c r="Y247">
        <f>HYPERLINK("https://klasma.github.io/Logging_2161/tillsynsmail/A 26003-2023 tillsynsbegäran mail.docx", "A 26003-2023")</f>
        <v/>
      </c>
    </row>
    <row r="248" ht="15" customHeight="1">
      <c r="A248" t="inlineStr">
        <is>
          <t>A 25992-2023</t>
        </is>
      </c>
      <c r="B248" s="1" t="n">
        <v>45090</v>
      </c>
      <c r="C248" s="1" t="n">
        <v>45811</v>
      </c>
      <c r="D248" t="inlineStr">
        <is>
          <t>GÄVLEBORGS LÄN</t>
        </is>
      </c>
      <c r="E248" t="inlineStr">
        <is>
          <t>LJUSDAL</t>
        </is>
      </c>
      <c r="G248" t="n">
        <v>3.8</v>
      </c>
      <c r="H248" t="n">
        <v>1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Blåsippa</t>
        </is>
      </c>
      <c r="S248">
        <f>HYPERLINK("https://klasma.github.io/Logging_2161/artfynd/A 25992-2023 artfynd.xlsx", "A 25992-2023")</f>
        <v/>
      </c>
      <c r="T248">
        <f>HYPERLINK("https://klasma.github.io/Logging_2161/kartor/A 25992-2023 karta.png", "A 25992-2023")</f>
        <v/>
      </c>
      <c r="V248">
        <f>HYPERLINK("https://klasma.github.io/Logging_2161/klagomål/A 25992-2023 FSC-klagomål.docx", "A 25992-2023")</f>
        <v/>
      </c>
      <c r="W248">
        <f>HYPERLINK("https://klasma.github.io/Logging_2161/klagomålsmail/A 25992-2023 FSC-klagomål mail.docx", "A 25992-2023")</f>
        <v/>
      </c>
      <c r="X248">
        <f>HYPERLINK("https://klasma.github.io/Logging_2161/tillsyn/A 25992-2023 tillsynsbegäran.docx", "A 25992-2023")</f>
        <v/>
      </c>
      <c r="Y248">
        <f>HYPERLINK("https://klasma.github.io/Logging_2161/tillsynsmail/A 25992-2023 tillsynsbegäran mail.docx", "A 25992-2023")</f>
        <v/>
      </c>
    </row>
    <row r="249" ht="15" customHeight="1">
      <c r="A249" t="inlineStr">
        <is>
          <t>A 26526-2023</t>
        </is>
      </c>
      <c r="B249" s="1" t="n">
        <v>45092</v>
      </c>
      <c r="C249" s="1" t="n">
        <v>45811</v>
      </c>
      <c r="D249" t="inlineStr">
        <is>
          <t>GÄVLEBORGS LÄN</t>
        </is>
      </c>
      <c r="E249" t="inlineStr">
        <is>
          <t>LJUSDAL</t>
        </is>
      </c>
      <c r="F249" t="inlineStr">
        <is>
          <t>Sveaskog</t>
        </is>
      </c>
      <c r="G249" t="n">
        <v>3.6</v>
      </c>
      <c r="H249" t="n">
        <v>0</v>
      </c>
      <c r="I249" t="n">
        <v>0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1</v>
      </c>
      <c r="P249" t="n">
        <v>0</v>
      </c>
      <c r="Q249" t="n">
        <v>1</v>
      </c>
      <c r="R249" s="2" t="inlineStr">
        <is>
          <t>Kolflarnlav</t>
        </is>
      </c>
      <c r="S249">
        <f>HYPERLINK("https://klasma.github.io/Logging_2161/artfynd/A 26526-2023 artfynd.xlsx", "A 26526-2023")</f>
        <v/>
      </c>
      <c r="T249">
        <f>HYPERLINK("https://klasma.github.io/Logging_2161/kartor/A 26526-2023 karta.png", "A 26526-2023")</f>
        <v/>
      </c>
      <c r="V249">
        <f>HYPERLINK("https://klasma.github.io/Logging_2161/klagomål/A 26526-2023 FSC-klagomål.docx", "A 26526-2023")</f>
        <v/>
      </c>
      <c r="W249">
        <f>HYPERLINK("https://klasma.github.io/Logging_2161/klagomålsmail/A 26526-2023 FSC-klagomål mail.docx", "A 26526-2023")</f>
        <v/>
      </c>
      <c r="X249">
        <f>HYPERLINK("https://klasma.github.io/Logging_2161/tillsyn/A 26526-2023 tillsynsbegäran.docx", "A 26526-2023")</f>
        <v/>
      </c>
      <c r="Y249">
        <f>HYPERLINK("https://klasma.github.io/Logging_2161/tillsynsmail/A 26526-2023 tillsynsbegäran mail.docx", "A 26526-2023")</f>
        <v/>
      </c>
    </row>
    <row r="250" ht="15" customHeight="1">
      <c r="A250" t="inlineStr">
        <is>
          <t>A 26538-2023</t>
        </is>
      </c>
      <c r="B250" s="1" t="n">
        <v>45092</v>
      </c>
      <c r="C250" s="1" t="n">
        <v>45811</v>
      </c>
      <c r="D250" t="inlineStr">
        <is>
          <t>GÄVLEBORGS LÄN</t>
        </is>
      </c>
      <c r="E250" t="inlineStr">
        <is>
          <t>LJUSDAL</t>
        </is>
      </c>
      <c r="F250" t="inlineStr">
        <is>
          <t>Sveaskog</t>
        </is>
      </c>
      <c r="G250" t="n">
        <v>22.1</v>
      </c>
      <c r="H250" t="n">
        <v>0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Lunglav</t>
        </is>
      </c>
      <c r="S250">
        <f>HYPERLINK("https://klasma.github.io/Logging_2161/artfynd/A 26538-2023 artfynd.xlsx", "A 26538-2023")</f>
        <v/>
      </c>
      <c r="T250">
        <f>HYPERLINK("https://klasma.github.io/Logging_2161/kartor/A 26538-2023 karta.png", "A 26538-2023")</f>
        <v/>
      </c>
      <c r="V250">
        <f>HYPERLINK("https://klasma.github.io/Logging_2161/klagomål/A 26538-2023 FSC-klagomål.docx", "A 26538-2023")</f>
        <v/>
      </c>
      <c r="W250">
        <f>HYPERLINK("https://klasma.github.io/Logging_2161/klagomålsmail/A 26538-2023 FSC-klagomål mail.docx", "A 26538-2023")</f>
        <v/>
      </c>
      <c r="X250">
        <f>HYPERLINK("https://klasma.github.io/Logging_2161/tillsyn/A 26538-2023 tillsynsbegäran.docx", "A 26538-2023")</f>
        <v/>
      </c>
      <c r="Y250">
        <f>HYPERLINK("https://klasma.github.io/Logging_2161/tillsynsmail/A 26538-2023 tillsynsbegäran mail.docx", "A 26538-2023")</f>
        <v/>
      </c>
    </row>
    <row r="251" ht="15" customHeight="1">
      <c r="A251" t="inlineStr">
        <is>
          <t>A 29464-2023</t>
        </is>
      </c>
      <c r="B251" s="1" t="n">
        <v>45106</v>
      </c>
      <c r="C251" s="1" t="n">
        <v>45811</v>
      </c>
      <c r="D251" t="inlineStr">
        <is>
          <t>GÄVLEBORGS LÄN</t>
        </is>
      </c>
      <c r="E251" t="inlineStr">
        <is>
          <t>LJUSDAL</t>
        </is>
      </c>
      <c r="F251" t="inlineStr">
        <is>
          <t>Sveaskog</t>
        </is>
      </c>
      <c r="G251" t="n">
        <v>3.7</v>
      </c>
      <c r="H251" t="n">
        <v>1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Orre</t>
        </is>
      </c>
      <c r="S251">
        <f>HYPERLINK("https://klasma.github.io/Logging_2161/artfynd/A 29464-2023 artfynd.xlsx", "A 29464-2023")</f>
        <v/>
      </c>
      <c r="T251">
        <f>HYPERLINK("https://klasma.github.io/Logging_2161/kartor/A 29464-2023 karta.png", "A 29464-2023")</f>
        <v/>
      </c>
      <c r="V251">
        <f>HYPERLINK("https://klasma.github.io/Logging_2161/klagomål/A 29464-2023 FSC-klagomål.docx", "A 29464-2023")</f>
        <v/>
      </c>
      <c r="W251">
        <f>HYPERLINK("https://klasma.github.io/Logging_2161/klagomålsmail/A 29464-2023 FSC-klagomål mail.docx", "A 29464-2023")</f>
        <v/>
      </c>
      <c r="X251">
        <f>HYPERLINK("https://klasma.github.io/Logging_2161/tillsyn/A 29464-2023 tillsynsbegäran.docx", "A 29464-2023")</f>
        <v/>
      </c>
      <c r="Y251">
        <f>HYPERLINK("https://klasma.github.io/Logging_2161/tillsynsmail/A 29464-2023 tillsynsbegäran mail.docx", "A 29464-2023")</f>
        <v/>
      </c>
      <c r="Z251">
        <f>HYPERLINK("https://klasma.github.io/Logging_2161/fåglar/A 29464-2023 prioriterade fågelarter.docx", "A 29464-2023")</f>
        <v/>
      </c>
    </row>
    <row r="252" ht="15" customHeight="1">
      <c r="A252" t="inlineStr">
        <is>
          <t>A 29784-2023</t>
        </is>
      </c>
      <c r="B252" s="1" t="n">
        <v>45107</v>
      </c>
      <c r="C252" s="1" t="n">
        <v>45811</v>
      </c>
      <c r="D252" t="inlineStr">
        <is>
          <t>GÄVLEBORGS LÄN</t>
        </is>
      </c>
      <c r="E252" t="inlineStr">
        <is>
          <t>LJUSDAL</t>
        </is>
      </c>
      <c r="F252" t="inlineStr">
        <is>
          <t>Sveaskog</t>
        </is>
      </c>
      <c r="G252" t="n">
        <v>17.1</v>
      </c>
      <c r="H252" t="n">
        <v>1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s="2" t="inlineStr">
        <is>
          <t>Nattviol</t>
        </is>
      </c>
      <c r="S252">
        <f>HYPERLINK("https://klasma.github.io/Logging_2161/artfynd/A 29784-2023 artfynd.xlsx", "A 29784-2023")</f>
        <v/>
      </c>
      <c r="T252">
        <f>HYPERLINK("https://klasma.github.io/Logging_2161/kartor/A 29784-2023 karta.png", "A 29784-2023")</f>
        <v/>
      </c>
      <c r="V252">
        <f>HYPERLINK("https://klasma.github.io/Logging_2161/klagomål/A 29784-2023 FSC-klagomål.docx", "A 29784-2023")</f>
        <v/>
      </c>
      <c r="W252">
        <f>HYPERLINK("https://klasma.github.io/Logging_2161/klagomålsmail/A 29784-2023 FSC-klagomål mail.docx", "A 29784-2023")</f>
        <v/>
      </c>
      <c r="X252">
        <f>HYPERLINK("https://klasma.github.io/Logging_2161/tillsyn/A 29784-2023 tillsynsbegäran.docx", "A 29784-2023")</f>
        <v/>
      </c>
      <c r="Y252">
        <f>HYPERLINK("https://klasma.github.io/Logging_2161/tillsynsmail/A 29784-2023 tillsynsbegäran mail.docx", "A 29784-2023")</f>
        <v/>
      </c>
    </row>
    <row r="253" ht="15" customHeight="1">
      <c r="A253" t="inlineStr">
        <is>
          <t>A 32171-2023</t>
        </is>
      </c>
      <c r="B253" s="1" t="n">
        <v>45107</v>
      </c>
      <c r="C253" s="1" t="n">
        <v>45811</v>
      </c>
      <c r="D253" t="inlineStr">
        <is>
          <t>GÄVLEBORGS LÄN</t>
        </is>
      </c>
      <c r="E253" t="inlineStr">
        <is>
          <t>LJUSDAL</t>
        </is>
      </c>
      <c r="G253" t="n">
        <v>1.5</v>
      </c>
      <c r="H253" t="n">
        <v>1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1</v>
      </c>
      <c r="R253" s="2" t="inlineStr">
        <is>
          <t>Talltita</t>
        </is>
      </c>
      <c r="S253">
        <f>HYPERLINK("https://klasma.github.io/Logging_2161/artfynd/A 32171-2023 artfynd.xlsx", "A 32171-2023")</f>
        <v/>
      </c>
      <c r="T253">
        <f>HYPERLINK("https://klasma.github.io/Logging_2161/kartor/A 32171-2023 karta.png", "A 32171-2023")</f>
        <v/>
      </c>
      <c r="V253">
        <f>HYPERLINK("https://klasma.github.io/Logging_2161/klagomål/A 32171-2023 FSC-klagomål.docx", "A 32171-2023")</f>
        <v/>
      </c>
      <c r="W253">
        <f>HYPERLINK("https://klasma.github.io/Logging_2161/klagomålsmail/A 32171-2023 FSC-klagomål mail.docx", "A 32171-2023")</f>
        <v/>
      </c>
      <c r="X253">
        <f>HYPERLINK("https://klasma.github.io/Logging_2161/tillsyn/A 32171-2023 tillsynsbegäran.docx", "A 32171-2023")</f>
        <v/>
      </c>
      <c r="Y253">
        <f>HYPERLINK("https://klasma.github.io/Logging_2161/tillsynsmail/A 32171-2023 tillsynsbegäran mail.docx", "A 32171-2023")</f>
        <v/>
      </c>
      <c r="Z253">
        <f>HYPERLINK("https://klasma.github.io/Logging_2161/fåglar/A 32171-2023 prioriterade fågelarter.docx", "A 32171-2023")</f>
        <v/>
      </c>
    </row>
    <row r="254" ht="15" customHeight="1">
      <c r="A254" t="inlineStr">
        <is>
          <t>A 30245-2023</t>
        </is>
      </c>
      <c r="B254" s="1" t="n">
        <v>45110</v>
      </c>
      <c r="C254" s="1" t="n">
        <v>45811</v>
      </c>
      <c r="D254" t="inlineStr">
        <is>
          <t>GÄVLEBORGS LÄN</t>
        </is>
      </c>
      <c r="E254" t="inlineStr">
        <is>
          <t>LJUSDAL</t>
        </is>
      </c>
      <c r="F254" t="inlineStr">
        <is>
          <t>Sveaskog</t>
        </is>
      </c>
      <c r="G254" t="n">
        <v>32.1</v>
      </c>
      <c r="H254" t="n">
        <v>0</v>
      </c>
      <c r="I254" t="n">
        <v>0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1</v>
      </c>
      <c r="P254" t="n">
        <v>0</v>
      </c>
      <c r="Q254" t="n">
        <v>1</v>
      </c>
      <c r="R254" s="2" t="inlineStr">
        <is>
          <t>Kolflarnlav</t>
        </is>
      </c>
      <c r="S254">
        <f>HYPERLINK("https://klasma.github.io/Logging_2161/artfynd/A 30245-2023 artfynd.xlsx", "A 30245-2023")</f>
        <v/>
      </c>
      <c r="T254">
        <f>HYPERLINK("https://klasma.github.io/Logging_2161/kartor/A 30245-2023 karta.png", "A 30245-2023")</f>
        <v/>
      </c>
      <c r="V254">
        <f>HYPERLINK("https://klasma.github.io/Logging_2161/klagomål/A 30245-2023 FSC-klagomål.docx", "A 30245-2023")</f>
        <v/>
      </c>
      <c r="W254">
        <f>HYPERLINK("https://klasma.github.io/Logging_2161/klagomålsmail/A 30245-2023 FSC-klagomål mail.docx", "A 30245-2023")</f>
        <v/>
      </c>
      <c r="X254">
        <f>HYPERLINK("https://klasma.github.io/Logging_2161/tillsyn/A 30245-2023 tillsynsbegäran.docx", "A 30245-2023")</f>
        <v/>
      </c>
      <c r="Y254">
        <f>HYPERLINK("https://klasma.github.io/Logging_2161/tillsynsmail/A 30245-2023 tillsynsbegäran mail.docx", "A 30245-2023")</f>
        <v/>
      </c>
    </row>
    <row r="255" ht="15" customHeight="1">
      <c r="A255" t="inlineStr">
        <is>
          <t>A 31125-2023</t>
        </is>
      </c>
      <c r="B255" s="1" t="n">
        <v>45113</v>
      </c>
      <c r="C255" s="1" t="n">
        <v>45811</v>
      </c>
      <c r="D255" t="inlineStr">
        <is>
          <t>GÄVLEBORGS LÄN</t>
        </is>
      </c>
      <c r="E255" t="inlineStr">
        <is>
          <t>LJUSDAL</t>
        </is>
      </c>
      <c r="F255" t="inlineStr">
        <is>
          <t>Sveaskog</t>
        </is>
      </c>
      <c r="G255" t="n">
        <v>1.8</v>
      </c>
      <c r="H255" t="n">
        <v>0</v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Stuplav</t>
        </is>
      </c>
      <c r="S255">
        <f>HYPERLINK("https://klasma.github.io/Logging_2161/artfynd/A 31125-2023 artfynd.xlsx", "A 31125-2023")</f>
        <v/>
      </c>
      <c r="T255">
        <f>HYPERLINK("https://klasma.github.io/Logging_2161/kartor/A 31125-2023 karta.png", "A 31125-2023")</f>
        <v/>
      </c>
      <c r="V255">
        <f>HYPERLINK("https://klasma.github.io/Logging_2161/klagomål/A 31125-2023 FSC-klagomål.docx", "A 31125-2023")</f>
        <v/>
      </c>
      <c r="W255">
        <f>HYPERLINK("https://klasma.github.io/Logging_2161/klagomålsmail/A 31125-2023 FSC-klagomål mail.docx", "A 31125-2023")</f>
        <v/>
      </c>
      <c r="X255">
        <f>HYPERLINK("https://klasma.github.io/Logging_2161/tillsyn/A 31125-2023 tillsynsbegäran.docx", "A 31125-2023")</f>
        <v/>
      </c>
      <c r="Y255">
        <f>HYPERLINK("https://klasma.github.io/Logging_2161/tillsynsmail/A 31125-2023 tillsynsbegäran mail.docx", "A 31125-2023")</f>
        <v/>
      </c>
    </row>
    <row r="256" ht="15" customHeight="1">
      <c r="A256" t="inlineStr">
        <is>
          <t>A 31127-2023</t>
        </is>
      </c>
      <c r="B256" s="1" t="n">
        <v>45113</v>
      </c>
      <c r="C256" s="1" t="n">
        <v>45811</v>
      </c>
      <c r="D256" t="inlineStr">
        <is>
          <t>GÄVLEBORGS LÄN</t>
        </is>
      </c>
      <c r="E256" t="inlineStr">
        <is>
          <t>LJUSDAL</t>
        </is>
      </c>
      <c r="F256" t="inlineStr">
        <is>
          <t>Sveaskog</t>
        </is>
      </c>
      <c r="G256" t="n">
        <v>6.8</v>
      </c>
      <c r="H256" t="n">
        <v>0</v>
      </c>
      <c r="I256" t="n">
        <v>0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1</v>
      </c>
      <c r="P256" t="n">
        <v>0</v>
      </c>
      <c r="Q256" t="n">
        <v>1</v>
      </c>
      <c r="R256" s="2" t="inlineStr">
        <is>
          <t>Mörk kolflarnlav</t>
        </is>
      </c>
      <c r="S256">
        <f>HYPERLINK("https://klasma.github.io/Logging_2161/artfynd/A 31127-2023 artfynd.xlsx", "A 31127-2023")</f>
        <v/>
      </c>
      <c r="T256">
        <f>HYPERLINK("https://klasma.github.io/Logging_2161/kartor/A 31127-2023 karta.png", "A 31127-2023")</f>
        <v/>
      </c>
      <c r="V256">
        <f>HYPERLINK("https://klasma.github.io/Logging_2161/klagomål/A 31127-2023 FSC-klagomål.docx", "A 31127-2023")</f>
        <v/>
      </c>
      <c r="W256">
        <f>HYPERLINK("https://klasma.github.io/Logging_2161/klagomålsmail/A 31127-2023 FSC-klagomål mail.docx", "A 31127-2023")</f>
        <v/>
      </c>
      <c r="X256">
        <f>HYPERLINK("https://klasma.github.io/Logging_2161/tillsyn/A 31127-2023 tillsynsbegäran.docx", "A 31127-2023")</f>
        <v/>
      </c>
      <c r="Y256">
        <f>HYPERLINK("https://klasma.github.io/Logging_2161/tillsynsmail/A 31127-2023 tillsynsbegäran mail.docx", "A 31127-2023")</f>
        <v/>
      </c>
    </row>
    <row r="257" ht="15" customHeight="1">
      <c r="A257" t="inlineStr">
        <is>
          <t>A 32499-2023</t>
        </is>
      </c>
      <c r="B257" s="1" t="n">
        <v>45121</v>
      </c>
      <c r="C257" s="1" t="n">
        <v>45811</v>
      </c>
      <c r="D257" t="inlineStr">
        <is>
          <t>GÄVLEBORGS LÄN</t>
        </is>
      </c>
      <c r="E257" t="inlineStr">
        <is>
          <t>LJUSDAL</t>
        </is>
      </c>
      <c r="F257" t="inlineStr">
        <is>
          <t>Sveaskog</t>
        </is>
      </c>
      <c r="G257" t="n">
        <v>2.6</v>
      </c>
      <c r="H257" t="n">
        <v>1</v>
      </c>
      <c r="I257" t="n">
        <v>0</v>
      </c>
      <c r="J257" t="n">
        <v>0</v>
      </c>
      <c r="K257" t="n">
        <v>1</v>
      </c>
      <c r="L257" t="n">
        <v>0</v>
      </c>
      <c r="M257" t="n">
        <v>0</v>
      </c>
      <c r="N257" t="n">
        <v>0</v>
      </c>
      <c r="O257" t="n">
        <v>1</v>
      </c>
      <c r="P257" t="n">
        <v>1</v>
      </c>
      <c r="Q257" t="n">
        <v>1</v>
      </c>
      <c r="R257" s="2" t="inlineStr">
        <is>
          <t>Knärot</t>
        </is>
      </c>
      <c r="S257">
        <f>HYPERLINK("https://klasma.github.io/Logging_2161/artfynd/A 32499-2023 artfynd.xlsx", "A 32499-2023")</f>
        <v/>
      </c>
      <c r="T257">
        <f>HYPERLINK("https://klasma.github.io/Logging_2161/kartor/A 32499-2023 karta.png", "A 32499-2023")</f>
        <v/>
      </c>
      <c r="U257">
        <f>HYPERLINK("https://klasma.github.io/Logging_2161/knärot/A 32499-2023 karta knärot.png", "A 32499-2023")</f>
        <v/>
      </c>
      <c r="V257">
        <f>HYPERLINK("https://klasma.github.io/Logging_2161/klagomål/A 32499-2023 FSC-klagomål.docx", "A 32499-2023")</f>
        <v/>
      </c>
      <c r="W257">
        <f>HYPERLINK("https://klasma.github.io/Logging_2161/klagomålsmail/A 32499-2023 FSC-klagomål mail.docx", "A 32499-2023")</f>
        <v/>
      </c>
      <c r="X257">
        <f>HYPERLINK("https://klasma.github.io/Logging_2161/tillsyn/A 32499-2023 tillsynsbegäran.docx", "A 32499-2023")</f>
        <v/>
      </c>
      <c r="Y257">
        <f>HYPERLINK("https://klasma.github.io/Logging_2161/tillsynsmail/A 32499-2023 tillsynsbegäran mail.docx", "A 32499-2023")</f>
        <v/>
      </c>
    </row>
    <row r="258" ht="15" customHeight="1">
      <c r="A258" t="inlineStr">
        <is>
          <t>A 32497-2023</t>
        </is>
      </c>
      <c r="B258" s="1" t="n">
        <v>45121</v>
      </c>
      <c r="C258" s="1" t="n">
        <v>45811</v>
      </c>
      <c r="D258" t="inlineStr">
        <is>
          <t>GÄVLEBORGS LÄN</t>
        </is>
      </c>
      <c r="E258" t="inlineStr">
        <is>
          <t>LJUSDAL</t>
        </is>
      </c>
      <c r="F258" t="inlineStr">
        <is>
          <t>Sveaskog</t>
        </is>
      </c>
      <c r="G258" t="n">
        <v>2.6</v>
      </c>
      <c r="H258" t="n">
        <v>1</v>
      </c>
      <c r="I258" t="n">
        <v>0</v>
      </c>
      <c r="J258" t="n">
        <v>0</v>
      </c>
      <c r="K258" t="n">
        <v>1</v>
      </c>
      <c r="L258" t="n">
        <v>0</v>
      </c>
      <c r="M258" t="n">
        <v>0</v>
      </c>
      <c r="N258" t="n">
        <v>0</v>
      </c>
      <c r="O258" t="n">
        <v>1</v>
      </c>
      <c r="P258" t="n">
        <v>1</v>
      </c>
      <c r="Q258" t="n">
        <v>1</v>
      </c>
      <c r="R258" s="2" t="inlineStr">
        <is>
          <t>Knärot</t>
        </is>
      </c>
      <c r="S258">
        <f>HYPERLINK("https://klasma.github.io/Logging_2161/artfynd/A 32497-2023 artfynd.xlsx", "A 32497-2023")</f>
        <v/>
      </c>
      <c r="T258">
        <f>HYPERLINK("https://klasma.github.io/Logging_2161/kartor/A 32497-2023 karta.png", "A 32497-2023")</f>
        <v/>
      </c>
      <c r="U258">
        <f>HYPERLINK("https://klasma.github.io/Logging_2161/knärot/A 32497-2023 karta knärot.png", "A 32497-2023")</f>
        <v/>
      </c>
      <c r="V258">
        <f>HYPERLINK("https://klasma.github.io/Logging_2161/klagomål/A 32497-2023 FSC-klagomål.docx", "A 32497-2023")</f>
        <v/>
      </c>
      <c r="W258">
        <f>HYPERLINK("https://klasma.github.io/Logging_2161/klagomålsmail/A 32497-2023 FSC-klagomål mail.docx", "A 32497-2023")</f>
        <v/>
      </c>
      <c r="X258">
        <f>HYPERLINK("https://klasma.github.io/Logging_2161/tillsyn/A 32497-2023 tillsynsbegäran.docx", "A 32497-2023")</f>
        <v/>
      </c>
      <c r="Y258">
        <f>HYPERLINK("https://klasma.github.io/Logging_2161/tillsynsmail/A 32497-2023 tillsynsbegäran mail.docx", "A 32497-2023")</f>
        <v/>
      </c>
    </row>
    <row r="259" ht="15" customHeight="1">
      <c r="A259" t="inlineStr">
        <is>
          <t>A 33200-2023</t>
        </is>
      </c>
      <c r="B259" s="1" t="n">
        <v>45127</v>
      </c>
      <c r="C259" s="1" t="n">
        <v>45811</v>
      </c>
      <c r="D259" t="inlineStr">
        <is>
          <t>GÄVLEBORGS LÄN</t>
        </is>
      </c>
      <c r="E259" t="inlineStr">
        <is>
          <t>LJUSDAL</t>
        </is>
      </c>
      <c r="F259" t="inlineStr">
        <is>
          <t>Bergvik skog väst AB</t>
        </is>
      </c>
      <c r="G259" t="n">
        <v>9.9</v>
      </c>
      <c r="H259" t="n">
        <v>0</v>
      </c>
      <c r="I259" t="n">
        <v>0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1</v>
      </c>
      <c r="R259" s="2" t="inlineStr">
        <is>
          <t>Garnlav</t>
        </is>
      </c>
      <c r="S259">
        <f>HYPERLINK("https://klasma.github.io/Logging_2161/artfynd/A 33200-2023 artfynd.xlsx", "A 33200-2023")</f>
        <v/>
      </c>
      <c r="T259">
        <f>HYPERLINK("https://klasma.github.io/Logging_2161/kartor/A 33200-2023 karta.png", "A 33200-2023")</f>
        <v/>
      </c>
      <c r="U259">
        <f>HYPERLINK("https://klasma.github.io/Logging_2161/knärot/A 33200-2023 karta knärot.png", "A 33200-2023")</f>
        <v/>
      </c>
      <c r="V259">
        <f>HYPERLINK("https://klasma.github.io/Logging_2161/klagomål/A 33200-2023 FSC-klagomål.docx", "A 33200-2023")</f>
        <v/>
      </c>
      <c r="W259">
        <f>HYPERLINK("https://klasma.github.io/Logging_2161/klagomålsmail/A 33200-2023 FSC-klagomål mail.docx", "A 33200-2023")</f>
        <v/>
      </c>
      <c r="X259">
        <f>HYPERLINK("https://klasma.github.io/Logging_2161/tillsyn/A 33200-2023 tillsynsbegäran.docx", "A 33200-2023")</f>
        <v/>
      </c>
      <c r="Y259">
        <f>HYPERLINK("https://klasma.github.io/Logging_2161/tillsynsmail/A 33200-2023 tillsynsbegäran mail.docx", "A 33200-2023")</f>
        <v/>
      </c>
    </row>
    <row r="260" ht="15" customHeight="1">
      <c r="A260" t="inlineStr">
        <is>
          <t>A 33198-2023</t>
        </is>
      </c>
      <c r="B260" s="1" t="n">
        <v>45127</v>
      </c>
      <c r="C260" s="1" t="n">
        <v>45811</v>
      </c>
      <c r="D260" t="inlineStr">
        <is>
          <t>GÄVLEBORGS LÄN</t>
        </is>
      </c>
      <c r="E260" t="inlineStr">
        <is>
          <t>LJUSDAL</t>
        </is>
      </c>
      <c r="F260" t="inlineStr">
        <is>
          <t>Bergvik skog väst AB</t>
        </is>
      </c>
      <c r="G260" t="n">
        <v>2.2</v>
      </c>
      <c r="H260" t="n">
        <v>1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1</v>
      </c>
      <c r="R260" s="2" t="inlineStr">
        <is>
          <t>Enkelbeckasin</t>
        </is>
      </c>
      <c r="S260">
        <f>HYPERLINK("https://klasma.github.io/Logging_2161/artfynd/A 33198-2023 artfynd.xlsx", "A 33198-2023")</f>
        <v/>
      </c>
      <c r="T260">
        <f>HYPERLINK("https://klasma.github.io/Logging_2161/kartor/A 33198-2023 karta.png", "A 33198-2023")</f>
        <v/>
      </c>
      <c r="V260">
        <f>HYPERLINK("https://klasma.github.io/Logging_2161/klagomål/A 33198-2023 FSC-klagomål.docx", "A 33198-2023")</f>
        <v/>
      </c>
      <c r="W260">
        <f>HYPERLINK("https://klasma.github.io/Logging_2161/klagomålsmail/A 33198-2023 FSC-klagomål mail.docx", "A 33198-2023")</f>
        <v/>
      </c>
      <c r="X260">
        <f>HYPERLINK("https://klasma.github.io/Logging_2161/tillsyn/A 33198-2023 tillsynsbegäran.docx", "A 33198-2023")</f>
        <v/>
      </c>
      <c r="Y260">
        <f>HYPERLINK("https://klasma.github.io/Logging_2161/tillsynsmail/A 33198-2023 tillsynsbegäran mail.docx", "A 33198-2023")</f>
        <v/>
      </c>
      <c r="Z260">
        <f>HYPERLINK("https://klasma.github.io/Logging_2161/fåglar/A 33198-2023 prioriterade fågelarter.docx", "A 33198-2023")</f>
        <v/>
      </c>
    </row>
    <row r="261" ht="15" customHeight="1">
      <c r="A261" t="inlineStr">
        <is>
          <t>A 35086-2023</t>
        </is>
      </c>
      <c r="B261" s="1" t="n">
        <v>45145</v>
      </c>
      <c r="C261" s="1" t="n">
        <v>45811</v>
      </c>
      <c r="D261" t="inlineStr">
        <is>
          <t>GÄVLEBORGS LÄN</t>
        </is>
      </c>
      <c r="E261" t="inlineStr">
        <is>
          <t>LJUSDAL</t>
        </is>
      </c>
      <c r="F261" t="inlineStr">
        <is>
          <t>Sveaskog</t>
        </is>
      </c>
      <c r="G261" t="n">
        <v>5</v>
      </c>
      <c r="H261" t="n">
        <v>0</v>
      </c>
      <c r="I261" t="n">
        <v>0</v>
      </c>
      <c r="J261" t="n">
        <v>1</v>
      </c>
      <c r="K261" t="n">
        <v>0</v>
      </c>
      <c r="L261" t="n">
        <v>0</v>
      </c>
      <c r="M261" t="n">
        <v>0</v>
      </c>
      <c r="N261" t="n">
        <v>0</v>
      </c>
      <c r="O261" t="n">
        <v>1</v>
      </c>
      <c r="P261" t="n">
        <v>0</v>
      </c>
      <c r="Q261" t="n">
        <v>1</v>
      </c>
      <c r="R261" s="2" t="inlineStr">
        <is>
          <t>Kolflarnlav</t>
        </is>
      </c>
      <c r="S261">
        <f>HYPERLINK("https://klasma.github.io/Logging_2161/artfynd/A 35086-2023 artfynd.xlsx", "A 35086-2023")</f>
        <v/>
      </c>
      <c r="T261">
        <f>HYPERLINK("https://klasma.github.io/Logging_2161/kartor/A 35086-2023 karta.png", "A 35086-2023")</f>
        <v/>
      </c>
      <c r="V261">
        <f>HYPERLINK("https://klasma.github.io/Logging_2161/klagomål/A 35086-2023 FSC-klagomål.docx", "A 35086-2023")</f>
        <v/>
      </c>
      <c r="W261">
        <f>HYPERLINK("https://klasma.github.io/Logging_2161/klagomålsmail/A 35086-2023 FSC-klagomål mail.docx", "A 35086-2023")</f>
        <v/>
      </c>
      <c r="X261">
        <f>HYPERLINK("https://klasma.github.io/Logging_2161/tillsyn/A 35086-2023 tillsynsbegäran.docx", "A 35086-2023")</f>
        <v/>
      </c>
      <c r="Y261">
        <f>HYPERLINK("https://klasma.github.io/Logging_2161/tillsynsmail/A 35086-2023 tillsynsbegäran mail.docx", "A 35086-2023")</f>
        <v/>
      </c>
    </row>
    <row r="262" ht="15" customHeight="1">
      <c r="A262" t="inlineStr">
        <is>
          <t>A 35080-2023</t>
        </is>
      </c>
      <c r="B262" s="1" t="n">
        <v>45145</v>
      </c>
      <c r="C262" s="1" t="n">
        <v>45811</v>
      </c>
      <c r="D262" t="inlineStr">
        <is>
          <t>GÄVLEBORGS LÄN</t>
        </is>
      </c>
      <c r="E262" t="inlineStr">
        <is>
          <t>LJUSDAL</t>
        </is>
      </c>
      <c r="F262" t="inlineStr">
        <is>
          <t>Sveaskog</t>
        </is>
      </c>
      <c r="G262" t="n">
        <v>2.9</v>
      </c>
      <c r="H262" t="n">
        <v>0</v>
      </c>
      <c r="I262" t="n">
        <v>0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1</v>
      </c>
      <c r="P262" t="n">
        <v>0</v>
      </c>
      <c r="Q262" t="n">
        <v>1</v>
      </c>
      <c r="R262" s="2" t="inlineStr">
        <is>
          <t>Vedflamlav</t>
        </is>
      </c>
      <c r="S262">
        <f>HYPERLINK("https://klasma.github.io/Logging_2161/artfynd/A 35080-2023 artfynd.xlsx", "A 35080-2023")</f>
        <v/>
      </c>
      <c r="T262">
        <f>HYPERLINK("https://klasma.github.io/Logging_2161/kartor/A 35080-2023 karta.png", "A 35080-2023")</f>
        <v/>
      </c>
      <c r="V262">
        <f>HYPERLINK("https://klasma.github.io/Logging_2161/klagomål/A 35080-2023 FSC-klagomål.docx", "A 35080-2023")</f>
        <v/>
      </c>
      <c r="W262">
        <f>HYPERLINK("https://klasma.github.io/Logging_2161/klagomålsmail/A 35080-2023 FSC-klagomål mail.docx", "A 35080-2023")</f>
        <v/>
      </c>
      <c r="X262">
        <f>HYPERLINK("https://klasma.github.io/Logging_2161/tillsyn/A 35080-2023 tillsynsbegäran.docx", "A 35080-2023")</f>
        <v/>
      </c>
      <c r="Y262">
        <f>HYPERLINK("https://klasma.github.io/Logging_2161/tillsynsmail/A 35080-2023 tillsynsbegäran mail.docx", "A 35080-2023")</f>
        <v/>
      </c>
    </row>
    <row r="263" ht="15" customHeight="1">
      <c r="A263" t="inlineStr">
        <is>
          <t>A 36101-2023</t>
        </is>
      </c>
      <c r="B263" s="1" t="n">
        <v>45149</v>
      </c>
      <c r="C263" s="1" t="n">
        <v>45811</v>
      </c>
      <c r="D263" t="inlineStr">
        <is>
          <t>GÄVLEBORGS LÄN</t>
        </is>
      </c>
      <c r="E263" t="inlineStr">
        <is>
          <t>LJUSDAL</t>
        </is>
      </c>
      <c r="F263" t="inlineStr">
        <is>
          <t>Sveaskog</t>
        </is>
      </c>
      <c r="G263" t="n">
        <v>1.2</v>
      </c>
      <c r="H263" t="n">
        <v>0</v>
      </c>
      <c r="I263" t="n">
        <v>0</v>
      </c>
      <c r="J263" t="n">
        <v>1</v>
      </c>
      <c r="K263" t="n">
        <v>0</v>
      </c>
      <c r="L263" t="n">
        <v>0</v>
      </c>
      <c r="M263" t="n">
        <v>0</v>
      </c>
      <c r="N263" t="n">
        <v>0</v>
      </c>
      <c r="O263" t="n">
        <v>1</v>
      </c>
      <c r="P263" t="n">
        <v>0</v>
      </c>
      <c r="Q263" t="n">
        <v>1</v>
      </c>
      <c r="R263" s="2" t="inlineStr">
        <is>
          <t>Lunglav</t>
        </is>
      </c>
      <c r="S263">
        <f>HYPERLINK("https://klasma.github.io/Logging_2161/artfynd/A 36101-2023 artfynd.xlsx", "A 36101-2023")</f>
        <v/>
      </c>
      <c r="T263">
        <f>HYPERLINK("https://klasma.github.io/Logging_2161/kartor/A 36101-2023 karta.png", "A 36101-2023")</f>
        <v/>
      </c>
      <c r="V263">
        <f>HYPERLINK("https://klasma.github.io/Logging_2161/klagomål/A 36101-2023 FSC-klagomål.docx", "A 36101-2023")</f>
        <v/>
      </c>
      <c r="W263">
        <f>HYPERLINK("https://klasma.github.io/Logging_2161/klagomålsmail/A 36101-2023 FSC-klagomål mail.docx", "A 36101-2023")</f>
        <v/>
      </c>
      <c r="X263">
        <f>HYPERLINK("https://klasma.github.io/Logging_2161/tillsyn/A 36101-2023 tillsynsbegäran.docx", "A 36101-2023")</f>
        <v/>
      </c>
      <c r="Y263">
        <f>HYPERLINK("https://klasma.github.io/Logging_2161/tillsynsmail/A 36101-2023 tillsynsbegäran mail.docx", "A 36101-2023")</f>
        <v/>
      </c>
    </row>
    <row r="264" ht="15" customHeight="1">
      <c r="A264" t="inlineStr">
        <is>
          <t>A 36184-2023</t>
        </is>
      </c>
      <c r="B264" s="1" t="n">
        <v>45149</v>
      </c>
      <c r="C264" s="1" t="n">
        <v>45811</v>
      </c>
      <c r="D264" t="inlineStr">
        <is>
          <t>GÄVLEBORGS LÄN</t>
        </is>
      </c>
      <c r="E264" t="inlineStr">
        <is>
          <t>LJUSDAL</t>
        </is>
      </c>
      <c r="F264" t="inlineStr">
        <is>
          <t>Sveaskog</t>
        </is>
      </c>
      <c r="G264" t="n">
        <v>3</v>
      </c>
      <c r="H264" t="n">
        <v>0</v>
      </c>
      <c r="I264" t="n">
        <v>0</v>
      </c>
      <c r="J264" t="n">
        <v>1</v>
      </c>
      <c r="K264" t="n">
        <v>0</v>
      </c>
      <c r="L264" t="n">
        <v>0</v>
      </c>
      <c r="M264" t="n">
        <v>0</v>
      </c>
      <c r="N264" t="n">
        <v>0</v>
      </c>
      <c r="O264" t="n">
        <v>1</v>
      </c>
      <c r="P264" t="n">
        <v>0</v>
      </c>
      <c r="Q264" t="n">
        <v>1</v>
      </c>
      <c r="R264" s="2" t="inlineStr">
        <is>
          <t>Kolflarnlav</t>
        </is>
      </c>
      <c r="S264">
        <f>HYPERLINK("https://klasma.github.io/Logging_2161/artfynd/A 36184-2023 artfynd.xlsx", "A 36184-2023")</f>
        <v/>
      </c>
      <c r="T264">
        <f>HYPERLINK("https://klasma.github.io/Logging_2161/kartor/A 36184-2023 karta.png", "A 36184-2023")</f>
        <v/>
      </c>
      <c r="V264">
        <f>HYPERLINK("https://klasma.github.io/Logging_2161/klagomål/A 36184-2023 FSC-klagomål.docx", "A 36184-2023")</f>
        <v/>
      </c>
      <c r="W264">
        <f>HYPERLINK("https://klasma.github.io/Logging_2161/klagomålsmail/A 36184-2023 FSC-klagomål mail.docx", "A 36184-2023")</f>
        <v/>
      </c>
      <c r="X264">
        <f>HYPERLINK("https://klasma.github.io/Logging_2161/tillsyn/A 36184-2023 tillsynsbegäran.docx", "A 36184-2023")</f>
        <v/>
      </c>
      <c r="Y264">
        <f>HYPERLINK("https://klasma.github.io/Logging_2161/tillsynsmail/A 36184-2023 tillsynsbegäran mail.docx", "A 36184-2023")</f>
        <v/>
      </c>
    </row>
    <row r="265" ht="15" customHeight="1">
      <c r="A265" t="inlineStr">
        <is>
          <t>A 37610-2023</t>
        </is>
      </c>
      <c r="B265" s="1" t="n">
        <v>45159</v>
      </c>
      <c r="C265" s="1" t="n">
        <v>45811</v>
      </c>
      <c r="D265" t="inlineStr">
        <is>
          <t>GÄVLEBORGS LÄN</t>
        </is>
      </c>
      <c r="E265" t="inlineStr">
        <is>
          <t>LJUSDAL</t>
        </is>
      </c>
      <c r="F265" t="inlineStr">
        <is>
          <t>Sveaskog</t>
        </is>
      </c>
      <c r="G265" t="n">
        <v>1.2</v>
      </c>
      <c r="H265" t="n">
        <v>0</v>
      </c>
      <c r="I265" t="n">
        <v>0</v>
      </c>
      <c r="J265" t="n">
        <v>1</v>
      </c>
      <c r="K265" t="n">
        <v>0</v>
      </c>
      <c r="L265" t="n">
        <v>0</v>
      </c>
      <c r="M265" t="n">
        <v>0</v>
      </c>
      <c r="N265" t="n">
        <v>0</v>
      </c>
      <c r="O265" t="n">
        <v>1</v>
      </c>
      <c r="P265" t="n">
        <v>0</v>
      </c>
      <c r="Q265" t="n">
        <v>1</v>
      </c>
      <c r="R265" s="2" t="inlineStr">
        <is>
          <t>Kolflarnlav</t>
        </is>
      </c>
      <c r="S265">
        <f>HYPERLINK("https://klasma.github.io/Logging_2161/artfynd/A 37610-2023 artfynd.xlsx", "A 37610-2023")</f>
        <v/>
      </c>
      <c r="T265">
        <f>HYPERLINK("https://klasma.github.io/Logging_2161/kartor/A 37610-2023 karta.png", "A 37610-2023")</f>
        <v/>
      </c>
      <c r="V265">
        <f>HYPERLINK("https://klasma.github.io/Logging_2161/klagomål/A 37610-2023 FSC-klagomål.docx", "A 37610-2023")</f>
        <v/>
      </c>
      <c r="W265">
        <f>HYPERLINK("https://klasma.github.io/Logging_2161/klagomålsmail/A 37610-2023 FSC-klagomål mail.docx", "A 37610-2023")</f>
        <v/>
      </c>
      <c r="X265">
        <f>HYPERLINK("https://klasma.github.io/Logging_2161/tillsyn/A 37610-2023 tillsynsbegäran.docx", "A 37610-2023")</f>
        <v/>
      </c>
      <c r="Y265">
        <f>HYPERLINK("https://klasma.github.io/Logging_2161/tillsynsmail/A 37610-2023 tillsynsbegäran mail.docx", "A 37610-2023")</f>
        <v/>
      </c>
    </row>
    <row r="266" ht="15" customHeight="1">
      <c r="A266" t="inlineStr">
        <is>
          <t>A 37660-2023</t>
        </is>
      </c>
      <c r="B266" s="1" t="n">
        <v>45159</v>
      </c>
      <c r="C266" s="1" t="n">
        <v>45811</v>
      </c>
      <c r="D266" t="inlineStr">
        <is>
          <t>GÄVLEBORGS LÄN</t>
        </is>
      </c>
      <c r="E266" t="inlineStr">
        <is>
          <t>LJUSDAL</t>
        </is>
      </c>
      <c r="F266" t="inlineStr">
        <is>
          <t>Sveaskog</t>
        </is>
      </c>
      <c r="G266" t="n">
        <v>8.300000000000001</v>
      </c>
      <c r="H266" t="n">
        <v>0</v>
      </c>
      <c r="I266" t="n">
        <v>0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1</v>
      </c>
      <c r="P266" t="n">
        <v>0</v>
      </c>
      <c r="Q266" t="n">
        <v>1</v>
      </c>
      <c r="R266" s="2" t="inlineStr">
        <is>
          <t>Lunglav</t>
        </is>
      </c>
      <c r="S266">
        <f>HYPERLINK("https://klasma.github.io/Logging_2161/artfynd/A 37660-2023 artfynd.xlsx", "A 37660-2023")</f>
        <v/>
      </c>
      <c r="T266">
        <f>HYPERLINK("https://klasma.github.io/Logging_2161/kartor/A 37660-2023 karta.png", "A 37660-2023")</f>
        <v/>
      </c>
      <c r="V266">
        <f>HYPERLINK("https://klasma.github.io/Logging_2161/klagomål/A 37660-2023 FSC-klagomål.docx", "A 37660-2023")</f>
        <v/>
      </c>
      <c r="W266">
        <f>HYPERLINK("https://klasma.github.io/Logging_2161/klagomålsmail/A 37660-2023 FSC-klagomål mail.docx", "A 37660-2023")</f>
        <v/>
      </c>
      <c r="X266">
        <f>HYPERLINK("https://klasma.github.io/Logging_2161/tillsyn/A 37660-2023 tillsynsbegäran.docx", "A 37660-2023")</f>
        <v/>
      </c>
      <c r="Y266">
        <f>HYPERLINK("https://klasma.github.io/Logging_2161/tillsynsmail/A 37660-2023 tillsynsbegäran mail.docx", "A 37660-2023")</f>
        <v/>
      </c>
    </row>
    <row r="267" ht="15" customHeight="1">
      <c r="A267" t="inlineStr">
        <is>
          <t>A 38400-2023</t>
        </is>
      </c>
      <c r="B267" s="1" t="n">
        <v>45162</v>
      </c>
      <c r="C267" s="1" t="n">
        <v>45811</v>
      </c>
      <c r="D267" t="inlineStr">
        <is>
          <t>GÄVLEBORGS LÄN</t>
        </is>
      </c>
      <c r="E267" t="inlineStr">
        <is>
          <t>LJUSDAL</t>
        </is>
      </c>
      <c r="G267" t="n">
        <v>7</v>
      </c>
      <c r="H267" t="n">
        <v>1</v>
      </c>
      <c r="I267" t="n">
        <v>0</v>
      </c>
      <c r="J267" t="n">
        <v>0</v>
      </c>
      <c r="K267" t="n">
        <v>1</v>
      </c>
      <c r="L267" t="n">
        <v>0</v>
      </c>
      <c r="M267" t="n">
        <v>0</v>
      </c>
      <c r="N267" t="n">
        <v>0</v>
      </c>
      <c r="O267" t="n">
        <v>1</v>
      </c>
      <c r="P267" t="n">
        <v>1</v>
      </c>
      <c r="Q267" t="n">
        <v>1</v>
      </c>
      <c r="R267" s="2" t="inlineStr">
        <is>
          <t>Knärot</t>
        </is>
      </c>
      <c r="S267">
        <f>HYPERLINK("https://klasma.github.io/Logging_2161/artfynd/A 38400-2023 artfynd.xlsx", "A 38400-2023")</f>
        <v/>
      </c>
      <c r="T267">
        <f>HYPERLINK("https://klasma.github.io/Logging_2161/kartor/A 38400-2023 karta.png", "A 38400-2023")</f>
        <v/>
      </c>
      <c r="U267">
        <f>HYPERLINK("https://klasma.github.io/Logging_2161/knärot/A 38400-2023 karta knärot.png", "A 38400-2023")</f>
        <v/>
      </c>
      <c r="V267">
        <f>HYPERLINK("https://klasma.github.io/Logging_2161/klagomål/A 38400-2023 FSC-klagomål.docx", "A 38400-2023")</f>
        <v/>
      </c>
      <c r="W267">
        <f>HYPERLINK("https://klasma.github.io/Logging_2161/klagomålsmail/A 38400-2023 FSC-klagomål mail.docx", "A 38400-2023")</f>
        <v/>
      </c>
      <c r="X267">
        <f>HYPERLINK("https://klasma.github.io/Logging_2161/tillsyn/A 38400-2023 tillsynsbegäran.docx", "A 38400-2023")</f>
        <v/>
      </c>
      <c r="Y267">
        <f>HYPERLINK("https://klasma.github.io/Logging_2161/tillsynsmail/A 38400-2023 tillsynsbegäran mail.docx", "A 38400-2023")</f>
        <v/>
      </c>
    </row>
    <row r="268" ht="15" customHeight="1">
      <c r="A268" t="inlineStr">
        <is>
          <t>A 40943-2023</t>
        </is>
      </c>
      <c r="B268" s="1" t="n">
        <v>45173</v>
      </c>
      <c r="C268" s="1" t="n">
        <v>45811</v>
      </c>
      <c r="D268" t="inlineStr">
        <is>
          <t>GÄVLEBORGS LÄN</t>
        </is>
      </c>
      <c r="E268" t="inlineStr">
        <is>
          <t>LJUSDAL</t>
        </is>
      </c>
      <c r="G268" t="n">
        <v>5.8</v>
      </c>
      <c r="H268" t="n">
        <v>0</v>
      </c>
      <c r="I268" t="n">
        <v>0</v>
      </c>
      <c r="J268" t="n">
        <v>1</v>
      </c>
      <c r="K268" t="n">
        <v>0</v>
      </c>
      <c r="L268" t="n">
        <v>0</v>
      </c>
      <c r="M268" t="n">
        <v>0</v>
      </c>
      <c r="N268" t="n">
        <v>0</v>
      </c>
      <c r="O268" t="n">
        <v>1</v>
      </c>
      <c r="P268" t="n">
        <v>0</v>
      </c>
      <c r="Q268" t="n">
        <v>1</v>
      </c>
      <c r="R268" s="2" t="inlineStr">
        <is>
          <t>Mörk kolflarnlav</t>
        </is>
      </c>
      <c r="S268">
        <f>HYPERLINK("https://klasma.github.io/Logging_2161/artfynd/A 40943-2023 artfynd.xlsx", "A 40943-2023")</f>
        <v/>
      </c>
      <c r="T268">
        <f>HYPERLINK("https://klasma.github.io/Logging_2161/kartor/A 40943-2023 karta.png", "A 40943-2023")</f>
        <v/>
      </c>
      <c r="V268">
        <f>HYPERLINK("https://klasma.github.io/Logging_2161/klagomål/A 40943-2023 FSC-klagomål.docx", "A 40943-2023")</f>
        <v/>
      </c>
      <c r="W268">
        <f>HYPERLINK("https://klasma.github.io/Logging_2161/klagomålsmail/A 40943-2023 FSC-klagomål mail.docx", "A 40943-2023")</f>
        <v/>
      </c>
      <c r="X268">
        <f>HYPERLINK("https://klasma.github.io/Logging_2161/tillsyn/A 40943-2023 tillsynsbegäran.docx", "A 40943-2023")</f>
        <v/>
      </c>
      <c r="Y268">
        <f>HYPERLINK("https://klasma.github.io/Logging_2161/tillsynsmail/A 40943-2023 tillsynsbegäran mail.docx", "A 40943-2023")</f>
        <v/>
      </c>
    </row>
    <row r="269" ht="15" customHeight="1">
      <c r="A269" t="inlineStr">
        <is>
          <t>A 47717-2023</t>
        </is>
      </c>
      <c r="B269" s="1" t="n">
        <v>45203</v>
      </c>
      <c r="C269" s="1" t="n">
        <v>45811</v>
      </c>
      <c r="D269" t="inlineStr">
        <is>
          <t>GÄVLEBORGS LÄN</t>
        </is>
      </c>
      <c r="E269" t="inlineStr">
        <is>
          <t>LJUSDAL</t>
        </is>
      </c>
      <c r="F269" t="inlineStr">
        <is>
          <t>Sveaskog</t>
        </is>
      </c>
      <c r="G269" t="n">
        <v>3.8</v>
      </c>
      <c r="H269" t="n">
        <v>0</v>
      </c>
      <c r="I269" t="n">
        <v>0</v>
      </c>
      <c r="J269" t="n">
        <v>1</v>
      </c>
      <c r="K269" t="n">
        <v>0</v>
      </c>
      <c r="L269" t="n">
        <v>0</v>
      </c>
      <c r="M269" t="n">
        <v>0</v>
      </c>
      <c r="N269" t="n">
        <v>0</v>
      </c>
      <c r="O269" t="n">
        <v>1</v>
      </c>
      <c r="P269" t="n">
        <v>0</v>
      </c>
      <c r="Q269" t="n">
        <v>1</v>
      </c>
      <c r="R269" s="2" t="inlineStr">
        <is>
          <t>Lunglav</t>
        </is>
      </c>
      <c r="S269">
        <f>HYPERLINK("https://klasma.github.io/Logging_2161/artfynd/A 47717-2023 artfynd.xlsx", "A 47717-2023")</f>
        <v/>
      </c>
      <c r="T269">
        <f>HYPERLINK("https://klasma.github.io/Logging_2161/kartor/A 47717-2023 karta.png", "A 47717-2023")</f>
        <v/>
      </c>
      <c r="V269">
        <f>HYPERLINK("https://klasma.github.io/Logging_2161/klagomål/A 47717-2023 FSC-klagomål.docx", "A 47717-2023")</f>
        <v/>
      </c>
      <c r="W269">
        <f>HYPERLINK("https://klasma.github.io/Logging_2161/klagomålsmail/A 47717-2023 FSC-klagomål mail.docx", "A 47717-2023")</f>
        <v/>
      </c>
      <c r="X269">
        <f>HYPERLINK("https://klasma.github.io/Logging_2161/tillsyn/A 47717-2023 tillsynsbegäran.docx", "A 47717-2023")</f>
        <v/>
      </c>
      <c r="Y269">
        <f>HYPERLINK("https://klasma.github.io/Logging_2161/tillsynsmail/A 47717-2023 tillsynsbegäran mail.docx", "A 47717-2023")</f>
        <v/>
      </c>
    </row>
    <row r="270" ht="15" customHeight="1">
      <c r="A270" t="inlineStr">
        <is>
          <t>A 50257-2023</t>
        </is>
      </c>
      <c r="B270" s="1" t="n">
        <v>45216</v>
      </c>
      <c r="C270" s="1" t="n">
        <v>45811</v>
      </c>
      <c r="D270" t="inlineStr">
        <is>
          <t>GÄVLEBORGS LÄN</t>
        </is>
      </c>
      <c r="E270" t="inlineStr">
        <is>
          <t>LJUSDAL</t>
        </is>
      </c>
      <c r="F270" t="inlineStr">
        <is>
          <t>Sveaskog</t>
        </is>
      </c>
      <c r="G270" t="n">
        <v>1.2</v>
      </c>
      <c r="H270" t="n">
        <v>0</v>
      </c>
      <c r="I270" t="n">
        <v>0</v>
      </c>
      <c r="J270" t="n">
        <v>1</v>
      </c>
      <c r="K270" t="n">
        <v>0</v>
      </c>
      <c r="L270" t="n">
        <v>0</v>
      </c>
      <c r="M270" t="n">
        <v>0</v>
      </c>
      <c r="N270" t="n">
        <v>0</v>
      </c>
      <c r="O270" t="n">
        <v>1</v>
      </c>
      <c r="P270" t="n">
        <v>0</v>
      </c>
      <c r="Q270" t="n">
        <v>1</v>
      </c>
      <c r="R270" s="2" t="inlineStr">
        <is>
          <t>Kolflarnlav</t>
        </is>
      </c>
      <c r="S270">
        <f>HYPERLINK("https://klasma.github.io/Logging_2161/artfynd/A 50257-2023 artfynd.xlsx", "A 50257-2023")</f>
        <v/>
      </c>
      <c r="T270">
        <f>HYPERLINK("https://klasma.github.io/Logging_2161/kartor/A 50257-2023 karta.png", "A 50257-2023")</f>
        <v/>
      </c>
      <c r="V270">
        <f>HYPERLINK("https://klasma.github.io/Logging_2161/klagomål/A 50257-2023 FSC-klagomål.docx", "A 50257-2023")</f>
        <v/>
      </c>
      <c r="W270">
        <f>HYPERLINK("https://klasma.github.io/Logging_2161/klagomålsmail/A 50257-2023 FSC-klagomål mail.docx", "A 50257-2023")</f>
        <v/>
      </c>
      <c r="X270">
        <f>HYPERLINK("https://klasma.github.io/Logging_2161/tillsyn/A 50257-2023 tillsynsbegäran.docx", "A 50257-2023")</f>
        <v/>
      </c>
      <c r="Y270">
        <f>HYPERLINK("https://klasma.github.io/Logging_2161/tillsynsmail/A 50257-2023 tillsynsbegäran mail.docx", "A 50257-2023")</f>
        <v/>
      </c>
    </row>
    <row r="271" ht="15" customHeight="1">
      <c r="A271" t="inlineStr">
        <is>
          <t>A 51232-2023</t>
        </is>
      </c>
      <c r="B271" s="1" t="n">
        <v>45219</v>
      </c>
      <c r="C271" s="1" t="n">
        <v>45811</v>
      </c>
      <c r="D271" t="inlineStr">
        <is>
          <t>GÄVLEBORGS LÄN</t>
        </is>
      </c>
      <c r="E271" t="inlineStr">
        <is>
          <t>LJUSDAL</t>
        </is>
      </c>
      <c r="F271" t="inlineStr">
        <is>
          <t>Sveaskog</t>
        </is>
      </c>
      <c r="G271" t="n">
        <v>1.9</v>
      </c>
      <c r="H271" t="n">
        <v>0</v>
      </c>
      <c r="I271" t="n">
        <v>0</v>
      </c>
      <c r="J271" t="n">
        <v>1</v>
      </c>
      <c r="K271" t="n">
        <v>0</v>
      </c>
      <c r="L271" t="n">
        <v>0</v>
      </c>
      <c r="M271" t="n">
        <v>0</v>
      </c>
      <c r="N271" t="n">
        <v>0</v>
      </c>
      <c r="O271" t="n">
        <v>1</v>
      </c>
      <c r="P271" t="n">
        <v>0</v>
      </c>
      <c r="Q271" t="n">
        <v>1</v>
      </c>
      <c r="R271" s="2" t="inlineStr">
        <is>
          <t>Lunglav</t>
        </is>
      </c>
      <c r="S271">
        <f>HYPERLINK("https://klasma.github.io/Logging_2161/artfynd/A 51232-2023 artfynd.xlsx", "A 51232-2023")</f>
        <v/>
      </c>
      <c r="T271">
        <f>HYPERLINK("https://klasma.github.io/Logging_2161/kartor/A 51232-2023 karta.png", "A 51232-2023")</f>
        <v/>
      </c>
      <c r="V271">
        <f>HYPERLINK("https://klasma.github.io/Logging_2161/klagomål/A 51232-2023 FSC-klagomål.docx", "A 51232-2023")</f>
        <v/>
      </c>
      <c r="W271">
        <f>HYPERLINK("https://klasma.github.io/Logging_2161/klagomålsmail/A 51232-2023 FSC-klagomål mail.docx", "A 51232-2023")</f>
        <v/>
      </c>
      <c r="X271">
        <f>HYPERLINK("https://klasma.github.io/Logging_2161/tillsyn/A 51232-2023 tillsynsbegäran.docx", "A 51232-2023")</f>
        <v/>
      </c>
      <c r="Y271">
        <f>HYPERLINK("https://klasma.github.io/Logging_2161/tillsynsmail/A 51232-2023 tillsynsbegäran mail.docx", "A 51232-2023")</f>
        <v/>
      </c>
    </row>
    <row r="272" ht="15" customHeight="1">
      <c r="A272" t="inlineStr">
        <is>
          <t>A 51498-2023</t>
        </is>
      </c>
      <c r="B272" s="1" t="n">
        <v>45222</v>
      </c>
      <c r="C272" s="1" t="n">
        <v>45811</v>
      </c>
      <c r="D272" t="inlineStr">
        <is>
          <t>GÄVLEBORGS LÄN</t>
        </is>
      </c>
      <c r="E272" t="inlineStr">
        <is>
          <t>LJUSDAL</t>
        </is>
      </c>
      <c r="G272" t="n">
        <v>4.9</v>
      </c>
      <c r="H272" t="n">
        <v>1</v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s="2" t="inlineStr">
        <is>
          <t>Tvåblad</t>
        </is>
      </c>
      <c r="S272">
        <f>HYPERLINK("https://klasma.github.io/Logging_2161/artfynd/A 51498-2023 artfynd.xlsx", "A 51498-2023")</f>
        <v/>
      </c>
      <c r="T272">
        <f>HYPERLINK("https://klasma.github.io/Logging_2161/kartor/A 51498-2023 karta.png", "A 51498-2023")</f>
        <v/>
      </c>
      <c r="V272">
        <f>HYPERLINK("https://klasma.github.io/Logging_2161/klagomål/A 51498-2023 FSC-klagomål.docx", "A 51498-2023")</f>
        <v/>
      </c>
      <c r="W272">
        <f>HYPERLINK("https://klasma.github.io/Logging_2161/klagomålsmail/A 51498-2023 FSC-klagomål mail.docx", "A 51498-2023")</f>
        <v/>
      </c>
      <c r="X272">
        <f>HYPERLINK("https://klasma.github.io/Logging_2161/tillsyn/A 51498-2023 tillsynsbegäran.docx", "A 51498-2023")</f>
        <v/>
      </c>
      <c r="Y272">
        <f>HYPERLINK("https://klasma.github.io/Logging_2161/tillsynsmail/A 51498-2023 tillsynsbegäran mail.docx", "A 51498-2023")</f>
        <v/>
      </c>
    </row>
    <row r="273" ht="15" customHeight="1">
      <c r="A273" t="inlineStr">
        <is>
          <t>A 53286-2023</t>
        </is>
      </c>
      <c r="B273" s="1" t="n">
        <v>45229</v>
      </c>
      <c r="C273" s="1" t="n">
        <v>45811</v>
      </c>
      <c r="D273" t="inlineStr">
        <is>
          <t>GÄVLEBORGS LÄN</t>
        </is>
      </c>
      <c r="E273" t="inlineStr">
        <is>
          <t>LJUSDAL</t>
        </is>
      </c>
      <c r="F273" t="inlineStr">
        <is>
          <t>Sveaskog</t>
        </is>
      </c>
      <c r="G273" t="n">
        <v>8</v>
      </c>
      <c r="H273" t="n">
        <v>0</v>
      </c>
      <c r="I273" t="n">
        <v>0</v>
      </c>
      <c r="J273" t="n">
        <v>1</v>
      </c>
      <c r="K273" t="n">
        <v>0</v>
      </c>
      <c r="L273" t="n">
        <v>0</v>
      </c>
      <c r="M273" t="n">
        <v>0</v>
      </c>
      <c r="N273" t="n">
        <v>0</v>
      </c>
      <c r="O273" t="n">
        <v>1</v>
      </c>
      <c r="P273" t="n">
        <v>0</v>
      </c>
      <c r="Q273" t="n">
        <v>1</v>
      </c>
      <c r="R273" s="2" t="inlineStr">
        <is>
          <t>Kolflarnlav</t>
        </is>
      </c>
      <c r="S273">
        <f>HYPERLINK("https://klasma.github.io/Logging_2161/artfynd/A 53286-2023 artfynd.xlsx", "A 53286-2023")</f>
        <v/>
      </c>
      <c r="T273">
        <f>HYPERLINK("https://klasma.github.io/Logging_2161/kartor/A 53286-2023 karta.png", "A 53286-2023")</f>
        <v/>
      </c>
      <c r="V273">
        <f>HYPERLINK("https://klasma.github.io/Logging_2161/klagomål/A 53286-2023 FSC-klagomål.docx", "A 53286-2023")</f>
        <v/>
      </c>
      <c r="W273">
        <f>HYPERLINK("https://klasma.github.io/Logging_2161/klagomålsmail/A 53286-2023 FSC-klagomål mail.docx", "A 53286-2023")</f>
        <v/>
      </c>
      <c r="X273">
        <f>HYPERLINK("https://klasma.github.io/Logging_2161/tillsyn/A 53286-2023 tillsynsbegäran.docx", "A 53286-2023")</f>
        <v/>
      </c>
      <c r="Y273">
        <f>HYPERLINK("https://klasma.github.io/Logging_2161/tillsynsmail/A 53286-2023 tillsynsbegäran mail.docx", "A 53286-2023")</f>
        <v/>
      </c>
    </row>
    <row r="274" ht="15" customHeight="1">
      <c r="A274" t="inlineStr">
        <is>
          <t>A 53858-2023</t>
        </is>
      </c>
      <c r="B274" s="1" t="n">
        <v>45231</v>
      </c>
      <c r="C274" s="1" t="n">
        <v>45811</v>
      </c>
      <c r="D274" t="inlineStr">
        <is>
          <t>GÄVLEBORGS LÄN</t>
        </is>
      </c>
      <c r="E274" t="inlineStr">
        <is>
          <t>LJUSDAL</t>
        </is>
      </c>
      <c r="F274" t="inlineStr">
        <is>
          <t>Allmännings- och besparingsskogar</t>
        </is>
      </c>
      <c r="G274" t="n">
        <v>2.3</v>
      </c>
      <c r="H274" t="n">
        <v>1</v>
      </c>
      <c r="I274" t="n">
        <v>0</v>
      </c>
      <c r="J274" t="n">
        <v>0</v>
      </c>
      <c r="K274" t="n">
        <v>1</v>
      </c>
      <c r="L274" t="n">
        <v>0</v>
      </c>
      <c r="M274" t="n">
        <v>0</v>
      </c>
      <c r="N274" t="n">
        <v>0</v>
      </c>
      <c r="O274" t="n">
        <v>1</v>
      </c>
      <c r="P274" t="n">
        <v>1</v>
      </c>
      <c r="Q274" t="n">
        <v>1</v>
      </c>
      <c r="R274" s="2" t="inlineStr">
        <is>
          <t>Mellanlummer</t>
        </is>
      </c>
      <c r="S274">
        <f>HYPERLINK("https://klasma.github.io/Logging_2161/artfynd/A 53858-2023 artfynd.xlsx", "A 53858-2023")</f>
        <v/>
      </c>
      <c r="T274">
        <f>HYPERLINK("https://klasma.github.io/Logging_2161/kartor/A 53858-2023 karta.png", "A 53858-2023")</f>
        <v/>
      </c>
      <c r="V274">
        <f>HYPERLINK("https://klasma.github.io/Logging_2161/klagomål/A 53858-2023 FSC-klagomål.docx", "A 53858-2023")</f>
        <v/>
      </c>
      <c r="W274">
        <f>HYPERLINK("https://klasma.github.io/Logging_2161/klagomålsmail/A 53858-2023 FSC-klagomål mail.docx", "A 53858-2023")</f>
        <v/>
      </c>
      <c r="X274">
        <f>HYPERLINK("https://klasma.github.io/Logging_2161/tillsyn/A 53858-2023 tillsynsbegäran.docx", "A 53858-2023")</f>
        <v/>
      </c>
      <c r="Y274">
        <f>HYPERLINK("https://klasma.github.io/Logging_2161/tillsynsmail/A 53858-2023 tillsynsbegäran mail.docx", "A 53858-2023")</f>
        <v/>
      </c>
    </row>
    <row r="275" ht="15" customHeight="1">
      <c r="A275" t="inlineStr">
        <is>
          <t>A 56782-2023</t>
        </is>
      </c>
      <c r="B275" s="1" t="n">
        <v>45244</v>
      </c>
      <c r="C275" s="1" t="n">
        <v>45811</v>
      </c>
      <c r="D275" t="inlineStr">
        <is>
          <t>GÄVLEBORGS LÄN</t>
        </is>
      </c>
      <c r="E275" t="inlineStr">
        <is>
          <t>LJUSDAL</t>
        </is>
      </c>
      <c r="F275" t="inlineStr">
        <is>
          <t>Sveaskog</t>
        </is>
      </c>
      <c r="G275" t="n">
        <v>0.8</v>
      </c>
      <c r="H275" t="n">
        <v>1</v>
      </c>
      <c r="I275" t="n">
        <v>0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1</v>
      </c>
      <c r="P275" t="n">
        <v>0</v>
      </c>
      <c r="Q275" t="n">
        <v>1</v>
      </c>
      <c r="R275" s="2" t="inlineStr">
        <is>
          <t>Järpe</t>
        </is>
      </c>
      <c r="S275">
        <f>HYPERLINK("https://klasma.github.io/Logging_2161/artfynd/A 56782-2023 artfynd.xlsx", "A 56782-2023")</f>
        <v/>
      </c>
      <c r="T275">
        <f>HYPERLINK("https://klasma.github.io/Logging_2161/kartor/A 56782-2023 karta.png", "A 56782-2023")</f>
        <v/>
      </c>
      <c r="U275">
        <f>HYPERLINK("https://klasma.github.io/Logging_2161/knärot/A 56782-2023 karta knärot.png", "A 56782-2023")</f>
        <v/>
      </c>
      <c r="V275">
        <f>HYPERLINK("https://klasma.github.io/Logging_2161/klagomål/A 56782-2023 FSC-klagomål.docx", "A 56782-2023")</f>
        <v/>
      </c>
      <c r="W275">
        <f>HYPERLINK("https://klasma.github.io/Logging_2161/klagomålsmail/A 56782-2023 FSC-klagomål mail.docx", "A 56782-2023")</f>
        <v/>
      </c>
      <c r="X275">
        <f>HYPERLINK("https://klasma.github.io/Logging_2161/tillsyn/A 56782-2023 tillsynsbegäran.docx", "A 56782-2023")</f>
        <v/>
      </c>
      <c r="Y275">
        <f>HYPERLINK("https://klasma.github.io/Logging_2161/tillsynsmail/A 56782-2023 tillsynsbegäran mail.docx", "A 56782-2023")</f>
        <v/>
      </c>
      <c r="Z275">
        <f>HYPERLINK("https://klasma.github.io/Logging_2161/fåglar/A 56782-2023 prioriterade fågelarter.docx", "A 56782-2023")</f>
        <v/>
      </c>
    </row>
    <row r="276" ht="15" customHeight="1">
      <c r="A276" t="inlineStr">
        <is>
          <t>A 63166-2023</t>
        </is>
      </c>
      <c r="B276" s="1" t="n">
        <v>45273</v>
      </c>
      <c r="C276" s="1" t="n">
        <v>45811</v>
      </c>
      <c r="D276" t="inlineStr">
        <is>
          <t>GÄVLEBORGS LÄN</t>
        </is>
      </c>
      <c r="E276" t="inlineStr">
        <is>
          <t>LJUSDAL</t>
        </is>
      </c>
      <c r="G276" t="n">
        <v>3.1</v>
      </c>
      <c r="H276" t="n">
        <v>0</v>
      </c>
      <c r="I276" t="n">
        <v>0</v>
      </c>
      <c r="J276" t="n">
        <v>1</v>
      </c>
      <c r="K276" t="n">
        <v>0</v>
      </c>
      <c r="L276" t="n">
        <v>0</v>
      </c>
      <c r="M276" t="n">
        <v>0</v>
      </c>
      <c r="N276" t="n">
        <v>0</v>
      </c>
      <c r="O276" t="n">
        <v>1</v>
      </c>
      <c r="P276" t="n">
        <v>0</v>
      </c>
      <c r="Q276" t="n">
        <v>1</v>
      </c>
      <c r="R276" s="2" t="inlineStr">
        <is>
          <t>Tallticka</t>
        </is>
      </c>
      <c r="S276">
        <f>HYPERLINK("https://klasma.github.io/Logging_2161/artfynd/A 63166-2023 artfynd.xlsx", "A 63166-2023")</f>
        <v/>
      </c>
      <c r="T276">
        <f>HYPERLINK("https://klasma.github.io/Logging_2161/kartor/A 63166-2023 karta.png", "A 63166-2023")</f>
        <v/>
      </c>
      <c r="V276">
        <f>HYPERLINK("https://klasma.github.io/Logging_2161/klagomål/A 63166-2023 FSC-klagomål.docx", "A 63166-2023")</f>
        <v/>
      </c>
      <c r="W276">
        <f>HYPERLINK("https://klasma.github.io/Logging_2161/klagomålsmail/A 63166-2023 FSC-klagomål mail.docx", "A 63166-2023")</f>
        <v/>
      </c>
      <c r="X276">
        <f>HYPERLINK("https://klasma.github.io/Logging_2161/tillsyn/A 63166-2023 tillsynsbegäran.docx", "A 63166-2023")</f>
        <v/>
      </c>
      <c r="Y276">
        <f>HYPERLINK("https://klasma.github.io/Logging_2161/tillsynsmail/A 63166-2023 tillsynsbegäran mail.docx", "A 63166-2023")</f>
        <v/>
      </c>
    </row>
    <row r="277" ht="15" customHeight="1">
      <c r="A277" t="inlineStr">
        <is>
          <t>A 4839-2024</t>
        </is>
      </c>
      <c r="B277" s="1" t="n">
        <v>45329</v>
      </c>
      <c r="C277" s="1" t="n">
        <v>45811</v>
      </c>
      <c r="D277" t="inlineStr">
        <is>
          <t>GÄVLEBORGS LÄN</t>
        </is>
      </c>
      <c r="E277" t="inlineStr">
        <is>
          <t>LJUSDAL</t>
        </is>
      </c>
      <c r="G277" t="n">
        <v>2.5</v>
      </c>
      <c r="H277" t="n">
        <v>1</v>
      </c>
      <c r="I277" t="n">
        <v>0</v>
      </c>
      <c r="J277" t="n">
        <v>1</v>
      </c>
      <c r="K277" t="n">
        <v>0</v>
      </c>
      <c r="L277" t="n">
        <v>0</v>
      </c>
      <c r="M277" t="n">
        <v>0</v>
      </c>
      <c r="N277" t="n">
        <v>0</v>
      </c>
      <c r="O277" t="n">
        <v>1</v>
      </c>
      <c r="P277" t="n">
        <v>0</v>
      </c>
      <c r="Q277" t="n">
        <v>1</v>
      </c>
      <c r="R277" s="2" t="inlineStr">
        <is>
          <t>Ävjepilört</t>
        </is>
      </c>
      <c r="S277">
        <f>HYPERLINK("https://klasma.github.io/Logging_2161/artfynd/A 4839-2024 artfynd.xlsx", "A 4839-2024")</f>
        <v/>
      </c>
      <c r="T277">
        <f>HYPERLINK("https://klasma.github.io/Logging_2161/kartor/A 4839-2024 karta.png", "A 4839-2024")</f>
        <v/>
      </c>
      <c r="V277">
        <f>HYPERLINK("https://klasma.github.io/Logging_2161/klagomål/A 4839-2024 FSC-klagomål.docx", "A 4839-2024")</f>
        <v/>
      </c>
      <c r="W277">
        <f>HYPERLINK("https://klasma.github.io/Logging_2161/klagomålsmail/A 4839-2024 FSC-klagomål mail.docx", "A 4839-2024")</f>
        <v/>
      </c>
      <c r="X277">
        <f>HYPERLINK("https://klasma.github.io/Logging_2161/tillsyn/A 4839-2024 tillsynsbegäran.docx", "A 4839-2024")</f>
        <v/>
      </c>
      <c r="Y277">
        <f>HYPERLINK("https://klasma.github.io/Logging_2161/tillsynsmail/A 4839-2024 tillsynsbegäran mail.docx", "A 4839-2024")</f>
        <v/>
      </c>
    </row>
    <row r="278" ht="15" customHeight="1">
      <c r="A278" t="inlineStr">
        <is>
          <t>A 5445-2024</t>
        </is>
      </c>
      <c r="B278" s="1" t="n">
        <v>45331</v>
      </c>
      <c r="C278" s="1" t="n">
        <v>45811</v>
      </c>
      <c r="D278" t="inlineStr">
        <is>
          <t>GÄVLEBORGS LÄN</t>
        </is>
      </c>
      <c r="E278" t="inlineStr">
        <is>
          <t>LJUSDAL</t>
        </is>
      </c>
      <c r="F278" t="inlineStr">
        <is>
          <t>SCA</t>
        </is>
      </c>
      <c r="G278" t="n">
        <v>14.8</v>
      </c>
      <c r="H278" t="n">
        <v>1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1</v>
      </c>
      <c r="R278" s="2" t="inlineStr">
        <is>
          <t>Revlummer</t>
        </is>
      </c>
      <c r="S278">
        <f>HYPERLINK("https://klasma.github.io/Logging_2161/artfynd/A 5445-2024 artfynd.xlsx", "A 5445-2024")</f>
        <v/>
      </c>
      <c r="T278">
        <f>HYPERLINK("https://klasma.github.io/Logging_2161/kartor/A 5445-2024 karta.png", "A 5445-2024")</f>
        <v/>
      </c>
      <c r="V278">
        <f>HYPERLINK("https://klasma.github.io/Logging_2161/klagomål/A 5445-2024 FSC-klagomål.docx", "A 5445-2024")</f>
        <v/>
      </c>
      <c r="W278">
        <f>HYPERLINK("https://klasma.github.io/Logging_2161/klagomålsmail/A 5445-2024 FSC-klagomål mail.docx", "A 5445-2024")</f>
        <v/>
      </c>
      <c r="X278">
        <f>HYPERLINK("https://klasma.github.io/Logging_2161/tillsyn/A 5445-2024 tillsynsbegäran.docx", "A 5445-2024")</f>
        <v/>
      </c>
      <c r="Y278">
        <f>HYPERLINK("https://klasma.github.io/Logging_2161/tillsynsmail/A 5445-2024 tillsynsbegäran mail.docx", "A 5445-2024")</f>
        <v/>
      </c>
    </row>
    <row r="279" ht="15" customHeight="1">
      <c r="A279" t="inlineStr">
        <is>
          <t>A 19406-2024</t>
        </is>
      </c>
      <c r="B279" s="1" t="n">
        <v>45429</v>
      </c>
      <c r="C279" s="1" t="n">
        <v>45811</v>
      </c>
      <c r="D279" t="inlineStr">
        <is>
          <t>GÄVLEBORGS LÄN</t>
        </is>
      </c>
      <c r="E279" t="inlineStr">
        <is>
          <t>LJUSDAL</t>
        </is>
      </c>
      <c r="F279" t="inlineStr">
        <is>
          <t>Sveaskog</t>
        </is>
      </c>
      <c r="G279" t="n">
        <v>18.4</v>
      </c>
      <c r="H279" t="n">
        <v>1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1</v>
      </c>
      <c r="R279" s="2" t="inlineStr">
        <is>
          <t>Blåsippa</t>
        </is>
      </c>
      <c r="S279">
        <f>HYPERLINK("https://klasma.github.io/Logging_2161/artfynd/A 19406-2024 artfynd.xlsx", "A 19406-2024")</f>
        <v/>
      </c>
      <c r="T279">
        <f>HYPERLINK("https://klasma.github.io/Logging_2161/kartor/A 19406-2024 karta.png", "A 19406-2024")</f>
        <v/>
      </c>
      <c r="V279">
        <f>HYPERLINK("https://klasma.github.io/Logging_2161/klagomål/A 19406-2024 FSC-klagomål.docx", "A 19406-2024")</f>
        <v/>
      </c>
      <c r="W279">
        <f>HYPERLINK("https://klasma.github.io/Logging_2161/klagomålsmail/A 19406-2024 FSC-klagomål mail.docx", "A 19406-2024")</f>
        <v/>
      </c>
      <c r="X279">
        <f>HYPERLINK("https://klasma.github.io/Logging_2161/tillsyn/A 19406-2024 tillsynsbegäran.docx", "A 19406-2024")</f>
        <v/>
      </c>
      <c r="Y279">
        <f>HYPERLINK("https://klasma.github.io/Logging_2161/tillsynsmail/A 19406-2024 tillsynsbegäran mail.docx", "A 19406-2024")</f>
        <v/>
      </c>
    </row>
    <row r="280" ht="15" customHeight="1">
      <c r="A280" t="inlineStr">
        <is>
          <t>A 20051-2024</t>
        </is>
      </c>
      <c r="B280" s="1" t="n">
        <v>45434</v>
      </c>
      <c r="C280" s="1" t="n">
        <v>45811</v>
      </c>
      <c r="D280" t="inlineStr">
        <is>
          <t>GÄVLEBORGS LÄN</t>
        </is>
      </c>
      <c r="E280" t="inlineStr">
        <is>
          <t>LJUSDAL</t>
        </is>
      </c>
      <c r="G280" t="n">
        <v>8.699999999999999</v>
      </c>
      <c r="H280" t="n">
        <v>1</v>
      </c>
      <c r="I280" t="n">
        <v>0</v>
      </c>
      <c r="J280" t="n">
        <v>0</v>
      </c>
      <c r="K280" t="n">
        <v>0</v>
      </c>
      <c r="L280" t="n">
        <v>1</v>
      </c>
      <c r="M280" t="n">
        <v>0</v>
      </c>
      <c r="N280" t="n">
        <v>0</v>
      </c>
      <c r="O280" t="n">
        <v>1</v>
      </c>
      <c r="P280" t="n">
        <v>1</v>
      </c>
      <c r="Q280" t="n">
        <v>1</v>
      </c>
      <c r="R280" s="2" t="inlineStr">
        <is>
          <t>Mosippa</t>
        </is>
      </c>
      <c r="S280">
        <f>HYPERLINK("https://klasma.github.io/Logging_2161/artfynd/A 20051-2024 artfynd.xlsx", "A 20051-2024")</f>
        <v/>
      </c>
      <c r="T280">
        <f>HYPERLINK("https://klasma.github.io/Logging_2161/kartor/A 20051-2024 karta.png", "A 20051-2024")</f>
        <v/>
      </c>
      <c r="V280">
        <f>HYPERLINK("https://klasma.github.io/Logging_2161/klagomål/A 20051-2024 FSC-klagomål.docx", "A 20051-2024")</f>
        <v/>
      </c>
      <c r="W280">
        <f>HYPERLINK("https://klasma.github.io/Logging_2161/klagomålsmail/A 20051-2024 FSC-klagomål mail.docx", "A 20051-2024")</f>
        <v/>
      </c>
      <c r="X280">
        <f>HYPERLINK("https://klasma.github.io/Logging_2161/tillsyn/A 20051-2024 tillsynsbegäran.docx", "A 20051-2024")</f>
        <v/>
      </c>
      <c r="Y280">
        <f>HYPERLINK("https://klasma.github.io/Logging_2161/tillsynsmail/A 20051-2024 tillsynsbegäran mail.docx", "A 20051-2024")</f>
        <v/>
      </c>
    </row>
    <row r="281" ht="15" customHeight="1">
      <c r="A281" t="inlineStr">
        <is>
          <t>A 20381-2024</t>
        </is>
      </c>
      <c r="B281" s="1" t="n">
        <v>45435</v>
      </c>
      <c r="C281" s="1" t="n">
        <v>45811</v>
      </c>
      <c r="D281" t="inlineStr">
        <is>
          <t>GÄVLEBORGS LÄN</t>
        </is>
      </c>
      <c r="E281" t="inlineStr">
        <is>
          <t>LJUSDAL</t>
        </is>
      </c>
      <c r="F281" t="inlineStr">
        <is>
          <t>Sveaskog</t>
        </is>
      </c>
      <c r="G281" t="n">
        <v>10.8</v>
      </c>
      <c r="H281" t="n">
        <v>1</v>
      </c>
      <c r="I281" t="n">
        <v>0</v>
      </c>
      <c r="J281" t="n">
        <v>0</v>
      </c>
      <c r="K281" t="n">
        <v>1</v>
      </c>
      <c r="L281" t="n">
        <v>0</v>
      </c>
      <c r="M281" t="n">
        <v>0</v>
      </c>
      <c r="N281" t="n">
        <v>0</v>
      </c>
      <c r="O281" t="n">
        <v>1</v>
      </c>
      <c r="P281" t="n">
        <v>1</v>
      </c>
      <c r="Q281" t="n">
        <v>1</v>
      </c>
      <c r="R281" s="2" t="inlineStr">
        <is>
          <t>Knärot</t>
        </is>
      </c>
      <c r="S281">
        <f>HYPERLINK("https://klasma.github.io/Logging_2161/artfynd/A 20381-2024 artfynd.xlsx", "A 20381-2024")</f>
        <v/>
      </c>
      <c r="T281">
        <f>HYPERLINK("https://klasma.github.io/Logging_2161/kartor/A 20381-2024 karta.png", "A 20381-2024")</f>
        <v/>
      </c>
      <c r="U281">
        <f>HYPERLINK("https://klasma.github.io/Logging_2161/knärot/A 20381-2024 karta knärot.png", "A 20381-2024")</f>
        <v/>
      </c>
      <c r="V281">
        <f>HYPERLINK("https://klasma.github.io/Logging_2161/klagomål/A 20381-2024 FSC-klagomål.docx", "A 20381-2024")</f>
        <v/>
      </c>
      <c r="W281">
        <f>HYPERLINK("https://klasma.github.io/Logging_2161/klagomålsmail/A 20381-2024 FSC-klagomål mail.docx", "A 20381-2024")</f>
        <v/>
      </c>
      <c r="X281">
        <f>HYPERLINK("https://klasma.github.io/Logging_2161/tillsyn/A 20381-2024 tillsynsbegäran.docx", "A 20381-2024")</f>
        <v/>
      </c>
      <c r="Y281">
        <f>HYPERLINK("https://klasma.github.io/Logging_2161/tillsynsmail/A 20381-2024 tillsynsbegäran mail.docx", "A 20381-2024")</f>
        <v/>
      </c>
    </row>
    <row r="282" ht="15" customHeight="1">
      <c r="A282" t="inlineStr">
        <is>
          <t>A 20656-2024</t>
        </is>
      </c>
      <c r="B282" s="1" t="n">
        <v>45436</v>
      </c>
      <c r="C282" s="1" t="n">
        <v>45811</v>
      </c>
      <c r="D282" t="inlineStr">
        <is>
          <t>GÄVLEBORGS LÄN</t>
        </is>
      </c>
      <c r="E282" t="inlineStr">
        <is>
          <t>LJUSDAL</t>
        </is>
      </c>
      <c r="F282" t="inlineStr">
        <is>
          <t>Sveaskog</t>
        </is>
      </c>
      <c r="G282" t="n">
        <v>2.7</v>
      </c>
      <c r="H282" t="n">
        <v>0</v>
      </c>
      <c r="I282" t="n">
        <v>0</v>
      </c>
      <c r="J282" t="n">
        <v>1</v>
      </c>
      <c r="K282" t="n">
        <v>0</v>
      </c>
      <c r="L282" t="n">
        <v>0</v>
      </c>
      <c r="M282" t="n">
        <v>0</v>
      </c>
      <c r="N282" t="n">
        <v>0</v>
      </c>
      <c r="O282" t="n">
        <v>1</v>
      </c>
      <c r="P282" t="n">
        <v>0</v>
      </c>
      <c r="Q282" t="n">
        <v>1</v>
      </c>
      <c r="R282" s="2" t="inlineStr">
        <is>
          <t>Tallticka</t>
        </is>
      </c>
      <c r="S282">
        <f>HYPERLINK("https://klasma.github.io/Logging_2161/artfynd/A 20656-2024 artfynd.xlsx", "A 20656-2024")</f>
        <v/>
      </c>
      <c r="T282">
        <f>HYPERLINK("https://klasma.github.io/Logging_2161/kartor/A 20656-2024 karta.png", "A 20656-2024")</f>
        <v/>
      </c>
      <c r="V282">
        <f>HYPERLINK("https://klasma.github.io/Logging_2161/klagomål/A 20656-2024 FSC-klagomål.docx", "A 20656-2024")</f>
        <v/>
      </c>
      <c r="W282">
        <f>HYPERLINK("https://klasma.github.io/Logging_2161/klagomålsmail/A 20656-2024 FSC-klagomål mail.docx", "A 20656-2024")</f>
        <v/>
      </c>
      <c r="X282">
        <f>HYPERLINK("https://klasma.github.io/Logging_2161/tillsyn/A 20656-2024 tillsynsbegäran.docx", "A 20656-2024")</f>
        <v/>
      </c>
      <c r="Y282">
        <f>HYPERLINK("https://klasma.github.io/Logging_2161/tillsynsmail/A 20656-2024 tillsynsbegäran mail.docx", "A 20656-2024")</f>
        <v/>
      </c>
    </row>
    <row r="283" ht="15" customHeight="1">
      <c r="A283" t="inlineStr">
        <is>
          <t>A 21900-2024</t>
        </is>
      </c>
      <c r="B283" s="1" t="n">
        <v>45443</v>
      </c>
      <c r="C283" s="1" t="n">
        <v>45811</v>
      </c>
      <c r="D283" t="inlineStr">
        <is>
          <t>GÄVLEBORGS LÄN</t>
        </is>
      </c>
      <c r="E283" t="inlineStr">
        <is>
          <t>LJUSDAL</t>
        </is>
      </c>
      <c r="F283" t="inlineStr">
        <is>
          <t>Sveaskog</t>
        </is>
      </c>
      <c r="G283" t="n">
        <v>1.6</v>
      </c>
      <c r="H283" t="n">
        <v>0</v>
      </c>
      <c r="I283" t="n">
        <v>0</v>
      </c>
      <c r="J283" t="n">
        <v>1</v>
      </c>
      <c r="K283" t="n">
        <v>0</v>
      </c>
      <c r="L283" t="n">
        <v>0</v>
      </c>
      <c r="M283" t="n">
        <v>0</v>
      </c>
      <c r="N283" t="n">
        <v>0</v>
      </c>
      <c r="O283" t="n">
        <v>1</v>
      </c>
      <c r="P283" t="n">
        <v>0</v>
      </c>
      <c r="Q283" t="n">
        <v>1</v>
      </c>
      <c r="R283" s="2" t="inlineStr">
        <is>
          <t>Lunglav</t>
        </is>
      </c>
      <c r="S283">
        <f>HYPERLINK("https://klasma.github.io/Logging_2161/artfynd/A 21900-2024 artfynd.xlsx", "A 21900-2024")</f>
        <v/>
      </c>
      <c r="T283">
        <f>HYPERLINK("https://klasma.github.io/Logging_2161/kartor/A 21900-2024 karta.png", "A 21900-2024")</f>
        <v/>
      </c>
      <c r="U283">
        <f>HYPERLINK("https://klasma.github.io/Logging_2161/knärot/A 21900-2024 karta knärot.png", "A 21900-2024")</f>
        <v/>
      </c>
      <c r="V283">
        <f>HYPERLINK("https://klasma.github.io/Logging_2161/klagomål/A 21900-2024 FSC-klagomål.docx", "A 21900-2024")</f>
        <v/>
      </c>
      <c r="W283">
        <f>HYPERLINK("https://klasma.github.io/Logging_2161/klagomålsmail/A 21900-2024 FSC-klagomål mail.docx", "A 21900-2024")</f>
        <v/>
      </c>
      <c r="X283">
        <f>HYPERLINK("https://klasma.github.io/Logging_2161/tillsyn/A 21900-2024 tillsynsbegäran.docx", "A 21900-2024")</f>
        <v/>
      </c>
      <c r="Y283">
        <f>HYPERLINK("https://klasma.github.io/Logging_2161/tillsynsmail/A 21900-2024 tillsynsbegäran mail.docx", "A 21900-2024")</f>
        <v/>
      </c>
    </row>
    <row r="284" ht="15" customHeight="1">
      <c r="A284" t="inlineStr">
        <is>
          <t>A 22247-2024</t>
        </is>
      </c>
      <c r="B284" s="1" t="n">
        <v>45446</v>
      </c>
      <c r="C284" s="1" t="n">
        <v>45811</v>
      </c>
      <c r="D284" t="inlineStr">
        <is>
          <t>GÄVLEBORGS LÄN</t>
        </is>
      </c>
      <c r="E284" t="inlineStr">
        <is>
          <t>LJUSDAL</t>
        </is>
      </c>
      <c r="F284" t="inlineStr">
        <is>
          <t>Sveaskog</t>
        </is>
      </c>
      <c r="G284" t="n">
        <v>3.5</v>
      </c>
      <c r="H284" t="n">
        <v>0</v>
      </c>
      <c r="I284" t="n">
        <v>0</v>
      </c>
      <c r="J284" t="n">
        <v>1</v>
      </c>
      <c r="K284" t="n">
        <v>0</v>
      </c>
      <c r="L284" t="n">
        <v>0</v>
      </c>
      <c r="M284" t="n">
        <v>0</v>
      </c>
      <c r="N284" t="n">
        <v>0</v>
      </c>
      <c r="O284" t="n">
        <v>1</v>
      </c>
      <c r="P284" t="n">
        <v>0</v>
      </c>
      <c r="Q284" t="n">
        <v>1</v>
      </c>
      <c r="R284" s="2" t="inlineStr">
        <is>
          <t>Lunglav</t>
        </is>
      </c>
      <c r="S284">
        <f>HYPERLINK("https://klasma.github.io/Logging_2161/artfynd/A 22247-2024 artfynd.xlsx", "A 22247-2024")</f>
        <v/>
      </c>
      <c r="T284">
        <f>HYPERLINK("https://klasma.github.io/Logging_2161/kartor/A 22247-2024 karta.png", "A 22247-2024")</f>
        <v/>
      </c>
      <c r="V284">
        <f>HYPERLINK("https://klasma.github.io/Logging_2161/klagomål/A 22247-2024 FSC-klagomål.docx", "A 22247-2024")</f>
        <v/>
      </c>
      <c r="W284">
        <f>HYPERLINK("https://klasma.github.io/Logging_2161/klagomålsmail/A 22247-2024 FSC-klagomål mail.docx", "A 22247-2024")</f>
        <v/>
      </c>
      <c r="X284">
        <f>HYPERLINK("https://klasma.github.io/Logging_2161/tillsyn/A 22247-2024 tillsynsbegäran.docx", "A 22247-2024")</f>
        <v/>
      </c>
      <c r="Y284">
        <f>HYPERLINK("https://klasma.github.io/Logging_2161/tillsynsmail/A 22247-2024 tillsynsbegäran mail.docx", "A 22247-2024")</f>
        <v/>
      </c>
    </row>
    <row r="285" ht="15" customHeight="1">
      <c r="A285" t="inlineStr">
        <is>
          <t>A 22470-2024</t>
        </is>
      </c>
      <c r="B285" s="1" t="n">
        <v>45446</v>
      </c>
      <c r="C285" s="1" t="n">
        <v>45811</v>
      </c>
      <c r="D285" t="inlineStr">
        <is>
          <t>GÄVLEBORGS LÄN</t>
        </is>
      </c>
      <c r="E285" t="inlineStr">
        <is>
          <t>LJUSDAL</t>
        </is>
      </c>
      <c r="F285" t="inlineStr">
        <is>
          <t>SCA</t>
        </is>
      </c>
      <c r="G285" t="n">
        <v>5.3</v>
      </c>
      <c r="H285" t="n">
        <v>1</v>
      </c>
      <c r="I285" t="n">
        <v>0</v>
      </c>
      <c r="J285" t="n">
        <v>0</v>
      </c>
      <c r="K285" t="n">
        <v>1</v>
      </c>
      <c r="L285" t="n">
        <v>0</v>
      </c>
      <c r="M285" t="n">
        <v>0</v>
      </c>
      <c r="N285" t="n">
        <v>0</v>
      </c>
      <c r="O285" t="n">
        <v>1</v>
      </c>
      <c r="P285" t="n">
        <v>1</v>
      </c>
      <c r="Q285" t="n">
        <v>1</v>
      </c>
      <c r="R285" s="2" t="inlineStr">
        <is>
          <t>Knärot</t>
        </is>
      </c>
      <c r="S285">
        <f>HYPERLINK("https://klasma.github.io/Logging_2161/artfynd/A 22470-2024 artfynd.xlsx", "A 22470-2024")</f>
        <v/>
      </c>
      <c r="T285">
        <f>HYPERLINK("https://klasma.github.io/Logging_2161/kartor/A 22470-2024 karta.png", "A 22470-2024")</f>
        <v/>
      </c>
      <c r="U285">
        <f>HYPERLINK("https://klasma.github.io/Logging_2161/knärot/A 22470-2024 karta knärot.png", "A 22470-2024")</f>
        <v/>
      </c>
      <c r="V285">
        <f>HYPERLINK("https://klasma.github.io/Logging_2161/klagomål/A 22470-2024 FSC-klagomål.docx", "A 22470-2024")</f>
        <v/>
      </c>
      <c r="W285">
        <f>HYPERLINK("https://klasma.github.io/Logging_2161/klagomålsmail/A 22470-2024 FSC-klagomål mail.docx", "A 22470-2024")</f>
        <v/>
      </c>
      <c r="X285">
        <f>HYPERLINK("https://klasma.github.io/Logging_2161/tillsyn/A 22470-2024 tillsynsbegäran.docx", "A 22470-2024")</f>
        <v/>
      </c>
      <c r="Y285">
        <f>HYPERLINK("https://klasma.github.io/Logging_2161/tillsynsmail/A 22470-2024 tillsynsbegäran mail.docx", "A 22470-2024")</f>
        <v/>
      </c>
    </row>
    <row r="286" ht="15" customHeight="1">
      <c r="A286" t="inlineStr">
        <is>
          <t>A 22667-2024</t>
        </is>
      </c>
      <c r="B286" s="1" t="n">
        <v>45448</v>
      </c>
      <c r="C286" s="1" t="n">
        <v>45811</v>
      </c>
      <c r="D286" t="inlineStr">
        <is>
          <t>GÄVLEBORGS LÄN</t>
        </is>
      </c>
      <c r="E286" t="inlineStr">
        <is>
          <t>LJUSDAL</t>
        </is>
      </c>
      <c r="F286" t="inlineStr">
        <is>
          <t>SCA</t>
        </is>
      </c>
      <c r="G286" t="n">
        <v>5.3</v>
      </c>
      <c r="H286" t="n">
        <v>1</v>
      </c>
      <c r="I286" t="n">
        <v>0</v>
      </c>
      <c r="J286" t="n">
        <v>0</v>
      </c>
      <c r="K286" t="n">
        <v>1</v>
      </c>
      <c r="L286" t="n">
        <v>0</v>
      </c>
      <c r="M286" t="n">
        <v>0</v>
      </c>
      <c r="N286" t="n">
        <v>0</v>
      </c>
      <c r="O286" t="n">
        <v>1</v>
      </c>
      <c r="P286" t="n">
        <v>1</v>
      </c>
      <c r="Q286" t="n">
        <v>1</v>
      </c>
      <c r="R286" s="2" t="inlineStr">
        <is>
          <t>Knärot</t>
        </is>
      </c>
      <c r="S286">
        <f>HYPERLINK("https://klasma.github.io/Logging_2161/artfynd/A 22667-2024 artfynd.xlsx", "A 22667-2024")</f>
        <v/>
      </c>
      <c r="T286">
        <f>HYPERLINK("https://klasma.github.io/Logging_2161/kartor/A 22667-2024 karta.png", "A 22667-2024")</f>
        <v/>
      </c>
      <c r="U286">
        <f>HYPERLINK("https://klasma.github.io/Logging_2161/knärot/A 22667-2024 karta knärot.png", "A 22667-2024")</f>
        <v/>
      </c>
      <c r="V286">
        <f>HYPERLINK("https://klasma.github.io/Logging_2161/klagomål/A 22667-2024 FSC-klagomål.docx", "A 22667-2024")</f>
        <v/>
      </c>
      <c r="W286">
        <f>HYPERLINK("https://klasma.github.io/Logging_2161/klagomålsmail/A 22667-2024 FSC-klagomål mail.docx", "A 22667-2024")</f>
        <v/>
      </c>
      <c r="X286">
        <f>HYPERLINK("https://klasma.github.io/Logging_2161/tillsyn/A 22667-2024 tillsynsbegäran.docx", "A 22667-2024")</f>
        <v/>
      </c>
      <c r="Y286">
        <f>HYPERLINK("https://klasma.github.io/Logging_2161/tillsynsmail/A 22667-2024 tillsynsbegäran mail.docx", "A 22667-2024")</f>
        <v/>
      </c>
    </row>
    <row r="287" ht="15" customHeight="1">
      <c r="A287" t="inlineStr">
        <is>
          <t>A 23651-2024</t>
        </is>
      </c>
      <c r="B287" s="1" t="n">
        <v>45454</v>
      </c>
      <c r="C287" s="1" t="n">
        <v>45811</v>
      </c>
      <c r="D287" t="inlineStr">
        <is>
          <t>GÄVLEBORGS LÄN</t>
        </is>
      </c>
      <c r="E287" t="inlineStr">
        <is>
          <t>LJUSDAL</t>
        </is>
      </c>
      <c r="F287" t="inlineStr">
        <is>
          <t>Bergvik skog väst AB</t>
        </is>
      </c>
      <c r="G287" t="n">
        <v>1.7</v>
      </c>
      <c r="H287" t="n">
        <v>0</v>
      </c>
      <c r="I287" t="n">
        <v>0</v>
      </c>
      <c r="J287" t="n">
        <v>1</v>
      </c>
      <c r="K287" t="n">
        <v>0</v>
      </c>
      <c r="L287" t="n">
        <v>0</v>
      </c>
      <c r="M287" t="n">
        <v>0</v>
      </c>
      <c r="N287" t="n">
        <v>0</v>
      </c>
      <c r="O287" t="n">
        <v>1</v>
      </c>
      <c r="P287" t="n">
        <v>0</v>
      </c>
      <c r="Q287" t="n">
        <v>1</v>
      </c>
      <c r="R287" s="2" t="inlineStr">
        <is>
          <t>Tallticka</t>
        </is>
      </c>
      <c r="S287">
        <f>HYPERLINK("https://klasma.github.io/Logging_2161/artfynd/A 23651-2024 artfynd.xlsx", "A 23651-2024")</f>
        <v/>
      </c>
      <c r="T287">
        <f>HYPERLINK("https://klasma.github.io/Logging_2161/kartor/A 23651-2024 karta.png", "A 23651-2024")</f>
        <v/>
      </c>
      <c r="V287">
        <f>HYPERLINK("https://klasma.github.io/Logging_2161/klagomål/A 23651-2024 FSC-klagomål.docx", "A 23651-2024")</f>
        <v/>
      </c>
      <c r="W287">
        <f>HYPERLINK("https://klasma.github.io/Logging_2161/klagomålsmail/A 23651-2024 FSC-klagomål mail.docx", "A 23651-2024")</f>
        <v/>
      </c>
      <c r="X287">
        <f>HYPERLINK("https://klasma.github.io/Logging_2161/tillsyn/A 23651-2024 tillsynsbegäran.docx", "A 23651-2024")</f>
        <v/>
      </c>
      <c r="Y287">
        <f>HYPERLINK("https://klasma.github.io/Logging_2161/tillsynsmail/A 23651-2024 tillsynsbegäran mail.docx", "A 23651-2024")</f>
        <v/>
      </c>
    </row>
    <row r="288" ht="15" customHeight="1">
      <c r="A288" t="inlineStr">
        <is>
          <t>A 23644-2024</t>
        </is>
      </c>
      <c r="B288" s="1" t="n">
        <v>45454</v>
      </c>
      <c r="C288" s="1" t="n">
        <v>45811</v>
      </c>
      <c r="D288" t="inlineStr">
        <is>
          <t>GÄVLEBORGS LÄN</t>
        </is>
      </c>
      <c r="E288" t="inlineStr">
        <is>
          <t>LJUSDAL</t>
        </is>
      </c>
      <c r="F288" t="inlineStr">
        <is>
          <t>Sveaskog</t>
        </is>
      </c>
      <c r="G288" t="n">
        <v>26.6</v>
      </c>
      <c r="H288" t="n">
        <v>0</v>
      </c>
      <c r="I288" t="n">
        <v>0</v>
      </c>
      <c r="J288" t="n">
        <v>1</v>
      </c>
      <c r="K288" t="n">
        <v>0</v>
      </c>
      <c r="L288" t="n">
        <v>0</v>
      </c>
      <c r="M288" t="n">
        <v>0</v>
      </c>
      <c r="N288" t="n">
        <v>0</v>
      </c>
      <c r="O288" t="n">
        <v>1</v>
      </c>
      <c r="P288" t="n">
        <v>0</v>
      </c>
      <c r="Q288" t="n">
        <v>1</v>
      </c>
      <c r="R288" s="2" t="inlineStr">
        <is>
          <t>Kolflarnlav</t>
        </is>
      </c>
      <c r="S288">
        <f>HYPERLINK("https://klasma.github.io/Logging_2161/artfynd/A 23644-2024 artfynd.xlsx", "A 23644-2024")</f>
        <v/>
      </c>
      <c r="T288">
        <f>HYPERLINK("https://klasma.github.io/Logging_2161/kartor/A 23644-2024 karta.png", "A 23644-2024")</f>
        <v/>
      </c>
      <c r="V288">
        <f>HYPERLINK("https://klasma.github.io/Logging_2161/klagomål/A 23644-2024 FSC-klagomål.docx", "A 23644-2024")</f>
        <v/>
      </c>
      <c r="W288">
        <f>HYPERLINK("https://klasma.github.io/Logging_2161/klagomålsmail/A 23644-2024 FSC-klagomål mail.docx", "A 23644-2024")</f>
        <v/>
      </c>
      <c r="X288">
        <f>HYPERLINK("https://klasma.github.io/Logging_2161/tillsyn/A 23644-2024 tillsynsbegäran.docx", "A 23644-2024")</f>
        <v/>
      </c>
      <c r="Y288">
        <f>HYPERLINK("https://klasma.github.io/Logging_2161/tillsynsmail/A 23644-2024 tillsynsbegäran mail.docx", "A 23644-2024")</f>
        <v/>
      </c>
    </row>
    <row r="289" ht="15" customHeight="1">
      <c r="A289" t="inlineStr">
        <is>
          <t>A 24831-2024</t>
        </is>
      </c>
      <c r="B289" s="1" t="n">
        <v>45461</v>
      </c>
      <c r="C289" s="1" t="n">
        <v>45811</v>
      </c>
      <c r="D289" t="inlineStr">
        <is>
          <t>GÄVLEBORGS LÄN</t>
        </is>
      </c>
      <c r="E289" t="inlineStr">
        <is>
          <t>LJUSDAL</t>
        </is>
      </c>
      <c r="G289" t="n">
        <v>4.9</v>
      </c>
      <c r="H289" t="n">
        <v>0</v>
      </c>
      <c r="I289" t="n">
        <v>0</v>
      </c>
      <c r="J289" t="n">
        <v>1</v>
      </c>
      <c r="K289" t="n">
        <v>0</v>
      </c>
      <c r="L289" t="n">
        <v>0</v>
      </c>
      <c r="M289" t="n">
        <v>0</v>
      </c>
      <c r="N289" t="n">
        <v>0</v>
      </c>
      <c r="O289" t="n">
        <v>1</v>
      </c>
      <c r="P289" t="n">
        <v>0</v>
      </c>
      <c r="Q289" t="n">
        <v>1</v>
      </c>
      <c r="R289" s="2" t="inlineStr">
        <is>
          <t>Lunglav</t>
        </is>
      </c>
      <c r="S289">
        <f>HYPERLINK("https://klasma.github.io/Logging_2161/artfynd/A 24831-2024 artfynd.xlsx", "A 24831-2024")</f>
        <v/>
      </c>
      <c r="T289">
        <f>HYPERLINK("https://klasma.github.io/Logging_2161/kartor/A 24831-2024 karta.png", "A 24831-2024")</f>
        <v/>
      </c>
      <c r="V289">
        <f>HYPERLINK("https://klasma.github.io/Logging_2161/klagomål/A 24831-2024 FSC-klagomål.docx", "A 24831-2024")</f>
        <v/>
      </c>
      <c r="W289">
        <f>HYPERLINK("https://klasma.github.io/Logging_2161/klagomålsmail/A 24831-2024 FSC-klagomål mail.docx", "A 24831-2024")</f>
        <v/>
      </c>
      <c r="X289">
        <f>HYPERLINK("https://klasma.github.io/Logging_2161/tillsyn/A 24831-2024 tillsynsbegäran.docx", "A 24831-2024")</f>
        <v/>
      </c>
      <c r="Y289">
        <f>HYPERLINK("https://klasma.github.io/Logging_2161/tillsynsmail/A 24831-2024 tillsynsbegäran mail.docx", "A 24831-2024")</f>
        <v/>
      </c>
    </row>
    <row r="290" ht="15" customHeight="1">
      <c r="A290" t="inlineStr">
        <is>
          <t>A 24903-2024</t>
        </is>
      </c>
      <c r="B290" s="1" t="n">
        <v>45461</v>
      </c>
      <c r="C290" s="1" t="n">
        <v>45811</v>
      </c>
      <c r="D290" t="inlineStr">
        <is>
          <t>GÄVLEBORGS LÄN</t>
        </is>
      </c>
      <c r="E290" t="inlineStr">
        <is>
          <t>LJUSDAL</t>
        </is>
      </c>
      <c r="F290" t="inlineStr">
        <is>
          <t>Bergvik skog väst AB</t>
        </is>
      </c>
      <c r="G290" t="n">
        <v>5</v>
      </c>
      <c r="H290" t="n">
        <v>0</v>
      </c>
      <c r="I290" t="n">
        <v>0</v>
      </c>
      <c r="J290" t="n">
        <v>1</v>
      </c>
      <c r="K290" t="n">
        <v>0</v>
      </c>
      <c r="L290" t="n">
        <v>0</v>
      </c>
      <c r="M290" t="n">
        <v>0</v>
      </c>
      <c r="N290" t="n">
        <v>0</v>
      </c>
      <c r="O290" t="n">
        <v>1</v>
      </c>
      <c r="P290" t="n">
        <v>0</v>
      </c>
      <c r="Q290" t="n">
        <v>1</v>
      </c>
      <c r="R290" s="2" t="inlineStr">
        <is>
          <t>Lunglav</t>
        </is>
      </c>
      <c r="S290">
        <f>HYPERLINK("https://klasma.github.io/Logging_2161/artfynd/A 24903-2024 artfynd.xlsx", "A 24903-2024")</f>
        <v/>
      </c>
      <c r="T290">
        <f>HYPERLINK("https://klasma.github.io/Logging_2161/kartor/A 24903-2024 karta.png", "A 24903-2024")</f>
        <v/>
      </c>
      <c r="V290">
        <f>HYPERLINK("https://klasma.github.io/Logging_2161/klagomål/A 24903-2024 FSC-klagomål.docx", "A 24903-2024")</f>
        <v/>
      </c>
      <c r="W290">
        <f>HYPERLINK("https://klasma.github.io/Logging_2161/klagomålsmail/A 24903-2024 FSC-klagomål mail.docx", "A 24903-2024")</f>
        <v/>
      </c>
      <c r="X290">
        <f>HYPERLINK("https://klasma.github.io/Logging_2161/tillsyn/A 24903-2024 tillsynsbegäran.docx", "A 24903-2024")</f>
        <v/>
      </c>
      <c r="Y290">
        <f>HYPERLINK("https://klasma.github.io/Logging_2161/tillsynsmail/A 24903-2024 tillsynsbegäran mail.docx", "A 24903-2024")</f>
        <v/>
      </c>
    </row>
    <row r="291" ht="15" customHeight="1">
      <c r="A291" t="inlineStr">
        <is>
          <t>A 26386-2024</t>
        </is>
      </c>
      <c r="B291" s="1" t="n">
        <v>45469</v>
      </c>
      <c r="C291" s="1" t="n">
        <v>45811</v>
      </c>
      <c r="D291" t="inlineStr">
        <is>
          <t>GÄVLEBORGS LÄN</t>
        </is>
      </c>
      <c r="E291" t="inlineStr">
        <is>
          <t>LJUSDAL</t>
        </is>
      </c>
      <c r="F291" t="inlineStr">
        <is>
          <t>Sveaskog</t>
        </is>
      </c>
      <c r="G291" t="n">
        <v>11</v>
      </c>
      <c r="H291" t="n">
        <v>0</v>
      </c>
      <c r="I291" t="n">
        <v>0</v>
      </c>
      <c r="J291" t="n">
        <v>1</v>
      </c>
      <c r="K291" t="n">
        <v>0</v>
      </c>
      <c r="L291" t="n">
        <v>0</v>
      </c>
      <c r="M291" t="n">
        <v>0</v>
      </c>
      <c r="N291" t="n">
        <v>0</v>
      </c>
      <c r="O291" t="n">
        <v>1</v>
      </c>
      <c r="P291" t="n">
        <v>0</v>
      </c>
      <c r="Q291" t="n">
        <v>1</v>
      </c>
      <c r="R291" s="2" t="inlineStr">
        <is>
          <t>Kolflarnlav</t>
        </is>
      </c>
      <c r="S291">
        <f>HYPERLINK("https://klasma.github.io/Logging_2161/artfynd/A 26386-2024 artfynd.xlsx", "A 26386-2024")</f>
        <v/>
      </c>
      <c r="T291">
        <f>HYPERLINK("https://klasma.github.io/Logging_2161/kartor/A 26386-2024 karta.png", "A 26386-2024")</f>
        <v/>
      </c>
      <c r="V291">
        <f>HYPERLINK("https://klasma.github.io/Logging_2161/klagomål/A 26386-2024 FSC-klagomål.docx", "A 26386-2024")</f>
        <v/>
      </c>
      <c r="W291">
        <f>HYPERLINK("https://klasma.github.io/Logging_2161/klagomålsmail/A 26386-2024 FSC-klagomål mail.docx", "A 26386-2024")</f>
        <v/>
      </c>
      <c r="X291">
        <f>HYPERLINK("https://klasma.github.io/Logging_2161/tillsyn/A 26386-2024 tillsynsbegäran.docx", "A 26386-2024")</f>
        <v/>
      </c>
      <c r="Y291">
        <f>HYPERLINK("https://klasma.github.io/Logging_2161/tillsynsmail/A 26386-2024 tillsynsbegäran mail.docx", "A 26386-2024")</f>
        <v/>
      </c>
    </row>
    <row r="292" ht="15" customHeight="1">
      <c r="A292" t="inlineStr">
        <is>
          <t>A 26976-2024</t>
        </is>
      </c>
      <c r="B292" s="1" t="n">
        <v>45471</v>
      </c>
      <c r="C292" s="1" t="n">
        <v>45811</v>
      </c>
      <c r="D292" t="inlineStr">
        <is>
          <t>GÄVLEBORGS LÄN</t>
        </is>
      </c>
      <c r="E292" t="inlineStr">
        <is>
          <t>LJUSDAL</t>
        </is>
      </c>
      <c r="F292" t="inlineStr">
        <is>
          <t>Sveaskog</t>
        </is>
      </c>
      <c r="G292" t="n">
        <v>2.1</v>
      </c>
      <c r="H292" t="n">
        <v>0</v>
      </c>
      <c r="I292" t="n">
        <v>0</v>
      </c>
      <c r="J292" t="n">
        <v>1</v>
      </c>
      <c r="K292" t="n">
        <v>0</v>
      </c>
      <c r="L292" t="n">
        <v>0</v>
      </c>
      <c r="M292" t="n">
        <v>0</v>
      </c>
      <c r="N292" t="n">
        <v>0</v>
      </c>
      <c r="O292" t="n">
        <v>1</v>
      </c>
      <c r="P292" t="n">
        <v>0</v>
      </c>
      <c r="Q292" t="n">
        <v>1</v>
      </c>
      <c r="R292" s="2" t="inlineStr">
        <is>
          <t>Kolflarnlav</t>
        </is>
      </c>
      <c r="S292">
        <f>HYPERLINK("https://klasma.github.io/Logging_2161/artfynd/A 26976-2024 artfynd.xlsx", "A 26976-2024")</f>
        <v/>
      </c>
      <c r="T292">
        <f>HYPERLINK("https://klasma.github.io/Logging_2161/kartor/A 26976-2024 karta.png", "A 26976-2024")</f>
        <v/>
      </c>
      <c r="V292">
        <f>HYPERLINK("https://klasma.github.io/Logging_2161/klagomål/A 26976-2024 FSC-klagomål.docx", "A 26976-2024")</f>
        <v/>
      </c>
      <c r="W292">
        <f>HYPERLINK("https://klasma.github.io/Logging_2161/klagomålsmail/A 26976-2024 FSC-klagomål mail.docx", "A 26976-2024")</f>
        <v/>
      </c>
      <c r="X292">
        <f>HYPERLINK("https://klasma.github.io/Logging_2161/tillsyn/A 26976-2024 tillsynsbegäran.docx", "A 26976-2024")</f>
        <v/>
      </c>
      <c r="Y292">
        <f>HYPERLINK("https://klasma.github.io/Logging_2161/tillsynsmail/A 26976-2024 tillsynsbegäran mail.docx", "A 26976-2024")</f>
        <v/>
      </c>
    </row>
    <row r="293" ht="15" customHeight="1">
      <c r="A293" t="inlineStr">
        <is>
          <t>A 30115-2024</t>
        </is>
      </c>
      <c r="B293" s="1" t="n">
        <v>45489</v>
      </c>
      <c r="C293" s="1" t="n">
        <v>45811</v>
      </c>
      <c r="D293" t="inlineStr">
        <is>
          <t>GÄVLEBORGS LÄN</t>
        </is>
      </c>
      <c r="E293" t="inlineStr">
        <is>
          <t>LJUSDAL</t>
        </is>
      </c>
      <c r="F293" t="inlineStr">
        <is>
          <t>Sveaskog</t>
        </is>
      </c>
      <c r="G293" t="n">
        <v>3.7</v>
      </c>
      <c r="H293" t="n">
        <v>0</v>
      </c>
      <c r="I293" t="n">
        <v>0</v>
      </c>
      <c r="J293" t="n">
        <v>1</v>
      </c>
      <c r="K293" t="n">
        <v>0</v>
      </c>
      <c r="L293" t="n">
        <v>0</v>
      </c>
      <c r="M293" t="n">
        <v>0</v>
      </c>
      <c r="N293" t="n">
        <v>0</v>
      </c>
      <c r="O293" t="n">
        <v>1</v>
      </c>
      <c r="P293" t="n">
        <v>0</v>
      </c>
      <c r="Q293" t="n">
        <v>1</v>
      </c>
      <c r="R293" s="2" t="inlineStr">
        <is>
          <t>Kolflarnlav</t>
        </is>
      </c>
      <c r="S293">
        <f>HYPERLINK("https://klasma.github.io/Logging_2161/artfynd/A 30115-2024 artfynd.xlsx", "A 30115-2024")</f>
        <v/>
      </c>
      <c r="T293">
        <f>HYPERLINK("https://klasma.github.io/Logging_2161/kartor/A 30115-2024 karta.png", "A 30115-2024")</f>
        <v/>
      </c>
      <c r="V293">
        <f>HYPERLINK("https://klasma.github.io/Logging_2161/klagomål/A 30115-2024 FSC-klagomål.docx", "A 30115-2024")</f>
        <v/>
      </c>
      <c r="W293">
        <f>HYPERLINK("https://klasma.github.io/Logging_2161/klagomålsmail/A 30115-2024 FSC-klagomål mail.docx", "A 30115-2024")</f>
        <v/>
      </c>
      <c r="X293">
        <f>HYPERLINK("https://klasma.github.io/Logging_2161/tillsyn/A 30115-2024 tillsynsbegäran.docx", "A 30115-2024")</f>
        <v/>
      </c>
      <c r="Y293">
        <f>HYPERLINK("https://klasma.github.io/Logging_2161/tillsynsmail/A 30115-2024 tillsynsbegäran mail.docx", "A 30115-2024")</f>
        <v/>
      </c>
    </row>
    <row r="294" ht="15" customHeight="1">
      <c r="A294" t="inlineStr">
        <is>
          <t>A 31420-2024</t>
        </is>
      </c>
      <c r="B294" s="1" t="n">
        <v>45505</v>
      </c>
      <c r="C294" s="1" t="n">
        <v>45811</v>
      </c>
      <c r="D294" t="inlineStr">
        <is>
          <t>GÄVLEBORGS LÄN</t>
        </is>
      </c>
      <c r="E294" t="inlineStr">
        <is>
          <t>LJUSDAL</t>
        </is>
      </c>
      <c r="F294" t="inlineStr">
        <is>
          <t>Sveaskog</t>
        </is>
      </c>
      <c r="G294" t="n">
        <v>4.4</v>
      </c>
      <c r="H294" t="n">
        <v>0</v>
      </c>
      <c r="I294" t="n">
        <v>0</v>
      </c>
      <c r="J294" t="n">
        <v>1</v>
      </c>
      <c r="K294" t="n">
        <v>0</v>
      </c>
      <c r="L294" t="n">
        <v>0</v>
      </c>
      <c r="M294" t="n">
        <v>0</v>
      </c>
      <c r="N294" t="n">
        <v>0</v>
      </c>
      <c r="O294" t="n">
        <v>1</v>
      </c>
      <c r="P294" t="n">
        <v>0</v>
      </c>
      <c r="Q294" t="n">
        <v>1</v>
      </c>
      <c r="R294" s="2" t="inlineStr">
        <is>
          <t>Lunglav</t>
        </is>
      </c>
      <c r="S294">
        <f>HYPERLINK("https://klasma.github.io/Logging_2161/artfynd/A 31420-2024 artfynd.xlsx", "A 31420-2024")</f>
        <v/>
      </c>
      <c r="T294">
        <f>HYPERLINK("https://klasma.github.io/Logging_2161/kartor/A 31420-2024 karta.png", "A 31420-2024")</f>
        <v/>
      </c>
      <c r="V294">
        <f>HYPERLINK("https://klasma.github.io/Logging_2161/klagomål/A 31420-2024 FSC-klagomål.docx", "A 31420-2024")</f>
        <v/>
      </c>
      <c r="W294">
        <f>HYPERLINK("https://klasma.github.io/Logging_2161/klagomålsmail/A 31420-2024 FSC-klagomål mail.docx", "A 31420-2024")</f>
        <v/>
      </c>
      <c r="X294">
        <f>HYPERLINK("https://klasma.github.io/Logging_2161/tillsyn/A 31420-2024 tillsynsbegäran.docx", "A 31420-2024")</f>
        <v/>
      </c>
      <c r="Y294">
        <f>HYPERLINK("https://klasma.github.io/Logging_2161/tillsynsmail/A 31420-2024 tillsynsbegäran mail.docx", "A 31420-2024")</f>
        <v/>
      </c>
    </row>
    <row r="295" ht="15" customHeight="1">
      <c r="A295" t="inlineStr">
        <is>
          <t>A 31417-2024</t>
        </is>
      </c>
      <c r="B295" s="1" t="n">
        <v>45505</v>
      </c>
      <c r="C295" s="1" t="n">
        <v>45811</v>
      </c>
      <c r="D295" t="inlineStr">
        <is>
          <t>GÄVLEBORGS LÄN</t>
        </is>
      </c>
      <c r="E295" t="inlineStr">
        <is>
          <t>LJUSDAL</t>
        </is>
      </c>
      <c r="F295" t="inlineStr">
        <is>
          <t>Sveaskog</t>
        </is>
      </c>
      <c r="G295" t="n">
        <v>3</v>
      </c>
      <c r="H295" t="n">
        <v>0</v>
      </c>
      <c r="I295" t="n">
        <v>0</v>
      </c>
      <c r="J295" t="n">
        <v>1</v>
      </c>
      <c r="K295" t="n">
        <v>0</v>
      </c>
      <c r="L295" t="n">
        <v>0</v>
      </c>
      <c r="M295" t="n">
        <v>0</v>
      </c>
      <c r="N295" t="n">
        <v>0</v>
      </c>
      <c r="O295" t="n">
        <v>1</v>
      </c>
      <c r="P295" t="n">
        <v>0</v>
      </c>
      <c r="Q295" t="n">
        <v>1</v>
      </c>
      <c r="R295" s="2" t="inlineStr">
        <is>
          <t>Kolflarnlav</t>
        </is>
      </c>
      <c r="S295">
        <f>HYPERLINK("https://klasma.github.io/Logging_2161/artfynd/A 31417-2024 artfynd.xlsx", "A 31417-2024")</f>
        <v/>
      </c>
      <c r="T295">
        <f>HYPERLINK("https://klasma.github.io/Logging_2161/kartor/A 31417-2024 karta.png", "A 31417-2024")</f>
        <v/>
      </c>
      <c r="V295">
        <f>HYPERLINK("https://klasma.github.io/Logging_2161/klagomål/A 31417-2024 FSC-klagomål.docx", "A 31417-2024")</f>
        <v/>
      </c>
      <c r="W295">
        <f>HYPERLINK("https://klasma.github.io/Logging_2161/klagomålsmail/A 31417-2024 FSC-klagomål mail.docx", "A 31417-2024")</f>
        <v/>
      </c>
      <c r="X295">
        <f>HYPERLINK("https://klasma.github.io/Logging_2161/tillsyn/A 31417-2024 tillsynsbegäran.docx", "A 31417-2024")</f>
        <v/>
      </c>
      <c r="Y295">
        <f>HYPERLINK("https://klasma.github.io/Logging_2161/tillsynsmail/A 31417-2024 tillsynsbegäran mail.docx", "A 31417-2024")</f>
        <v/>
      </c>
    </row>
    <row r="296" ht="15" customHeight="1">
      <c r="A296" t="inlineStr">
        <is>
          <t>A 32398-2024</t>
        </is>
      </c>
      <c r="B296" s="1" t="n">
        <v>45512</v>
      </c>
      <c r="C296" s="1" t="n">
        <v>45811</v>
      </c>
      <c r="D296" t="inlineStr">
        <is>
          <t>GÄVLEBORGS LÄN</t>
        </is>
      </c>
      <c r="E296" t="inlineStr">
        <is>
          <t>LJUSDAL</t>
        </is>
      </c>
      <c r="F296" t="inlineStr">
        <is>
          <t>Sveaskog</t>
        </is>
      </c>
      <c r="G296" t="n">
        <v>6.9</v>
      </c>
      <c r="H296" t="n">
        <v>0</v>
      </c>
      <c r="I296" t="n">
        <v>0</v>
      </c>
      <c r="J296" t="n">
        <v>1</v>
      </c>
      <c r="K296" t="n">
        <v>0</v>
      </c>
      <c r="L296" t="n">
        <v>0</v>
      </c>
      <c r="M296" t="n">
        <v>0</v>
      </c>
      <c r="N296" t="n">
        <v>0</v>
      </c>
      <c r="O296" t="n">
        <v>1</v>
      </c>
      <c r="P296" t="n">
        <v>0</v>
      </c>
      <c r="Q296" t="n">
        <v>1</v>
      </c>
      <c r="R296" s="2" t="inlineStr">
        <is>
          <t>Granticka</t>
        </is>
      </c>
      <c r="S296">
        <f>HYPERLINK("https://klasma.github.io/Logging_2161/artfynd/A 32398-2024 artfynd.xlsx", "A 32398-2024")</f>
        <v/>
      </c>
      <c r="T296">
        <f>HYPERLINK("https://klasma.github.io/Logging_2161/kartor/A 32398-2024 karta.png", "A 32398-2024")</f>
        <v/>
      </c>
      <c r="V296">
        <f>HYPERLINK("https://klasma.github.io/Logging_2161/klagomål/A 32398-2024 FSC-klagomål.docx", "A 32398-2024")</f>
        <v/>
      </c>
      <c r="W296">
        <f>HYPERLINK("https://klasma.github.io/Logging_2161/klagomålsmail/A 32398-2024 FSC-klagomål mail.docx", "A 32398-2024")</f>
        <v/>
      </c>
      <c r="X296">
        <f>HYPERLINK("https://klasma.github.io/Logging_2161/tillsyn/A 32398-2024 tillsynsbegäran.docx", "A 32398-2024")</f>
        <v/>
      </c>
      <c r="Y296">
        <f>HYPERLINK("https://klasma.github.io/Logging_2161/tillsynsmail/A 32398-2024 tillsynsbegäran mail.docx", "A 32398-2024")</f>
        <v/>
      </c>
    </row>
    <row r="297" ht="15" customHeight="1">
      <c r="A297" t="inlineStr">
        <is>
          <t>A 32807-2024</t>
        </is>
      </c>
      <c r="B297" s="1" t="n">
        <v>45516</v>
      </c>
      <c r="C297" s="1" t="n">
        <v>45811</v>
      </c>
      <c r="D297" t="inlineStr">
        <is>
          <t>GÄVLEBORGS LÄN</t>
        </is>
      </c>
      <c r="E297" t="inlineStr">
        <is>
          <t>LJUSDAL</t>
        </is>
      </c>
      <c r="F297" t="inlineStr">
        <is>
          <t>Sveaskog</t>
        </is>
      </c>
      <c r="G297" t="n">
        <v>11.5</v>
      </c>
      <c r="H297" t="n">
        <v>0</v>
      </c>
      <c r="I297" t="n">
        <v>0</v>
      </c>
      <c r="J297" t="n">
        <v>1</v>
      </c>
      <c r="K297" t="n">
        <v>0</v>
      </c>
      <c r="L297" t="n">
        <v>0</v>
      </c>
      <c r="M297" t="n">
        <v>0</v>
      </c>
      <c r="N297" t="n">
        <v>0</v>
      </c>
      <c r="O297" t="n">
        <v>1</v>
      </c>
      <c r="P297" t="n">
        <v>0</v>
      </c>
      <c r="Q297" t="n">
        <v>1</v>
      </c>
      <c r="R297" s="2" t="inlineStr">
        <is>
          <t>Kolflarnlav</t>
        </is>
      </c>
      <c r="S297">
        <f>HYPERLINK("https://klasma.github.io/Logging_2161/artfynd/A 32807-2024 artfynd.xlsx", "A 32807-2024")</f>
        <v/>
      </c>
      <c r="T297">
        <f>HYPERLINK("https://klasma.github.io/Logging_2161/kartor/A 32807-2024 karta.png", "A 32807-2024")</f>
        <v/>
      </c>
      <c r="V297">
        <f>HYPERLINK("https://klasma.github.io/Logging_2161/klagomål/A 32807-2024 FSC-klagomål.docx", "A 32807-2024")</f>
        <v/>
      </c>
      <c r="W297">
        <f>HYPERLINK("https://klasma.github.io/Logging_2161/klagomålsmail/A 32807-2024 FSC-klagomål mail.docx", "A 32807-2024")</f>
        <v/>
      </c>
      <c r="X297">
        <f>HYPERLINK("https://klasma.github.io/Logging_2161/tillsyn/A 32807-2024 tillsynsbegäran.docx", "A 32807-2024")</f>
        <v/>
      </c>
      <c r="Y297">
        <f>HYPERLINK("https://klasma.github.io/Logging_2161/tillsynsmail/A 32807-2024 tillsynsbegäran mail.docx", "A 32807-2024")</f>
        <v/>
      </c>
    </row>
    <row r="298" ht="15" customHeight="1">
      <c r="A298" t="inlineStr">
        <is>
          <t>A 33950-2024</t>
        </is>
      </c>
      <c r="B298" s="1" t="n">
        <v>45523</v>
      </c>
      <c r="C298" s="1" t="n">
        <v>45811</v>
      </c>
      <c r="D298" t="inlineStr">
        <is>
          <t>GÄVLEBORGS LÄN</t>
        </is>
      </c>
      <c r="E298" t="inlineStr">
        <is>
          <t>LJUSDAL</t>
        </is>
      </c>
      <c r="F298" t="inlineStr">
        <is>
          <t>Sveaskog</t>
        </is>
      </c>
      <c r="G298" t="n">
        <v>3.6</v>
      </c>
      <c r="H298" t="n">
        <v>0</v>
      </c>
      <c r="I298" t="n">
        <v>0</v>
      </c>
      <c r="J298" t="n">
        <v>1</v>
      </c>
      <c r="K298" t="n">
        <v>0</v>
      </c>
      <c r="L298" t="n">
        <v>0</v>
      </c>
      <c r="M298" t="n">
        <v>0</v>
      </c>
      <c r="N298" t="n">
        <v>0</v>
      </c>
      <c r="O298" t="n">
        <v>1</v>
      </c>
      <c r="P298" t="n">
        <v>0</v>
      </c>
      <c r="Q298" t="n">
        <v>1</v>
      </c>
      <c r="R298" s="2" t="inlineStr">
        <is>
          <t>Lunglav</t>
        </is>
      </c>
      <c r="S298">
        <f>HYPERLINK("https://klasma.github.io/Logging_2161/artfynd/A 33950-2024 artfynd.xlsx", "A 33950-2024")</f>
        <v/>
      </c>
      <c r="T298">
        <f>HYPERLINK("https://klasma.github.io/Logging_2161/kartor/A 33950-2024 karta.png", "A 33950-2024")</f>
        <v/>
      </c>
      <c r="V298">
        <f>HYPERLINK("https://klasma.github.io/Logging_2161/klagomål/A 33950-2024 FSC-klagomål.docx", "A 33950-2024")</f>
        <v/>
      </c>
      <c r="W298">
        <f>HYPERLINK("https://klasma.github.io/Logging_2161/klagomålsmail/A 33950-2024 FSC-klagomål mail.docx", "A 33950-2024")</f>
        <v/>
      </c>
      <c r="X298">
        <f>HYPERLINK("https://klasma.github.io/Logging_2161/tillsyn/A 33950-2024 tillsynsbegäran.docx", "A 33950-2024")</f>
        <v/>
      </c>
      <c r="Y298">
        <f>HYPERLINK("https://klasma.github.io/Logging_2161/tillsynsmail/A 33950-2024 tillsynsbegäran mail.docx", "A 33950-2024")</f>
        <v/>
      </c>
    </row>
    <row r="299" ht="15" customHeight="1">
      <c r="A299" t="inlineStr">
        <is>
          <t>A 34233-2024</t>
        </is>
      </c>
      <c r="B299" s="1" t="n">
        <v>45524</v>
      </c>
      <c r="C299" s="1" t="n">
        <v>45811</v>
      </c>
      <c r="D299" t="inlineStr">
        <is>
          <t>GÄVLEBORGS LÄN</t>
        </is>
      </c>
      <c r="E299" t="inlineStr">
        <is>
          <t>LJUSDAL</t>
        </is>
      </c>
      <c r="F299" t="inlineStr">
        <is>
          <t>Sveaskog</t>
        </is>
      </c>
      <c r="G299" t="n">
        <v>7.5</v>
      </c>
      <c r="H299" t="n">
        <v>1</v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1</v>
      </c>
      <c r="R299" s="2" t="inlineStr">
        <is>
          <t>Plattlummer</t>
        </is>
      </c>
      <c r="S299">
        <f>HYPERLINK("https://klasma.github.io/Logging_2161/artfynd/A 34233-2024 artfynd.xlsx", "A 34233-2024")</f>
        <v/>
      </c>
      <c r="T299">
        <f>HYPERLINK("https://klasma.github.io/Logging_2161/kartor/A 34233-2024 karta.png", "A 34233-2024")</f>
        <v/>
      </c>
      <c r="V299">
        <f>HYPERLINK("https://klasma.github.io/Logging_2161/klagomål/A 34233-2024 FSC-klagomål.docx", "A 34233-2024")</f>
        <v/>
      </c>
      <c r="W299">
        <f>HYPERLINK("https://klasma.github.io/Logging_2161/klagomålsmail/A 34233-2024 FSC-klagomål mail.docx", "A 34233-2024")</f>
        <v/>
      </c>
      <c r="X299">
        <f>HYPERLINK("https://klasma.github.io/Logging_2161/tillsyn/A 34233-2024 tillsynsbegäran.docx", "A 34233-2024")</f>
        <v/>
      </c>
      <c r="Y299">
        <f>HYPERLINK("https://klasma.github.io/Logging_2161/tillsynsmail/A 34233-2024 tillsynsbegäran mail.docx", "A 34233-2024")</f>
        <v/>
      </c>
    </row>
    <row r="300" ht="15" customHeight="1">
      <c r="A300" t="inlineStr">
        <is>
          <t>A 34235-2024</t>
        </is>
      </c>
      <c r="B300" s="1" t="n">
        <v>45524</v>
      </c>
      <c r="C300" s="1" t="n">
        <v>45811</v>
      </c>
      <c r="D300" t="inlineStr">
        <is>
          <t>GÄVLEBORGS LÄN</t>
        </is>
      </c>
      <c r="E300" t="inlineStr">
        <is>
          <t>LJUSDAL</t>
        </is>
      </c>
      <c r="F300" t="inlineStr">
        <is>
          <t>Sveaskog</t>
        </is>
      </c>
      <c r="G300" t="n">
        <v>3.5</v>
      </c>
      <c r="H300" t="n">
        <v>1</v>
      </c>
      <c r="I300" t="n">
        <v>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1</v>
      </c>
      <c r="R300" s="2" t="inlineStr">
        <is>
          <t>Plattlummer</t>
        </is>
      </c>
      <c r="S300">
        <f>HYPERLINK("https://klasma.github.io/Logging_2161/artfynd/A 34235-2024 artfynd.xlsx", "A 34235-2024")</f>
        <v/>
      </c>
      <c r="T300">
        <f>HYPERLINK("https://klasma.github.io/Logging_2161/kartor/A 34235-2024 karta.png", "A 34235-2024")</f>
        <v/>
      </c>
      <c r="V300">
        <f>HYPERLINK("https://klasma.github.io/Logging_2161/klagomål/A 34235-2024 FSC-klagomål.docx", "A 34235-2024")</f>
        <v/>
      </c>
      <c r="W300">
        <f>HYPERLINK("https://klasma.github.io/Logging_2161/klagomålsmail/A 34235-2024 FSC-klagomål mail.docx", "A 34235-2024")</f>
        <v/>
      </c>
      <c r="X300">
        <f>HYPERLINK("https://klasma.github.io/Logging_2161/tillsyn/A 34235-2024 tillsynsbegäran.docx", "A 34235-2024")</f>
        <v/>
      </c>
      <c r="Y300">
        <f>HYPERLINK("https://klasma.github.io/Logging_2161/tillsynsmail/A 34235-2024 tillsynsbegäran mail.docx", "A 34235-2024")</f>
        <v/>
      </c>
    </row>
    <row r="301" ht="15" customHeight="1">
      <c r="A301" t="inlineStr">
        <is>
          <t>A 34346-2024</t>
        </is>
      </c>
      <c r="B301" s="1" t="n">
        <v>45525</v>
      </c>
      <c r="C301" s="1" t="n">
        <v>45811</v>
      </c>
      <c r="D301" t="inlineStr">
        <is>
          <t>GÄVLEBORGS LÄN</t>
        </is>
      </c>
      <c r="E301" t="inlineStr">
        <is>
          <t>LJUSDAL</t>
        </is>
      </c>
      <c r="F301" t="inlineStr">
        <is>
          <t>Holmen skog AB</t>
        </is>
      </c>
      <c r="G301" t="n">
        <v>6.8</v>
      </c>
      <c r="H301" t="n">
        <v>1</v>
      </c>
      <c r="I301" t="n">
        <v>0</v>
      </c>
      <c r="J301" t="n">
        <v>1</v>
      </c>
      <c r="K301" t="n">
        <v>0</v>
      </c>
      <c r="L301" t="n">
        <v>0</v>
      </c>
      <c r="M301" t="n">
        <v>0</v>
      </c>
      <c r="N301" t="n">
        <v>0</v>
      </c>
      <c r="O301" t="n">
        <v>1</v>
      </c>
      <c r="P301" t="n">
        <v>0</v>
      </c>
      <c r="Q301" t="n">
        <v>1</v>
      </c>
      <c r="R301" s="2" t="inlineStr">
        <is>
          <t>Talltita</t>
        </is>
      </c>
      <c r="S301">
        <f>HYPERLINK("https://klasma.github.io/Logging_2161/artfynd/A 34346-2024 artfynd.xlsx", "A 34346-2024")</f>
        <v/>
      </c>
      <c r="T301">
        <f>HYPERLINK("https://klasma.github.io/Logging_2161/kartor/A 34346-2024 karta.png", "A 34346-2024")</f>
        <v/>
      </c>
      <c r="V301">
        <f>HYPERLINK("https://klasma.github.io/Logging_2161/klagomål/A 34346-2024 FSC-klagomål.docx", "A 34346-2024")</f>
        <v/>
      </c>
      <c r="W301">
        <f>HYPERLINK("https://klasma.github.io/Logging_2161/klagomålsmail/A 34346-2024 FSC-klagomål mail.docx", "A 34346-2024")</f>
        <v/>
      </c>
      <c r="X301">
        <f>HYPERLINK("https://klasma.github.io/Logging_2161/tillsyn/A 34346-2024 tillsynsbegäran.docx", "A 34346-2024")</f>
        <v/>
      </c>
      <c r="Y301">
        <f>HYPERLINK("https://klasma.github.io/Logging_2161/tillsynsmail/A 34346-2024 tillsynsbegäran mail.docx", "A 34346-2024")</f>
        <v/>
      </c>
      <c r="Z301">
        <f>HYPERLINK("https://klasma.github.io/Logging_2161/fåglar/A 34346-2024 prioriterade fågelarter.docx", "A 34346-2024")</f>
        <v/>
      </c>
    </row>
    <row r="302" ht="15" customHeight="1">
      <c r="A302" t="inlineStr">
        <is>
          <t>A 34597-2024</t>
        </is>
      </c>
      <c r="B302" s="1" t="n">
        <v>45526</v>
      </c>
      <c r="C302" s="1" t="n">
        <v>45811</v>
      </c>
      <c r="D302" t="inlineStr">
        <is>
          <t>GÄVLEBORGS LÄN</t>
        </is>
      </c>
      <c r="E302" t="inlineStr">
        <is>
          <t>LJUSDAL</t>
        </is>
      </c>
      <c r="F302" t="inlineStr">
        <is>
          <t>Sveaskog</t>
        </is>
      </c>
      <c r="G302" t="n">
        <v>2.1</v>
      </c>
      <c r="H302" t="n">
        <v>0</v>
      </c>
      <c r="I302" t="n">
        <v>0</v>
      </c>
      <c r="J302" t="n">
        <v>1</v>
      </c>
      <c r="K302" t="n">
        <v>0</v>
      </c>
      <c r="L302" t="n">
        <v>0</v>
      </c>
      <c r="M302" t="n">
        <v>0</v>
      </c>
      <c r="N302" t="n">
        <v>0</v>
      </c>
      <c r="O302" t="n">
        <v>1</v>
      </c>
      <c r="P302" t="n">
        <v>0</v>
      </c>
      <c r="Q302" t="n">
        <v>1</v>
      </c>
      <c r="R302" s="2" t="inlineStr">
        <is>
          <t>Garnlav</t>
        </is>
      </c>
      <c r="S302">
        <f>HYPERLINK("https://klasma.github.io/Logging_2161/artfynd/A 34597-2024 artfynd.xlsx", "A 34597-2024")</f>
        <v/>
      </c>
      <c r="T302">
        <f>HYPERLINK("https://klasma.github.io/Logging_2161/kartor/A 34597-2024 karta.png", "A 34597-2024")</f>
        <v/>
      </c>
      <c r="V302">
        <f>HYPERLINK("https://klasma.github.io/Logging_2161/klagomål/A 34597-2024 FSC-klagomål.docx", "A 34597-2024")</f>
        <v/>
      </c>
      <c r="W302">
        <f>HYPERLINK("https://klasma.github.io/Logging_2161/klagomålsmail/A 34597-2024 FSC-klagomål mail.docx", "A 34597-2024")</f>
        <v/>
      </c>
      <c r="X302">
        <f>HYPERLINK("https://klasma.github.io/Logging_2161/tillsyn/A 34597-2024 tillsynsbegäran.docx", "A 34597-2024")</f>
        <v/>
      </c>
      <c r="Y302">
        <f>HYPERLINK("https://klasma.github.io/Logging_2161/tillsynsmail/A 34597-2024 tillsynsbegäran mail.docx", "A 34597-2024")</f>
        <v/>
      </c>
    </row>
    <row r="303" ht="15" customHeight="1">
      <c r="A303" t="inlineStr">
        <is>
          <t>A 34748-2024</t>
        </is>
      </c>
      <c r="B303" s="1" t="n">
        <v>45526</v>
      </c>
      <c r="C303" s="1" t="n">
        <v>45811</v>
      </c>
      <c r="D303" t="inlineStr">
        <is>
          <t>GÄVLEBORGS LÄN</t>
        </is>
      </c>
      <c r="E303" t="inlineStr">
        <is>
          <t>LJUSDAL</t>
        </is>
      </c>
      <c r="F303" t="inlineStr">
        <is>
          <t>Sveaskog</t>
        </is>
      </c>
      <c r="G303" t="n">
        <v>11.2</v>
      </c>
      <c r="H303" t="n">
        <v>0</v>
      </c>
      <c r="I303" t="n">
        <v>0</v>
      </c>
      <c r="J303" t="n">
        <v>1</v>
      </c>
      <c r="K303" t="n">
        <v>0</v>
      </c>
      <c r="L303" t="n">
        <v>0</v>
      </c>
      <c r="M303" t="n">
        <v>0</v>
      </c>
      <c r="N303" t="n">
        <v>0</v>
      </c>
      <c r="O303" t="n">
        <v>1</v>
      </c>
      <c r="P303" t="n">
        <v>0</v>
      </c>
      <c r="Q303" t="n">
        <v>1</v>
      </c>
      <c r="R303" s="2" t="inlineStr">
        <is>
          <t>Kolflarnlav</t>
        </is>
      </c>
      <c r="S303">
        <f>HYPERLINK("https://klasma.github.io/Logging_2161/artfynd/A 34748-2024 artfynd.xlsx", "A 34748-2024")</f>
        <v/>
      </c>
      <c r="T303">
        <f>HYPERLINK("https://klasma.github.io/Logging_2161/kartor/A 34748-2024 karta.png", "A 34748-2024")</f>
        <v/>
      </c>
      <c r="V303">
        <f>HYPERLINK("https://klasma.github.io/Logging_2161/klagomål/A 34748-2024 FSC-klagomål.docx", "A 34748-2024")</f>
        <v/>
      </c>
      <c r="W303">
        <f>HYPERLINK("https://klasma.github.io/Logging_2161/klagomålsmail/A 34748-2024 FSC-klagomål mail.docx", "A 34748-2024")</f>
        <v/>
      </c>
      <c r="X303">
        <f>HYPERLINK("https://klasma.github.io/Logging_2161/tillsyn/A 34748-2024 tillsynsbegäran.docx", "A 34748-2024")</f>
        <v/>
      </c>
      <c r="Y303">
        <f>HYPERLINK("https://klasma.github.io/Logging_2161/tillsynsmail/A 34748-2024 tillsynsbegäran mail.docx", "A 34748-2024")</f>
        <v/>
      </c>
    </row>
    <row r="304" ht="15" customHeight="1">
      <c r="A304" t="inlineStr">
        <is>
          <t>A 34744-2024</t>
        </is>
      </c>
      <c r="B304" s="1" t="n">
        <v>45526</v>
      </c>
      <c r="C304" s="1" t="n">
        <v>45811</v>
      </c>
      <c r="D304" t="inlineStr">
        <is>
          <t>GÄVLEBORGS LÄN</t>
        </is>
      </c>
      <c r="E304" t="inlineStr">
        <is>
          <t>LJUSDAL</t>
        </is>
      </c>
      <c r="F304" t="inlineStr">
        <is>
          <t>Sveaskog</t>
        </is>
      </c>
      <c r="G304" t="n">
        <v>9.9</v>
      </c>
      <c r="H304" t="n">
        <v>0</v>
      </c>
      <c r="I304" t="n">
        <v>0</v>
      </c>
      <c r="J304" t="n">
        <v>1</v>
      </c>
      <c r="K304" t="n">
        <v>0</v>
      </c>
      <c r="L304" t="n">
        <v>0</v>
      </c>
      <c r="M304" t="n">
        <v>0</v>
      </c>
      <c r="N304" t="n">
        <v>0</v>
      </c>
      <c r="O304" t="n">
        <v>1</v>
      </c>
      <c r="P304" t="n">
        <v>0</v>
      </c>
      <c r="Q304" t="n">
        <v>1</v>
      </c>
      <c r="R304" s="2" t="inlineStr">
        <is>
          <t>Lunglav</t>
        </is>
      </c>
      <c r="S304">
        <f>HYPERLINK("https://klasma.github.io/Logging_2161/artfynd/A 34744-2024 artfynd.xlsx", "A 34744-2024")</f>
        <v/>
      </c>
      <c r="T304">
        <f>HYPERLINK("https://klasma.github.io/Logging_2161/kartor/A 34744-2024 karta.png", "A 34744-2024")</f>
        <v/>
      </c>
      <c r="V304">
        <f>HYPERLINK("https://klasma.github.io/Logging_2161/klagomål/A 34744-2024 FSC-klagomål.docx", "A 34744-2024")</f>
        <v/>
      </c>
      <c r="W304">
        <f>HYPERLINK("https://klasma.github.io/Logging_2161/klagomålsmail/A 34744-2024 FSC-klagomål mail.docx", "A 34744-2024")</f>
        <v/>
      </c>
      <c r="X304">
        <f>HYPERLINK("https://klasma.github.io/Logging_2161/tillsyn/A 34744-2024 tillsynsbegäran.docx", "A 34744-2024")</f>
        <v/>
      </c>
      <c r="Y304">
        <f>HYPERLINK("https://klasma.github.io/Logging_2161/tillsynsmail/A 34744-2024 tillsynsbegäran mail.docx", "A 34744-2024")</f>
        <v/>
      </c>
    </row>
    <row r="305" ht="15" customHeight="1">
      <c r="A305" t="inlineStr">
        <is>
          <t>A 34974-2024</t>
        </is>
      </c>
      <c r="B305" s="1" t="n">
        <v>45527</v>
      </c>
      <c r="C305" s="1" t="n">
        <v>45811</v>
      </c>
      <c r="D305" t="inlineStr">
        <is>
          <t>GÄVLEBORGS LÄN</t>
        </is>
      </c>
      <c r="E305" t="inlineStr">
        <is>
          <t>LJUSDAL</t>
        </is>
      </c>
      <c r="F305" t="inlineStr">
        <is>
          <t>Sveaskog</t>
        </is>
      </c>
      <c r="G305" t="n">
        <v>4.6</v>
      </c>
      <c r="H305" t="n">
        <v>0</v>
      </c>
      <c r="I305" t="n">
        <v>0</v>
      </c>
      <c r="J305" t="n">
        <v>1</v>
      </c>
      <c r="K305" t="n">
        <v>0</v>
      </c>
      <c r="L305" t="n">
        <v>0</v>
      </c>
      <c r="M305" t="n">
        <v>0</v>
      </c>
      <c r="N305" t="n">
        <v>0</v>
      </c>
      <c r="O305" t="n">
        <v>1</v>
      </c>
      <c r="P305" t="n">
        <v>0</v>
      </c>
      <c r="Q305" t="n">
        <v>1</v>
      </c>
      <c r="R305" s="2" t="inlineStr">
        <is>
          <t>Kolflarnlav</t>
        </is>
      </c>
      <c r="S305">
        <f>HYPERLINK("https://klasma.github.io/Logging_2161/artfynd/A 34974-2024 artfynd.xlsx", "A 34974-2024")</f>
        <v/>
      </c>
      <c r="T305">
        <f>HYPERLINK("https://klasma.github.io/Logging_2161/kartor/A 34974-2024 karta.png", "A 34974-2024")</f>
        <v/>
      </c>
      <c r="V305">
        <f>HYPERLINK("https://klasma.github.io/Logging_2161/klagomål/A 34974-2024 FSC-klagomål.docx", "A 34974-2024")</f>
        <v/>
      </c>
      <c r="W305">
        <f>HYPERLINK("https://klasma.github.io/Logging_2161/klagomålsmail/A 34974-2024 FSC-klagomål mail.docx", "A 34974-2024")</f>
        <v/>
      </c>
      <c r="X305">
        <f>HYPERLINK("https://klasma.github.io/Logging_2161/tillsyn/A 34974-2024 tillsynsbegäran.docx", "A 34974-2024")</f>
        <v/>
      </c>
      <c r="Y305">
        <f>HYPERLINK("https://klasma.github.io/Logging_2161/tillsynsmail/A 34974-2024 tillsynsbegäran mail.docx", "A 34974-2024")</f>
        <v/>
      </c>
    </row>
    <row r="306" ht="15" customHeight="1">
      <c r="A306" t="inlineStr">
        <is>
          <t>A 37090-2024</t>
        </is>
      </c>
      <c r="B306" s="1" t="n">
        <v>45539</v>
      </c>
      <c r="C306" s="1" t="n">
        <v>45811</v>
      </c>
      <c r="D306" t="inlineStr">
        <is>
          <t>GÄVLEBORGS LÄN</t>
        </is>
      </c>
      <c r="E306" t="inlineStr">
        <is>
          <t>LJUSDAL</t>
        </is>
      </c>
      <c r="F306" t="inlineStr">
        <is>
          <t>Sveaskog</t>
        </is>
      </c>
      <c r="G306" t="n">
        <v>2.6</v>
      </c>
      <c r="H306" t="n">
        <v>0</v>
      </c>
      <c r="I306" t="n">
        <v>0</v>
      </c>
      <c r="J306" t="n">
        <v>1</v>
      </c>
      <c r="K306" t="n">
        <v>0</v>
      </c>
      <c r="L306" t="n">
        <v>0</v>
      </c>
      <c r="M306" t="n">
        <v>0</v>
      </c>
      <c r="N306" t="n">
        <v>0</v>
      </c>
      <c r="O306" t="n">
        <v>1</v>
      </c>
      <c r="P306" t="n">
        <v>0</v>
      </c>
      <c r="Q306" t="n">
        <v>1</v>
      </c>
      <c r="R306" s="2" t="inlineStr">
        <is>
          <t>Skrovellav</t>
        </is>
      </c>
      <c r="S306">
        <f>HYPERLINK("https://klasma.github.io/Logging_2161/artfynd/A 37090-2024 artfynd.xlsx", "A 37090-2024")</f>
        <v/>
      </c>
      <c r="T306">
        <f>HYPERLINK("https://klasma.github.io/Logging_2161/kartor/A 37090-2024 karta.png", "A 37090-2024")</f>
        <v/>
      </c>
      <c r="V306">
        <f>HYPERLINK("https://klasma.github.io/Logging_2161/klagomål/A 37090-2024 FSC-klagomål.docx", "A 37090-2024")</f>
        <v/>
      </c>
      <c r="W306">
        <f>HYPERLINK("https://klasma.github.io/Logging_2161/klagomålsmail/A 37090-2024 FSC-klagomål mail.docx", "A 37090-2024")</f>
        <v/>
      </c>
      <c r="X306">
        <f>HYPERLINK("https://klasma.github.io/Logging_2161/tillsyn/A 37090-2024 tillsynsbegäran.docx", "A 37090-2024")</f>
        <v/>
      </c>
      <c r="Y306">
        <f>HYPERLINK("https://klasma.github.io/Logging_2161/tillsynsmail/A 37090-2024 tillsynsbegäran mail.docx", "A 37090-2024")</f>
        <v/>
      </c>
    </row>
    <row r="307" ht="15" customHeight="1">
      <c r="A307" t="inlineStr">
        <is>
          <t>A 37435-2024</t>
        </is>
      </c>
      <c r="B307" s="1" t="n">
        <v>45540</v>
      </c>
      <c r="C307" s="1" t="n">
        <v>45811</v>
      </c>
      <c r="D307" t="inlineStr">
        <is>
          <t>GÄVLEBORGS LÄN</t>
        </is>
      </c>
      <c r="E307" t="inlineStr">
        <is>
          <t>LJUSDAL</t>
        </is>
      </c>
      <c r="F307" t="inlineStr">
        <is>
          <t>Sveaskog</t>
        </is>
      </c>
      <c r="G307" t="n">
        <v>11.4</v>
      </c>
      <c r="H307" t="n">
        <v>0</v>
      </c>
      <c r="I307" t="n">
        <v>0</v>
      </c>
      <c r="J307" t="n">
        <v>1</v>
      </c>
      <c r="K307" t="n">
        <v>0</v>
      </c>
      <c r="L307" t="n">
        <v>0</v>
      </c>
      <c r="M307" t="n">
        <v>0</v>
      </c>
      <c r="N307" t="n">
        <v>0</v>
      </c>
      <c r="O307" t="n">
        <v>1</v>
      </c>
      <c r="P307" t="n">
        <v>0</v>
      </c>
      <c r="Q307" t="n">
        <v>1</v>
      </c>
      <c r="R307" s="2" t="inlineStr">
        <is>
          <t>Garnlav</t>
        </is>
      </c>
      <c r="S307">
        <f>HYPERLINK("https://klasma.github.io/Logging_2161/artfynd/A 37435-2024 artfynd.xlsx", "A 37435-2024")</f>
        <v/>
      </c>
      <c r="T307">
        <f>HYPERLINK("https://klasma.github.io/Logging_2161/kartor/A 37435-2024 karta.png", "A 37435-2024")</f>
        <v/>
      </c>
      <c r="V307">
        <f>HYPERLINK("https://klasma.github.io/Logging_2161/klagomål/A 37435-2024 FSC-klagomål.docx", "A 37435-2024")</f>
        <v/>
      </c>
      <c r="W307">
        <f>HYPERLINK("https://klasma.github.io/Logging_2161/klagomålsmail/A 37435-2024 FSC-klagomål mail.docx", "A 37435-2024")</f>
        <v/>
      </c>
      <c r="X307">
        <f>HYPERLINK("https://klasma.github.io/Logging_2161/tillsyn/A 37435-2024 tillsynsbegäran.docx", "A 37435-2024")</f>
        <v/>
      </c>
      <c r="Y307">
        <f>HYPERLINK("https://klasma.github.io/Logging_2161/tillsynsmail/A 37435-2024 tillsynsbegäran mail.docx", "A 37435-2024")</f>
        <v/>
      </c>
    </row>
    <row r="308" ht="15" customHeight="1">
      <c r="A308" t="inlineStr">
        <is>
          <t>A 38152-2024</t>
        </is>
      </c>
      <c r="B308" s="1" t="n">
        <v>45545</v>
      </c>
      <c r="C308" s="1" t="n">
        <v>45811</v>
      </c>
      <c r="D308" t="inlineStr">
        <is>
          <t>GÄVLEBORGS LÄN</t>
        </is>
      </c>
      <c r="E308" t="inlineStr">
        <is>
          <t>LJUSDAL</t>
        </is>
      </c>
      <c r="F308" t="inlineStr">
        <is>
          <t>Sveaskog</t>
        </is>
      </c>
      <c r="G308" t="n">
        <v>3.6</v>
      </c>
      <c r="H308" t="n">
        <v>1</v>
      </c>
      <c r="I308" t="n">
        <v>0</v>
      </c>
      <c r="J308" t="n">
        <v>0</v>
      </c>
      <c r="K308" t="n">
        <v>1</v>
      </c>
      <c r="L308" t="n">
        <v>0</v>
      </c>
      <c r="M308" t="n">
        <v>0</v>
      </c>
      <c r="N308" t="n">
        <v>0</v>
      </c>
      <c r="O308" t="n">
        <v>1</v>
      </c>
      <c r="P308" t="n">
        <v>1</v>
      </c>
      <c r="Q308" t="n">
        <v>1</v>
      </c>
      <c r="R308" s="2" t="inlineStr">
        <is>
          <t>Knärot</t>
        </is>
      </c>
      <c r="S308">
        <f>HYPERLINK("https://klasma.github.io/Logging_2161/artfynd/A 38152-2024 artfynd.xlsx", "A 38152-2024")</f>
        <v/>
      </c>
      <c r="T308">
        <f>HYPERLINK("https://klasma.github.io/Logging_2161/kartor/A 38152-2024 karta.png", "A 38152-2024")</f>
        <v/>
      </c>
      <c r="U308">
        <f>HYPERLINK("https://klasma.github.io/Logging_2161/knärot/A 38152-2024 karta knärot.png", "A 38152-2024")</f>
        <v/>
      </c>
      <c r="V308">
        <f>HYPERLINK("https://klasma.github.io/Logging_2161/klagomål/A 38152-2024 FSC-klagomål.docx", "A 38152-2024")</f>
        <v/>
      </c>
      <c r="W308">
        <f>HYPERLINK("https://klasma.github.io/Logging_2161/klagomålsmail/A 38152-2024 FSC-klagomål mail.docx", "A 38152-2024")</f>
        <v/>
      </c>
      <c r="X308">
        <f>HYPERLINK("https://klasma.github.io/Logging_2161/tillsyn/A 38152-2024 tillsynsbegäran.docx", "A 38152-2024")</f>
        <v/>
      </c>
      <c r="Y308">
        <f>HYPERLINK("https://klasma.github.io/Logging_2161/tillsynsmail/A 38152-2024 tillsynsbegäran mail.docx", "A 38152-2024")</f>
        <v/>
      </c>
    </row>
    <row r="309" ht="15" customHeight="1">
      <c r="A309" t="inlineStr">
        <is>
          <t>A 39024-2024</t>
        </is>
      </c>
      <c r="B309" s="1" t="n">
        <v>45548</v>
      </c>
      <c r="C309" s="1" t="n">
        <v>45811</v>
      </c>
      <c r="D309" t="inlineStr">
        <is>
          <t>GÄVLEBORGS LÄN</t>
        </is>
      </c>
      <c r="E309" t="inlineStr">
        <is>
          <t>LJUSDAL</t>
        </is>
      </c>
      <c r="F309" t="inlineStr">
        <is>
          <t>Sveaskog</t>
        </is>
      </c>
      <c r="G309" t="n">
        <v>17</v>
      </c>
      <c r="H309" t="n">
        <v>0</v>
      </c>
      <c r="I309" t="n">
        <v>0</v>
      </c>
      <c r="J309" t="n">
        <v>1</v>
      </c>
      <c r="K309" t="n">
        <v>0</v>
      </c>
      <c r="L309" t="n">
        <v>0</v>
      </c>
      <c r="M309" t="n">
        <v>0</v>
      </c>
      <c r="N309" t="n">
        <v>0</v>
      </c>
      <c r="O309" t="n">
        <v>1</v>
      </c>
      <c r="P309" t="n">
        <v>0</v>
      </c>
      <c r="Q309" t="n">
        <v>1</v>
      </c>
      <c r="R309" s="2" t="inlineStr">
        <is>
          <t>Lunglav</t>
        </is>
      </c>
      <c r="S309">
        <f>HYPERLINK("https://klasma.github.io/Logging_2161/artfynd/A 39024-2024 artfynd.xlsx", "A 39024-2024")</f>
        <v/>
      </c>
      <c r="T309">
        <f>HYPERLINK("https://klasma.github.io/Logging_2161/kartor/A 39024-2024 karta.png", "A 39024-2024")</f>
        <v/>
      </c>
      <c r="V309">
        <f>HYPERLINK("https://klasma.github.io/Logging_2161/klagomål/A 39024-2024 FSC-klagomål.docx", "A 39024-2024")</f>
        <v/>
      </c>
      <c r="W309">
        <f>HYPERLINK("https://klasma.github.io/Logging_2161/klagomålsmail/A 39024-2024 FSC-klagomål mail.docx", "A 39024-2024")</f>
        <v/>
      </c>
      <c r="X309">
        <f>HYPERLINK("https://klasma.github.io/Logging_2161/tillsyn/A 39024-2024 tillsynsbegäran.docx", "A 39024-2024")</f>
        <v/>
      </c>
      <c r="Y309">
        <f>HYPERLINK("https://klasma.github.io/Logging_2161/tillsynsmail/A 39024-2024 tillsynsbegäran mail.docx", "A 39024-2024")</f>
        <v/>
      </c>
    </row>
    <row r="310" ht="15" customHeight="1">
      <c r="A310" t="inlineStr">
        <is>
          <t>A 39838-2024</t>
        </is>
      </c>
      <c r="B310" s="1" t="n">
        <v>45553</v>
      </c>
      <c r="C310" s="1" t="n">
        <v>45811</v>
      </c>
      <c r="D310" t="inlineStr">
        <is>
          <t>GÄVLEBORGS LÄN</t>
        </is>
      </c>
      <c r="E310" t="inlineStr">
        <is>
          <t>LJUSDAL</t>
        </is>
      </c>
      <c r="G310" t="n">
        <v>10.9</v>
      </c>
      <c r="H310" t="n">
        <v>1</v>
      </c>
      <c r="I310" t="n">
        <v>0</v>
      </c>
      <c r="J310" t="n">
        <v>0</v>
      </c>
      <c r="K310" t="n">
        <v>1</v>
      </c>
      <c r="L310" t="n">
        <v>0</v>
      </c>
      <c r="M310" t="n">
        <v>0</v>
      </c>
      <c r="N310" t="n">
        <v>0</v>
      </c>
      <c r="O310" t="n">
        <v>1</v>
      </c>
      <c r="P310" t="n">
        <v>1</v>
      </c>
      <c r="Q310" t="n">
        <v>1</v>
      </c>
      <c r="R310" s="2" t="inlineStr">
        <is>
          <t>Knärot</t>
        </is>
      </c>
      <c r="S310">
        <f>HYPERLINK("https://klasma.github.io/Logging_2161/artfynd/A 39838-2024 artfynd.xlsx", "A 39838-2024")</f>
        <v/>
      </c>
      <c r="T310">
        <f>HYPERLINK("https://klasma.github.io/Logging_2161/kartor/A 39838-2024 karta.png", "A 39838-2024")</f>
        <v/>
      </c>
      <c r="U310">
        <f>HYPERLINK("https://klasma.github.io/Logging_2161/knärot/A 39838-2024 karta knärot.png", "A 39838-2024")</f>
        <v/>
      </c>
      <c r="V310">
        <f>HYPERLINK("https://klasma.github.io/Logging_2161/klagomål/A 39838-2024 FSC-klagomål.docx", "A 39838-2024")</f>
        <v/>
      </c>
      <c r="W310">
        <f>HYPERLINK("https://klasma.github.io/Logging_2161/klagomålsmail/A 39838-2024 FSC-klagomål mail.docx", "A 39838-2024")</f>
        <v/>
      </c>
      <c r="X310">
        <f>HYPERLINK("https://klasma.github.io/Logging_2161/tillsyn/A 39838-2024 tillsynsbegäran.docx", "A 39838-2024")</f>
        <v/>
      </c>
      <c r="Y310">
        <f>HYPERLINK("https://klasma.github.io/Logging_2161/tillsynsmail/A 39838-2024 tillsynsbegäran mail.docx", "A 39838-2024")</f>
        <v/>
      </c>
    </row>
    <row r="311" ht="15" customHeight="1">
      <c r="A311" t="inlineStr">
        <is>
          <t>A 40904-2024</t>
        </is>
      </c>
      <c r="B311" s="1" t="n">
        <v>45558</v>
      </c>
      <c r="C311" s="1" t="n">
        <v>45811</v>
      </c>
      <c r="D311" t="inlineStr">
        <is>
          <t>GÄVLEBORGS LÄN</t>
        </is>
      </c>
      <c r="E311" t="inlineStr">
        <is>
          <t>LJUSDAL</t>
        </is>
      </c>
      <c r="G311" t="n">
        <v>10.9</v>
      </c>
      <c r="H311" t="n">
        <v>1</v>
      </c>
      <c r="I311" t="n">
        <v>0</v>
      </c>
      <c r="J311" t="n">
        <v>0</v>
      </c>
      <c r="K311" t="n">
        <v>1</v>
      </c>
      <c r="L311" t="n">
        <v>0</v>
      </c>
      <c r="M311" t="n">
        <v>0</v>
      </c>
      <c r="N311" t="n">
        <v>0</v>
      </c>
      <c r="O311" t="n">
        <v>1</v>
      </c>
      <c r="P311" t="n">
        <v>1</v>
      </c>
      <c r="Q311" t="n">
        <v>1</v>
      </c>
      <c r="R311" s="2" t="inlineStr">
        <is>
          <t>Knärot</t>
        </is>
      </c>
      <c r="S311">
        <f>HYPERLINK("https://klasma.github.io/Logging_2161/artfynd/A 40904-2024 artfynd.xlsx", "A 40904-2024")</f>
        <v/>
      </c>
      <c r="T311">
        <f>HYPERLINK("https://klasma.github.io/Logging_2161/kartor/A 40904-2024 karta.png", "A 40904-2024")</f>
        <v/>
      </c>
      <c r="U311">
        <f>HYPERLINK("https://klasma.github.io/Logging_2161/knärot/A 40904-2024 karta knärot.png", "A 40904-2024")</f>
        <v/>
      </c>
      <c r="V311">
        <f>HYPERLINK("https://klasma.github.io/Logging_2161/klagomål/A 40904-2024 FSC-klagomål.docx", "A 40904-2024")</f>
        <v/>
      </c>
      <c r="W311">
        <f>HYPERLINK("https://klasma.github.io/Logging_2161/klagomålsmail/A 40904-2024 FSC-klagomål mail.docx", "A 40904-2024")</f>
        <v/>
      </c>
      <c r="X311">
        <f>HYPERLINK("https://klasma.github.io/Logging_2161/tillsyn/A 40904-2024 tillsynsbegäran.docx", "A 40904-2024")</f>
        <v/>
      </c>
      <c r="Y311">
        <f>HYPERLINK("https://klasma.github.io/Logging_2161/tillsynsmail/A 40904-2024 tillsynsbegäran mail.docx", "A 40904-2024")</f>
        <v/>
      </c>
    </row>
    <row r="312" ht="15" customHeight="1">
      <c r="A312" t="inlineStr">
        <is>
          <t>A 41388-2024</t>
        </is>
      </c>
      <c r="B312" s="1" t="n">
        <v>45560</v>
      </c>
      <c r="C312" s="1" t="n">
        <v>45811</v>
      </c>
      <c r="D312" t="inlineStr">
        <is>
          <t>GÄVLEBORGS LÄN</t>
        </is>
      </c>
      <c r="E312" t="inlineStr">
        <is>
          <t>LJUSDAL</t>
        </is>
      </c>
      <c r="F312" t="inlineStr">
        <is>
          <t>Holmen skog AB</t>
        </is>
      </c>
      <c r="G312" t="n">
        <v>1.2</v>
      </c>
      <c r="H312" t="n">
        <v>0</v>
      </c>
      <c r="I312" t="n">
        <v>0</v>
      </c>
      <c r="J312" t="n">
        <v>1</v>
      </c>
      <c r="K312" t="n">
        <v>0</v>
      </c>
      <c r="L312" t="n">
        <v>0</v>
      </c>
      <c r="M312" t="n">
        <v>0</v>
      </c>
      <c r="N312" t="n">
        <v>0</v>
      </c>
      <c r="O312" t="n">
        <v>1</v>
      </c>
      <c r="P312" t="n">
        <v>0</v>
      </c>
      <c r="Q312" t="n">
        <v>1</v>
      </c>
      <c r="R312" s="2" t="inlineStr">
        <is>
          <t>Garnlav</t>
        </is>
      </c>
      <c r="S312">
        <f>HYPERLINK("https://klasma.github.io/Logging_2161/artfynd/A 41388-2024 artfynd.xlsx", "A 41388-2024")</f>
        <v/>
      </c>
      <c r="T312">
        <f>HYPERLINK("https://klasma.github.io/Logging_2161/kartor/A 41388-2024 karta.png", "A 41388-2024")</f>
        <v/>
      </c>
      <c r="V312">
        <f>HYPERLINK("https://klasma.github.io/Logging_2161/klagomål/A 41388-2024 FSC-klagomål.docx", "A 41388-2024")</f>
        <v/>
      </c>
      <c r="W312">
        <f>HYPERLINK("https://klasma.github.io/Logging_2161/klagomålsmail/A 41388-2024 FSC-klagomål mail.docx", "A 41388-2024")</f>
        <v/>
      </c>
      <c r="X312">
        <f>HYPERLINK("https://klasma.github.io/Logging_2161/tillsyn/A 41388-2024 tillsynsbegäran.docx", "A 41388-2024")</f>
        <v/>
      </c>
      <c r="Y312">
        <f>HYPERLINK("https://klasma.github.io/Logging_2161/tillsynsmail/A 41388-2024 tillsynsbegäran mail.docx", "A 41388-2024")</f>
        <v/>
      </c>
    </row>
    <row r="313" ht="15" customHeight="1">
      <c r="A313" t="inlineStr">
        <is>
          <t>A 49862-2024</t>
        </is>
      </c>
      <c r="B313" s="1" t="n">
        <v>45597</v>
      </c>
      <c r="C313" s="1" t="n">
        <v>45811</v>
      </c>
      <c r="D313" t="inlineStr">
        <is>
          <t>GÄVLEBORGS LÄN</t>
        </is>
      </c>
      <c r="E313" t="inlineStr">
        <is>
          <t>LJUSDAL</t>
        </is>
      </c>
      <c r="F313" t="inlineStr">
        <is>
          <t>Bergvik skog väst AB</t>
        </is>
      </c>
      <c r="G313" t="n">
        <v>8.800000000000001</v>
      </c>
      <c r="H313" t="n">
        <v>1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1</v>
      </c>
      <c r="R313" s="2" t="inlineStr">
        <is>
          <t>Mindre vattensalamander</t>
        </is>
      </c>
      <c r="S313">
        <f>HYPERLINK("https://klasma.github.io/Logging_2161/artfynd/A 49862-2024 artfynd.xlsx", "A 49862-2024")</f>
        <v/>
      </c>
      <c r="T313">
        <f>HYPERLINK("https://klasma.github.io/Logging_2161/kartor/A 49862-2024 karta.png", "A 49862-2024")</f>
        <v/>
      </c>
      <c r="V313">
        <f>HYPERLINK("https://klasma.github.io/Logging_2161/klagomål/A 49862-2024 FSC-klagomål.docx", "A 49862-2024")</f>
        <v/>
      </c>
      <c r="W313">
        <f>HYPERLINK("https://klasma.github.io/Logging_2161/klagomålsmail/A 49862-2024 FSC-klagomål mail.docx", "A 49862-2024")</f>
        <v/>
      </c>
      <c r="X313">
        <f>HYPERLINK("https://klasma.github.io/Logging_2161/tillsyn/A 49862-2024 tillsynsbegäran.docx", "A 49862-2024")</f>
        <v/>
      </c>
      <c r="Y313">
        <f>HYPERLINK("https://klasma.github.io/Logging_2161/tillsynsmail/A 49862-2024 tillsynsbegäran mail.docx", "A 49862-2024")</f>
        <v/>
      </c>
    </row>
    <row r="314" ht="15" customHeight="1">
      <c r="A314" t="inlineStr">
        <is>
          <t>A 50164-2024</t>
        </is>
      </c>
      <c r="B314" s="1" t="n">
        <v>45600</v>
      </c>
      <c r="C314" s="1" t="n">
        <v>45811</v>
      </c>
      <c r="D314" t="inlineStr">
        <is>
          <t>GÄVLEBORGS LÄN</t>
        </is>
      </c>
      <c r="E314" t="inlineStr">
        <is>
          <t>LJUSDAL</t>
        </is>
      </c>
      <c r="F314" t="inlineStr">
        <is>
          <t>Sveaskog</t>
        </is>
      </c>
      <c r="G314" t="n">
        <v>6.5</v>
      </c>
      <c r="H314" t="n">
        <v>0</v>
      </c>
      <c r="I314" t="n">
        <v>0</v>
      </c>
      <c r="J314" t="n">
        <v>1</v>
      </c>
      <c r="K314" t="n">
        <v>0</v>
      </c>
      <c r="L314" t="n">
        <v>0</v>
      </c>
      <c r="M314" t="n">
        <v>0</v>
      </c>
      <c r="N314" t="n">
        <v>0</v>
      </c>
      <c r="O314" t="n">
        <v>1</v>
      </c>
      <c r="P314" t="n">
        <v>0</v>
      </c>
      <c r="Q314" t="n">
        <v>1</v>
      </c>
      <c r="R314" s="2" t="inlineStr">
        <is>
          <t>Lunglav</t>
        </is>
      </c>
      <c r="S314">
        <f>HYPERLINK("https://klasma.github.io/Logging_2161/artfynd/A 50164-2024 artfynd.xlsx", "A 50164-2024")</f>
        <v/>
      </c>
      <c r="T314">
        <f>HYPERLINK("https://klasma.github.io/Logging_2161/kartor/A 50164-2024 karta.png", "A 50164-2024")</f>
        <v/>
      </c>
      <c r="V314">
        <f>HYPERLINK("https://klasma.github.io/Logging_2161/klagomål/A 50164-2024 FSC-klagomål.docx", "A 50164-2024")</f>
        <v/>
      </c>
      <c r="W314">
        <f>HYPERLINK("https://klasma.github.io/Logging_2161/klagomålsmail/A 50164-2024 FSC-klagomål mail.docx", "A 50164-2024")</f>
        <v/>
      </c>
      <c r="X314">
        <f>HYPERLINK("https://klasma.github.io/Logging_2161/tillsyn/A 50164-2024 tillsynsbegäran.docx", "A 50164-2024")</f>
        <v/>
      </c>
      <c r="Y314">
        <f>HYPERLINK("https://klasma.github.io/Logging_2161/tillsynsmail/A 50164-2024 tillsynsbegäran mail.docx", "A 50164-2024")</f>
        <v/>
      </c>
    </row>
    <row r="315" ht="15" customHeight="1">
      <c r="A315" t="inlineStr">
        <is>
          <t>A 53508-2024</t>
        </is>
      </c>
      <c r="B315" s="1" t="n">
        <v>45614</v>
      </c>
      <c r="C315" s="1" t="n">
        <v>45811</v>
      </c>
      <c r="D315" t="inlineStr">
        <is>
          <t>GÄVLEBORGS LÄN</t>
        </is>
      </c>
      <c r="E315" t="inlineStr">
        <is>
          <t>LJUSDAL</t>
        </is>
      </c>
      <c r="G315" t="n">
        <v>2.4</v>
      </c>
      <c r="H315" t="n">
        <v>0</v>
      </c>
      <c r="I315" t="n">
        <v>0</v>
      </c>
      <c r="J315" t="n">
        <v>1</v>
      </c>
      <c r="K315" t="n">
        <v>0</v>
      </c>
      <c r="L315" t="n">
        <v>0</v>
      </c>
      <c r="M315" t="n">
        <v>0</v>
      </c>
      <c r="N315" t="n">
        <v>0</v>
      </c>
      <c r="O315" t="n">
        <v>1</v>
      </c>
      <c r="P315" t="n">
        <v>0</v>
      </c>
      <c r="Q315" t="n">
        <v>1</v>
      </c>
      <c r="R315" s="2" t="inlineStr">
        <is>
          <t>Lunglav</t>
        </is>
      </c>
      <c r="S315">
        <f>HYPERLINK("https://klasma.github.io/Logging_2161/artfynd/A 53508-2024 artfynd.xlsx", "A 53508-2024")</f>
        <v/>
      </c>
      <c r="T315">
        <f>HYPERLINK("https://klasma.github.io/Logging_2161/kartor/A 53508-2024 karta.png", "A 53508-2024")</f>
        <v/>
      </c>
      <c r="V315">
        <f>HYPERLINK("https://klasma.github.io/Logging_2161/klagomål/A 53508-2024 FSC-klagomål.docx", "A 53508-2024")</f>
        <v/>
      </c>
      <c r="W315">
        <f>HYPERLINK("https://klasma.github.io/Logging_2161/klagomålsmail/A 53508-2024 FSC-klagomål mail.docx", "A 53508-2024")</f>
        <v/>
      </c>
      <c r="X315">
        <f>HYPERLINK("https://klasma.github.io/Logging_2161/tillsyn/A 53508-2024 tillsynsbegäran.docx", "A 53508-2024")</f>
        <v/>
      </c>
      <c r="Y315">
        <f>HYPERLINK("https://klasma.github.io/Logging_2161/tillsynsmail/A 53508-2024 tillsynsbegäran mail.docx", "A 53508-2024")</f>
        <v/>
      </c>
    </row>
    <row r="316" ht="15" customHeight="1">
      <c r="A316" t="inlineStr">
        <is>
          <t>A 55289-2024</t>
        </is>
      </c>
      <c r="B316" s="1" t="n">
        <v>45621</v>
      </c>
      <c r="C316" s="1" t="n">
        <v>45811</v>
      </c>
      <c r="D316" t="inlineStr">
        <is>
          <t>GÄVLEBORGS LÄN</t>
        </is>
      </c>
      <c r="E316" t="inlineStr">
        <is>
          <t>LJUSDAL</t>
        </is>
      </c>
      <c r="F316" t="inlineStr">
        <is>
          <t>Sveaskog</t>
        </is>
      </c>
      <c r="G316" t="n">
        <v>3.3</v>
      </c>
      <c r="H316" t="n">
        <v>0</v>
      </c>
      <c r="I316" t="n">
        <v>0</v>
      </c>
      <c r="J316" t="n">
        <v>1</v>
      </c>
      <c r="K316" t="n">
        <v>0</v>
      </c>
      <c r="L316" t="n">
        <v>0</v>
      </c>
      <c r="M316" t="n">
        <v>0</v>
      </c>
      <c r="N316" t="n">
        <v>0</v>
      </c>
      <c r="O316" t="n">
        <v>1</v>
      </c>
      <c r="P316" t="n">
        <v>0</v>
      </c>
      <c r="Q316" t="n">
        <v>1</v>
      </c>
      <c r="R316" s="2" t="inlineStr">
        <is>
          <t>Garnlav</t>
        </is>
      </c>
      <c r="S316">
        <f>HYPERLINK("https://klasma.github.io/Logging_2161/artfynd/A 55289-2024 artfynd.xlsx", "A 55289-2024")</f>
        <v/>
      </c>
      <c r="T316">
        <f>HYPERLINK("https://klasma.github.io/Logging_2161/kartor/A 55289-2024 karta.png", "A 55289-2024")</f>
        <v/>
      </c>
      <c r="V316">
        <f>HYPERLINK("https://klasma.github.io/Logging_2161/klagomål/A 55289-2024 FSC-klagomål.docx", "A 55289-2024")</f>
        <v/>
      </c>
      <c r="W316">
        <f>HYPERLINK("https://klasma.github.io/Logging_2161/klagomålsmail/A 55289-2024 FSC-klagomål mail.docx", "A 55289-2024")</f>
        <v/>
      </c>
      <c r="X316">
        <f>HYPERLINK("https://klasma.github.io/Logging_2161/tillsyn/A 55289-2024 tillsynsbegäran.docx", "A 55289-2024")</f>
        <v/>
      </c>
      <c r="Y316">
        <f>HYPERLINK("https://klasma.github.io/Logging_2161/tillsynsmail/A 55289-2024 tillsynsbegäran mail.docx", "A 55289-2024")</f>
        <v/>
      </c>
    </row>
    <row r="317" ht="15" customHeight="1">
      <c r="A317" t="inlineStr">
        <is>
          <t>A 55326-2024</t>
        </is>
      </c>
      <c r="B317" s="1" t="n">
        <v>45621</v>
      </c>
      <c r="C317" s="1" t="n">
        <v>45811</v>
      </c>
      <c r="D317" t="inlineStr">
        <is>
          <t>GÄVLEBORGS LÄN</t>
        </is>
      </c>
      <c r="E317" t="inlineStr">
        <is>
          <t>LJUSDAL</t>
        </is>
      </c>
      <c r="G317" t="n">
        <v>11.1</v>
      </c>
      <c r="H317" t="n">
        <v>0</v>
      </c>
      <c r="I317" t="n">
        <v>0</v>
      </c>
      <c r="J317" t="n">
        <v>1</v>
      </c>
      <c r="K317" t="n">
        <v>0</v>
      </c>
      <c r="L317" t="n">
        <v>0</v>
      </c>
      <c r="M317" t="n">
        <v>0</v>
      </c>
      <c r="N317" t="n">
        <v>0</v>
      </c>
      <c r="O317" t="n">
        <v>1</v>
      </c>
      <c r="P317" t="n">
        <v>0</v>
      </c>
      <c r="Q317" t="n">
        <v>1</v>
      </c>
      <c r="R317" s="2" t="inlineStr">
        <is>
          <t>Vedskivlav</t>
        </is>
      </c>
      <c r="S317">
        <f>HYPERLINK("https://klasma.github.io/Logging_2161/artfynd/A 55326-2024 artfynd.xlsx", "A 55326-2024")</f>
        <v/>
      </c>
      <c r="T317">
        <f>HYPERLINK("https://klasma.github.io/Logging_2161/kartor/A 55326-2024 karta.png", "A 55326-2024")</f>
        <v/>
      </c>
      <c r="U317">
        <f>HYPERLINK("https://klasma.github.io/Logging_2161/knärot/A 55326-2024 karta knärot.png", "A 55326-2024")</f>
        <v/>
      </c>
      <c r="V317">
        <f>HYPERLINK("https://klasma.github.io/Logging_2161/klagomål/A 55326-2024 FSC-klagomål.docx", "A 55326-2024")</f>
        <v/>
      </c>
      <c r="W317">
        <f>HYPERLINK("https://klasma.github.io/Logging_2161/klagomålsmail/A 55326-2024 FSC-klagomål mail.docx", "A 55326-2024")</f>
        <v/>
      </c>
      <c r="X317">
        <f>HYPERLINK("https://klasma.github.io/Logging_2161/tillsyn/A 55326-2024 tillsynsbegäran.docx", "A 55326-2024")</f>
        <v/>
      </c>
      <c r="Y317">
        <f>HYPERLINK("https://klasma.github.io/Logging_2161/tillsynsmail/A 55326-2024 tillsynsbegäran mail.docx", "A 55326-2024")</f>
        <v/>
      </c>
    </row>
    <row r="318" ht="15" customHeight="1">
      <c r="A318" t="inlineStr">
        <is>
          <t>A 58575-2024</t>
        </is>
      </c>
      <c r="B318" s="1" t="n">
        <v>45635</v>
      </c>
      <c r="C318" s="1" t="n">
        <v>45811</v>
      </c>
      <c r="D318" t="inlineStr">
        <is>
          <t>GÄVLEBORGS LÄN</t>
        </is>
      </c>
      <c r="E318" t="inlineStr">
        <is>
          <t>LJUSDAL</t>
        </is>
      </c>
      <c r="F318" t="inlineStr">
        <is>
          <t>Allmännings- och besparingsskogar</t>
        </is>
      </c>
      <c r="G318" t="n">
        <v>9.4</v>
      </c>
      <c r="H318" t="n">
        <v>1</v>
      </c>
      <c r="I318" t="n">
        <v>0</v>
      </c>
      <c r="J318" t="n">
        <v>1</v>
      </c>
      <c r="K318" t="n">
        <v>0</v>
      </c>
      <c r="L318" t="n">
        <v>0</v>
      </c>
      <c r="M318" t="n">
        <v>0</v>
      </c>
      <c r="N318" t="n">
        <v>0</v>
      </c>
      <c r="O318" t="n">
        <v>1</v>
      </c>
      <c r="P318" t="n">
        <v>0</v>
      </c>
      <c r="Q318" t="n">
        <v>1</v>
      </c>
      <c r="R318" s="2" t="inlineStr">
        <is>
          <t>Kungsörn</t>
        </is>
      </c>
      <c r="S318">
        <f>HYPERLINK("https://klasma.github.io/Logging_2161/artfynd/A 58575-2024 artfynd.xlsx", "A 58575-2024")</f>
        <v/>
      </c>
      <c r="T318">
        <f>HYPERLINK("https://klasma.github.io/Logging_2161/kartor/A 58575-2024 karta.png", "A 58575-2024")</f>
        <v/>
      </c>
      <c r="V318">
        <f>HYPERLINK("https://klasma.github.io/Logging_2161/klagomål/A 58575-2024 FSC-klagomål.docx", "A 58575-2024")</f>
        <v/>
      </c>
      <c r="W318">
        <f>HYPERLINK("https://klasma.github.io/Logging_2161/klagomålsmail/A 58575-2024 FSC-klagomål mail.docx", "A 58575-2024")</f>
        <v/>
      </c>
      <c r="X318">
        <f>HYPERLINK("https://klasma.github.io/Logging_2161/tillsyn/A 58575-2024 tillsynsbegäran.docx", "A 58575-2024")</f>
        <v/>
      </c>
      <c r="Y318">
        <f>HYPERLINK("https://klasma.github.io/Logging_2161/tillsynsmail/A 58575-2024 tillsynsbegäran mail.docx", "A 58575-2024")</f>
        <v/>
      </c>
      <c r="Z318">
        <f>HYPERLINK("https://klasma.github.io/Logging_2161/fåglar/A 58575-2024 prioriterade fågelarter.docx", "A 58575-2024")</f>
        <v/>
      </c>
    </row>
    <row r="319" ht="15" customHeight="1">
      <c r="A319" t="inlineStr">
        <is>
          <t>A 990-2025</t>
        </is>
      </c>
      <c r="B319" s="1" t="n">
        <v>45666</v>
      </c>
      <c r="C319" s="1" t="n">
        <v>45811</v>
      </c>
      <c r="D319" t="inlineStr">
        <is>
          <t>GÄVLEBORGS LÄN</t>
        </is>
      </c>
      <c r="E319" t="inlineStr">
        <is>
          <t>LJUSDAL</t>
        </is>
      </c>
      <c r="F319" t="inlineStr">
        <is>
          <t>Sveaskog</t>
        </is>
      </c>
      <c r="G319" t="n">
        <v>2.1</v>
      </c>
      <c r="H319" t="n">
        <v>0</v>
      </c>
      <c r="I319" t="n">
        <v>0</v>
      </c>
      <c r="J319" t="n">
        <v>1</v>
      </c>
      <c r="K319" t="n">
        <v>0</v>
      </c>
      <c r="L319" t="n">
        <v>0</v>
      </c>
      <c r="M319" t="n">
        <v>0</v>
      </c>
      <c r="N319" t="n">
        <v>0</v>
      </c>
      <c r="O319" t="n">
        <v>1</v>
      </c>
      <c r="P319" t="n">
        <v>0</v>
      </c>
      <c r="Q319" t="n">
        <v>1</v>
      </c>
      <c r="R319" s="2" t="inlineStr">
        <is>
          <t>Lunglav</t>
        </is>
      </c>
      <c r="S319">
        <f>HYPERLINK("https://klasma.github.io/Logging_2161/artfynd/A 990-2025 artfynd.xlsx", "A 990-2025")</f>
        <v/>
      </c>
      <c r="T319">
        <f>HYPERLINK("https://klasma.github.io/Logging_2161/kartor/A 990-2025 karta.png", "A 990-2025")</f>
        <v/>
      </c>
      <c r="V319">
        <f>HYPERLINK("https://klasma.github.io/Logging_2161/klagomål/A 990-2025 FSC-klagomål.docx", "A 990-2025")</f>
        <v/>
      </c>
      <c r="W319">
        <f>HYPERLINK("https://klasma.github.io/Logging_2161/klagomålsmail/A 990-2025 FSC-klagomål mail.docx", "A 990-2025")</f>
        <v/>
      </c>
      <c r="X319">
        <f>HYPERLINK("https://klasma.github.io/Logging_2161/tillsyn/A 990-2025 tillsynsbegäran.docx", "A 990-2025")</f>
        <v/>
      </c>
      <c r="Y319">
        <f>HYPERLINK("https://klasma.github.io/Logging_2161/tillsynsmail/A 990-2025 tillsynsbegäran mail.docx", "A 990-2025")</f>
        <v/>
      </c>
    </row>
    <row r="320" ht="15" customHeight="1">
      <c r="A320" t="inlineStr">
        <is>
          <t>A 17066-2025</t>
        </is>
      </c>
      <c r="B320" s="1" t="n">
        <v>45755</v>
      </c>
      <c r="C320" s="1" t="n">
        <v>45811</v>
      </c>
      <c r="D320" t="inlineStr">
        <is>
          <t>GÄVLEBORGS LÄN</t>
        </is>
      </c>
      <c r="E320" t="inlineStr">
        <is>
          <t>LJUSDAL</t>
        </is>
      </c>
      <c r="F320" t="inlineStr">
        <is>
          <t>SCA</t>
        </is>
      </c>
      <c r="G320" t="n">
        <v>1.5</v>
      </c>
      <c r="H320" t="n">
        <v>1</v>
      </c>
      <c r="I320" t="n">
        <v>0</v>
      </c>
      <c r="J320" t="n">
        <v>1</v>
      </c>
      <c r="K320" t="n">
        <v>0</v>
      </c>
      <c r="L320" t="n">
        <v>0</v>
      </c>
      <c r="M320" t="n">
        <v>0</v>
      </c>
      <c r="N320" t="n">
        <v>0</v>
      </c>
      <c r="O320" t="n">
        <v>1</v>
      </c>
      <c r="P320" t="n">
        <v>0</v>
      </c>
      <c r="Q320" t="n">
        <v>1</v>
      </c>
      <c r="R320" s="2" t="inlineStr">
        <is>
          <t>Talltita</t>
        </is>
      </c>
      <c r="S320">
        <f>HYPERLINK("https://klasma.github.io/Logging_212161/artfynd/A 17066-2025 artfynd.xlsx", "A 17066-2025")</f>
        <v/>
      </c>
      <c r="T320">
        <f>HYPERLINK("https://klasma.github.io/Logging_212161/kartor/A 17066-2025 karta.png", "A 17066-2025")</f>
        <v/>
      </c>
      <c r="V320">
        <f>HYPERLINK("https://klasma.github.io/Logging_212161/klagomål/A 17066-2025 FSC-klagomål.docx", "A 17066-2025")</f>
        <v/>
      </c>
      <c r="W320">
        <f>HYPERLINK("https://klasma.github.io/Logging_212161/klagomålsmail/A 17066-2025 FSC-klagomål mail.docx", "A 17066-2025")</f>
        <v/>
      </c>
      <c r="X320">
        <f>HYPERLINK("https://klasma.github.io/Logging_212161/tillsyn/A 17066-2025 tillsynsbegäran.docx", "A 17066-2025")</f>
        <v/>
      </c>
      <c r="Y320">
        <f>HYPERLINK("https://klasma.github.io/Logging_212161/tillsynsmail/A 17066-2025 tillsynsbegäran mail.docx", "A 17066-2025")</f>
        <v/>
      </c>
      <c r="Z320">
        <f>HYPERLINK("https://klasma.github.io/Logging_212161/fåglar/A 17066-2025 prioriterade fågelarter.docx", "A 17066-2025")</f>
        <v/>
      </c>
    </row>
    <row r="321" ht="15" customHeight="1">
      <c r="A321" t="inlineStr">
        <is>
          <t>A 17435-2025</t>
        </is>
      </c>
      <c r="B321" s="1" t="n">
        <v>45757</v>
      </c>
      <c r="C321" s="1" t="n">
        <v>45811</v>
      </c>
      <c r="D321" t="inlineStr">
        <is>
          <t>GÄVLEBORGS LÄN</t>
        </is>
      </c>
      <c r="E321" t="inlineStr">
        <is>
          <t>LJUSDAL</t>
        </is>
      </c>
      <c r="F321" t="inlineStr">
        <is>
          <t>Bergvik skog väst AB</t>
        </is>
      </c>
      <c r="G321" t="n">
        <v>1.9</v>
      </c>
      <c r="H321" t="n">
        <v>0</v>
      </c>
      <c r="I321" t="n">
        <v>0</v>
      </c>
      <c r="J321" t="n">
        <v>1</v>
      </c>
      <c r="K321" t="n">
        <v>0</v>
      </c>
      <c r="L321" t="n">
        <v>0</v>
      </c>
      <c r="M321" t="n">
        <v>0</v>
      </c>
      <c r="N321" t="n">
        <v>0</v>
      </c>
      <c r="O321" t="n">
        <v>1</v>
      </c>
      <c r="P321" t="n">
        <v>0</v>
      </c>
      <c r="Q321" t="n">
        <v>1</v>
      </c>
      <c r="R321" s="2" t="inlineStr">
        <is>
          <t>Lunglav</t>
        </is>
      </c>
      <c r="S321">
        <f>HYPERLINK("https://klasma.github.io/Logging_212161/artfynd/A 17435-2025 artfynd.xlsx", "A 17435-2025")</f>
        <v/>
      </c>
      <c r="T321">
        <f>HYPERLINK("https://klasma.github.io/Logging_212161/kartor/A 17435-2025 karta.png", "A 17435-2025")</f>
        <v/>
      </c>
      <c r="V321">
        <f>HYPERLINK("https://klasma.github.io/Logging_212161/klagomål/A 17435-2025 FSC-klagomål.docx", "A 17435-2025")</f>
        <v/>
      </c>
      <c r="W321">
        <f>HYPERLINK("https://klasma.github.io/Logging_212161/klagomålsmail/A 17435-2025 FSC-klagomål mail.docx", "A 17435-2025")</f>
        <v/>
      </c>
      <c r="X321">
        <f>HYPERLINK("https://klasma.github.io/Logging_212161/tillsyn/A 17435-2025 tillsynsbegäran.docx", "A 17435-2025")</f>
        <v/>
      </c>
      <c r="Y321">
        <f>HYPERLINK("https://klasma.github.io/Logging_212161/tillsynsmail/A 17435-2025 tillsynsbegäran mail.docx", "A 17435-2025")</f>
        <v/>
      </c>
    </row>
    <row r="322" ht="15" customHeight="1">
      <c r="A322" t="inlineStr">
        <is>
          <t>A 17471-2025</t>
        </is>
      </c>
      <c r="B322" s="1" t="n">
        <v>45757</v>
      </c>
      <c r="C322" s="1" t="n">
        <v>45811</v>
      </c>
      <c r="D322" t="inlineStr">
        <is>
          <t>GÄVLEBORGS LÄN</t>
        </is>
      </c>
      <c r="E322" t="inlineStr">
        <is>
          <t>LJUSDAL</t>
        </is>
      </c>
      <c r="F322" t="inlineStr">
        <is>
          <t>Sveaskog</t>
        </is>
      </c>
      <c r="G322" t="n">
        <v>1.6</v>
      </c>
      <c r="H322" t="n">
        <v>0</v>
      </c>
      <c r="I322" t="n">
        <v>0</v>
      </c>
      <c r="J322" t="n">
        <v>1</v>
      </c>
      <c r="K322" t="n">
        <v>0</v>
      </c>
      <c r="L322" t="n">
        <v>0</v>
      </c>
      <c r="M322" t="n">
        <v>0</v>
      </c>
      <c r="N322" t="n">
        <v>0</v>
      </c>
      <c r="O322" t="n">
        <v>1</v>
      </c>
      <c r="P322" t="n">
        <v>0</v>
      </c>
      <c r="Q322" t="n">
        <v>1</v>
      </c>
      <c r="R322" s="2" t="inlineStr">
        <is>
          <t>Kolflarnlav</t>
        </is>
      </c>
      <c r="S322">
        <f>HYPERLINK("https://klasma.github.io/Logging_212161/artfynd/A 17471-2025 artfynd.xlsx", "A 17471-2025")</f>
        <v/>
      </c>
      <c r="T322">
        <f>HYPERLINK("https://klasma.github.io/Logging_212161/kartor/A 17471-2025 karta.png", "A 17471-2025")</f>
        <v/>
      </c>
      <c r="V322">
        <f>HYPERLINK("https://klasma.github.io/Logging_212161/klagomål/A 17471-2025 FSC-klagomål.docx", "A 17471-2025")</f>
        <v/>
      </c>
      <c r="W322">
        <f>HYPERLINK("https://klasma.github.io/Logging_212161/klagomålsmail/A 17471-2025 FSC-klagomål mail.docx", "A 17471-2025")</f>
        <v/>
      </c>
      <c r="X322">
        <f>HYPERLINK("https://klasma.github.io/Logging_212161/tillsyn/A 17471-2025 tillsynsbegäran.docx", "A 17471-2025")</f>
        <v/>
      </c>
      <c r="Y322">
        <f>HYPERLINK("https://klasma.github.io/Logging_212161/tillsynsmail/A 17471-2025 tillsynsbegäran mail.docx", "A 17471-2025")</f>
        <v/>
      </c>
    </row>
    <row r="323" ht="15" customHeight="1">
      <c r="A323" t="inlineStr">
        <is>
          <t>A 18354-2025</t>
        </is>
      </c>
      <c r="B323" s="1" t="n">
        <v>45762</v>
      </c>
      <c r="C323" s="1" t="n">
        <v>45811</v>
      </c>
      <c r="D323" t="inlineStr">
        <is>
          <t>GÄVLEBORGS LÄN</t>
        </is>
      </c>
      <c r="E323" t="inlineStr">
        <is>
          <t>LJUSDAL</t>
        </is>
      </c>
      <c r="F323" t="inlineStr">
        <is>
          <t>SCA</t>
        </is>
      </c>
      <c r="G323" t="n">
        <v>8.9</v>
      </c>
      <c r="H323" t="n">
        <v>1</v>
      </c>
      <c r="I323" t="n">
        <v>0</v>
      </c>
      <c r="J323" t="n">
        <v>0</v>
      </c>
      <c r="K323" t="n">
        <v>1</v>
      </c>
      <c r="L323" t="n">
        <v>0</v>
      </c>
      <c r="M323" t="n">
        <v>0</v>
      </c>
      <c r="N323" t="n">
        <v>0</v>
      </c>
      <c r="O323" t="n">
        <v>1</v>
      </c>
      <c r="P323" t="n">
        <v>1</v>
      </c>
      <c r="Q323" t="n">
        <v>1</v>
      </c>
      <c r="R323" s="2" t="inlineStr">
        <is>
          <t>Lappsparv</t>
        </is>
      </c>
      <c r="S323">
        <f>HYPERLINK("https://klasma.github.io/Logging_212161/artfynd/A 18354-2025 artfynd.xlsx", "A 18354-2025")</f>
        <v/>
      </c>
      <c r="T323">
        <f>HYPERLINK("https://klasma.github.io/Logging_212161/kartor/A 18354-2025 karta.png", "A 18354-2025")</f>
        <v/>
      </c>
      <c r="V323">
        <f>HYPERLINK("https://klasma.github.io/Logging_212161/klagomål/A 18354-2025 FSC-klagomål.docx", "A 18354-2025")</f>
        <v/>
      </c>
      <c r="W323">
        <f>HYPERLINK("https://klasma.github.io/Logging_212161/klagomålsmail/A 18354-2025 FSC-klagomål mail.docx", "A 18354-2025")</f>
        <v/>
      </c>
      <c r="X323">
        <f>HYPERLINK("https://klasma.github.io/Logging_212161/tillsyn/A 18354-2025 tillsynsbegäran.docx", "A 18354-2025")</f>
        <v/>
      </c>
      <c r="Y323">
        <f>HYPERLINK("https://klasma.github.io/Logging_212161/tillsynsmail/A 18354-2025 tillsynsbegäran mail.docx", "A 18354-2025")</f>
        <v/>
      </c>
    </row>
    <row r="324" ht="15" customHeight="1">
      <c r="A324" t="inlineStr">
        <is>
          <t>A 18967-2025</t>
        </is>
      </c>
      <c r="B324" s="1" t="n">
        <v>45764</v>
      </c>
      <c r="C324" s="1" t="n">
        <v>45811</v>
      </c>
      <c r="D324" t="inlineStr">
        <is>
          <t>GÄVLEBORGS LÄN</t>
        </is>
      </c>
      <c r="E324" t="inlineStr">
        <is>
          <t>LJUSDAL</t>
        </is>
      </c>
      <c r="F324" t="inlineStr">
        <is>
          <t>Sveaskog</t>
        </is>
      </c>
      <c r="G324" t="n">
        <v>6.8</v>
      </c>
      <c r="H324" t="n">
        <v>0</v>
      </c>
      <c r="I324" t="n">
        <v>0</v>
      </c>
      <c r="J324" t="n">
        <v>1</v>
      </c>
      <c r="K324" t="n">
        <v>0</v>
      </c>
      <c r="L324" t="n">
        <v>0</v>
      </c>
      <c r="M324" t="n">
        <v>0</v>
      </c>
      <c r="N324" t="n">
        <v>0</v>
      </c>
      <c r="O324" t="n">
        <v>1</v>
      </c>
      <c r="P324" t="n">
        <v>0</v>
      </c>
      <c r="Q324" t="n">
        <v>1</v>
      </c>
      <c r="R324" s="2" t="inlineStr">
        <is>
          <t>Lunglav</t>
        </is>
      </c>
      <c r="S324">
        <f>HYPERLINK("https://klasma.github.io/Logging_212161/artfynd/A 18967-2025 artfynd.xlsx", "A 18967-2025")</f>
        <v/>
      </c>
      <c r="T324">
        <f>HYPERLINK("https://klasma.github.io/Logging_212161/kartor/A 18967-2025 karta.png", "A 18967-2025")</f>
        <v/>
      </c>
      <c r="V324">
        <f>HYPERLINK("https://klasma.github.io/Logging_212161/klagomål/A 18967-2025 FSC-klagomål.docx", "A 18967-2025")</f>
        <v/>
      </c>
      <c r="W324">
        <f>HYPERLINK("https://klasma.github.io/Logging_212161/klagomålsmail/A 18967-2025 FSC-klagomål mail.docx", "A 18967-2025")</f>
        <v/>
      </c>
      <c r="X324">
        <f>HYPERLINK("https://klasma.github.io/Logging_212161/tillsyn/A 18967-2025 tillsynsbegäran.docx", "A 18967-2025")</f>
        <v/>
      </c>
      <c r="Y324">
        <f>HYPERLINK("https://klasma.github.io/Logging_212161/tillsynsmail/A 18967-2025 tillsynsbegäran mail.docx", "A 18967-2025")</f>
        <v/>
      </c>
    </row>
    <row r="325" ht="15" customHeight="1">
      <c r="A325" t="inlineStr">
        <is>
          <t>A 21282-2025</t>
        </is>
      </c>
      <c r="B325" s="1" t="n">
        <v>45779</v>
      </c>
      <c r="C325" s="1" t="n">
        <v>45811</v>
      </c>
      <c r="D325" t="inlineStr">
        <is>
          <t>GÄVLEBORGS LÄN</t>
        </is>
      </c>
      <c r="E325" t="inlineStr">
        <is>
          <t>LJUSDAL</t>
        </is>
      </c>
      <c r="F325" t="inlineStr">
        <is>
          <t>Sveaskog</t>
        </is>
      </c>
      <c r="G325" t="n">
        <v>9.6</v>
      </c>
      <c r="H325" t="n">
        <v>0</v>
      </c>
      <c r="I325" t="n">
        <v>0</v>
      </c>
      <c r="J325" t="n">
        <v>1</v>
      </c>
      <c r="K325" t="n">
        <v>0</v>
      </c>
      <c r="L325" t="n">
        <v>0</v>
      </c>
      <c r="M325" t="n">
        <v>0</v>
      </c>
      <c r="N325" t="n">
        <v>0</v>
      </c>
      <c r="O325" t="n">
        <v>1</v>
      </c>
      <c r="P325" t="n">
        <v>0</v>
      </c>
      <c r="Q325" t="n">
        <v>1</v>
      </c>
      <c r="R325" s="2" t="inlineStr">
        <is>
          <t>Lunglav</t>
        </is>
      </c>
      <c r="S325">
        <f>HYPERLINK("https://klasma.github.io/Logging_212161/artfynd/A 21282-2025 artfynd.xlsx", "A 21282-2025")</f>
        <v/>
      </c>
      <c r="T325">
        <f>HYPERLINK("https://klasma.github.io/Logging_212161/kartor/A 21282-2025 karta.png", "A 21282-2025")</f>
        <v/>
      </c>
      <c r="V325">
        <f>HYPERLINK("https://klasma.github.io/Logging_212161/klagomål/A 21282-2025 FSC-klagomål.docx", "A 21282-2025")</f>
        <v/>
      </c>
      <c r="W325">
        <f>HYPERLINK("https://klasma.github.io/Logging_212161/klagomålsmail/A 21282-2025 FSC-klagomål mail.docx", "A 21282-2025")</f>
        <v/>
      </c>
      <c r="X325">
        <f>HYPERLINK("https://klasma.github.io/Logging_212161/tillsyn/A 21282-2025 tillsynsbegäran.docx", "A 21282-2025")</f>
        <v/>
      </c>
      <c r="Y325">
        <f>HYPERLINK("https://klasma.github.io/Logging_212161/tillsynsmail/A 21282-2025 tillsynsbegäran mail.docx", "A 21282-2025")</f>
        <v/>
      </c>
    </row>
    <row r="326" ht="15" customHeight="1">
      <c r="A326" t="inlineStr">
        <is>
          <t>A 22588-2025</t>
        </is>
      </c>
      <c r="B326" s="1" t="n">
        <v>45789</v>
      </c>
      <c r="C326" s="1" t="n">
        <v>45811</v>
      </c>
      <c r="D326" t="inlineStr">
        <is>
          <t>GÄVLEBORGS LÄN</t>
        </is>
      </c>
      <c r="E326" t="inlineStr">
        <is>
          <t>LJUSDAL</t>
        </is>
      </c>
      <c r="F326" t="inlineStr">
        <is>
          <t>Allmännings- och besparingsskogar</t>
        </is>
      </c>
      <c r="G326" t="n">
        <v>29.7</v>
      </c>
      <c r="H326" t="n">
        <v>1</v>
      </c>
      <c r="I326" t="n">
        <v>0</v>
      </c>
      <c r="J326" t="n">
        <v>0</v>
      </c>
      <c r="K326" t="n">
        <v>1</v>
      </c>
      <c r="L326" t="n">
        <v>0</v>
      </c>
      <c r="M326" t="n">
        <v>0</v>
      </c>
      <c r="N326" t="n">
        <v>0</v>
      </c>
      <c r="O326" t="n">
        <v>1</v>
      </c>
      <c r="P326" t="n">
        <v>1</v>
      </c>
      <c r="Q326" t="n">
        <v>1</v>
      </c>
      <c r="R326" s="2" t="inlineStr">
        <is>
          <t>Knärot</t>
        </is>
      </c>
      <c r="S326">
        <f>HYPERLINK("https://klasma.github.io/Logging_212161/artfynd/A 22588-2025 artfynd.xlsx", "A 22588-2025")</f>
        <v/>
      </c>
      <c r="T326">
        <f>HYPERLINK("https://klasma.github.io/Logging_212161/kartor/A 22588-2025 karta.png", "A 22588-2025")</f>
        <v/>
      </c>
      <c r="U326">
        <f>HYPERLINK("https://klasma.github.io/Logging_212161/knärot/A 22588-2025 karta knärot.png", "A 22588-2025")</f>
        <v/>
      </c>
      <c r="V326">
        <f>HYPERLINK("https://klasma.github.io/Logging_212161/klagomål/A 22588-2025 FSC-klagomål.docx", "A 22588-2025")</f>
        <v/>
      </c>
      <c r="W326">
        <f>HYPERLINK("https://klasma.github.io/Logging_212161/klagomålsmail/A 22588-2025 FSC-klagomål mail.docx", "A 22588-2025")</f>
        <v/>
      </c>
      <c r="X326">
        <f>HYPERLINK("https://klasma.github.io/Logging_212161/tillsyn/A 22588-2025 tillsynsbegäran.docx", "A 22588-2025")</f>
        <v/>
      </c>
      <c r="Y326">
        <f>HYPERLINK("https://klasma.github.io/Logging_212161/tillsynsmail/A 22588-2025 tillsynsbegäran mail.docx", "A 22588-2025")</f>
        <v/>
      </c>
    </row>
    <row r="327" ht="15" customHeight="1">
      <c r="A327" t="inlineStr">
        <is>
          <t>A 23777-2025</t>
        </is>
      </c>
      <c r="B327" s="1" t="n">
        <v>45793</v>
      </c>
      <c r="C327" s="1" t="n">
        <v>45811</v>
      </c>
      <c r="D327" t="inlineStr">
        <is>
          <t>GÄVLEBORGS LÄN</t>
        </is>
      </c>
      <c r="E327" t="inlineStr">
        <is>
          <t>LJUSDAL</t>
        </is>
      </c>
      <c r="F327" t="inlineStr">
        <is>
          <t>Sveaskog</t>
        </is>
      </c>
      <c r="G327" t="n">
        <v>6.7</v>
      </c>
      <c r="H327" t="n">
        <v>1</v>
      </c>
      <c r="I327" t="n">
        <v>0</v>
      </c>
      <c r="J327" t="n">
        <v>0</v>
      </c>
      <c r="K327" t="n">
        <v>1</v>
      </c>
      <c r="L327" t="n">
        <v>0</v>
      </c>
      <c r="M327" t="n">
        <v>0</v>
      </c>
      <c r="N327" t="n">
        <v>0</v>
      </c>
      <c r="O327" t="n">
        <v>1</v>
      </c>
      <c r="P327" t="n">
        <v>1</v>
      </c>
      <c r="Q327" t="n">
        <v>1</v>
      </c>
      <c r="R327" s="2" t="inlineStr">
        <is>
          <t>Knärot</t>
        </is>
      </c>
      <c r="S327">
        <f>HYPERLINK("https://klasma.github.io/Logging_212161/artfynd/A 23777-2025 artfynd.xlsx", "A 23777-2025")</f>
        <v/>
      </c>
      <c r="T327">
        <f>HYPERLINK("https://klasma.github.io/Logging_212161/kartor/A 23777-2025 karta.png", "A 23777-2025")</f>
        <v/>
      </c>
      <c r="U327">
        <f>HYPERLINK("https://klasma.github.io/Logging_212161/knärot/A 23777-2025 karta knärot.png", "A 23777-2025")</f>
        <v/>
      </c>
      <c r="V327">
        <f>HYPERLINK("https://klasma.github.io/Logging_212161/klagomål/A 23777-2025 FSC-klagomål.docx", "A 23777-2025")</f>
        <v/>
      </c>
      <c r="W327">
        <f>HYPERLINK("https://klasma.github.io/Logging_212161/klagomålsmail/A 23777-2025 FSC-klagomål mail.docx", "A 23777-2025")</f>
        <v/>
      </c>
      <c r="X327">
        <f>HYPERLINK("https://klasma.github.io/Logging_212161/tillsyn/A 23777-2025 tillsynsbegäran.docx", "A 23777-2025")</f>
        <v/>
      </c>
      <c r="Y327">
        <f>HYPERLINK("https://klasma.github.io/Logging_212161/tillsynsmail/A 23777-2025 tillsynsbegäran mail.docx", "A 23777-2025")</f>
        <v/>
      </c>
    </row>
    <row r="328" ht="15" customHeight="1">
      <c r="A328" t="inlineStr">
        <is>
          <t>A 23829-2025</t>
        </is>
      </c>
      <c r="B328" s="1" t="n">
        <v>45793</v>
      </c>
      <c r="C328" s="1" t="n">
        <v>45811</v>
      </c>
      <c r="D328" t="inlineStr">
        <is>
          <t>GÄVLEBORGS LÄN</t>
        </is>
      </c>
      <c r="E328" t="inlineStr">
        <is>
          <t>LJUSDAL</t>
        </is>
      </c>
      <c r="F328" t="inlineStr">
        <is>
          <t>Sveaskog</t>
        </is>
      </c>
      <c r="G328" t="n">
        <v>14.6</v>
      </c>
      <c r="H328" t="n">
        <v>0</v>
      </c>
      <c r="I328" t="n">
        <v>0</v>
      </c>
      <c r="J328" t="n">
        <v>1</v>
      </c>
      <c r="K328" t="n">
        <v>0</v>
      </c>
      <c r="L328" t="n">
        <v>0</v>
      </c>
      <c r="M328" t="n">
        <v>0</v>
      </c>
      <c r="N328" t="n">
        <v>0</v>
      </c>
      <c r="O328" t="n">
        <v>1</v>
      </c>
      <c r="P328" t="n">
        <v>0</v>
      </c>
      <c r="Q328" t="n">
        <v>1</v>
      </c>
      <c r="R328" s="2" t="inlineStr">
        <is>
          <t>Kolflarnlav</t>
        </is>
      </c>
      <c r="S328">
        <f>HYPERLINK("https://klasma.github.io/Logging_212161/artfynd/A 23829-2025 artfynd.xlsx", "A 23829-2025")</f>
        <v/>
      </c>
      <c r="T328">
        <f>HYPERLINK("https://klasma.github.io/Logging_212161/kartor/A 23829-2025 karta.png", "A 23829-2025")</f>
        <v/>
      </c>
      <c r="V328">
        <f>HYPERLINK("https://klasma.github.io/Logging_212161/klagomål/A 23829-2025 FSC-klagomål.docx", "A 23829-2025")</f>
        <v/>
      </c>
      <c r="W328">
        <f>HYPERLINK("https://klasma.github.io/Logging_212161/klagomålsmail/A 23829-2025 FSC-klagomål mail.docx", "A 23829-2025")</f>
        <v/>
      </c>
      <c r="X328">
        <f>HYPERLINK("https://klasma.github.io/Logging_212161/tillsyn/A 23829-2025 tillsynsbegäran.docx", "A 23829-2025")</f>
        <v/>
      </c>
      <c r="Y328">
        <f>HYPERLINK("https://klasma.github.io/Logging_212161/tillsynsmail/A 23829-2025 tillsynsbegäran mail.docx", "A 23829-2025")</f>
        <v/>
      </c>
    </row>
    <row r="329" ht="15" customHeight="1">
      <c r="A329" t="inlineStr">
        <is>
          <t>A 24031-2025</t>
        </is>
      </c>
      <c r="B329" s="1" t="n">
        <v>45796</v>
      </c>
      <c r="C329" s="1" t="n">
        <v>45811</v>
      </c>
      <c r="D329" t="inlineStr">
        <is>
          <t>GÄVLEBORGS LÄN</t>
        </is>
      </c>
      <c r="E329" t="inlineStr">
        <is>
          <t>LJUSDAL</t>
        </is>
      </c>
      <c r="F329" t="inlineStr">
        <is>
          <t>Allmännings- och besparingsskogar</t>
        </is>
      </c>
      <c r="G329" t="n">
        <v>12.4</v>
      </c>
      <c r="H329" t="n">
        <v>1</v>
      </c>
      <c r="I329" t="n">
        <v>0</v>
      </c>
      <c r="J329" t="n">
        <v>0</v>
      </c>
      <c r="K329" t="n">
        <v>1</v>
      </c>
      <c r="L329" t="n">
        <v>0</v>
      </c>
      <c r="M329" t="n">
        <v>0</v>
      </c>
      <c r="N329" t="n">
        <v>0</v>
      </c>
      <c r="O329" t="n">
        <v>1</v>
      </c>
      <c r="P329" t="n">
        <v>1</v>
      </c>
      <c r="Q329" t="n">
        <v>1</v>
      </c>
      <c r="R329" s="2" t="inlineStr">
        <is>
          <t>Knärot</t>
        </is>
      </c>
      <c r="S329">
        <f>HYPERLINK("https://klasma.github.io/Logging_212161/artfynd/A 24031-2025 artfynd.xlsx", "A 24031-2025")</f>
        <v/>
      </c>
      <c r="T329">
        <f>HYPERLINK("https://klasma.github.io/Logging_212161/kartor/A 24031-2025 karta.png", "A 24031-2025")</f>
        <v/>
      </c>
      <c r="U329">
        <f>HYPERLINK("https://klasma.github.io/Logging_212161/knärot/A 24031-2025 karta knärot.png", "A 24031-2025")</f>
        <v/>
      </c>
      <c r="V329">
        <f>HYPERLINK("https://klasma.github.io/Logging_212161/klagomål/A 24031-2025 FSC-klagomål.docx", "A 24031-2025")</f>
        <v/>
      </c>
      <c r="W329">
        <f>HYPERLINK("https://klasma.github.io/Logging_212161/klagomålsmail/A 24031-2025 FSC-klagomål mail.docx", "A 24031-2025")</f>
        <v/>
      </c>
      <c r="X329">
        <f>HYPERLINK("https://klasma.github.io/Logging_212161/tillsyn/A 24031-2025 tillsynsbegäran.docx", "A 24031-2025")</f>
        <v/>
      </c>
      <c r="Y329">
        <f>HYPERLINK("https://klasma.github.io/Logging_212161/tillsynsmail/A 24031-2025 tillsynsbegäran mail.docx", "A 24031-2025")</f>
        <v/>
      </c>
    </row>
    <row r="330" ht="15" customHeight="1">
      <c r="A330" t="inlineStr">
        <is>
          <t>A 24831-2025</t>
        </is>
      </c>
      <c r="B330" s="1" t="n">
        <v>45799</v>
      </c>
      <c r="C330" s="1" t="n">
        <v>45811</v>
      </c>
      <c r="D330" t="inlineStr">
        <is>
          <t>GÄVLEBORGS LÄN</t>
        </is>
      </c>
      <c r="E330" t="inlineStr">
        <is>
          <t>LJUSDAL</t>
        </is>
      </c>
      <c r="F330" t="inlineStr">
        <is>
          <t>Sveaskog</t>
        </is>
      </c>
      <c r="G330" t="n">
        <v>25.9</v>
      </c>
      <c r="H330" t="n">
        <v>0</v>
      </c>
      <c r="I330" t="n">
        <v>0</v>
      </c>
      <c r="J330" t="n">
        <v>1</v>
      </c>
      <c r="K330" t="n">
        <v>0</v>
      </c>
      <c r="L330" t="n">
        <v>0</v>
      </c>
      <c r="M330" t="n">
        <v>0</v>
      </c>
      <c r="N330" t="n">
        <v>0</v>
      </c>
      <c r="O330" t="n">
        <v>1</v>
      </c>
      <c r="P330" t="n">
        <v>0</v>
      </c>
      <c r="Q330" t="n">
        <v>1</v>
      </c>
      <c r="R330" s="2" t="inlineStr">
        <is>
          <t>Lunglav</t>
        </is>
      </c>
      <c r="S330">
        <f>HYPERLINK("https://klasma.github.io/Logging_212161/artfynd/A 24831-2025 artfynd.xlsx", "A 24831-2025")</f>
        <v/>
      </c>
      <c r="T330">
        <f>HYPERLINK("https://klasma.github.io/Logging_212161/kartor/A 24831-2025 karta.png", "A 24831-2025")</f>
        <v/>
      </c>
      <c r="V330">
        <f>HYPERLINK("https://klasma.github.io/Logging_212161/klagomål/A 24831-2025 FSC-klagomål.docx", "A 24831-2025")</f>
        <v/>
      </c>
      <c r="W330">
        <f>HYPERLINK("https://klasma.github.io/Logging_212161/klagomålsmail/A 24831-2025 FSC-klagomål mail.docx", "A 24831-2025")</f>
        <v/>
      </c>
      <c r="X330">
        <f>HYPERLINK("https://klasma.github.io/Logging_212161/tillsyn/A 24831-2025 tillsynsbegäran.docx", "A 24831-2025")</f>
        <v/>
      </c>
      <c r="Y330">
        <f>HYPERLINK("https://klasma.github.io/Logging_212161/tillsynsmail/A 24831-2025 tillsynsbegäran mail.docx", "A 24831-2025")</f>
        <v/>
      </c>
    </row>
    <row r="331" ht="15" customHeight="1">
      <c r="A331" t="inlineStr">
        <is>
          <t>A 26202-2025</t>
        </is>
      </c>
      <c r="B331" s="1" t="n">
        <v>45805</v>
      </c>
      <c r="C331" s="1" t="n">
        <v>45811</v>
      </c>
      <c r="D331" t="inlineStr">
        <is>
          <t>GÄVLEBORGS LÄN</t>
        </is>
      </c>
      <c r="E331" t="inlineStr">
        <is>
          <t>LJUSDAL</t>
        </is>
      </c>
      <c r="G331" t="n">
        <v>3.3</v>
      </c>
      <c r="H331" t="n">
        <v>0</v>
      </c>
      <c r="I331" t="n">
        <v>0</v>
      </c>
      <c r="J331" t="n">
        <v>1</v>
      </c>
      <c r="K331" t="n">
        <v>0</v>
      </c>
      <c r="L331" t="n">
        <v>0</v>
      </c>
      <c r="M331" t="n">
        <v>0</v>
      </c>
      <c r="N331" t="n">
        <v>0</v>
      </c>
      <c r="O331" t="n">
        <v>1</v>
      </c>
      <c r="P331" t="n">
        <v>0</v>
      </c>
      <c r="Q331" t="n">
        <v>1</v>
      </c>
      <c r="R331" s="2" t="inlineStr">
        <is>
          <t>Violettgrå tagellav</t>
        </is>
      </c>
      <c r="S331">
        <f>HYPERLINK("https://klasma.github.io/Logging_212161/artfynd/A 26202-2025 artfynd.xlsx", "A 26202-2025")</f>
        <v/>
      </c>
      <c r="T331">
        <f>HYPERLINK("https://klasma.github.io/Logging_212161/kartor/A 26202-2025 karta.png", "A 26202-2025")</f>
        <v/>
      </c>
      <c r="V331">
        <f>HYPERLINK("https://klasma.github.io/Logging_212161/klagomål/A 26202-2025 FSC-klagomål.docx", "A 26202-2025")</f>
        <v/>
      </c>
      <c r="W331">
        <f>HYPERLINK("https://klasma.github.io/Logging_212161/klagomålsmail/A 26202-2025 FSC-klagomål mail.docx", "A 26202-2025")</f>
        <v/>
      </c>
      <c r="X331">
        <f>HYPERLINK("https://klasma.github.io/Logging_212161/tillsyn/A 26202-2025 tillsynsbegäran.docx", "A 26202-2025")</f>
        <v/>
      </c>
      <c r="Y331">
        <f>HYPERLINK("https://klasma.github.io/Logging_212161/tillsynsmail/A 26202-2025 tillsynsbegäran mail.docx", "A 26202-2025")</f>
        <v/>
      </c>
    </row>
    <row r="332" ht="15" customHeight="1">
      <c r="A332" t="inlineStr">
        <is>
          <t>A 26829-2025</t>
        </is>
      </c>
      <c r="B332" s="1" t="n">
        <v>45810</v>
      </c>
      <c r="C332" s="1" t="n">
        <v>45811</v>
      </c>
      <c r="D332" t="inlineStr">
        <is>
          <t>GÄVLEBORGS LÄN</t>
        </is>
      </c>
      <c r="E332" t="inlineStr">
        <is>
          <t>LJUSDAL</t>
        </is>
      </c>
      <c r="F332" t="inlineStr">
        <is>
          <t>SCA</t>
        </is>
      </c>
      <c r="G332" t="n">
        <v>9.199999999999999</v>
      </c>
      <c r="H332" t="n">
        <v>1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1</v>
      </c>
      <c r="R332" s="2" t="inlineStr">
        <is>
          <t>Revlummer</t>
        </is>
      </c>
      <c r="S332">
        <f>HYPERLINK("https://klasma.github.io/Logging_212161/artfynd/A 26829-2025 artfynd.xlsx", "A 26829-2025")</f>
        <v/>
      </c>
      <c r="T332">
        <f>HYPERLINK("https://klasma.github.io/Logging_212161/kartor/A 26829-2025 karta.png", "A 26829-2025")</f>
        <v/>
      </c>
      <c r="V332">
        <f>HYPERLINK("https://klasma.github.io/Logging_212161/klagomål/A 26829-2025 FSC-klagomål.docx", "A 26829-2025")</f>
        <v/>
      </c>
      <c r="W332">
        <f>HYPERLINK("https://klasma.github.io/Logging_212161/klagomålsmail/A 26829-2025 FSC-klagomål mail.docx", "A 26829-2025")</f>
        <v/>
      </c>
      <c r="X332">
        <f>HYPERLINK("https://klasma.github.io/Logging_212161/tillsyn/A 26829-2025 tillsynsbegäran.docx", "A 26829-2025")</f>
        <v/>
      </c>
      <c r="Y332">
        <f>HYPERLINK("https://klasma.github.io/Logging_212161/tillsynsmail/A 26829-2025 tillsynsbegäran mail.docx", "A 26829-2025")</f>
        <v/>
      </c>
    </row>
    <row r="333" ht="15" customHeight="1">
      <c r="A333" t="inlineStr">
        <is>
          <t>A 17979-2019</t>
        </is>
      </c>
      <c r="B333" s="1" t="n">
        <v>43557</v>
      </c>
      <c r="C333" s="1" t="n">
        <v>45811</v>
      </c>
      <c r="D333" t="inlineStr">
        <is>
          <t>GÄVLEBORGS LÄN</t>
        </is>
      </c>
      <c r="E333" t="inlineStr">
        <is>
          <t>LJUSDAL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18020-2019</t>
        </is>
      </c>
      <c r="B334" s="1" t="n">
        <v>43557</v>
      </c>
      <c r="C334" s="1" t="n">
        <v>45811</v>
      </c>
      <c r="D334" t="inlineStr">
        <is>
          <t>GÄVLEBORGS LÄN</t>
        </is>
      </c>
      <c r="E334" t="inlineStr">
        <is>
          <t>LJUSDAL</t>
        </is>
      </c>
      <c r="F334" t="inlineStr">
        <is>
          <t>Kyrkan</t>
        </is>
      </c>
      <c r="G334" t="n">
        <v>43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21091-2019</t>
        </is>
      </c>
      <c r="B335" s="1" t="n">
        <v>43578</v>
      </c>
      <c r="C335" s="1" t="n">
        <v>45811</v>
      </c>
      <c r="D335" t="inlineStr">
        <is>
          <t>GÄVLEBORGS LÄN</t>
        </is>
      </c>
      <c r="E335" t="inlineStr">
        <is>
          <t>LJUSDAL</t>
        </is>
      </c>
      <c r="G335" t="n">
        <v>14.8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  <c r="U335">
        <f>HYPERLINK("https://klasma.github.io/Logging_2161/knärot/A 21091-2019 karta knärot.png", "A 21091-2019")</f>
        <v/>
      </c>
      <c r="V335">
        <f>HYPERLINK("https://klasma.github.io/Logging_2161/klagomål/A 21091-2019 FSC-klagomål.docx", "A 21091-2019")</f>
        <v/>
      </c>
      <c r="W335">
        <f>HYPERLINK("https://klasma.github.io/Logging_2161/klagomålsmail/A 21091-2019 FSC-klagomål mail.docx", "A 21091-2019")</f>
        <v/>
      </c>
      <c r="X335">
        <f>HYPERLINK("https://klasma.github.io/Logging_2161/tillsyn/A 21091-2019 tillsynsbegäran.docx", "A 21091-2019")</f>
        <v/>
      </c>
      <c r="Y335">
        <f>HYPERLINK("https://klasma.github.io/Logging_2161/tillsynsmail/A 21091-2019 tillsynsbegäran mail.docx", "A 21091-2019")</f>
        <v/>
      </c>
    </row>
    <row r="336" ht="15" customHeight="1">
      <c r="A336" t="inlineStr">
        <is>
          <t>A 21761-2019</t>
        </is>
      </c>
      <c r="B336" s="1" t="n">
        <v>43581</v>
      </c>
      <c r="C336" s="1" t="n">
        <v>45811</v>
      </c>
      <c r="D336" t="inlineStr">
        <is>
          <t>GÄVLEBORGS LÄN</t>
        </is>
      </c>
      <c r="E336" t="inlineStr">
        <is>
          <t>LJUSDAL</t>
        </is>
      </c>
      <c r="F336" t="inlineStr">
        <is>
          <t>Holmen skog AB</t>
        </is>
      </c>
      <c r="G336" t="n">
        <v>6.8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21836-2019</t>
        </is>
      </c>
      <c r="B337" s="1" t="n">
        <v>43584</v>
      </c>
      <c r="C337" s="1" t="n">
        <v>45811</v>
      </c>
      <c r="D337" t="inlineStr">
        <is>
          <t>GÄVLEBORGS LÄN</t>
        </is>
      </c>
      <c r="E337" t="inlineStr">
        <is>
          <t>LJUSDAL</t>
        </is>
      </c>
      <c r="F337" t="inlineStr">
        <is>
          <t>Sveaskog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24505-2019</t>
        </is>
      </c>
      <c r="B338" s="1" t="n">
        <v>43600</v>
      </c>
      <c r="C338" s="1" t="n">
        <v>45811</v>
      </c>
      <c r="D338" t="inlineStr">
        <is>
          <t>GÄVLEBORGS LÄN</t>
        </is>
      </c>
      <c r="E338" t="inlineStr">
        <is>
          <t>LJUSDAL</t>
        </is>
      </c>
      <c r="F338" t="inlineStr">
        <is>
          <t>Kyrkan</t>
        </is>
      </c>
      <c r="G338" t="n">
        <v>43.9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24504-2019</t>
        </is>
      </c>
      <c r="B339" s="1" t="n">
        <v>43600</v>
      </c>
      <c r="C339" s="1" t="n">
        <v>45811</v>
      </c>
      <c r="D339" t="inlineStr">
        <is>
          <t>GÄVLEBORGS LÄN</t>
        </is>
      </c>
      <c r="E339" t="inlineStr">
        <is>
          <t>LJUSDAL</t>
        </is>
      </c>
      <c r="F339" t="inlineStr">
        <is>
          <t>Kyrkan</t>
        </is>
      </c>
      <c r="G339" t="n">
        <v>43.9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24728-2019</t>
        </is>
      </c>
      <c r="B340" s="1" t="n">
        <v>43601</v>
      </c>
      <c r="C340" s="1" t="n">
        <v>45811</v>
      </c>
      <c r="D340" t="inlineStr">
        <is>
          <t>GÄVLEBORGS LÄN</t>
        </is>
      </c>
      <c r="E340" t="inlineStr">
        <is>
          <t>LJUSDAL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24715-2019</t>
        </is>
      </c>
      <c r="B341" s="1" t="n">
        <v>43601</v>
      </c>
      <c r="C341" s="1" t="n">
        <v>45811</v>
      </c>
      <c r="D341" t="inlineStr">
        <is>
          <t>GÄVLEBORGS LÄN</t>
        </is>
      </c>
      <c r="E341" t="inlineStr">
        <is>
          <t>LJUSDAL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26079-2019</t>
        </is>
      </c>
      <c r="B342" s="1" t="n">
        <v>43605</v>
      </c>
      <c r="C342" s="1" t="n">
        <v>45811</v>
      </c>
      <c r="D342" t="inlineStr">
        <is>
          <t>GÄVLEBORGS LÄN</t>
        </is>
      </c>
      <c r="E342" t="inlineStr">
        <is>
          <t>LJUSDAL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25597-2019</t>
        </is>
      </c>
      <c r="B343" s="1" t="n">
        <v>43607</v>
      </c>
      <c r="C343" s="1" t="n">
        <v>45811</v>
      </c>
      <c r="D343" t="inlineStr">
        <is>
          <t>GÄVLEBORGS LÄN</t>
        </is>
      </c>
      <c r="E343" t="inlineStr">
        <is>
          <t>LJUSDAL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26451-2019</t>
        </is>
      </c>
      <c r="B344" s="1" t="n">
        <v>43612</v>
      </c>
      <c r="C344" s="1" t="n">
        <v>45811</v>
      </c>
      <c r="D344" t="inlineStr">
        <is>
          <t>GÄVLEBORGS LÄN</t>
        </is>
      </c>
      <c r="E344" t="inlineStr">
        <is>
          <t>LJUSDAL</t>
        </is>
      </c>
      <c r="F344" t="inlineStr">
        <is>
          <t>Sveaskog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26840-2019</t>
        </is>
      </c>
      <c r="B345" s="1" t="n">
        <v>43613</v>
      </c>
      <c r="C345" s="1" t="n">
        <v>45811</v>
      </c>
      <c r="D345" t="inlineStr">
        <is>
          <t>GÄVLEBORGS LÄN</t>
        </is>
      </c>
      <c r="E345" t="inlineStr">
        <is>
          <t>LJUSDAL</t>
        </is>
      </c>
      <c r="F345" t="inlineStr">
        <is>
          <t>Bergvik skog väst AB</t>
        </is>
      </c>
      <c r="G345" t="n">
        <v>13.8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27298-2019</t>
        </is>
      </c>
      <c r="B346" s="1" t="n">
        <v>43616</v>
      </c>
      <c r="C346" s="1" t="n">
        <v>45811</v>
      </c>
      <c r="D346" t="inlineStr">
        <is>
          <t>GÄVLEBORGS LÄN</t>
        </is>
      </c>
      <c r="E346" t="inlineStr">
        <is>
          <t>LJUSDAL</t>
        </is>
      </c>
      <c r="F346" t="inlineStr">
        <is>
          <t>Bergvik skog väst AB</t>
        </is>
      </c>
      <c r="G346" t="n">
        <v>6.9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27477-2019</t>
        </is>
      </c>
      <c r="B347" s="1" t="n">
        <v>43619</v>
      </c>
      <c r="C347" s="1" t="n">
        <v>45811</v>
      </c>
      <c r="D347" t="inlineStr">
        <is>
          <t>GÄVLEBORGS LÄN</t>
        </is>
      </c>
      <c r="E347" t="inlineStr">
        <is>
          <t>LJUSDAL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27493-2019</t>
        </is>
      </c>
      <c r="B348" s="1" t="n">
        <v>43619</v>
      </c>
      <c r="C348" s="1" t="n">
        <v>45811</v>
      </c>
      <c r="D348" t="inlineStr">
        <is>
          <t>GÄVLEBORGS LÄN</t>
        </is>
      </c>
      <c r="E348" t="inlineStr">
        <is>
          <t>LJUSDAL</t>
        </is>
      </c>
      <c r="F348" t="inlineStr">
        <is>
          <t>Bergvik skog väst AB</t>
        </is>
      </c>
      <c r="G348" t="n">
        <v>33.6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27506-2019</t>
        </is>
      </c>
      <c r="B349" s="1" t="n">
        <v>43619</v>
      </c>
      <c r="C349" s="1" t="n">
        <v>45811</v>
      </c>
      <c r="D349" t="inlineStr">
        <is>
          <t>GÄVLEBORGS LÄN</t>
        </is>
      </c>
      <c r="E349" t="inlineStr">
        <is>
          <t>LJUSDAL</t>
        </is>
      </c>
      <c r="F349" t="inlineStr">
        <is>
          <t>Holmen skog AB</t>
        </is>
      </c>
      <c r="G349" t="n">
        <v>25.6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27558-2019</t>
        </is>
      </c>
      <c r="B350" s="1" t="n">
        <v>43619</v>
      </c>
      <c r="C350" s="1" t="n">
        <v>45811</v>
      </c>
      <c r="D350" t="inlineStr">
        <is>
          <t>GÄVLEBORGS LÄN</t>
        </is>
      </c>
      <c r="E350" t="inlineStr">
        <is>
          <t>LJUSDAL</t>
        </is>
      </c>
      <c r="F350" t="inlineStr">
        <is>
          <t>Bergvik skog väst AB</t>
        </is>
      </c>
      <c r="G350" t="n">
        <v>12.9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27784-2019</t>
        </is>
      </c>
      <c r="B351" s="1" t="n">
        <v>43620</v>
      </c>
      <c r="C351" s="1" t="n">
        <v>45811</v>
      </c>
      <c r="D351" t="inlineStr">
        <is>
          <t>GÄVLEBORGS LÄN</t>
        </is>
      </c>
      <c r="E351" t="inlineStr">
        <is>
          <t>LJUSDAL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28542-2019</t>
        </is>
      </c>
      <c r="B352" s="1" t="n">
        <v>43626</v>
      </c>
      <c r="C352" s="1" t="n">
        <v>45811</v>
      </c>
      <c r="D352" t="inlineStr">
        <is>
          <t>GÄVLEBORGS LÄN</t>
        </is>
      </c>
      <c r="E352" t="inlineStr">
        <is>
          <t>LJUSDAL</t>
        </is>
      </c>
      <c r="F352" t="inlineStr">
        <is>
          <t>Bergvik skog väst AB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28545-2019</t>
        </is>
      </c>
      <c r="B353" s="1" t="n">
        <v>43626</v>
      </c>
      <c r="C353" s="1" t="n">
        <v>45811</v>
      </c>
      <c r="D353" t="inlineStr">
        <is>
          <t>GÄVLEBORGS LÄN</t>
        </is>
      </c>
      <c r="E353" t="inlineStr">
        <is>
          <t>LJUSDAL</t>
        </is>
      </c>
      <c r="F353" t="inlineStr">
        <is>
          <t>Bergvik skog väst AB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28875-2019</t>
        </is>
      </c>
      <c r="B354" s="1" t="n">
        <v>43628</v>
      </c>
      <c r="C354" s="1" t="n">
        <v>45811</v>
      </c>
      <c r="D354" t="inlineStr">
        <is>
          <t>GÄVLEBORGS LÄN</t>
        </is>
      </c>
      <c r="E354" t="inlineStr">
        <is>
          <t>LJUSDAL</t>
        </is>
      </c>
      <c r="F354" t="inlineStr">
        <is>
          <t>Sveaskog</t>
        </is>
      </c>
      <c r="G354" t="n">
        <v>5.8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29044-2019</t>
        </is>
      </c>
      <c r="B355" s="1" t="n">
        <v>43628</v>
      </c>
      <c r="C355" s="1" t="n">
        <v>45811</v>
      </c>
      <c r="D355" t="inlineStr">
        <is>
          <t>GÄVLEBORGS LÄN</t>
        </is>
      </c>
      <c r="E355" t="inlineStr">
        <is>
          <t>LJUSDAL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29660-2019</t>
        </is>
      </c>
      <c r="B356" s="1" t="n">
        <v>43628</v>
      </c>
      <c r="C356" s="1" t="n">
        <v>45811</v>
      </c>
      <c r="D356" t="inlineStr">
        <is>
          <t>GÄVLEBORGS LÄN</t>
        </is>
      </c>
      <c r="E356" t="inlineStr">
        <is>
          <t>LJUSDAL</t>
        </is>
      </c>
      <c r="F356" t="inlineStr">
        <is>
          <t>Holmen skog AB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29267-2019</t>
        </is>
      </c>
      <c r="B357" s="1" t="n">
        <v>43629</v>
      </c>
      <c r="C357" s="1" t="n">
        <v>45811</v>
      </c>
      <c r="D357" t="inlineStr">
        <is>
          <t>GÄVLEBORGS LÄN</t>
        </is>
      </c>
      <c r="E357" t="inlineStr">
        <is>
          <t>LJUSDAL</t>
        </is>
      </c>
      <c r="G357" t="n">
        <v>4.7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29414-2019</t>
        </is>
      </c>
      <c r="B358" s="1" t="n">
        <v>43629</v>
      </c>
      <c r="C358" s="1" t="n">
        <v>45811</v>
      </c>
      <c r="D358" t="inlineStr">
        <is>
          <t>GÄVLEBORGS LÄN</t>
        </is>
      </c>
      <c r="E358" t="inlineStr">
        <is>
          <t>LJUSDAL</t>
        </is>
      </c>
      <c r="F358" t="inlineStr">
        <is>
          <t>Holmen skog AB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29590-2019</t>
        </is>
      </c>
      <c r="B359" s="1" t="n">
        <v>43630</v>
      </c>
      <c r="C359" s="1" t="n">
        <v>45811</v>
      </c>
      <c r="D359" t="inlineStr">
        <is>
          <t>GÄVLEBORGS LÄN</t>
        </is>
      </c>
      <c r="E359" t="inlineStr">
        <is>
          <t>LJUSDAL</t>
        </is>
      </c>
      <c r="F359" t="inlineStr">
        <is>
          <t>Bergvik skog väst AB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29559-2019</t>
        </is>
      </c>
      <c r="B360" s="1" t="n">
        <v>43630</v>
      </c>
      <c r="C360" s="1" t="n">
        <v>45811</v>
      </c>
      <c r="D360" t="inlineStr">
        <is>
          <t>GÄVLEBORGS LÄN</t>
        </is>
      </c>
      <c r="E360" t="inlineStr">
        <is>
          <t>LJUSDAL</t>
        </is>
      </c>
      <c r="F360" t="inlineStr">
        <is>
          <t>Bergvik skog väst AB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29525-2019</t>
        </is>
      </c>
      <c r="B361" s="1" t="n">
        <v>43630</v>
      </c>
      <c r="C361" s="1" t="n">
        <v>45811</v>
      </c>
      <c r="D361" t="inlineStr">
        <is>
          <t>GÄVLEBORGS LÄN</t>
        </is>
      </c>
      <c r="E361" t="inlineStr">
        <is>
          <t>LJUSDAL</t>
        </is>
      </c>
      <c r="F361" t="inlineStr">
        <is>
          <t>Sveaskog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30727-2019</t>
        </is>
      </c>
      <c r="B362" s="1" t="n">
        <v>43636</v>
      </c>
      <c r="C362" s="1" t="n">
        <v>45811</v>
      </c>
      <c r="D362" t="inlineStr">
        <is>
          <t>GÄVLEBORGS LÄN</t>
        </is>
      </c>
      <c r="E362" t="inlineStr">
        <is>
          <t>LJUSDAL</t>
        </is>
      </c>
      <c r="F362" t="inlineStr">
        <is>
          <t>Sveaskog</t>
        </is>
      </c>
      <c r="G362" t="n">
        <v>9.699999999999999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31812-2019</t>
        </is>
      </c>
      <c r="B363" s="1" t="n">
        <v>43641</v>
      </c>
      <c r="C363" s="1" t="n">
        <v>45811</v>
      </c>
      <c r="D363" t="inlineStr">
        <is>
          <t>GÄVLEBORGS LÄN</t>
        </is>
      </c>
      <c r="E363" t="inlineStr">
        <is>
          <t>LJUSDAL</t>
        </is>
      </c>
      <c r="G363" t="n">
        <v>6.6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31769-2019</t>
        </is>
      </c>
      <c r="B364" s="1" t="n">
        <v>43642</v>
      </c>
      <c r="C364" s="1" t="n">
        <v>45811</v>
      </c>
      <c r="D364" t="inlineStr">
        <is>
          <t>GÄVLEBORGS LÄN</t>
        </is>
      </c>
      <c r="E364" t="inlineStr">
        <is>
          <t>LJUSDAL</t>
        </is>
      </c>
      <c r="F364" t="inlineStr">
        <is>
          <t>Holmen skog AB</t>
        </is>
      </c>
      <c r="G364" t="n">
        <v>14.4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31843-2019</t>
        </is>
      </c>
      <c r="B365" s="1" t="n">
        <v>43642</v>
      </c>
      <c r="C365" s="1" t="n">
        <v>45811</v>
      </c>
      <c r="D365" t="inlineStr">
        <is>
          <t>GÄVLEBORGS LÄN</t>
        </is>
      </c>
      <c r="E365" t="inlineStr">
        <is>
          <t>LJUSDAL</t>
        </is>
      </c>
      <c r="F365" t="inlineStr">
        <is>
          <t>Holmen skog AB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32436-2019</t>
        </is>
      </c>
      <c r="B366" s="1" t="n">
        <v>43644</v>
      </c>
      <c r="C366" s="1" t="n">
        <v>45811</v>
      </c>
      <c r="D366" t="inlineStr">
        <is>
          <t>GÄVLEBORGS LÄN</t>
        </is>
      </c>
      <c r="E366" t="inlineStr">
        <is>
          <t>LJUSDAL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33306-2019</t>
        </is>
      </c>
      <c r="B367" s="1" t="n">
        <v>43650</v>
      </c>
      <c r="C367" s="1" t="n">
        <v>45811</v>
      </c>
      <c r="D367" t="inlineStr">
        <is>
          <t>GÄVLEBORGS LÄN</t>
        </is>
      </c>
      <c r="E367" t="inlineStr">
        <is>
          <t>LJUSDAL</t>
        </is>
      </c>
      <c r="G367" t="n">
        <v>10.9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33661-2019</t>
        </is>
      </c>
      <c r="B368" s="1" t="n">
        <v>43651</v>
      </c>
      <c r="C368" s="1" t="n">
        <v>45811</v>
      </c>
      <c r="D368" t="inlineStr">
        <is>
          <t>GÄVLEBORGS LÄN</t>
        </is>
      </c>
      <c r="E368" t="inlineStr">
        <is>
          <t>LJUSDAL</t>
        </is>
      </c>
      <c r="F368" t="inlineStr">
        <is>
          <t>Sveaskog</t>
        </is>
      </c>
      <c r="G368" t="n">
        <v>6.3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33662-2019</t>
        </is>
      </c>
      <c r="B369" s="1" t="n">
        <v>43651</v>
      </c>
      <c r="C369" s="1" t="n">
        <v>45811</v>
      </c>
      <c r="D369" t="inlineStr">
        <is>
          <t>GÄVLEBORGS LÄN</t>
        </is>
      </c>
      <c r="E369" t="inlineStr">
        <is>
          <t>LJUSDAL</t>
        </is>
      </c>
      <c r="F369" t="inlineStr">
        <is>
          <t>Sveaskog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34197-2019</t>
        </is>
      </c>
      <c r="B370" s="1" t="n">
        <v>43655</v>
      </c>
      <c r="C370" s="1" t="n">
        <v>45811</v>
      </c>
      <c r="D370" t="inlineStr">
        <is>
          <t>GÄVLEBORGS LÄN</t>
        </is>
      </c>
      <c r="E370" t="inlineStr">
        <is>
          <t>LJUSDAL</t>
        </is>
      </c>
      <c r="G370" t="n">
        <v>3.8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34398-2019</t>
        </is>
      </c>
      <c r="B371" s="1" t="n">
        <v>43656</v>
      </c>
      <c r="C371" s="1" t="n">
        <v>45811</v>
      </c>
      <c r="D371" t="inlineStr">
        <is>
          <t>GÄVLEBORGS LÄN</t>
        </is>
      </c>
      <c r="E371" t="inlineStr">
        <is>
          <t>LJUSDAL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35016-2019</t>
        </is>
      </c>
      <c r="B372" s="1" t="n">
        <v>43661</v>
      </c>
      <c r="C372" s="1" t="n">
        <v>45811</v>
      </c>
      <c r="D372" t="inlineStr">
        <is>
          <t>GÄVLEBORGS LÄN</t>
        </is>
      </c>
      <c r="E372" t="inlineStr">
        <is>
          <t>LJUSDAL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35034-2019</t>
        </is>
      </c>
      <c r="B373" s="1" t="n">
        <v>43661</v>
      </c>
      <c r="C373" s="1" t="n">
        <v>45811</v>
      </c>
      <c r="D373" t="inlineStr">
        <is>
          <t>GÄVLEBORGS LÄN</t>
        </is>
      </c>
      <c r="E373" t="inlineStr">
        <is>
          <t>LJUSDAL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35107-2019</t>
        </is>
      </c>
      <c r="B374" s="1" t="n">
        <v>43661</v>
      </c>
      <c r="C374" s="1" t="n">
        <v>45811</v>
      </c>
      <c r="D374" t="inlineStr">
        <is>
          <t>GÄVLEBORGS LÄN</t>
        </is>
      </c>
      <c r="E374" t="inlineStr">
        <is>
          <t>LJUSDAL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35295-2019</t>
        </is>
      </c>
      <c r="B375" s="1" t="n">
        <v>43662</v>
      </c>
      <c r="C375" s="1" t="n">
        <v>45811</v>
      </c>
      <c r="D375" t="inlineStr">
        <is>
          <t>GÄVLEBORGS LÄN</t>
        </is>
      </c>
      <c r="E375" t="inlineStr">
        <is>
          <t>LJUSDAL</t>
        </is>
      </c>
      <c r="F375" t="inlineStr">
        <is>
          <t>Kommuner</t>
        </is>
      </c>
      <c r="G375" t="n">
        <v>5.5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35347-2019</t>
        </is>
      </c>
      <c r="B376" s="1" t="n">
        <v>43663</v>
      </c>
      <c r="C376" s="1" t="n">
        <v>45811</v>
      </c>
      <c r="D376" t="inlineStr">
        <is>
          <t>GÄVLEBORGS LÄN</t>
        </is>
      </c>
      <c r="E376" t="inlineStr">
        <is>
          <t>LJUSDAL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35354-2019</t>
        </is>
      </c>
      <c r="B377" s="1" t="n">
        <v>43663</v>
      </c>
      <c r="C377" s="1" t="n">
        <v>45811</v>
      </c>
      <c r="D377" t="inlineStr">
        <is>
          <t>GÄVLEBORGS LÄN</t>
        </is>
      </c>
      <c r="E377" t="inlineStr">
        <is>
          <t>LJUSDAL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35805-2019</t>
        </is>
      </c>
      <c r="B378" s="1" t="n">
        <v>43665</v>
      </c>
      <c r="C378" s="1" t="n">
        <v>45811</v>
      </c>
      <c r="D378" t="inlineStr">
        <is>
          <t>GÄVLEBORGS LÄN</t>
        </is>
      </c>
      <c r="E378" t="inlineStr">
        <is>
          <t>LJUSDAL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35859-2019</t>
        </is>
      </c>
      <c r="B379" s="1" t="n">
        <v>43665</v>
      </c>
      <c r="C379" s="1" t="n">
        <v>45811</v>
      </c>
      <c r="D379" t="inlineStr">
        <is>
          <t>GÄVLEBORGS LÄN</t>
        </is>
      </c>
      <c r="E379" t="inlineStr">
        <is>
          <t>LJUSDAL</t>
        </is>
      </c>
      <c r="F379" t="inlineStr">
        <is>
          <t>Kommuner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36040-2019</t>
        </is>
      </c>
      <c r="B380" s="1" t="n">
        <v>43668</v>
      </c>
      <c r="C380" s="1" t="n">
        <v>45811</v>
      </c>
      <c r="D380" t="inlineStr">
        <is>
          <t>GÄVLEBORGS LÄN</t>
        </is>
      </c>
      <c r="E380" t="inlineStr">
        <is>
          <t>LJUSDAL</t>
        </is>
      </c>
      <c r="G380" t="n">
        <v>7.9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36190-2019</t>
        </is>
      </c>
      <c r="B381" s="1" t="n">
        <v>43669</v>
      </c>
      <c r="C381" s="1" t="n">
        <v>45811</v>
      </c>
      <c r="D381" t="inlineStr">
        <is>
          <t>GÄVLEBORGS LÄN</t>
        </is>
      </c>
      <c r="E381" t="inlineStr">
        <is>
          <t>LJUSDAL</t>
        </is>
      </c>
      <c r="G381" t="n">
        <v>53.2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37326-2019</t>
        </is>
      </c>
      <c r="B382" s="1" t="n">
        <v>43677</v>
      </c>
      <c r="C382" s="1" t="n">
        <v>45811</v>
      </c>
      <c r="D382" t="inlineStr">
        <is>
          <t>GÄVLEBORGS LÄN</t>
        </is>
      </c>
      <c r="E382" t="inlineStr">
        <is>
          <t>LJUSDAL</t>
        </is>
      </c>
      <c r="G382" t="n">
        <v>9.199999999999999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37676-2019</t>
        </is>
      </c>
      <c r="B383" s="1" t="n">
        <v>43679</v>
      </c>
      <c r="C383" s="1" t="n">
        <v>45811</v>
      </c>
      <c r="D383" t="inlineStr">
        <is>
          <t>GÄVLEBORGS LÄN</t>
        </is>
      </c>
      <c r="E383" t="inlineStr">
        <is>
          <t>LJUSDAL</t>
        </is>
      </c>
      <c r="G383" t="n">
        <v>11.6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37537-2019</t>
        </is>
      </c>
      <c r="B384" s="1" t="n">
        <v>43679</v>
      </c>
      <c r="C384" s="1" t="n">
        <v>45811</v>
      </c>
      <c r="D384" t="inlineStr">
        <is>
          <t>GÄVLEBORGS LÄN</t>
        </is>
      </c>
      <c r="E384" t="inlineStr">
        <is>
          <t>LJUSDAL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38756-2019</t>
        </is>
      </c>
      <c r="B385" s="1" t="n">
        <v>43686</v>
      </c>
      <c r="C385" s="1" t="n">
        <v>45811</v>
      </c>
      <c r="D385" t="inlineStr">
        <is>
          <t>GÄVLEBORGS LÄN</t>
        </is>
      </c>
      <c r="E385" t="inlineStr">
        <is>
          <t>LJUSDAL</t>
        </is>
      </c>
      <c r="G385" t="n">
        <v>51.7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40196-2019</t>
        </is>
      </c>
      <c r="B386" s="1" t="n">
        <v>43691</v>
      </c>
      <c r="C386" s="1" t="n">
        <v>45811</v>
      </c>
      <c r="D386" t="inlineStr">
        <is>
          <t>GÄVLEBORGS LÄN</t>
        </is>
      </c>
      <c r="E386" t="inlineStr">
        <is>
          <t>LJUSDAL</t>
        </is>
      </c>
      <c r="G386" t="n">
        <v>0.2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39762-2019</t>
        </is>
      </c>
      <c r="B387" s="1" t="n">
        <v>43692</v>
      </c>
      <c r="C387" s="1" t="n">
        <v>45811</v>
      </c>
      <c r="D387" t="inlineStr">
        <is>
          <t>GÄVLEBORGS LÄN</t>
        </is>
      </c>
      <c r="E387" t="inlineStr">
        <is>
          <t>LJUSDAL</t>
        </is>
      </c>
      <c r="G387" t="n">
        <v>11.3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40184-2019</t>
        </is>
      </c>
      <c r="B388" s="1" t="n">
        <v>43693</v>
      </c>
      <c r="C388" s="1" t="n">
        <v>45811</v>
      </c>
      <c r="D388" t="inlineStr">
        <is>
          <t>GÄVLEBORGS LÄN</t>
        </is>
      </c>
      <c r="E388" t="inlineStr">
        <is>
          <t>LJUSDAL</t>
        </is>
      </c>
      <c r="F388" t="inlineStr">
        <is>
          <t>Bergvik skog väst AB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40190-2019</t>
        </is>
      </c>
      <c r="B389" s="1" t="n">
        <v>43693</v>
      </c>
      <c r="C389" s="1" t="n">
        <v>45811</v>
      </c>
      <c r="D389" t="inlineStr">
        <is>
          <t>GÄVLEBORGS LÄN</t>
        </is>
      </c>
      <c r="E389" t="inlineStr">
        <is>
          <t>LJUSDAL</t>
        </is>
      </c>
      <c r="F389" t="inlineStr">
        <is>
          <t>Sveaskog</t>
        </is>
      </c>
      <c r="G389" t="n">
        <v>9.199999999999999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40071-2019</t>
        </is>
      </c>
      <c r="B390" s="1" t="n">
        <v>43693</v>
      </c>
      <c r="C390" s="1" t="n">
        <v>45811</v>
      </c>
      <c r="D390" t="inlineStr">
        <is>
          <t>GÄVLEBORGS LÄN</t>
        </is>
      </c>
      <c r="E390" t="inlineStr">
        <is>
          <t>LJUSDAL</t>
        </is>
      </c>
      <c r="F390" t="inlineStr">
        <is>
          <t>Sveaskog</t>
        </is>
      </c>
      <c r="G390" t="n">
        <v>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40707-2019</t>
        </is>
      </c>
      <c r="B391" s="1" t="n">
        <v>43697</v>
      </c>
      <c r="C391" s="1" t="n">
        <v>45811</v>
      </c>
      <c r="D391" t="inlineStr">
        <is>
          <t>GÄVLEBORGS LÄN</t>
        </is>
      </c>
      <c r="E391" t="inlineStr">
        <is>
          <t>LJUSDAL</t>
        </is>
      </c>
      <c r="F391" t="inlineStr">
        <is>
          <t>Sveaskog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41111-2019</t>
        </is>
      </c>
      <c r="B392" s="1" t="n">
        <v>43698</v>
      </c>
      <c r="C392" s="1" t="n">
        <v>45811</v>
      </c>
      <c r="D392" t="inlineStr">
        <is>
          <t>GÄVLEBORGS LÄN</t>
        </is>
      </c>
      <c r="E392" t="inlineStr">
        <is>
          <t>LJUSDAL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41212-2019</t>
        </is>
      </c>
      <c r="B393" s="1" t="n">
        <v>43698</v>
      </c>
      <c r="C393" s="1" t="n">
        <v>45811</v>
      </c>
      <c r="D393" t="inlineStr">
        <is>
          <t>GÄVLEBORGS LÄN</t>
        </is>
      </c>
      <c r="E393" t="inlineStr">
        <is>
          <t>LJUSDAL</t>
        </is>
      </c>
      <c r="F393" t="inlineStr">
        <is>
          <t>Allmännings- och besparingsskogar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41917-2019</t>
        </is>
      </c>
      <c r="B394" s="1" t="n">
        <v>43700</v>
      </c>
      <c r="C394" s="1" t="n">
        <v>45811</v>
      </c>
      <c r="D394" t="inlineStr">
        <is>
          <t>GÄVLEBORGS LÄN</t>
        </is>
      </c>
      <c r="E394" t="inlineStr">
        <is>
          <t>LJUSDAL</t>
        </is>
      </c>
      <c r="G394" t="n">
        <v>12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44374-2019</t>
        </is>
      </c>
      <c r="B395" s="1" t="n">
        <v>43700</v>
      </c>
      <c r="C395" s="1" t="n">
        <v>45811</v>
      </c>
      <c r="D395" t="inlineStr">
        <is>
          <t>GÄVLEBORGS LÄN</t>
        </is>
      </c>
      <c r="E395" t="inlineStr">
        <is>
          <t>LJUSDAL</t>
        </is>
      </c>
      <c r="G395" t="n">
        <v>6.9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41852-2019</t>
        </is>
      </c>
      <c r="B396" s="1" t="n">
        <v>43700</v>
      </c>
      <c r="C396" s="1" t="n">
        <v>45811</v>
      </c>
      <c r="D396" t="inlineStr">
        <is>
          <t>GÄVLEBORGS LÄN</t>
        </is>
      </c>
      <c r="E396" t="inlineStr">
        <is>
          <t>LJUSDAL</t>
        </is>
      </c>
      <c r="F396" t="inlineStr">
        <is>
          <t>Sveaskog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42445-2019</t>
        </is>
      </c>
      <c r="B397" s="1" t="n">
        <v>43704</v>
      </c>
      <c r="C397" s="1" t="n">
        <v>45811</v>
      </c>
      <c r="D397" t="inlineStr">
        <is>
          <t>GÄVLEBORGS LÄN</t>
        </is>
      </c>
      <c r="E397" t="inlineStr">
        <is>
          <t>LJUSDAL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42868-2019</t>
        </is>
      </c>
      <c r="B398" s="1" t="n">
        <v>43705</v>
      </c>
      <c r="C398" s="1" t="n">
        <v>45811</v>
      </c>
      <c r="D398" t="inlineStr">
        <is>
          <t>GÄVLEBORGS LÄN</t>
        </is>
      </c>
      <c r="E398" t="inlineStr">
        <is>
          <t>LJUSDAL</t>
        </is>
      </c>
      <c r="F398" t="inlineStr">
        <is>
          <t>Sveaskog</t>
        </is>
      </c>
      <c r="G398" t="n">
        <v>9.800000000000001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44275-2019</t>
        </is>
      </c>
      <c r="B399" s="1" t="n">
        <v>43710</v>
      </c>
      <c r="C399" s="1" t="n">
        <v>45811</v>
      </c>
      <c r="D399" t="inlineStr">
        <is>
          <t>GÄVLEBORGS LÄN</t>
        </is>
      </c>
      <c r="E399" t="inlineStr">
        <is>
          <t>LJUSDAL</t>
        </is>
      </c>
      <c r="F399" t="inlineStr">
        <is>
          <t>Sveaskog</t>
        </is>
      </c>
      <c r="G399" t="n">
        <v>25.1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44066-2019</t>
        </is>
      </c>
      <c r="B400" s="1" t="n">
        <v>43710</v>
      </c>
      <c r="C400" s="1" t="n">
        <v>45811</v>
      </c>
      <c r="D400" t="inlineStr">
        <is>
          <t>GÄVLEBORGS LÄN</t>
        </is>
      </c>
      <c r="E400" t="inlineStr">
        <is>
          <t>LJUSDAL</t>
        </is>
      </c>
      <c r="F400" t="inlineStr">
        <is>
          <t>Holmen skog AB</t>
        </is>
      </c>
      <c r="G400" t="n">
        <v>19.6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44062-2019</t>
        </is>
      </c>
      <c r="B401" s="1" t="n">
        <v>43710</v>
      </c>
      <c r="C401" s="1" t="n">
        <v>45811</v>
      </c>
      <c r="D401" t="inlineStr">
        <is>
          <t>GÄVLEBORGS LÄN</t>
        </is>
      </c>
      <c r="E401" t="inlineStr">
        <is>
          <t>LJUSDAL</t>
        </is>
      </c>
      <c r="F401" t="inlineStr">
        <is>
          <t>Sveaskog</t>
        </is>
      </c>
      <c r="G401" t="n">
        <v>7.4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44847-2019</t>
        </is>
      </c>
      <c r="B402" s="1" t="n">
        <v>43712</v>
      </c>
      <c r="C402" s="1" t="n">
        <v>45811</v>
      </c>
      <c r="D402" t="inlineStr">
        <is>
          <t>GÄVLEBORGS LÄN</t>
        </is>
      </c>
      <c r="E402" t="inlineStr">
        <is>
          <t>LJUSDAL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44904-2019</t>
        </is>
      </c>
      <c r="B403" s="1" t="n">
        <v>43713</v>
      </c>
      <c r="C403" s="1" t="n">
        <v>45811</v>
      </c>
      <c r="D403" t="inlineStr">
        <is>
          <t>GÄVLEBORGS LÄN</t>
        </is>
      </c>
      <c r="E403" t="inlineStr">
        <is>
          <t>LJUSDAL</t>
        </is>
      </c>
      <c r="F403" t="inlineStr">
        <is>
          <t>Sveaskog</t>
        </is>
      </c>
      <c r="G403" t="n">
        <v>9.199999999999999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45451-2019</t>
        </is>
      </c>
      <c r="B404" s="1" t="n">
        <v>43714</v>
      </c>
      <c r="C404" s="1" t="n">
        <v>45811</v>
      </c>
      <c r="D404" t="inlineStr">
        <is>
          <t>GÄVLEBORGS LÄN</t>
        </is>
      </c>
      <c r="E404" t="inlineStr">
        <is>
          <t>LJUSDAL</t>
        </is>
      </c>
      <c r="F404" t="inlineStr">
        <is>
          <t>Sveaskog</t>
        </is>
      </c>
      <c r="G404" t="n">
        <v>5.6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45450-2019</t>
        </is>
      </c>
      <c r="B405" s="1" t="n">
        <v>43714</v>
      </c>
      <c r="C405" s="1" t="n">
        <v>45811</v>
      </c>
      <c r="D405" t="inlineStr">
        <is>
          <t>GÄVLEBORGS LÄN</t>
        </is>
      </c>
      <c r="E405" t="inlineStr">
        <is>
          <t>LJUSDAL</t>
        </is>
      </c>
      <c r="F405" t="inlineStr">
        <is>
          <t>Sveaskog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45808-2019</t>
        </is>
      </c>
      <c r="B406" s="1" t="n">
        <v>43717</v>
      </c>
      <c r="C406" s="1" t="n">
        <v>45811</v>
      </c>
      <c r="D406" t="inlineStr">
        <is>
          <t>GÄVLEBORGS LÄN</t>
        </is>
      </c>
      <c r="E406" t="inlineStr">
        <is>
          <t>LJUSDAL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46408-2019</t>
        </is>
      </c>
      <c r="B407" s="1" t="n">
        <v>43719</v>
      </c>
      <c r="C407" s="1" t="n">
        <v>45811</v>
      </c>
      <c r="D407" t="inlineStr">
        <is>
          <t>GÄVLEBORGS LÄN</t>
        </is>
      </c>
      <c r="E407" t="inlineStr">
        <is>
          <t>LJUSDAL</t>
        </is>
      </c>
      <c r="F407" t="inlineStr">
        <is>
          <t>Bergvik skog väst AB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46773-2019</t>
        </is>
      </c>
      <c r="B408" s="1" t="n">
        <v>43720</v>
      </c>
      <c r="C408" s="1" t="n">
        <v>45811</v>
      </c>
      <c r="D408" t="inlineStr">
        <is>
          <t>GÄVLEBORGS LÄN</t>
        </is>
      </c>
      <c r="E408" t="inlineStr">
        <is>
          <t>LJUSDAL</t>
        </is>
      </c>
      <c r="F408" t="inlineStr">
        <is>
          <t>Holmen skog AB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47326-2019</t>
        </is>
      </c>
      <c r="B409" s="1" t="n">
        <v>43721</v>
      </c>
      <c r="C409" s="1" t="n">
        <v>45811</v>
      </c>
      <c r="D409" t="inlineStr">
        <is>
          <t>GÄVLEBORGS LÄN</t>
        </is>
      </c>
      <c r="E409" t="inlineStr">
        <is>
          <t>LJUSDAL</t>
        </is>
      </c>
      <c r="G409" t="n">
        <v>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47329-2019</t>
        </is>
      </c>
      <c r="B410" s="1" t="n">
        <v>43721</v>
      </c>
      <c r="C410" s="1" t="n">
        <v>45811</v>
      </c>
      <c r="D410" t="inlineStr">
        <is>
          <t>GÄVLEBORGS LÄN</t>
        </is>
      </c>
      <c r="E410" t="inlineStr">
        <is>
          <t>LJUSDAL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47449-2019</t>
        </is>
      </c>
      <c r="B411" s="1" t="n">
        <v>43721</v>
      </c>
      <c r="C411" s="1" t="n">
        <v>45811</v>
      </c>
      <c r="D411" t="inlineStr">
        <is>
          <t>GÄVLEBORGS LÄN</t>
        </is>
      </c>
      <c r="E411" t="inlineStr">
        <is>
          <t>LJUSDAL</t>
        </is>
      </c>
      <c r="G411" t="n">
        <v>12.5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48379-2019</t>
        </is>
      </c>
      <c r="B412" s="1" t="n">
        <v>43726</v>
      </c>
      <c r="C412" s="1" t="n">
        <v>45811</v>
      </c>
      <c r="D412" t="inlineStr">
        <is>
          <t>GÄVLEBORGS LÄN</t>
        </is>
      </c>
      <c r="E412" t="inlineStr">
        <is>
          <t>LJUSDAL</t>
        </is>
      </c>
      <c r="F412" t="inlineStr">
        <is>
          <t>Bergvik skog väst AB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48375-2019</t>
        </is>
      </c>
      <c r="B413" s="1" t="n">
        <v>43726</v>
      </c>
      <c r="C413" s="1" t="n">
        <v>45811</v>
      </c>
      <c r="D413" t="inlineStr">
        <is>
          <t>GÄVLEBORGS LÄN</t>
        </is>
      </c>
      <c r="E413" t="inlineStr">
        <is>
          <t>LJUSDAL</t>
        </is>
      </c>
      <c r="F413" t="inlineStr">
        <is>
          <t>Bergvik skog väst AB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48467-2019</t>
        </is>
      </c>
      <c r="B414" s="1" t="n">
        <v>43727</v>
      </c>
      <c r="C414" s="1" t="n">
        <v>45811</v>
      </c>
      <c r="D414" t="inlineStr">
        <is>
          <t>GÄVLEBORGS LÄN</t>
        </is>
      </c>
      <c r="E414" t="inlineStr">
        <is>
          <t>LJUSDAL</t>
        </is>
      </c>
      <c r="F414" t="inlineStr">
        <is>
          <t>Holmen skog AB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48914-2019</t>
        </is>
      </c>
      <c r="B415" s="1" t="n">
        <v>43728</v>
      </c>
      <c r="C415" s="1" t="n">
        <v>45811</v>
      </c>
      <c r="D415" t="inlineStr">
        <is>
          <t>GÄVLEBORGS LÄN</t>
        </is>
      </c>
      <c r="E415" t="inlineStr">
        <is>
          <t>LJUSDAL</t>
        </is>
      </c>
      <c r="F415" t="inlineStr">
        <is>
          <t>Holmen skog AB</t>
        </is>
      </c>
      <c r="G415" t="n">
        <v>4.2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49108-2019</t>
        </is>
      </c>
      <c r="B416" s="1" t="n">
        <v>43731</v>
      </c>
      <c r="C416" s="1" t="n">
        <v>45811</v>
      </c>
      <c r="D416" t="inlineStr">
        <is>
          <t>GÄVLEBORGS LÄN</t>
        </is>
      </c>
      <c r="E416" t="inlineStr">
        <is>
          <t>LJUSDAL</t>
        </is>
      </c>
      <c r="F416" t="inlineStr">
        <is>
          <t>Sveaskog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50311-2019</t>
        </is>
      </c>
      <c r="B417" s="1" t="n">
        <v>43731</v>
      </c>
      <c r="C417" s="1" t="n">
        <v>45811</v>
      </c>
      <c r="D417" t="inlineStr">
        <is>
          <t>GÄVLEBORGS LÄN</t>
        </is>
      </c>
      <c r="E417" t="inlineStr">
        <is>
          <t>LJUSDAL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49492-2019</t>
        </is>
      </c>
      <c r="B418" s="1" t="n">
        <v>43732</v>
      </c>
      <c r="C418" s="1" t="n">
        <v>45811</v>
      </c>
      <c r="D418" t="inlineStr">
        <is>
          <t>GÄVLEBORGS LÄN</t>
        </is>
      </c>
      <c r="E418" t="inlineStr">
        <is>
          <t>LJUSDAL</t>
        </is>
      </c>
      <c r="F418" t="inlineStr">
        <is>
          <t>Bergvik skog väst AB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49656-2019</t>
        </is>
      </c>
      <c r="B419" s="1" t="n">
        <v>43732</v>
      </c>
      <c r="C419" s="1" t="n">
        <v>45811</v>
      </c>
      <c r="D419" t="inlineStr">
        <is>
          <t>GÄVLEBORGS LÄN</t>
        </is>
      </c>
      <c r="E419" t="inlineStr">
        <is>
          <t>LJUSDAL</t>
        </is>
      </c>
      <c r="F419" t="inlineStr">
        <is>
          <t>Sveaskog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50222-2019</t>
        </is>
      </c>
      <c r="B420" s="1" t="n">
        <v>43734</v>
      </c>
      <c r="C420" s="1" t="n">
        <v>45811</v>
      </c>
      <c r="D420" t="inlineStr">
        <is>
          <t>GÄVLEBORGS LÄN</t>
        </is>
      </c>
      <c r="E420" t="inlineStr">
        <is>
          <t>LJUSDAL</t>
        </is>
      </c>
      <c r="G420" t="n">
        <v>22.9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50307-2019</t>
        </is>
      </c>
      <c r="B421" s="1" t="n">
        <v>43735</v>
      </c>
      <c r="C421" s="1" t="n">
        <v>45811</v>
      </c>
      <c r="D421" t="inlineStr">
        <is>
          <t>GÄVLEBORGS LÄN</t>
        </is>
      </c>
      <c r="E421" t="inlineStr">
        <is>
          <t>LJUSDAL</t>
        </is>
      </c>
      <c r="G421" t="n">
        <v>18.4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55504-2019</t>
        </is>
      </c>
      <c r="B422" s="1" t="n">
        <v>43738</v>
      </c>
      <c r="C422" s="1" t="n">
        <v>45811</v>
      </c>
      <c r="D422" t="inlineStr">
        <is>
          <t>GÄVLEBORGS LÄN</t>
        </is>
      </c>
      <c r="E422" t="inlineStr">
        <is>
          <t>LJUSDAL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55549-2019</t>
        </is>
      </c>
      <c r="B423" s="1" t="n">
        <v>43738</v>
      </c>
      <c r="C423" s="1" t="n">
        <v>45811</v>
      </c>
      <c r="D423" t="inlineStr">
        <is>
          <t>GÄVLEBORGS LÄN</t>
        </is>
      </c>
      <c r="E423" t="inlineStr">
        <is>
          <t>LJUSDAL</t>
        </is>
      </c>
      <c r="G423" t="n">
        <v>0.2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51779-2019</t>
        </is>
      </c>
      <c r="B424" s="1" t="n">
        <v>43741</v>
      </c>
      <c r="C424" s="1" t="n">
        <v>45811</v>
      </c>
      <c r="D424" t="inlineStr">
        <is>
          <t>GÄVLEBORGS LÄN</t>
        </is>
      </c>
      <c r="E424" t="inlineStr">
        <is>
          <t>LJUSDAL</t>
        </is>
      </c>
      <c r="F424" t="inlineStr">
        <is>
          <t>Sveaskog</t>
        </is>
      </c>
      <c r="G424" t="n">
        <v>4.1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52096-2019</t>
        </is>
      </c>
      <c r="B425" s="1" t="n">
        <v>43742</v>
      </c>
      <c r="C425" s="1" t="n">
        <v>45811</v>
      </c>
      <c r="D425" t="inlineStr">
        <is>
          <t>GÄVLEBORGS LÄN</t>
        </is>
      </c>
      <c r="E425" t="inlineStr">
        <is>
          <t>LJUSDAL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54168-2019</t>
        </is>
      </c>
      <c r="B426" s="1" t="n">
        <v>43745</v>
      </c>
      <c r="C426" s="1" t="n">
        <v>45811</v>
      </c>
      <c r="D426" t="inlineStr">
        <is>
          <t>GÄVLEBORGS LÄN</t>
        </is>
      </c>
      <c r="E426" t="inlineStr">
        <is>
          <t>LJUSDAL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52405-2019</t>
        </is>
      </c>
      <c r="B427" s="1" t="n">
        <v>43745</v>
      </c>
      <c r="C427" s="1" t="n">
        <v>45811</v>
      </c>
      <c r="D427" t="inlineStr">
        <is>
          <t>GÄVLEBORGS LÄN</t>
        </is>
      </c>
      <c r="E427" t="inlineStr">
        <is>
          <t>LJUSDAL</t>
        </is>
      </c>
      <c r="F427" t="inlineStr">
        <is>
          <t>Sveaskog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52626-2019</t>
        </is>
      </c>
      <c r="B428" s="1" t="n">
        <v>43746</v>
      </c>
      <c r="C428" s="1" t="n">
        <v>45811</v>
      </c>
      <c r="D428" t="inlineStr">
        <is>
          <t>GÄVLEBORGS LÄN</t>
        </is>
      </c>
      <c r="E428" t="inlineStr">
        <is>
          <t>LJUSDAL</t>
        </is>
      </c>
      <c r="G428" t="n">
        <v>18.9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52972-2019</t>
        </is>
      </c>
      <c r="B429" s="1" t="n">
        <v>43747</v>
      </c>
      <c r="C429" s="1" t="n">
        <v>45811</v>
      </c>
      <c r="D429" t="inlineStr">
        <is>
          <t>GÄVLEBORGS LÄN</t>
        </is>
      </c>
      <c r="E429" t="inlineStr">
        <is>
          <t>LJUSDAL</t>
        </is>
      </c>
      <c r="F429" t="inlineStr">
        <is>
          <t>Sveaskog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52973-2019</t>
        </is>
      </c>
      <c r="B430" s="1" t="n">
        <v>43747</v>
      </c>
      <c r="C430" s="1" t="n">
        <v>45811</v>
      </c>
      <c r="D430" t="inlineStr">
        <is>
          <t>GÄVLEBORGS LÄN</t>
        </is>
      </c>
      <c r="E430" t="inlineStr">
        <is>
          <t>LJUSDAL</t>
        </is>
      </c>
      <c r="F430" t="inlineStr">
        <is>
          <t>Sveaskog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53429-2019</t>
        </is>
      </c>
      <c r="B431" s="1" t="n">
        <v>43748</v>
      </c>
      <c r="C431" s="1" t="n">
        <v>45811</v>
      </c>
      <c r="D431" t="inlineStr">
        <is>
          <t>GÄVLEBORGS LÄN</t>
        </is>
      </c>
      <c r="E431" t="inlineStr">
        <is>
          <t>LJUSDAL</t>
        </is>
      </c>
      <c r="F431" t="inlineStr">
        <is>
          <t>Sveaskog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54402-2019</t>
        </is>
      </c>
      <c r="B432" s="1" t="n">
        <v>43754</v>
      </c>
      <c r="C432" s="1" t="n">
        <v>45811</v>
      </c>
      <c r="D432" t="inlineStr">
        <is>
          <t>GÄVLEBORGS LÄN</t>
        </is>
      </c>
      <c r="E432" t="inlineStr">
        <is>
          <t>LJUSDAL</t>
        </is>
      </c>
      <c r="F432" t="inlineStr">
        <is>
          <t>Sveaskog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54401-2019</t>
        </is>
      </c>
      <c r="B433" s="1" t="n">
        <v>43754</v>
      </c>
      <c r="C433" s="1" t="n">
        <v>45811</v>
      </c>
      <c r="D433" t="inlineStr">
        <is>
          <t>GÄVLEBORGS LÄN</t>
        </is>
      </c>
      <c r="E433" t="inlineStr">
        <is>
          <t>LJUSDAL</t>
        </is>
      </c>
      <c r="F433" t="inlineStr">
        <is>
          <t>Sveaskog</t>
        </is>
      </c>
      <c r="G433" t="n">
        <v>4.3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54966-2019</t>
        </is>
      </c>
      <c r="B434" s="1" t="n">
        <v>43755</v>
      </c>
      <c r="C434" s="1" t="n">
        <v>45811</v>
      </c>
      <c r="D434" t="inlineStr">
        <is>
          <t>GÄVLEBORGS LÄN</t>
        </is>
      </c>
      <c r="E434" t="inlineStr">
        <is>
          <t>LJUSDAL</t>
        </is>
      </c>
      <c r="F434" t="inlineStr">
        <is>
          <t>Sveaskog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54723-2019</t>
        </is>
      </c>
      <c r="B435" s="1" t="n">
        <v>43755</v>
      </c>
      <c r="C435" s="1" t="n">
        <v>45811</v>
      </c>
      <c r="D435" t="inlineStr">
        <is>
          <t>GÄVLEBORGS LÄN</t>
        </is>
      </c>
      <c r="E435" t="inlineStr">
        <is>
          <t>LJUSDAL</t>
        </is>
      </c>
      <c r="F435" t="inlineStr">
        <is>
          <t>Allmännings- och besparingsskogar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55880-2019</t>
        </is>
      </c>
      <c r="B436" s="1" t="n">
        <v>43759</v>
      </c>
      <c r="C436" s="1" t="n">
        <v>45811</v>
      </c>
      <c r="D436" t="inlineStr">
        <is>
          <t>GÄVLEBORGS LÄN</t>
        </is>
      </c>
      <c r="E436" t="inlineStr">
        <is>
          <t>LJUSDAL</t>
        </is>
      </c>
      <c r="F436" t="inlineStr">
        <is>
          <t>Kommuner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55956-2019</t>
        </is>
      </c>
      <c r="B437" s="1" t="n">
        <v>43759</v>
      </c>
      <c r="C437" s="1" t="n">
        <v>45811</v>
      </c>
      <c r="D437" t="inlineStr">
        <is>
          <t>GÄVLEBORGS LÄN</t>
        </is>
      </c>
      <c r="E437" t="inlineStr">
        <is>
          <t>LJUSDAL</t>
        </is>
      </c>
      <c r="G437" t="n">
        <v>14.2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55464-2019</t>
        </is>
      </c>
      <c r="B438" s="1" t="n">
        <v>43760</v>
      </c>
      <c r="C438" s="1" t="n">
        <v>45811</v>
      </c>
      <c r="D438" t="inlineStr">
        <is>
          <t>GÄVLEBORGS LÄN</t>
        </is>
      </c>
      <c r="E438" t="inlineStr">
        <is>
          <t>LJUSDAL</t>
        </is>
      </c>
      <c r="F438" t="inlineStr">
        <is>
          <t>Sveaskog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56541-2019</t>
        </is>
      </c>
      <c r="B439" s="1" t="n">
        <v>43763</v>
      </c>
      <c r="C439" s="1" t="n">
        <v>45811</v>
      </c>
      <c r="D439" t="inlineStr">
        <is>
          <t>GÄVLEBORGS LÄN</t>
        </is>
      </c>
      <c r="E439" t="inlineStr">
        <is>
          <t>LJUSDAL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56693-2019</t>
        </is>
      </c>
      <c r="B440" s="1" t="n">
        <v>43763</v>
      </c>
      <c r="C440" s="1" t="n">
        <v>45811</v>
      </c>
      <c r="D440" t="inlineStr">
        <is>
          <t>GÄVLEBORGS LÄN</t>
        </is>
      </c>
      <c r="E440" t="inlineStr">
        <is>
          <t>LJUSDAL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57410-2019</t>
        </is>
      </c>
      <c r="B441" s="1" t="n">
        <v>43767</v>
      </c>
      <c r="C441" s="1" t="n">
        <v>45811</v>
      </c>
      <c r="D441" t="inlineStr">
        <is>
          <t>GÄVLEBORGS LÄN</t>
        </is>
      </c>
      <c r="E441" t="inlineStr">
        <is>
          <t>LJUSDAL</t>
        </is>
      </c>
      <c r="F441" t="inlineStr">
        <is>
          <t>Holmen skog AB</t>
        </is>
      </c>
      <c r="G441" t="n">
        <v>9.199999999999999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58587-2019</t>
        </is>
      </c>
      <c r="B442" s="1" t="n">
        <v>43773</v>
      </c>
      <c r="C442" s="1" t="n">
        <v>45811</v>
      </c>
      <c r="D442" t="inlineStr">
        <is>
          <t>GÄVLEBORGS LÄN</t>
        </is>
      </c>
      <c r="E442" t="inlineStr">
        <is>
          <t>LJUSDAL</t>
        </is>
      </c>
      <c r="F442" t="inlineStr">
        <is>
          <t>Allmännings- och besparingsskogar</t>
        </is>
      </c>
      <c r="G442" t="n">
        <v>21.1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58897-2019</t>
        </is>
      </c>
      <c r="B443" s="1" t="n">
        <v>43774</v>
      </c>
      <c r="C443" s="1" t="n">
        <v>45811</v>
      </c>
      <c r="D443" t="inlineStr">
        <is>
          <t>GÄVLEBORGS LÄN</t>
        </is>
      </c>
      <c r="E443" t="inlineStr">
        <is>
          <t>LJUSDAL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58886-2019</t>
        </is>
      </c>
      <c r="B444" s="1" t="n">
        <v>43774</v>
      </c>
      <c r="C444" s="1" t="n">
        <v>45811</v>
      </c>
      <c r="D444" t="inlineStr">
        <is>
          <t>GÄVLEBORGS LÄN</t>
        </is>
      </c>
      <c r="E444" t="inlineStr">
        <is>
          <t>LJUSDAL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59990-2019</t>
        </is>
      </c>
      <c r="B445" s="1" t="n">
        <v>43775</v>
      </c>
      <c r="C445" s="1" t="n">
        <v>45811</v>
      </c>
      <c r="D445" t="inlineStr">
        <is>
          <t>GÄVLEBORGS LÄN</t>
        </is>
      </c>
      <c r="E445" t="inlineStr">
        <is>
          <t>LJUSDAL</t>
        </is>
      </c>
      <c r="G445" t="n">
        <v>4.5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59153-2019</t>
        </is>
      </c>
      <c r="B446" s="1" t="n">
        <v>43775</v>
      </c>
      <c r="C446" s="1" t="n">
        <v>45811</v>
      </c>
      <c r="D446" t="inlineStr">
        <is>
          <t>GÄVLEBORGS LÄN</t>
        </is>
      </c>
      <c r="E446" t="inlineStr">
        <is>
          <t>LJUSDAL</t>
        </is>
      </c>
      <c r="G446" t="n">
        <v>10.5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59458-2019</t>
        </is>
      </c>
      <c r="B447" s="1" t="n">
        <v>43776</v>
      </c>
      <c r="C447" s="1" t="n">
        <v>45811</v>
      </c>
      <c r="D447" t="inlineStr">
        <is>
          <t>GÄVLEBORGS LÄN</t>
        </is>
      </c>
      <c r="E447" t="inlineStr">
        <is>
          <t>LJUSDAL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60418-2019</t>
        </is>
      </c>
      <c r="B448" s="1" t="n">
        <v>43776</v>
      </c>
      <c r="C448" s="1" t="n">
        <v>45811</v>
      </c>
      <c r="D448" t="inlineStr">
        <is>
          <t>GÄVLEBORGS LÄN</t>
        </is>
      </c>
      <c r="E448" t="inlineStr">
        <is>
          <t>LJUSDAL</t>
        </is>
      </c>
      <c r="G448" t="n">
        <v>6.2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60034-2019</t>
        </is>
      </c>
      <c r="B449" s="1" t="n">
        <v>43777</v>
      </c>
      <c r="C449" s="1" t="n">
        <v>45811</v>
      </c>
      <c r="D449" t="inlineStr">
        <is>
          <t>GÄVLEBORGS LÄN</t>
        </is>
      </c>
      <c r="E449" t="inlineStr">
        <is>
          <t>LJUSDAL</t>
        </is>
      </c>
      <c r="F449" t="inlineStr">
        <is>
          <t>Sveaskog</t>
        </is>
      </c>
      <c r="G449" t="n">
        <v>3.7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59922-2019</t>
        </is>
      </c>
      <c r="B450" s="1" t="n">
        <v>43777</v>
      </c>
      <c r="C450" s="1" t="n">
        <v>45811</v>
      </c>
      <c r="D450" t="inlineStr">
        <is>
          <t>GÄVLEBORGS LÄN</t>
        </is>
      </c>
      <c r="E450" t="inlineStr">
        <is>
          <t>LJUSDAL</t>
        </is>
      </c>
      <c r="F450" t="inlineStr">
        <is>
          <t>Allmännings- och besparingsskogar</t>
        </is>
      </c>
      <c r="G450" t="n">
        <v>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60574-2019</t>
        </is>
      </c>
      <c r="B451" s="1" t="n">
        <v>43781</v>
      </c>
      <c r="C451" s="1" t="n">
        <v>45811</v>
      </c>
      <c r="D451" t="inlineStr">
        <is>
          <t>GÄVLEBORGS LÄN</t>
        </is>
      </c>
      <c r="E451" t="inlineStr">
        <is>
          <t>LJUSDAL</t>
        </is>
      </c>
      <c r="F451" t="inlineStr">
        <is>
          <t>Bergvik skog väst AB</t>
        </is>
      </c>
      <c r="G451" t="n">
        <v>20.4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60651-2019</t>
        </is>
      </c>
      <c r="B452" s="1" t="n">
        <v>43781</v>
      </c>
      <c r="C452" s="1" t="n">
        <v>45811</v>
      </c>
      <c r="D452" t="inlineStr">
        <is>
          <t>GÄVLEBORGS LÄN</t>
        </is>
      </c>
      <c r="E452" t="inlineStr">
        <is>
          <t>LJUSDAL</t>
        </is>
      </c>
      <c r="F452" t="inlineStr">
        <is>
          <t>Sveaskog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60720-2019</t>
        </is>
      </c>
      <c r="B453" s="1" t="n">
        <v>43781</v>
      </c>
      <c r="C453" s="1" t="n">
        <v>45811</v>
      </c>
      <c r="D453" t="inlineStr">
        <is>
          <t>GÄVLEBORGS LÄN</t>
        </is>
      </c>
      <c r="E453" t="inlineStr">
        <is>
          <t>LJUSDAL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61192-2019</t>
        </is>
      </c>
      <c r="B454" s="1" t="n">
        <v>43782</v>
      </c>
      <c r="C454" s="1" t="n">
        <v>45811</v>
      </c>
      <c r="D454" t="inlineStr">
        <is>
          <t>GÄVLEBORGS LÄN</t>
        </is>
      </c>
      <c r="E454" t="inlineStr">
        <is>
          <t>LJUSDAL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61195-2019</t>
        </is>
      </c>
      <c r="B455" s="1" t="n">
        <v>43782</v>
      </c>
      <c r="C455" s="1" t="n">
        <v>45811</v>
      </c>
      <c r="D455" t="inlineStr">
        <is>
          <t>GÄVLEBORGS LÄN</t>
        </is>
      </c>
      <c r="E455" t="inlineStr">
        <is>
          <t>LJUSDAL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61194-2019</t>
        </is>
      </c>
      <c r="B456" s="1" t="n">
        <v>43782</v>
      </c>
      <c r="C456" s="1" t="n">
        <v>45811</v>
      </c>
      <c r="D456" t="inlineStr">
        <is>
          <t>GÄVLEBORGS LÄN</t>
        </is>
      </c>
      <c r="E456" t="inlineStr">
        <is>
          <t>LJUSDAL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61729-2019</t>
        </is>
      </c>
      <c r="B457" s="1" t="n">
        <v>43784</v>
      </c>
      <c r="C457" s="1" t="n">
        <v>45811</v>
      </c>
      <c r="D457" t="inlineStr">
        <is>
          <t>GÄVLEBORGS LÄN</t>
        </is>
      </c>
      <c r="E457" t="inlineStr">
        <is>
          <t>LJUSDAL</t>
        </is>
      </c>
      <c r="F457" t="inlineStr">
        <is>
          <t>Allmännings- och besparingsskogar</t>
        </is>
      </c>
      <c r="G457" t="n">
        <v>7.5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61870-2019</t>
        </is>
      </c>
      <c r="B458" s="1" t="n">
        <v>43787</v>
      </c>
      <c r="C458" s="1" t="n">
        <v>45811</v>
      </c>
      <c r="D458" t="inlineStr">
        <is>
          <t>GÄVLEBORGS LÄN</t>
        </is>
      </c>
      <c r="E458" t="inlineStr">
        <is>
          <t>LJUSDAL</t>
        </is>
      </c>
      <c r="F458" t="inlineStr">
        <is>
          <t>Allmännings- och besparingsskogar</t>
        </is>
      </c>
      <c r="G458" t="n">
        <v>7.5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61988-2019</t>
        </is>
      </c>
      <c r="B459" s="1" t="n">
        <v>43787</v>
      </c>
      <c r="C459" s="1" t="n">
        <v>45811</v>
      </c>
      <c r="D459" t="inlineStr">
        <is>
          <t>GÄVLEBORGS LÄN</t>
        </is>
      </c>
      <c r="E459" t="inlineStr">
        <is>
          <t>LJUSDAL</t>
        </is>
      </c>
      <c r="F459" t="inlineStr">
        <is>
          <t>Allmännings- och besparingsskogar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62567-2019</t>
        </is>
      </c>
      <c r="B460" s="1" t="n">
        <v>43789</v>
      </c>
      <c r="C460" s="1" t="n">
        <v>45811</v>
      </c>
      <c r="D460" t="inlineStr">
        <is>
          <t>GÄVLEBORGS LÄN</t>
        </is>
      </c>
      <c r="E460" t="inlineStr">
        <is>
          <t>LJUSDAL</t>
        </is>
      </c>
      <c r="F460" t="inlineStr">
        <is>
          <t>Allmännings- och besparingsskogar</t>
        </is>
      </c>
      <c r="G460" t="n">
        <v>7.2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62586-2019</t>
        </is>
      </c>
      <c r="B461" s="1" t="n">
        <v>43789</v>
      </c>
      <c r="C461" s="1" t="n">
        <v>45811</v>
      </c>
      <c r="D461" t="inlineStr">
        <is>
          <t>GÄVLEBORGS LÄN</t>
        </is>
      </c>
      <c r="E461" t="inlineStr">
        <is>
          <t>LJUSDAL</t>
        </is>
      </c>
      <c r="F461" t="inlineStr">
        <is>
          <t>Allmännings- och besparingsskogar</t>
        </is>
      </c>
      <c r="G461" t="n">
        <v>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63037-2019</t>
        </is>
      </c>
      <c r="B462" s="1" t="n">
        <v>43791</v>
      </c>
      <c r="C462" s="1" t="n">
        <v>45811</v>
      </c>
      <c r="D462" t="inlineStr">
        <is>
          <t>GÄVLEBORGS LÄN</t>
        </is>
      </c>
      <c r="E462" t="inlineStr">
        <is>
          <t>LJUSDAL</t>
        </is>
      </c>
      <c r="F462" t="inlineStr">
        <is>
          <t>Sveaskog</t>
        </is>
      </c>
      <c r="G462" t="n">
        <v>3.4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63078-2019</t>
        </is>
      </c>
      <c r="B463" s="1" t="n">
        <v>43791</v>
      </c>
      <c r="C463" s="1" t="n">
        <v>45811</v>
      </c>
      <c r="D463" t="inlineStr">
        <is>
          <t>GÄVLEBORGS LÄN</t>
        </is>
      </c>
      <c r="E463" t="inlineStr">
        <is>
          <t>LJUSDAL</t>
        </is>
      </c>
      <c r="F463" t="inlineStr">
        <is>
          <t>Allmännings- och besparingsskogar</t>
        </is>
      </c>
      <c r="G463" t="n">
        <v>7.5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63108-2019</t>
        </is>
      </c>
      <c r="B464" s="1" t="n">
        <v>43791</v>
      </c>
      <c r="C464" s="1" t="n">
        <v>45811</v>
      </c>
      <c r="D464" t="inlineStr">
        <is>
          <t>GÄVLEBORGS LÄN</t>
        </is>
      </c>
      <c r="E464" t="inlineStr">
        <is>
          <t>LJUSDAL</t>
        </is>
      </c>
      <c r="F464" t="inlineStr">
        <is>
          <t>Allmännings- och besparingsskogar</t>
        </is>
      </c>
      <c r="G464" t="n">
        <v>6.9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64390-2019</t>
        </is>
      </c>
      <c r="B465" s="1" t="n">
        <v>43794</v>
      </c>
      <c r="C465" s="1" t="n">
        <v>45811</v>
      </c>
      <c r="D465" t="inlineStr">
        <is>
          <t>GÄVLEBORGS LÄN</t>
        </is>
      </c>
      <c r="E465" t="inlineStr">
        <is>
          <t>LJUSDAL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64373-2019</t>
        </is>
      </c>
      <c r="B466" s="1" t="n">
        <v>43794</v>
      </c>
      <c r="C466" s="1" t="n">
        <v>45811</v>
      </c>
      <c r="D466" t="inlineStr">
        <is>
          <t>GÄVLEBORGS LÄN</t>
        </is>
      </c>
      <c r="E466" t="inlineStr">
        <is>
          <t>LJUSDAL</t>
        </is>
      </c>
      <c r="G466" t="n">
        <v>25.3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64192-2019</t>
        </is>
      </c>
      <c r="B467" s="1" t="n">
        <v>43797</v>
      </c>
      <c r="C467" s="1" t="n">
        <v>45811</v>
      </c>
      <c r="D467" t="inlineStr">
        <is>
          <t>GÄVLEBORGS LÄN</t>
        </is>
      </c>
      <c r="E467" t="inlineStr">
        <is>
          <t>LJUSDAL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64200-2019</t>
        </is>
      </c>
      <c r="B468" s="1" t="n">
        <v>43797</v>
      </c>
      <c r="C468" s="1" t="n">
        <v>45811</v>
      </c>
      <c r="D468" t="inlineStr">
        <is>
          <t>GÄVLEBORGS LÄN</t>
        </is>
      </c>
      <c r="E468" t="inlineStr">
        <is>
          <t>LJUSDAL</t>
        </is>
      </c>
      <c r="F468" t="inlineStr">
        <is>
          <t>Bergvik skog väst AB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64944-2019</t>
        </is>
      </c>
      <c r="B469" s="1" t="n">
        <v>43801</v>
      </c>
      <c r="C469" s="1" t="n">
        <v>45811</v>
      </c>
      <c r="D469" t="inlineStr">
        <is>
          <t>GÄVLEBORGS LÄN</t>
        </is>
      </c>
      <c r="E469" t="inlineStr">
        <is>
          <t>LJUSDAL</t>
        </is>
      </c>
      <c r="F469" t="inlineStr">
        <is>
          <t>Holmen skog AB</t>
        </is>
      </c>
      <c r="G469" t="n">
        <v>4.2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65262-2019</t>
        </is>
      </c>
      <c r="B470" s="1" t="n">
        <v>43802</v>
      </c>
      <c r="C470" s="1" t="n">
        <v>45811</v>
      </c>
      <c r="D470" t="inlineStr">
        <is>
          <t>GÄVLEBORGS LÄN</t>
        </is>
      </c>
      <c r="E470" t="inlineStr">
        <is>
          <t>LJUSDAL</t>
        </is>
      </c>
      <c r="G470" t="n">
        <v>3.6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65291-2019</t>
        </is>
      </c>
      <c r="B471" s="1" t="n">
        <v>43802</v>
      </c>
      <c r="C471" s="1" t="n">
        <v>45811</v>
      </c>
      <c r="D471" t="inlineStr">
        <is>
          <t>GÄVLEBORGS LÄN</t>
        </is>
      </c>
      <c r="E471" t="inlineStr">
        <is>
          <t>LJUSDAL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66212-2019</t>
        </is>
      </c>
      <c r="B472" s="1" t="n">
        <v>43808</v>
      </c>
      <c r="C472" s="1" t="n">
        <v>45811</v>
      </c>
      <c r="D472" t="inlineStr">
        <is>
          <t>GÄVLEBORGS LÄN</t>
        </is>
      </c>
      <c r="E472" t="inlineStr">
        <is>
          <t>LJUSDAL</t>
        </is>
      </c>
      <c r="G472" t="n">
        <v>6.6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66784-2019</t>
        </is>
      </c>
      <c r="B473" s="1" t="n">
        <v>43810</v>
      </c>
      <c r="C473" s="1" t="n">
        <v>45811</v>
      </c>
      <c r="D473" t="inlineStr">
        <is>
          <t>GÄVLEBORGS LÄN</t>
        </is>
      </c>
      <c r="E473" t="inlineStr">
        <is>
          <t>LJUSDAL</t>
        </is>
      </c>
      <c r="F473" t="inlineStr">
        <is>
          <t>Bergvik skog väst AB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66756-2019</t>
        </is>
      </c>
      <c r="B474" s="1" t="n">
        <v>43810</v>
      </c>
      <c r="C474" s="1" t="n">
        <v>45811</v>
      </c>
      <c r="D474" t="inlineStr">
        <is>
          <t>GÄVLEBORGS LÄN</t>
        </is>
      </c>
      <c r="E474" t="inlineStr">
        <is>
          <t>LJUSDAL</t>
        </is>
      </c>
      <c r="F474" t="inlineStr">
        <is>
          <t>Bergvik skog väst AB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66920-2019</t>
        </is>
      </c>
      <c r="B475" s="1" t="n">
        <v>43810</v>
      </c>
      <c r="C475" s="1" t="n">
        <v>45811</v>
      </c>
      <c r="D475" t="inlineStr">
        <is>
          <t>GÄVLEBORGS LÄN</t>
        </is>
      </c>
      <c r="E475" t="inlineStr">
        <is>
          <t>LJUSDAL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66938-2019</t>
        </is>
      </c>
      <c r="B476" s="1" t="n">
        <v>43810</v>
      </c>
      <c r="C476" s="1" t="n">
        <v>45811</v>
      </c>
      <c r="D476" t="inlineStr">
        <is>
          <t>GÄVLEBORGS LÄN</t>
        </is>
      </c>
      <c r="E476" t="inlineStr">
        <is>
          <t>LJUSDAL</t>
        </is>
      </c>
      <c r="G476" t="n">
        <v>3.8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67651-2019</t>
        </is>
      </c>
      <c r="B477" s="1" t="n">
        <v>43815</v>
      </c>
      <c r="C477" s="1" t="n">
        <v>45811</v>
      </c>
      <c r="D477" t="inlineStr">
        <is>
          <t>GÄVLEBORGS LÄN</t>
        </is>
      </c>
      <c r="E477" t="inlineStr">
        <is>
          <t>LJUSDAL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67730-2019</t>
        </is>
      </c>
      <c r="B478" s="1" t="n">
        <v>43815</v>
      </c>
      <c r="C478" s="1" t="n">
        <v>45811</v>
      </c>
      <c r="D478" t="inlineStr">
        <is>
          <t>GÄVLEBORGS LÄN</t>
        </is>
      </c>
      <c r="E478" t="inlineStr">
        <is>
          <t>LJUSDAL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67866-2019</t>
        </is>
      </c>
      <c r="B479" s="1" t="n">
        <v>43816</v>
      </c>
      <c r="C479" s="1" t="n">
        <v>45811</v>
      </c>
      <c r="D479" t="inlineStr">
        <is>
          <t>GÄVLEBORGS LÄN</t>
        </is>
      </c>
      <c r="E479" t="inlineStr">
        <is>
          <t>LJUSDAL</t>
        </is>
      </c>
      <c r="G479" t="n">
        <v>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408-2020</t>
        </is>
      </c>
      <c r="B480" s="1" t="n">
        <v>43816</v>
      </c>
      <c r="C480" s="1" t="n">
        <v>45811</v>
      </c>
      <c r="D480" t="inlineStr">
        <is>
          <t>GÄVLEBORGS LÄN</t>
        </is>
      </c>
      <c r="E480" t="inlineStr">
        <is>
          <t>LJUSDAL</t>
        </is>
      </c>
      <c r="G480" t="n">
        <v>3.7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329-2020</t>
        </is>
      </c>
      <c r="B481" s="1" t="n">
        <v>43837</v>
      </c>
      <c r="C481" s="1" t="n">
        <v>45811</v>
      </c>
      <c r="D481" t="inlineStr">
        <is>
          <t>GÄVLEBORGS LÄN</t>
        </is>
      </c>
      <c r="E481" t="inlineStr">
        <is>
          <t>LJUSDAL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562-2020</t>
        </is>
      </c>
      <c r="B482" s="1" t="n">
        <v>43838</v>
      </c>
      <c r="C482" s="1" t="n">
        <v>45811</v>
      </c>
      <c r="D482" t="inlineStr">
        <is>
          <t>GÄVLEBORGS LÄN</t>
        </is>
      </c>
      <c r="E482" t="inlineStr">
        <is>
          <t>LJUSDAL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1231-2020</t>
        </is>
      </c>
      <c r="B483" s="1" t="n">
        <v>43840</v>
      </c>
      <c r="C483" s="1" t="n">
        <v>45811</v>
      </c>
      <c r="D483" t="inlineStr">
        <is>
          <t>GÄVLEBORGS LÄN</t>
        </is>
      </c>
      <c r="E483" t="inlineStr">
        <is>
          <t>LJUSDAL</t>
        </is>
      </c>
      <c r="F483" t="inlineStr">
        <is>
          <t>Kommuner</t>
        </is>
      </c>
      <c r="G483" t="n">
        <v>4.5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2973-2020</t>
        </is>
      </c>
      <c r="B484" s="1" t="n">
        <v>43850</v>
      </c>
      <c r="C484" s="1" t="n">
        <v>45811</v>
      </c>
      <c r="D484" t="inlineStr">
        <is>
          <t>GÄVLEBORGS LÄN</t>
        </is>
      </c>
      <c r="E484" t="inlineStr">
        <is>
          <t>LJUSDAL</t>
        </is>
      </c>
      <c r="G484" t="n">
        <v>4.7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2775-2020</t>
        </is>
      </c>
      <c r="B485" s="1" t="n">
        <v>43850</v>
      </c>
      <c r="C485" s="1" t="n">
        <v>45811</v>
      </c>
      <c r="D485" t="inlineStr">
        <is>
          <t>GÄVLEBORGS LÄN</t>
        </is>
      </c>
      <c r="E485" t="inlineStr">
        <is>
          <t>LJUSDAL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2972-2020</t>
        </is>
      </c>
      <c r="B486" s="1" t="n">
        <v>43850</v>
      </c>
      <c r="C486" s="1" t="n">
        <v>45811</v>
      </c>
      <c r="D486" t="inlineStr">
        <is>
          <t>GÄVLEBORGS LÄN</t>
        </is>
      </c>
      <c r="E486" t="inlineStr">
        <is>
          <t>LJUSDAL</t>
        </is>
      </c>
      <c r="G486" t="n">
        <v>5.5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2953-2020</t>
        </is>
      </c>
      <c r="B487" s="1" t="n">
        <v>43850</v>
      </c>
      <c r="C487" s="1" t="n">
        <v>45811</v>
      </c>
      <c r="D487" t="inlineStr">
        <is>
          <t>GÄVLEBORGS LÄN</t>
        </is>
      </c>
      <c r="E487" t="inlineStr">
        <is>
          <t>LJUSDAL</t>
        </is>
      </c>
      <c r="G487" t="n">
        <v>5.4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3110-2020</t>
        </is>
      </c>
      <c r="B488" s="1" t="n">
        <v>43851</v>
      </c>
      <c r="C488" s="1" t="n">
        <v>45811</v>
      </c>
      <c r="D488" t="inlineStr">
        <is>
          <t>GÄVLEBORGS LÄN</t>
        </is>
      </c>
      <c r="E488" t="inlineStr">
        <is>
          <t>LJUSDAL</t>
        </is>
      </c>
      <c r="G488" t="n">
        <v>0.1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3136-2020</t>
        </is>
      </c>
      <c r="B489" s="1" t="n">
        <v>43851</v>
      </c>
      <c r="C489" s="1" t="n">
        <v>45811</v>
      </c>
      <c r="D489" t="inlineStr">
        <is>
          <t>GÄVLEBORGS LÄN</t>
        </is>
      </c>
      <c r="E489" t="inlineStr">
        <is>
          <t>LJUSDAL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4451-2020</t>
        </is>
      </c>
      <c r="B490" s="1" t="n">
        <v>43858</v>
      </c>
      <c r="C490" s="1" t="n">
        <v>45811</v>
      </c>
      <c r="D490" t="inlineStr">
        <is>
          <t>GÄVLEBORGS LÄN</t>
        </is>
      </c>
      <c r="E490" t="inlineStr">
        <is>
          <t>LJUSDAL</t>
        </is>
      </c>
      <c r="G490" t="n">
        <v>6.4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5183-2020</t>
        </is>
      </c>
      <c r="B491" s="1" t="n">
        <v>43860</v>
      </c>
      <c r="C491" s="1" t="n">
        <v>45811</v>
      </c>
      <c r="D491" t="inlineStr">
        <is>
          <t>GÄVLEBORGS LÄN</t>
        </is>
      </c>
      <c r="E491" t="inlineStr">
        <is>
          <t>LJUSDAL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5562-2020</t>
        </is>
      </c>
      <c r="B492" s="1" t="n">
        <v>43861</v>
      </c>
      <c r="C492" s="1" t="n">
        <v>45811</v>
      </c>
      <c r="D492" t="inlineStr">
        <is>
          <t>GÄVLEBORGS LÄN</t>
        </is>
      </c>
      <c r="E492" t="inlineStr">
        <is>
          <t>LJUSDAL</t>
        </is>
      </c>
      <c r="G492" t="n">
        <v>4.1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6117-2020</t>
        </is>
      </c>
      <c r="B493" s="1" t="n">
        <v>43865</v>
      </c>
      <c r="C493" s="1" t="n">
        <v>45811</v>
      </c>
      <c r="D493" t="inlineStr">
        <is>
          <t>GÄVLEBORGS LÄN</t>
        </is>
      </c>
      <c r="E493" t="inlineStr">
        <is>
          <t>LJUSDAL</t>
        </is>
      </c>
      <c r="G493" t="n">
        <v>5.4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6389-2020</t>
        </is>
      </c>
      <c r="B494" s="1" t="n">
        <v>43866</v>
      </c>
      <c r="C494" s="1" t="n">
        <v>45811</v>
      </c>
      <c r="D494" t="inlineStr">
        <is>
          <t>GÄVLEBORGS LÄN</t>
        </is>
      </c>
      <c r="E494" t="inlineStr">
        <is>
          <t>LJUSDAL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9206-2020</t>
        </is>
      </c>
      <c r="B495" s="1" t="n">
        <v>43879</v>
      </c>
      <c r="C495" s="1" t="n">
        <v>45811</v>
      </c>
      <c r="D495" t="inlineStr">
        <is>
          <t>GÄVLEBORGS LÄN</t>
        </is>
      </c>
      <c r="E495" t="inlineStr">
        <is>
          <t>LJUSDAL</t>
        </is>
      </c>
      <c r="G495" t="n">
        <v>5.3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9872-2020</t>
        </is>
      </c>
      <c r="B496" s="1" t="n">
        <v>43882</v>
      </c>
      <c r="C496" s="1" t="n">
        <v>45811</v>
      </c>
      <c r="D496" t="inlineStr">
        <is>
          <t>GÄVLEBORGS LÄN</t>
        </is>
      </c>
      <c r="E496" t="inlineStr">
        <is>
          <t>LJUSDAL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10295-2020</t>
        </is>
      </c>
      <c r="B497" s="1" t="n">
        <v>43885</v>
      </c>
      <c r="C497" s="1" t="n">
        <v>45811</v>
      </c>
      <c r="D497" t="inlineStr">
        <is>
          <t>GÄVLEBORGS LÄN</t>
        </is>
      </c>
      <c r="E497" t="inlineStr">
        <is>
          <t>LJUSDAL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10536-2020</t>
        </is>
      </c>
      <c r="B498" s="1" t="n">
        <v>43886</v>
      </c>
      <c r="C498" s="1" t="n">
        <v>45811</v>
      </c>
      <c r="D498" t="inlineStr">
        <is>
          <t>GÄVLEBORGS LÄN</t>
        </is>
      </c>
      <c r="E498" t="inlineStr">
        <is>
          <t>LJUSDAL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10521-2020</t>
        </is>
      </c>
      <c r="B499" s="1" t="n">
        <v>43886</v>
      </c>
      <c r="C499" s="1" t="n">
        <v>45811</v>
      </c>
      <c r="D499" t="inlineStr">
        <is>
          <t>GÄVLEBORGS LÄN</t>
        </is>
      </c>
      <c r="E499" t="inlineStr">
        <is>
          <t>LJUSDAL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11342-2020</t>
        </is>
      </c>
      <c r="B500" s="1" t="n">
        <v>43892</v>
      </c>
      <c r="C500" s="1" t="n">
        <v>45811</v>
      </c>
      <c r="D500" t="inlineStr">
        <is>
          <t>GÄVLEBORGS LÄN</t>
        </is>
      </c>
      <c r="E500" t="inlineStr">
        <is>
          <t>LJUSDAL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11346-2020</t>
        </is>
      </c>
      <c r="B501" s="1" t="n">
        <v>43892</v>
      </c>
      <c r="C501" s="1" t="n">
        <v>45811</v>
      </c>
      <c r="D501" t="inlineStr">
        <is>
          <t>GÄVLEBORGS LÄN</t>
        </is>
      </c>
      <c r="E501" t="inlineStr">
        <is>
          <t>LJUSDAL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11898-2020</t>
        </is>
      </c>
      <c r="B502" s="1" t="n">
        <v>43894</v>
      </c>
      <c r="C502" s="1" t="n">
        <v>45811</v>
      </c>
      <c r="D502" t="inlineStr">
        <is>
          <t>GÄVLEBORGS LÄN</t>
        </is>
      </c>
      <c r="E502" t="inlineStr">
        <is>
          <t>LJUSDAL</t>
        </is>
      </c>
      <c r="F502" t="inlineStr">
        <is>
          <t>Bergvik skog väst AB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13329-2020</t>
        </is>
      </c>
      <c r="B503" s="1" t="n">
        <v>43902</v>
      </c>
      <c r="C503" s="1" t="n">
        <v>45811</v>
      </c>
      <c r="D503" t="inlineStr">
        <is>
          <t>GÄVLEBORGS LÄN</t>
        </is>
      </c>
      <c r="E503" t="inlineStr">
        <is>
          <t>LJUSDAL</t>
        </is>
      </c>
      <c r="F503" t="inlineStr">
        <is>
          <t>Bergvik skog väst AB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13617-2020</t>
        </is>
      </c>
      <c r="B504" s="1" t="n">
        <v>43903</v>
      </c>
      <c r="C504" s="1" t="n">
        <v>45811</v>
      </c>
      <c r="D504" t="inlineStr">
        <is>
          <t>GÄVLEBORGS LÄN</t>
        </is>
      </c>
      <c r="E504" t="inlineStr">
        <is>
          <t>LJUSDAL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14444-2020</t>
        </is>
      </c>
      <c r="B505" s="1" t="n">
        <v>43908</v>
      </c>
      <c r="C505" s="1" t="n">
        <v>45811</v>
      </c>
      <c r="D505" t="inlineStr">
        <is>
          <t>GÄVLEBORGS LÄN</t>
        </is>
      </c>
      <c r="E505" t="inlineStr">
        <is>
          <t>LJUSDAL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15198-2020</t>
        </is>
      </c>
      <c r="B506" s="1" t="n">
        <v>43913</v>
      </c>
      <c r="C506" s="1" t="n">
        <v>45811</v>
      </c>
      <c r="D506" t="inlineStr">
        <is>
          <t>GÄVLEBORGS LÄN</t>
        </is>
      </c>
      <c r="E506" t="inlineStr">
        <is>
          <t>LJUSDAL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15343-2020</t>
        </is>
      </c>
      <c r="B507" s="1" t="n">
        <v>43913</v>
      </c>
      <c r="C507" s="1" t="n">
        <v>45811</v>
      </c>
      <c r="D507" t="inlineStr">
        <is>
          <t>GÄVLEBORGS LÄN</t>
        </is>
      </c>
      <c r="E507" t="inlineStr">
        <is>
          <t>LJUSDAL</t>
        </is>
      </c>
      <c r="G507" t="n">
        <v>5.1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17326-2020</t>
        </is>
      </c>
      <c r="B508" s="1" t="n">
        <v>43922</v>
      </c>
      <c r="C508" s="1" t="n">
        <v>45811</v>
      </c>
      <c r="D508" t="inlineStr">
        <is>
          <t>GÄVLEBORGS LÄN</t>
        </is>
      </c>
      <c r="E508" t="inlineStr">
        <is>
          <t>LJUSDAL</t>
        </is>
      </c>
      <c r="F508" t="inlineStr">
        <is>
          <t>Sveaskog</t>
        </is>
      </c>
      <c r="G508" t="n">
        <v>3.1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17745-2020</t>
        </is>
      </c>
      <c r="B509" s="1" t="n">
        <v>43924</v>
      </c>
      <c r="C509" s="1" t="n">
        <v>45811</v>
      </c>
      <c r="D509" t="inlineStr">
        <is>
          <t>GÄVLEBORGS LÄN</t>
        </is>
      </c>
      <c r="E509" t="inlineStr">
        <is>
          <t>LJUSDAL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17707-2020</t>
        </is>
      </c>
      <c r="B510" s="1" t="n">
        <v>43924</v>
      </c>
      <c r="C510" s="1" t="n">
        <v>45811</v>
      </c>
      <c r="D510" t="inlineStr">
        <is>
          <t>GÄVLEBORGS LÄN</t>
        </is>
      </c>
      <c r="E510" t="inlineStr">
        <is>
          <t>LJUSDAL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18699-2020</t>
        </is>
      </c>
      <c r="B511" s="1" t="n">
        <v>43930</v>
      </c>
      <c r="C511" s="1" t="n">
        <v>45811</v>
      </c>
      <c r="D511" t="inlineStr">
        <is>
          <t>GÄVLEBORGS LÄN</t>
        </is>
      </c>
      <c r="E511" t="inlineStr">
        <is>
          <t>LJUSDAL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20078-2020</t>
        </is>
      </c>
      <c r="B512" s="1" t="n">
        <v>43943</v>
      </c>
      <c r="C512" s="1" t="n">
        <v>45811</v>
      </c>
      <c r="D512" t="inlineStr">
        <is>
          <t>GÄVLEBORGS LÄN</t>
        </is>
      </c>
      <c r="E512" t="inlineStr">
        <is>
          <t>LJUSDAL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20093-2020</t>
        </is>
      </c>
      <c r="B513" s="1" t="n">
        <v>43943</v>
      </c>
      <c r="C513" s="1" t="n">
        <v>45811</v>
      </c>
      <c r="D513" t="inlineStr">
        <is>
          <t>GÄVLEBORGS LÄN</t>
        </is>
      </c>
      <c r="E513" t="inlineStr">
        <is>
          <t>LJUSDAL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20076-2020</t>
        </is>
      </c>
      <c r="B514" s="1" t="n">
        <v>43943</v>
      </c>
      <c r="C514" s="1" t="n">
        <v>45811</v>
      </c>
      <c r="D514" t="inlineStr">
        <is>
          <t>GÄVLEBORGS LÄN</t>
        </is>
      </c>
      <c r="E514" t="inlineStr">
        <is>
          <t>LJUSDAL</t>
        </is>
      </c>
      <c r="G514" t="n">
        <v>5.7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20215-2020</t>
        </is>
      </c>
      <c r="B515" s="1" t="n">
        <v>43944</v>
      </c>
      <c r="C515" s="1" t="n">
        <v>45811</v>
      </c>
      <c r="D515" t="inlineStr">
        <is>
          <t>GÄVLEBORGS LÄN</t>
        </is>
      </c>
      <c r="E515" t="inlineStr">
        <is>
          <t>LJUSDAL</t>
        </is>
      </c>
      <c r="G515" t="n">
        <v>4.3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20224-2020</t>
        </is>
      </c>
      <c r="B516" s="1" t="n">
        <v>43944</v>
      </c>
      <c r="C516" s="1" t="n">
        <v>45811</v>
      </c>
      <c r="D516" t="inlineStr">
        <is>
          <t>GÄVLEBORGS LÄN</t>
        </is>
      </c>
      <c r="E516" t="inlineStr">
        <is>
          <t>LJUSDAL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20365-2020</t>
        </is>
      </c>
      <c r="B517" s="1" t="n">
        <v>43945</v>
      </c>
      <c r="C517" s="1" t="n">
        <v>45811</v>
      </c>
      <c r="D517" t="inlineStr">
        <is>
          <t>GÄVLEBORGS LÄN</t>
        </is>
      </c>
      <c r="E517" t="inlineStr">
        <is>
          <t>LJUSDAL</t>
        </is>
      </c>
      <c r="F517" t="inlineStr">
        <is>
          <t>Allmännings- och besparingsskogar</t>
        </is>
      </c>
      <c r="G517" t="n">
        <v>17.5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20347-2020</t>
        </is>
      </c>
      <c r="B518" s="1" t="n">
        <v>43945</v>
      </c>
      <c r="C518" s="1" t="n">
        <v>45811</v>
      </c>
      <c r="D518" t="inlineStr">
        <is>
          <t>GÄVLEBORGS LÄN</t>
        </is>
      </c>
      <c r="E518" t="inlineStr">
        <is>
          <t>LJUSDAL</t>
        </is>
      </c>
      <c r="F518" t="inlineStr">
        <is>
          <t>Sveaskog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20256-2020</t>
        </is>
      </c>
      <c r="B519" s="1" t="n">
        <v>43945</v>
      </c>
      <c r="C519" s="1" t="n">
        <v>45811</v>
      </c>
      <c r="D519" t="inlineStr">
        <is>
          <t>GÄVLEBORGS LÄN</t>
        </is>
      </c>
      <c r="E519" t="inlineStr">
        <is>
          <t>LJUSDAL</t>
        </is>
      </c>
      <c r="G519" t="n">
        <v>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20259-2020</t>
        </is>
      </c>
      <c r="B520" s="1" t="n">
        <v>43945</v>
      </c>
      <c r="C520" s="1" t="n">
        <v>45811</v>
      </c>
      <c r="D520" t="inlineStr">
        <is>
          <t>GÄVLEBORGS LÄN</t>
        </is>
      </c>
      <c r="E520" t="inlineStr">
        <is>
          <t>LJUSDAL</t>
        </is>
      </c>
      <c r="G520" t="n">
        <v>14.3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20785-2020</t>
        </is>
      </c>
      <c r="B521" s="1" t="n">
        <v>43949</v>
      </c>
      <c r="C521" s="1" t="n">
        <v>45811</v>
      </c>
      <c r="D521" t="inlineStr">
        <is>
          <t>GÄVLEBORGS LÄN</t>
        </is>
      </c>
      <c r="E521" t="inlineStr">
        <is>
          <t>LJUSDAL</t>
        </is>
      </c>
      <c r="F521" t="inlineStr">
        <is>
          <t>Sveaskog</t>
        </is>
      </c>
      <c r="G521" t="n">
        <v>12.5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21132-2020</t>
        </is>
      </c>
      <c r="B522" s="1" t="n">
        <v>43951</v>
      </c>
      <c r="C522" s="1" t="n">
        <v>45811</v>
      </c>
      <c r="D522" t="inlineStr">
        <is>
          <t>GÄVLEBORGS LÄN</t>
        </is>
      </c>
      <c r="E522" t="inlineStr">
        <is>
          <t>LJUSDAL</t>
        </is>
      </c>
      <c r="F522" t="inlineStr">
        <is>
          <t>Bergvik skog väst AB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21198-2020</t>
        </is>
      </c>
      <c r="B523" s="1" t="n">
        <v>43951</v>
      </c>
      <c r="C523" s="1" t="n">
        <v>45811</v>
      </c>
      <c r="D523" t="inlineStr">
        <is>
          <t>GÄVLEBORGS LÄN</t>
        </is>
      </c>
      <c r="E523" t="inlineStr">
        <is>
          <t>LJUSDAL</t>
        </is>
      </c>
      <c r="F523" t="inlineStr">
        <is>
          <t>Sveaskog</t>
        </is>
      </c>
      <c r="G523" t="n">
        <v>38.7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21145-2020</t>
        </is>
      </c>
      <c r="B524" s="1" t="n">
        <v>43951</v>
      </c>
      <c r="C524" s="1" t="n">
        <v>45811</v>
      </c>
      <c r="D524" t="inlineStr">
        <is>
          <t>GÄVLEBORGS LÄN</t>
        </is>
      </c>
      <c r="E524" t="inlineStr">
        <is>
          <t>LJUSDAL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21060-2020</t>
        </is>
      </c>
      <c r="B525" s="1" t="n">
        <v>43951</v>
      </c>
      <c r="C525" s="1" t="n">
        <v>45811</v>
      </c>
      <c r="D525" t="inlineStr">
        <is>
          <t>GÄVLEBORGS LÄN</t>
        </is>
      </c>
      <c r="E525" t="inlineStr">
        <is>
          <t>LJUSDAL</t>
        </is>
      </c>
      <c r="F525" t="inlineStr">
        <is>
          <t>Holmen skog AB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21078-2020</t>
        </is>
      </c>
      <c r="B526" s="1" t="n">
        <v>43951</v>
      </c>
      <c r="C526" s="1" t="n">
        <v>45811</v>
      </c>
      <c r="D526" t="inlineStr">
        <is>
          <t>GÄVLEBORGS LÄN</t>
        </is>
      </c>
      <c r="E526" t="inlineStr">
        <is>
          <t>LJUSDAL</t>
        </is>
      </c>
      <c r="F526" t="inlineStr">
        <is>
          <t>Sveaskog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22004-2020</t>
        </is>
      </c>
      <c r="B527" s="1" t="n">
        <v>43959</v>
      </c>
      <c r="C527" s="1" t="n">
        <v>45811</v>
      </c>
      <c r="D527" t="inlineStr">
        <is>
          <t>GÄVLEBORGS LÄN</t>
        </is>
      </c>
      <c r="E527" t="inlineStr">
        <is>
          <t>LJUSDAL</t>
        </is>
      </c>
      <c r="F527" t="inlineStr">
        <is>
          <t>Sveaskog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22018-2020</t>
        </is>
      </c>
      <c r="B528" s="1" t="n">
        <v>43959</v>
      </c>
      <c r="C528" s="1" t="n">
        <v>45811</v>
      </c>
      <c r="D528" t="inlineStr">
        <is>
          <t>GÄVLEBORGS LÄN</t>
        </is>
      </c>
      <c r="E528" t="inlineStr">
        <is>
          <t>LJUSDAL</t>
        </is>
      </c>
      <c r="F528" t="inlineStr">
        <is>
          <t>Sveaskog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22002-2020</t>
        </is>
      </c>
      <c r="B529" s="1" t="n">
        <v>43959</v>
      </c>
      <c r="C529" s="1" t="n">
        <v>45811</v>
      </c>
      <c r="D529" t="inlineStr">
        <is>
          <t>GÄVLEBORGS LÄN</t>
        </is>
      </c>
      <c r="E529" t="inlineStr">
        <is>
          <t>LJUSDAL</t>
        </is>
      </c>
      <c r="F529" t="inlineStr">
        <is>
          <t>Sveaskog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22006-2020</t>
        </is>
      </c>
      <c r="B530" s="1" t="n">
        <v>43959</v>
      </c>
      <c r="C530" s="1" t="n">
        <v>45811</v>
      </c>
      <c r="D530" t="inlineStr">
        <is>
          <t>GÄVLEBORGS LÄN</t>
        </is>
      </c>
      <c r="E530" t="inlineStr">
        <is>
          <t>LJUSDAL</t>
        </is>
      </c>
      <c r="F530" t="inlineStr">
        <is>
          <t>Sveaskog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22160-2020</t>
        </is>
      </c>
      <c r="B531" s="1" t="n">
        <v>43962</v>
      </c>
      <c r="C531" s="1" t="n">
        <v>45811</v>
      </c>
      <c r="D531" t="inlineStr">
        <is>
          <t>GÄVLEBORGS LÄN</t>
        </is>
      </c>
      <c r="E531" t="inlineStr">
        <is>
          <t>LJUSDAL</t>
        </is>
      </c>
      <c r="F531" t="inlineStr">
        <is>
          <t>Holmen skog AB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22268-2020</t>
        </is>
      </c>
      <c r="B532" s="1" t="n">
        <v>43962</v>
      </c>
      <c r="C532" s="1" t="n">
        <v>45811</v>
      </c>
      <c r="D532" t="inlineStr">
        <is>
          <t>GÄVLEBORGS LÄN</t>
        </is>
      </c>
      <c r="E532" t="inlineStr">
        <is>
          <t>LJUSDAL</t>
        </is>
      </c>
      <c r="F532" t="inlineStr">
        <is>
          <t>Sveaskog</t>
        </is>
      </c>
      <c r="G532" t="n">
        <v>7.5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22361-2020</t>
        </is>
      </c>
      <c r="B533" s="1" t="n">
        <v>43962</v>
      </c>
      <c r="C533" s="1" t="n">
        <v>45811</v>
      </c>
      <c r="D533" t="inlineStr">
        <is>
          <t>GÄVLEBORGS LÄN</t>
        </is>
      </c>
      <c r="E533" t="inlineStr">
        <is>
          <t>LJUSDAL</t>
        </is>
      </c>
      <c r="F533" t="inlineStr">
        <is>
          <t>Bergvik skog väst AB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22378-2020</t>
        </is>
      </c>
      <c r="B534" s="1" t="n">
        <v>43962</v>
      </c>
      <c r="C534" s="1" t="n">
        <v>45811</v>
      </c>
      <c r="D534" t="inlineStr">
        <is>
          <t>GÄVLEBORGS LÄN</t>
        </is>
      </c>
      <c r="E534" t="inlineStr">
        <is>
          <t>LJUSDAL</t>
        </is>
      </c>
      <c r="F534" t="inlineStr">
        <is>
          <t>Sveaskog</t>
        </is>
      </c>
      <c r="G534" t="n">
        <v>3.7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22875-2020</t>
        </is>
      </c>
      <c r="B535" s="1" t="n">
        <v>43964</v>
      </c>
      <c r="C535" s="1" t="n">
        <v>45811</v>
      </c>
      <c r="D535" t="inlineStr">
        <is>
          <t>GÄVLEBORGS LÄN</t>
        </is>
      </c>
      <c r="E535" t="inlineStr">
        <is>
          <t>LJUSDAL</t>
        </is>
      </c>
      <c r="F535" t="inlineStr">
        <is>
          <t>Sveaskog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22959-2020</t>
        </is>
      </c>
      <c r="B536" s="1" t="n">
        <v>43965</v>
      </c>
      <c r="C536" s="1" t="n">
        <v>45811</v>
      </c>
      <c r="D536" t="inlineStr">
        <is>
          <t>GÄVLEBORGS LÄN</t>
        </is>
      </c>
      <c r="E536" t="inlineStr">
        <is>
          <t>LJUSDAL</t>
        </is>
      </c>
      <c r="F536" t="inlineStr">
        <is>
          <t>Sveaskog</t>
        </is>
      </c>
      <c r="G536" t="n">
        <v>6.5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23117-2020</t>
        </is>
      </c>
      <c r="B537" s="1" t="n">
        <v>43965</v>
      </c>
      <c r="C537" s="1" t="n">
        <v>45811</v>
      </c>
      <c r="D537" t="inlineStr">
        <is>
          <t>GÄVLEBORGS LÄN</t>
        </is>
      </c>
      <c r="E537" t="inlineStr">
        <is>
          <t>LJUSDAL</t>
        </is>
      </c>
      <c r="F537" t="inlineStr">
        <is>
          <t>Bergvik skog väst AB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23276-2020</t>
        </is>
      </c>
      <c r="B538" s="1" t="n">
        <v>43966</v>
      </c>
      <c r="C538" s="1" t="n">
        <v>45811</v>
      </c>
      <c r="D538" t="inlineStr">
        <is>
          <t>GÄVLEBORGS LÄN</t>
        </is>
      </c>
      <c r="E538" t="inlineStr">
        <is>
          <t>LJUSDAL</t>
        </is>
      </c>
      <c r="F538" t="inlineStr">
        <is>
          <t>Sveaskog</t>
        </is>
      </c>
      <c r="G538" t="n">
        <v>2.4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23280-2020</t>
        </is>
      </c>
      <c r="B539" s="1" t="n">
        <v>43966</v>
      </c>
      <c r="C539" s="1" t="n">
        <v>45811</v>
      </c>
      <c r="D539" t="inlineStr">
        <is>
          <t>GÄVLEBORGS LÄN</t>
        </is>
      </c>
      <c r="E539" t="inlineStr">
        <is>
          <t>LJUSDAL</t>
        </is>
      </c>
      <c r="F539" t="inlineStr">
        <is>
          <t>Sveaskog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23271-2020</t>
        </is>
      </c>
      <c r="B540" s="1" t="n">
        <v>43966</v>
      </c>
      <c r="C540" s="1" t="n">
        <v>45811</v>
      </c>
      <c r="D540" t="inlineStr">
        <is>
          <t>GÄVLEBORGS LÄN</t>
        </is>
      </c>
      <c r="E540" t="inlineStr">
        <is>
          <t>LJUSDAL</t>
        </is>
      </c>
      <c r="F540" t="inlineStr">
        <is>
          <t>Sveaskog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23424-2020</t>
        </is>
      </c>
      <c r="B541" s="1" t="n">
        <v>43969</v>
      </c>
      <c r="C541" s="1" t="n">
        <v>45811</v>
      </c>
      <c r="D541" t="inlineStr">
        <is>
          <t>GÄVLEBORGS LÄN</t>
        </is>
      </c>
      <c r="E541" t="inlineStr">
        <is>
          <t>LJUSDAL</t>
        </is>
      </c>
      <c r="F541" t="inlineStr">
        <is>
          <t>Holmen skog AB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23866-2020</t>
        </is>
      </c>
      <c r="B542" s="1" t="n">
        <v>43971</v>
      </c>
      <c r="C542" s="1" t="n">
        <v>45811</v>
      </c>
      <c r="D542" t="inlineStr">
        <is>
          <t>GÄVLEBORGS LÄN</t>
        </is>
      </c>
      <c r="E542" t="inlineStr">
        <is>
          <t>LJUSDAL</t>
        </is>
      </c>
      <c r="F542" t="inlineStr">
        <is>
          <t>Sveaskog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23966-2020</t>
        </is>
      </c>
      <c r="B543" s="1" t="n">
        <v>43971</v>
      </c>
      <c r="C543" s="1" t="n">
        <v>45811</v>
      </c>
      <c r="D543" t="inlineStr">
        <is>
          <t>GÄVLEBORGS LÄN</t>
        </is>
      </c>
      <c r="E543" t="inlineStr">
        <is>
          <t>LJUSDAL</t>
        </is>
      </c>
      <c r="F543" t="inlineStr">
        <is>
          <t>Holmen skog AB</t>
        </is>
      </c>
      <c r="G543" t="n">
        <v>16.9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23981-2020</t>
        </is>
      </c>
      <c r="B544" s="1" t="n">
        <v>43971</v>
      </c>
      <c r="C544" s="1" t="n">
        <v>45811</v>
      </c>
      <c r="D544" t="inlineStr">
        <is>
          <t>GÄVLEBORGS LÄN</t>
        </is>
      </c>
      <c r="E544" t="inlineStr">
        <is>
          <t>LJUSDAL</t>
        </is>
      </c>
      <c r="F544" t="inlineStr">
        <is>
          <t>Bergvik skog väst AB</t>
        </is>
      </c>
      <c r="G544" t="n">
        <v>9.4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24621-2020</t>
        </is>
      </c>
      <c r="B545" s="1" t="n">
        <v>43977</v>
      </c>
      <c r="C545" s="1" t="n">
        <v>45811</v>
      </c>
      <c r="D545" t="inlineStr">
        <is>
          <t>GÄVLEBORGS LÄN</t>
        </is>
      </c>
      <c r="E545" t="inlineStr">
        <is>
          <t>LJUSDAL</t>
        </is>
      </c>
      <c r="F545" t="inlineStr">
        <is>
          <t>Sveaskog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24824-2020</t>
        </is>
      </c>
      <c r="B546" s="1" t="n">
        <v>43978</v>
      </c>
      <c r="C546" s="1" t="n">
        <v>45811</v>
      </c>
      <c r="D546" t="inlineStr">
        <is>
          <t>GÄVLEBORGS LÄN</t>
        </is>
      </c>
      <c r="E546" t="inlineStr">
        <is>
          <t>LJUSDAL</t>
        </is>
      </c>
      <c r="G546" t="n">
        <v>0.1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25060-2020</t>
        </is>
      </c>
      <c r="B547" s="1" t="n">
        <v>43979</v>
      </c>
      <c r="C547" s="1" t="n">
        <v>45811</v>
      </c>
      <c r="D547" t="inlineStr">
        <is>
          <t>GÄVLEBORGS LÄN</t>
        </is>
      </c>
      <c r="E547" t="inlineStr">
        <is>
          <t>LJUSDAL</t>
        </is>
      </c>
      <c r="F547" t="inlineStr">
        <is>
          <t>Sveaskog</t>
        </is>
      </c>
      <c r="G547" t="n">
        <v>5.8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24899-2020</t>
        </is>
      </c>
      <c r="B548" s="1" t="n">
        <v>43979</v>
      </c>
      <c r="C548" s="1" t="n">
        <v>45811</v>
      </c>
      <c r="D548" t="inlineStr">
        <is>
          <t>GÄVLEBORGS LÄN</t>
        </is>
      </c>
      <c r="E548" t="inlineStr">
        <is>
          <t>LJUSDAL</t>
        </is>
      </c>
      <c r="F548" t="inlineStr">
        <is>
          <t>Sveaskog</t>
        </is>
      </c>
      <c r="G548" t="n">
        <v>5.2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25014-2020</t>
        </is>
      </c>
      <c r="B549" s="1" t="n">
        <v>43979</v>
      </c>
      <c r="C549" s="1" t="n">
        <v>45811</v>
      </c>
      <c r="D549" t="inlineStr">
        <is>
          <t>GÄVLEBORGS LÄN</t>
        </is>
      </c>
      <c r="E549" t="inlineStr">
        <is>
          <t>LJUSDAL</t>
        </is>
      </c>
      <c r="F549" t="inlineStr">
        <is>
          <t>Sveaskog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25018-2020</t>
        </is>
      </c>
      <c r="B550" s="1" t="n">
        <v>43979</v>
      </c>
      <c r="C550" s="1" t="n">
        <v>45811</v>
      </c>
      <c r="D550" t="inlineStr">
        <is>
          <t>GÄVLEBORGS LÄN</t>
        </is>
      </c>
      <c r="E550" t="inlineStr">
        <is>
          <t>LJUSDAL</t>
        </is>
      </c>
      <c r="F550" t="inlineStr">
        <is>
          <t>Sveaskog</t>
        </is>
      </c>
      <c r="G550" t="n">
        <v>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25015-2020</t>
        </is>
      </c>
      <c r="B551" s="1" t="n">
        <v>43979</v>
      </c>
      <c r="C551" s="1" t="n">
        <v>45811</v>
      </c>
      <c r="D551" t="inlineStr">
        <is>
          <t>GÄVLEBORGS LÄN</t>
        </is>
      </c>
      <c r="E551" t="inlineStr">
        <is>
          <t>LJUSDAL</t>
        </is>
      </c>
      <c r="F551" t="inlineStr">
        <is>
          <t>Sveaskog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26712-2020</t>
        </is>
      </c>
      <c r="B552" s="1" t="n">
        <v>43990</v>
      </c>
      <c r="C552" s="1" t="n">
        <v>45811</v>
      </c>
      <c r="D552" t="inlineStr">
        <is>
          <t>GÄVLEBORGS LÄN</t>
        </is>
      </c>
      <c r="E552" t="inlineStr">
        <is>
          <t>LJUSDAL</t>
        </is>
      </c>
      <c r="F552" t="inlineStr">
        <is>
          <t>Holmen skog AB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26950-2020</t>
        </is>
      </c>
      <c r="B553" s="1" t="n">
        <v>43990</v>
      </c>
      <c r="C553" s="1" t="n">
        <v>45811</v>
      </c>
      <c r="D553" t="inlineStr">
        <is>
          <t>GÄVLEBORGS LÄN</t>
        </is>
      </c>
      <c r="E553" t="inlineStr">
        <is>
          <t>LJUSDAL</t>
        </is>
      </c>
      <c r="F553" t="inlineStr">
        <is>
          <t>Bergvik skog väst AB</t>
        </is>
      </c>
      <c r="G553" t="n">
        <v>14.8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27079-2020</t>
        </is>
      </c>
      <c r="B554" s="1" t="n">
        <v>43991</v>
      </c>
      <c r="C554" s="1" t="n">
        <v>45811</v>
      </c>
      <c r="D554" t="inlineStr">
        <is>
          <t>GÄVLEBORGS LÄN</t>
        </is>
      </c>
      <c r="E554" t="inlineStr">
        <is>
          <t>LJUSDAL</t>
        </is>
      </c>
      <c r="F554" t="inlineStr">
        <is>
          <t>Bergvik skog väst AB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27430-2020</t>
        </is>
      </c>
      <c r="B555" s="1" t="n">
        <v>43993</v>
      </c>
      <c r="C555" s="1" t="n">
        <v>45811</v>
      </c>
      <c r="D555" t="inlineStr">
        <is>
          <t>GÄVLEBORGS LÄN</t>
        </is>
      </c>
      <c r="E555" t="inlineStr">
        <is>
          <t>LJUSDAL</t>
        </is>
      </c>
      <c r="F555" t="inlineStr">
        <is>
          <t>Sveaskog</t>
        </is>
      </c>
      <c r="G555" t="n">
        <v>5.3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28889-2020</t>
        </is>
      </c>
      <c r="B556" s="1" t="n">
        <v>44000</v>
      </c>
      <c r="C556" s="1" t="n">
        <v>45811</v>
      </c>
      <c r="D556" t="inlineStr">
        <is>
          <t>GÄVLEBORGS LÄN</t>
        </is>
      </c>
      <c r="E556" t="inlineStr">
        <is>
          <t>LJUSDAL</t>
        </is>
      </c>
      <c r="F556" t="inlineStr">
        <is>
          <t>Holmen skog AB</t>
        </is>
      </c>
      <c r="G556" t="n">
        <v>39.1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28932-2020</t>
        </is>
      </c>
      <c r="B557" s="1" t="n">
        <v>44000</v>
      </c>
      <c r="C557" s="1" t="n">
        <v>45811</v>
      </c>
      <c r="D557" t="inlineStr">
        <is>
          <t>GÄVLEBORGS LÄN</t>
        </is>
      </c>
      <c r="E557" t="inlineStr">
        <is>
          <t>LJUSDAL</t>
        </is>
      </c>
      <c r="F557" t="inlineStr">
        <is>
          <t>Kyrkan</t>
        </is>
      </c>
      <c r="G557" t="n">
        <v>36.2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29688-2020</t>
        </is>
      </c>
      <c r="B558" s="1" t="n">
        <v>44005</v>
      </c>
      <c r="C558" s="1" t="n">
        <v>45811</v>
      </c>
      <c r="D558" t="inlineStr">
        <is>
          <t>GÄVLEBORGS LÄN</t>
        </is>
      </c>
      <c r="E558" t="inlineStr">
        <is>
          <t>LJUSDAL</t>
        </is>
      </c>
      <c r="F558" t="inlineStr">
        <is>
          <t>Sveaskog</t>
        </is>
      </c>
      <c r="G558" t="n">
        <v>4.1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  <c r="U558">
        <f>HYPERLINK("https://klasma.github.io/Logging_2161/knärot/A 29688-2020 karta knärot.png", "A 29688-2020")</f>
        <v/>
      </c>
      <c r="V558">
        <f>HYPERLINK("https://klasma.github.io/Logging_2161/klagomål/A 29688-2020 FSC-klagomål.docx", "A 29688-2020")</f>
        <v/>
      </c>
      <c r="W558">
        <f>HYPERLINK("https://klasma.github.io/Logging_2161/klagomålsmail/A 29688-2020 FSC-klagomål mail.docx", "A 29688-2020")</f>
        <v/>
      </c>
      <c r="X558">
        <f>HYPERLINK("https://klasma.github.io/Logging_2161/tillsyn/A 29688-2020 tillsynsbegäran.docx", "A 29688-2020")</f>
        <v/>
      </c>
      <c r="Y558">
        <f>HYPERLINK("https://klasma.github.io/Logging_2161/tillsynsmail/A 29688-2020 tillsynsbegäran mail.docx", "A 29688-2020")</f>
        <v/>
      </c>
    </row>
    <row r="559" ht="15" customHeight="1">
      <c r="A559" t="inlineStr">
        <is>
          <t>A 29886-2020</t>
        </is>
      </c>
      <c r="B559" s="1" t="n">
        <v>44006</v>
      </c>
      <c r="C559" s="1" t="n">
        <v>45811</v>
      </c>
      <c r="D559" t="inlineStr">
        <is>
          <t>GÄVLEBORGS LÄN</t>
        </is>
      </c>
      <c r="E559" t="inlineStr">
        <is>
          <t>LJUSDAL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30127-2020</t>
        </is>
      </c>
      <c r="B560" s="1" t="n">
        <v>44007</v>
      </c>
      <c r="C560" s="1" t="n">
        <v>45811</v>
      </c>
      <c r="D560" t="inlineStr">
        <is>
          <t>GÄVLEBORGS LÄN</t>
        </is>
      </c>
      <c r="E560" t="inlineStr">
        <is>
          <t>LJUSDAL</t>
        </is>
      </c>
      <c r="F560" t="inlineStr">
        <is>
          <t>Sveaskog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30456-2020</t>
        </is>
      </c>
      <c r="B561" s="1" t="n">
        <v>44007</v>
      </c>
      <c r="C561" s="1" t="n">
        <v>45811</v>
      </c>
      <c r="D561" t="inlineStr">
        <is>
          <t>GÄVLEBORGS LÄN</t>
        </is>
      </c>
      <c r="E561" t="inlineStr">
        <is>
          <t>LJUSDAL</t>
        </is>
      </c>
      <c r="F561" t="inlineStr">
        <is>
          <t>Sveaskog</t>
        </is>
      </c>
      <c r="G561" t="n">
        <v>3.5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30738-2020</t>
        </is>
      </c>
      <c r="B562" s="1" t="n">
        <v>44008</v>
      </c>
      <c r="C562" s="1" t="n">
        <v>45811</v>
      </c>
      <c r="D562" t="inlineStr">
        <is>
          <t>GÄVLEBORGS LÄN</t>
        </is>
      </c>
      <c r="E562" t="inlineStr">
        <is>
          <t>LJUSDAL</t>
        </is>
      </c>
      <c r="F562" t="inlineStr">
        <is>
          <t>Sveaskog</t>
        </is>
      </c>
      <c r="G562" t="n">
        <v>3.7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30737-2020</t>
        </is>
      </c>
      <c r="B563" s="1" t="n">
        <v>44008</v>
      </c>
      <c r="C563" s="1" t="n">
        <v>45811</v>
      </c>
      <c r="D563" t="inlineStr">
        <is>
          <t>GÄVLEBORGS LÄN</t>
        </is>
      </c>
      <c r="E563" t="inlineStr">
        <is>
          <t>LJUSDAL</t>
        </is>
      </c>
      <c r="F563" t="inlineStr">
        <is>
          <t>Sveaskog</t>
        </is>
      </c>
      <c r="G563" t="n">
        <v>8.800000000000001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31824-2020</t>
        </is>
      </c>
      <c r="B564" s="1" t="n">
        <v>44014</v>
      </c>
      <c r="C564" s="1" t="n">
        <v>45811</v>
      </c>
      <c r="D564" t="inlineStr">
        <is>
          <t>GÄVLEBORGS LÄN</t>
        </is>
      </c>
      <c r="E564" t="inlineStr">
        <is>
          <t>LJUSDAL</t>
        </is>
      </c>
      <c r="F564" t="inlineStr">
        <is>
          <t>Holmen skog AB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31823-2020</t>
        </is>
      </c>
      <c r="B565" s="1" t="n">
        <v>44014</v>
      </c>
      <c r="C565" s="1" t="n">
        <v>45811</v>
      </c>
      <c r="D565" t="inlineStr">
        <is>
          <t>GÄVLEBORGS LÄN</t>
        </is>
      </c>
      <c r="E565" t="inlineStr">
        <is>
          <t>LJUSDAL</t>
        </is>
      </c>
      <c r="F565" t="inlineStr">
        <is>
          <t>Holmen skog AB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31855-2020</t>
        </is>
      </c>
      <c r="B566" s="1" t="n">
        <v>44014</v>
      </c>
      <c r="C566" s="1" t="n">
        <v>45811</v>
      </c>
      <c r="D566" t="inlineStr">
        <is>
          <t>GÄVLEBORGS LÄN</t>
        </is>
      </c>
      <c r="E566" t="inlineStr">
        <is>
          <t>LJUSDAL</t>
        </is>
      </c>
      <c r="F566" t="inlineStr">
        <is>
          <t>Sveaskog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33328-2020</t>
        </is>
      </c>
      <c r="B567" s="1" t="n">
        <v>44022</v>
      </c>
      <c r="C567" s="1" t="n">
        <v>45811</v>
      </c>
      <c r="D567" t="inlineStr">
        <is>
          <t>GÄVLEBORGS LÄN</t>
        </is>
      </c>
      <c r="E567" t="inlineStr">
        <is>
          <t>LJUSDAL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33338-2020</t>
        </is>
      </c>
      <c r="B568" s="1" t="n">
        <v>44022</v>
      </c>
      <c r="C568" s="1" t="n">
        <v>45811</v>
      </c>
      <c r="D568" t="inlineStr">
        <is>
          <t>GÄVLEBORGS LÄN</t>
        </is>
      </c>
      <c r="E568" t="inlineStr">
        <is>
          <t>LJUSDAL</t>
        </is>
      </c>
      <c r="F568" t="inlineStr">
        <is>
          <t>Sveaskog</t>
        </is>
      </c>
      <c r="G568" t="n">
        <v>23.5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33876-2020</t>
        </is>
      </c>
      <c r="B569" s="1" t="n">
        <v>44025</v>
      </c>
      <c r="C569" s="1" t="n">
        <v>45811</v>
      </c>
      <c r="D569" t="inlineStr">
        <is>
          <t>GÄVLEBORGS LÄN</t>
        </is>
      </c>
      <c r="E569" t="inlineStr">
        <is>
          <t>LJUSDAL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33647-2020</t>
        </is>
      </c>
      <c r="B570" s="1" t="n">
        <v>44026</v>
      </c>
      <c r="C570" s="1" t="n">
        <v>45811</v>
      </c>
      <c r="D570" t="inlineStr">
        <is>
          <t>GÄVLEBORGS LÄN</t>
        </is>
      </c>
      <c r="E570" t="inlineStr">
        <is>
          <t>LJUSDAL</t>
        </is>
      </c>
      <c r="F570" t="inlineStr">
        <is>
          <t>Sveaskog</t>
        </is>
      </c>
      <c r="G570" t="n">
        <v>6.2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33895-2020</t>
        </is>
      </c>
      <c r="B571" s="1" t="n">
        <v>44027</v>
      </c>
      <c r="C571" s="1" t="n">
        <v>45811</v>
      </c>
      <c r="D571" t="inlineStr">
        <is>
          <t>GÄVLEBORGS LÄN</t>
        </is>
      </c>
      <c r="E571" t="inlineStr">
        <is>
          <t>LJUSDAL</t>
        </is>
      </c>
      <c r="G571" t="n">
        <v>12.5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34034-2020</t>
        </is>
      </c>
      <c r="B572" s="1" t="n">
        <v>44028</v>
      </c>
      <c r="C572" s="1" t="n">
        <v>45811</v>
      </c>
      <c r="D572" t="inlineStr">
        <is>
          <t>GÄVLEBORGS LÄN</t>
        </is>
      </c>
      <c r="E572" t="inlineStr">
        <is>
          <t>LJUSDAL</t>
        </is>
      </c>
      <c r="F572" t="inlineStr">
        <is>
          <t>Holmen skog AB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34156-2020</t>
        </is>
      </c>
      <c r="B573" s="1" t="n">
        <v>44029</v>
      </c>
      <c r="C573" s="1" t="n">
        <v>45811</v>
      </c>
      <c r="D573" t="inlineStr">
        <is>
          <t>GÄVLEBORGS LÄN</t>
        </is>
      </c>
      <c r="E573" t="inlineStr">
        <is>
          <t>LJUSDAL</t>
        </is>
      </c>
      <c r="F573" t="inlineStr">
        <is>
          <t>Sveaskog</t>
        </is>
      </c>
      <c r="G573" t="n">
        <v>3.7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34193-2020</t>
        </is>
      </c>
      <c r="B574" s="1" t="n">
        <v>44029</v>
      </c>
      <c r="C574" s="1" t="n">
        <v>45811</v>
      </c>
      <c r="D574" t="inlineStr">
        <is>
          <t>GÄVLEBORGS LÄN</t>
        </is>
      </c>
      <c r="E574" t="inlineStr">
        <is>
          <t>LJUSDAL</t>
        </is>
      </c>
      <c r="F574" t="inlineStr">
        <is>
          <t>Sveaskog</t>
        </is>
      </c>
      <c r="G574" t="n">
        <v>3.7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34308-2020</t>
        </is>
      </c>
      <c r="B575" s="1" t="n">
        <v>44031</v>
      </c>
      <c r="C575" s="1" t="n">
        <v>45811</v>
      </c>
      <c r="D575" t="inlineStr">
        <is>
          <t>GÄVLEBORGS LÄN</t>
        </is>
      </c>
      <c r="E575" t="inlineStr">
        <is>
          <t>LJUSDAL</t>
        </is>
      </c>
      <c r="F575" t="inlineStr">
        <is>
          <t>Sveaskog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34317-2020</t>
        </is>
      </c>
      <c r="B576" s="1" t="n">
        <v>44032</v>
      </c>
      <c r="C576" s="1" t="n">
        <v>45811</v>
      </c>
      <c r="D576" t="inlineStr">
        <is>
          <t>GÄVLEBORGS LÄN</t>
        </is>
      </c>
      <c r="E576" t="inlineStr">
        <is>
          <t>LJUSDAL</t>
        </is>
      </c>
      <c r="F576" t="inlineStr">
        <is>
          <t>Sveaskog</t>
        </is>
      </c>
      <c r="G576" t="n">
        <v>38.4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34316-2020</t>
        </is>
      </c>
      <c r="B577" s="1" t="n">
        <v>44032</v>
      </c>
      <c r="C577" s="1" t="n">
        <v>45811</v>
      </c>
      <c r="D577" t="inlineStr">
        <is>
          <t>GÄVLEBORGS LÄN</t>
        </is>
      </c>
      <c r="E577" t="inlineStr">
        <is>
          <t>LJUSDAL</t>
        </is>
      </c>
      <c r="F577" t="inlineStr">
        <is>
          <t>Sveaskog</t>
        </is>
      </c>
      <c r="G577" t="n">
        <v>3.1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34462-2020</t>
        </is>
      </c>
      <c r="B578" s="1" t="n">
        <v>44032</v>
      </c>
      <c r="C578" s="1" t="n">
        <v>45811</v>
      </c>
      <c r="D578" t="inlineStr">
        <is>
          <t>GÄVLEBORGS LÄN</t>
        </is>
      </c>
      <c r="E578" t="inlineStr">
        <is>
          <t>LJUSDAL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34523-2020</t>
        </is>
      </c>
      <c r="B579" s="1" t="n">
        <v>44033</v>
      </c>
      <c r="C579" s="1" t="n">
        <v>45811</v>
      </c>
      <c r="D579" t="inlineStr">
        <is>
          <t>GÄVLEBORGS LÄN</t>
        </is>
      </c>
      <c r="E579" t="inlineStr">
        <is>
          <t>LJUSDAL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35277-2020</t>
        </is>
      </c>
      <c r="B580" s="1" t="n">
        <v>44041</v>
      </c>
      <c r="C580" s="1" t="n">
        <v>45811</v>
      </c>
      <c r="D580" t="inlineStr">
        <is>
          <t>GÄVLEBORGS LÄN</t>
        </is>
      </c>
      <c r="E580" t="inlineStr">
        <is>
          <t>LJUSDAL</t>
        </is>
      </c>
      <c r="F580" t="inlineStr">
        <is>
          <t>Holmen skog AB</t>
        </is>
      </c>
      <c r="G580" t="n">
        <v>6.1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35297-2020</t>
        </is>
      </c>
      <c r="B581" s="1" t="n">
        <v>44041</v>
      </c>
      <c r="C581" s="1" t="n">
        <v>45811</v>
      </c>
      <c r="D581" t="inlineStr">
        <is>
          <t>GÄVLEBORGS LÄN</t>
        </is>
      </c>
      <c r="E581" t="inlineStr">
        <is>
          <t>LJUSDAL</t>
        </is>
      </c>
      <c r="F581" t="inlineStr">
        <is>
          <t>Holmen skog AB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35293-2020</t>
        </is>
      </c>
      <c r="B582" s="1" t="n">
        <v>44041</v>
      </c>
      <c r="C582" s="1" t="n">
        <v>45811</v>
      </c>
      <c r="D582" t="inlineStr">
        <is>
          <t>GÄVLEBORGS LÄN</t>
        </is>
      </c>
      <c r="E582" t="inlineStr">
        <is>
          <t>LJUSDAL</t>
        </is>
      </c>
      <c r="F582" t="inlineStr">
        <is>
          <t>Holmen skog AB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35405-2020</t>
        </is>
      </c>
      <c r="B583" s="1" t="n">
        <v>44042</v>
      </c>
      <c r="C583" s="1" t="n">
        <v>45811</v>
      </c>
      <c r="D583" t="inlineStr">
        <is>
          <t>GÄVLEBORGS LÄN</t>
        </is>
      </c>
      <c r="E583" t="inlineStr">
        <is>
          <t>LJUSDAL</t>
        </is>
      </c>
      <c r="F583" t="inlineStr">
        <is>
          <t>Sveaskog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35404-2020</t>
        </is>
      </c>
      <c r="B584" s="1" t="n">
        <v>44042</v>
      </c>
      <c r="C584" s="1" t="n">
        <v>45811</v>
      </c>
      <c r="D584" t="inlineStr">
        <is>
          <t>GÄVLEBORGS LÄN</t>
        </is>
      </c>
      <c r="E584" t="inlineStr">
        <is>
          <t>LJUSDAL</t>
        </is>
      </c>
      <c r="F584" t="inlineStr">
        <is>
          <t>Sveaskog</t>
        </is>
      </c>
      <c r="G584" t="n">
        <v>8.199999999999999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36429-2020</t>
        </is>
      </c>
      <c r="B585" s="1" t="n">
        <v>44049</v>
      </c>
      <c r="C585" s="1" t="n">
        <v>45811</v>
      </c>
      <c r="D585" t="inlineStr">
        <is>
          <t>GÄVLEBORGS LÄN</t>
        </is>
      </c>
      <c r="E585" t="inlineStr">
        <is>
          <t>LJUSDAL</t>
        </is>
      </c>
      <c r="F585" t="inlineStr">
        <is>
          <t>Naturvårdsverket</t>
        </is>
      </c>
      <c r="G585" t="n">
        <v>4.2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36693-2020</t>
        </is>
      </c>
      <c r="B586" s="1" t="n">
        <v>44053</v>
      </c>
      <c r="C586" s="1" t="n">
        <v>45811</v>
      </c>
      <c r="D586" t="inlineStr">
        <is>
          <t>GÄVLEBORGS LÄN</t>
        </is>
      </c>
      <c r="E586" t="inlineStr">
        <is>
          <t>LJUSDAL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37532-2020</t>
        </is>
      </c>
      <c r="B587" s="1" t="n">
        <v>44056</v>
      </c>
      <c r="C587" s="1" t="n">
        <v>45811</v>
      </c>
      <c r="D587" t="inlineStr">
        <is>
          <t>GÄVLEBORGS LÄN</t>
        </is>
      </c>
      <c r="E587" t="inlineStr">
        <is>
          <t>LJUSDAL</t>
        </is>
      </c>
      <c r="F587" t="inlineStr">
        <is>
          <t>Sveaskog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37895-2020</t>
        </is>
      </c>
      <c r="B588" s="1" t="n">
        <v>44057</v>
      </c>
      <c r="C588" s="1" t="n">
        <v>45811</v>
      </c>
      <c r="D588" t="inlineStr">
        <is>
          <t>GÄVLEBORGS LÄN</t>
        </is>
      </c>
      <c r="E588" t="inlineStr">
        <is>
          <t>LJUSDAL</t>
        </is>
      </c>
      <c r="F588" t="inlineStr">
        <is>
          <t>Sveaskog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37863-2020</t>
        </is>
      </c>
      <c r="B589" s="1" t="n">
        <v>44057</v>
      </c>
      <c r="C589" s="1" t="n">
        <v>45811</v>
      </c>
      <c r="D589" t="inlineStr">
        <is>
          <t>GÄVLEBORGS LÄN</t>
        </is>
      </c>
      <c r="E589" t="inlineStr">
        <is>
          <t>LJUSDAL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38185-2020</t>
        </is>
      </c>
      <c r="B590" s="1" t="n">
        <v>44060</v>
      </c>
      <c r="C590" s="1" t="n">
        <v>45811</v>
      </c>
      <c r="D590" t="inlineStr">
        <is>
          <t>GÄVLEBORGS LÄN</t>
        </is>
      </c>
      <c r="E590" t="inlineStr">
        <is>
          <t>LJUSDAL</t>
        </is>
      </c>
      <c r="F590" t="inlineStr">
        <is>
          <t>Holmen skog AB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38597-2020</t>
        </is>
      </c>
      <c r="B591" s="1" t="n">
        <v>44061</v>
      </c>
      <c r="C591" s="1" t="n">
        <v>45811</v>
      </c>
      <c r="D591" t="inlineStr">
        <is>
          <t>GÄVLEBORGS LÄN</t>
        </is>
      </c>
      <c r="E591" t="inlineStr">
        <is>
          <t>LJUSDAL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38599-2020</t>
        </is>
      </c>
      <c r="B592" s="1" t="n">
        <v>44061</v>
      </c>
      <c r="C592" s="1" t="n">
        <v>45811</v>
      </c>
      <c r="D592" t="inlineStr">
        <is>
          <t>GÄVLEBORGS LÄN</t>
        </is>
      </c>
      <c r="E592" t="inlineStr">
        <is>
          <t>LJUSDAL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38685-2020</t>
        </is>
      </c>
      <c r="B593" s="1" t="n">
        <v>44061</v>
      </c>
      <c r="C593" s="1" t="n">
        <v>45811</v>
      </c>
      <c r="D593" t="inlineStr">
        <is>
          <t>GÄVLEBORGS LÄN</t>
        </is>
      </c>
      <c r="E593" t="inlineStr">
        <is>
          <t>LJUSDAL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38773-2020</t>
        </is>
      </c>
      <c r="B594" s="1" t="n">
        <v>44061</v>
      </c>
      <c r="C594" s="1" t="n">
        <v>45811</v>
      </c>
      <c r="D594" t="inlineStr">
        <is>
          <t>GÄVLEBORGS LÄN</t>
        </is>
      </c>
      <c r="E594" t="inlineStr">
        <is>
          <t>LJUSDAL</t>
        </is>
      </c>
      <c r="F594" t="inlineStr">
        <is>
          <t>Sveaskog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38810-2020</t>
        </is>
      </c>
      <c r="B595" s="1" t="n">
        <v>44062</v>
      </c>
      <c r="C595" s="1" t="n">
        <v>45811</v>
      </c>
      <c r="D595" t="inlineStr">
        <is>
          <t>GÄVLEBORGS LÄN</t>
        </is>
      </c>
      <c r="E595" t="inlineStr">
        <is>
          <t>LJUSDAL</t>
        </is>
      </c>
      <c r="F595" t="inlineStr">
        <is>
          <t>Holmen skog AB</t>
        </is>
      </c>
      <c r="G595" t="n">
        <v>2.9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39490-2020</t>
        </is>
      </c>
      <c r="B596" s="1" t="n">
        <v>44064</v>
      </c>
      <c r="C596" s="1" t="n">
        <v>45811</v>
      </c>
      <c r="D596" t="inlineStr">
        <is>
          <t>GÄVLEBORGS LÄN</t>
        </is>
      </c>
      <c r="E596" t="inlineStr">
        <is>
          <t>LJUSDAL</t>
        </is>
      </c>
      <c r="F596" t="inlineStr">
        <is>
          <t>Sveaskog</t>
        </is>
      </c>
      <c r="G596" t="n">
        <v>8.800000000000001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39498-2020</t>
        </is>
      </c>
      <c r="B597" s="1" t="n">
        <v>44064</v>
      </c>
      <c r="C597" s="1" t="n">
        <v>45811</v>
      </c>
      <c r="D597" t="inlineStr">
        <is>
          <t>GÄVLEBORGS LÄN</t>
        </is>
      </c>
      <c r="E597" t="inlineStr">
        <is>
          <t>LJUSDAL</t>
        </is>
      </c>
      <c r="F597" t="inlineStr">
        <is>
          <t>Sveaskog</t>
        </is>
      </c>
      <c r="G597" t="n">
        <v>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39489-2020</t>
        </is>
      </c>
      <c r="B598" s="1" t="n">
        <v>44064</v>
      </c>
      <c r="C598" s="1" t="n">
        <v>45811</v>
      </c>
      <c r="D598" t="inlineStr">
        <is>
          <t>GÄVLEBORGS LÄN</t>
        </is>
      </c>
      <c r="E598" t="inlineStr">
        <is>
          <t>LJUSDAL</t>
        </is>
      </c>
      <c r="F598" t="inlineStr">
        <is>
          <t>Sveaskog</t>
        </is>
      </c>
      <c r="G598" t="n">
        <v>4.5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39497-2020</t>
        </is>
      </c>
      <c r="B599" s="1" t="n">
        <v>44064</v>
      </c>
      <c r="C599" s="1" t="n">
        <v>45811</v>
      </c>
      <c r="D599" t="inlineStr">
        <is>
          <t>GÄVLEBORGS LÄN</t>
        </is>
      </c>
      <c r="E599" t="inlineStr">
        <is>
          <t>LJUSDAL</t>
        </is>
      </c>
      <c r="F599" t="inlineStr">
        <is>
          <t>Sveaskog</t>
        </is>
      </c>
      <c r="G599" t="n">
        <v>6.7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39881-2020</t>
        </is>
      </c>
      <c r="B600" s="1" t="n">
        <v>44067</v>
      </c>
      <c r="C600" s="1" t="n">
        <v>45811</v>
      </c>
      <c r="D600" t="inlineStr">
        <is>
          <t>GÄVLEBORGS LÄN</t>
        </is>
      </c>
      <c r="E600" t="inlineStr">
        <is>
          <t>LJUSDAL</t>
        </is>
      </c>
      <c r="F600" t="inlineStr">
        <is>
          <t>Allmännings- och besparingsskogar</t>
        </is>
      </c>
      <c r="G600" t="n">
        <v>3.8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40345-2020</t>
        </is>
      </c>
      <c r="B601" s="1" t="n">
        <v>44068</v>
      </c>
      <c r="C601" s="1" t="n">
        <v>45811</v>
      </c>
      <c r="D601" t="inlineStr">
        <is>
          <t>GÄVLEBORGS LÄN</t>
        </is>
      </c>
      <c r="E601" t="inlineStr">
        <is>
          <t>LJUSDAL</t>
        </is>
      </c>
      <c r="F601" t="inlineStr">
        <is>
          <t>Bergvik skog väst AB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40599-2020</t>
        </is>
      </c>
      <c r="B602" s="1" t="n">
        <v>44069</v>
      </c>
      <c r="C602" s="1" t="n">
        <v>45811</v>
      </c>
      <c r="D602" t="inlineStr">
        <is>
          <t>GÄVLEBORGS LÄN</t>
        </is>
      </c>
      <c r="E602" t="inlineStr">
        <is>
          <t>LJUSDAL</t>
        </is>
      </c>
      <c r="F602" t="inlineStr">
        <is>
          <t>Sveaskog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40614-2020</t>
        </is>
      </c>
      <c r="B603" s="1" t="n">
        <v>44069</v>
      </c>
      <c r="C603" s="1" t="n">
        <v>45811</v>
      </c>
      <c r="D603" t="inlineStr">
        <is>
          <t>GÄVLEBORGS LÄN</t>
        </is>
      </c>
      <c r="E603" t="inlineStr">
        <is>
          <t>LJUSDAL</t>
        </is>
      </c>
      <c r="F603" t="inlineStr">
        <is>
          <t>Sveaskog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40422-2020</t>
        </is>
      </c>
      <c r="B604" s="1" t="n">
        <v>44069</v>
      </c>
      <c r="C604" s="1" t="n">
        <v>45811</v>
      </c>
      <c r="D604" t="inlineStr">
        <is>
          <t>GÄVLEBORGS LÄN</t>
        </is>
      </c>
      <c r="E604" t="inlineStr">
        <is>
          <t>LJUSDAL</t>
        </is>
      </c>
      <c r="F604" t="inlineStr">
        <is>
          <t>Sveaskog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40610-2020</t>
        </is>
      </c>
      <c r="B605" s="1" t="n">
        <v>44069</v>
      </c>
      <c r="C605" s="1" t="n">
        <v>45811</v>
      </c>
      <c r="D605" t="inlineStr">
        <is>
          <t>GÄVLEBORGS LÄN</t>
        </is>
      </c>
      <c r="E605" t="inlineStr">
        <is>
          <t>LJUSDAL</t>
        </is>
      </c>
      <c r="F605" t="inlineStr">
        <is>
          <t>Sveaskog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40801-2020</t>
        </is>
      </c>
      <c r="B606" s="1" t="n">
        <v>44070</v>
      </c>
      <c r="C606" s="1" t="n">
        <v>45811</v>
      </c>
      <c r="D606" t="inlineStr">
        <is>
          <t>GÄVLEBORGS LÄN</t>
        </is>
      </c>
      <c r="E606" t="inlineStr">
        <is>
          <t>LJUSDAL</t>
        </is>
      </c>
      <c r="G606" t="n">
        <v>5.2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41622-2020</t>
        </is>
      </c>
      <c r="B607" s="1" t="n">
        <v>44074</v>
      </c>
      <c r="C607" s="1" t="n">
        <v>45811</v>
      </c>
      <c r="D607" t="inlineStr">
        <is>
          <t>GÄVLEBORGS LÄN</t>
        </is>
      </c>
      <c r="E607" t="inlineStr">
        <is>
          <t>LJUSDAL</t>
        </is>
      </c>
      <c r="F607" t="inlineStr">
        <is>
          <t>Sveaskog</t>
        </is>
      </c>
      <c r="G607" t="n">
        <v>5.4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41742-2020</t>
        </is>
      </c>
      <c r="B608" s="1" t="n">
        <v>44074</v>
      </c>
      <c r="C608" s="1" t="n">
        <v>45811</v>
      </c>
      <c r="D608" t="inlineStr">
        <is>
          <t>GÄVLEBORGS LÄN</t>
        </is>
      </c>
      <c r="E608" t="inlineStr">
        <is>
          <t>LJUSDAL</t>
        </is>
      </c>
      <c r="F608" t="inlineStr">
        <is>
          <t>Sveaskog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42006-2020</t>
        </is>
      </c>
      <c r="B609" s="1" t="n">
        <v>44075</v>
      </c>
      <c r="C609" s="1" t="n">
        <v>45811</v>
      </c>
      <c r="D609" t="inlineStr">
        <is>
          <t>GÄVLEBORGS LÄN</t>
        </is>
      </c>
      <c r="E609" t="inlineStr">
        <is>
          <t>LJUSDAL</t>
        </is>
      </c>
      <c r="F609" t="inlineStr">
        <is>
          <t>Sveaskog</t>
        </is>
      </c>
      <c r="G609" t="n">
        <v>4.4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42007-2020</t>
        </is>
      </c>
      <c r="B610" s="1" t="n">
        <v>44075</v>
      </c>
      <c r="C610" s="1" t="n">
        <v>45811</v>
      </c>
      <c r="D610" t="inlineStr">
        <is>
          <t>GÄVLEBORGS LÄN</t>
        </is>
      </c>
      <c r="E610" t="inlineStr">
        <is>
          <t>LJUSDAL</t>
        </is>
      </c>
      <c r="F610" t="inlineStr">
        <is>
          <t>Sveaskog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42332-2020</t>
        </is>
      </c>
      <c r="B611" s="1" t="n">
        <v>44076</v>
      </c>
      <c r="C611" s="1" t="n">
        <v>45811</v>
      </c>
      <c r="D611" t="inlineStr">
        <is>
          <t>GÄVLEBORGS LÄN</t>
        </is>
      </c>
      <c r="E611" t="inlineStr">
        <is>
          <t>LJUSDAL</t>
        </is>
      </c>
      <c r="F611" t="inlineStr">
        <is>
          <t>Bergvik skog väst AB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42504-2020</t>
        </is>
      </c>
      <c r="B612" s="1" t="n">
        <v>44077</v>
      </c>
      <c r="C612" s="1" t="n">
        <v>45811</v>
      </c>
      <c r="D612" t="inlineStr">
        <is>
          <t>GÄVLEBORGS LÄN</t>
        </is>
      </c>
      <c r="E612" t="inlineStr">
        <is>
          <t>LJUSDAL</t>
        </is>
      </c>
      <c r="F612" t="inlineStr">
        <is>
          <t>Holmen skog AB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42782-2020</t>
        </is>
      </c>
      <c r="B613" s="1" t="n">
        <v>44078</v>
      </c>
      <c r="C613" s="1" t="n">
        <v>45811</v>
      </c>
      <c r="D613" t="inlineStr">
        <is>
          <t>GÄVLEBORGS LÄN</t>
        </is>
      </c>
      <c r="E613" t="inlineStr">
        <is>
          <t>LJUSDAL</t>
        </is>
      </c>
      <c r="F613" t="inlineStr">
        <is>
          <t>Sveaskog</t>
        </is>
      </c>
      <c r="G613" t="n">
        <v>0.4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43723-2020</t>
        </is>
      </c>
      <c r="B614" s="1" t="n">
        <v>44078</v>
      </c>
      <c r="C614" s="1" t="n">
        <v>45811</v>
      </c>
      <c r="D614" t="inlineStr">
        <is>
          <t>GÄVLEBORGS LÄN</t>
        </is>
      </c>
      <c r="E614" t="inlineStr">
        <is>
          <t>LJUSDAL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42844-2020</t>
        </is>
      </c>
      <c r="B615" s="1" t="n">
        <v>44078</v>
      </c>
      <c r="C615" s="1" t="n">
        <v>45811</v>
      </c>
      <c r="D615" t="inlineStr">
        <is>
          <t>GÄVLEBORGS LÄN</t>
        </is>
      </c>
      <c r="E615" t="inlineStr">
        <is>
          <t>LJUSDAL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43144-2020</t>
        </is>
      </c>
      <c r="B616" s="1" t="n">
        <v>44080</v>
      </c>
      <c r="C616" s="1" t="n">
        <v>45811</v>
      </c>
      <c r="D616" t="inlineStr">
        <is>
          <t>GÄVLEBORGS LÄN</t>
        </is>
      </c>
      <c r="E616" t="inlineStr">
        <is>
          <t>LJUSDAL</t>
        </is>
      </c>
      <c r="F616" t="inlineStr">
        <is>
          <t>Sveaskog</t>
        </is>
      </c>
      <c r="G616" t="n">
        <v>3.6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43370-2020</t>
        </is>
      </c>
      <c r="B617" s="1" t="n">
        <v>44081</v>
      </c>
      <c r="C617" s="1" t="n">
        <v>45811</v>
      </c>
      <c r="D617" t="inlineStr">
        <is>
          <t>GÄVLEBORGS LÄN</t>
        </is>
      </c>
      <c r="E617" t="inlineStr">
        <is>
          <t>LJUSDAL</t>
        </is>
      </c>
      <c r="F617" t="inlineStr">
        <is>
          <t>Sveaskog</t>
        </is>
      </c>
      <c r="G617" t="n">
        <v>10.1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43376-2020</t>
        </is>
      </c>
      <c r="B618" s="1" t="n">
        <v>44081</v>
      </c>
      <c r="C618" s="1" t="n">
        <v>45811</v>
      </c>
      <c r="D618" t="inlineStr">
        <is>
          <t>GÄVLEBORGS LÄN</t>
        </is>
      </c>
      <c r="E618" t="inlineStr">
        <is>
          <t>LJUSDAL</t>
        </is>
      </c>
      <c r="F618" t="inlineStr">
        <is>
          <t>Sveaskog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43491-2020</t>
        </is>
      </c>
      <c r="B619" s="1" t="n">
        <v>44082</v>
      </c>
      <c r="C619" s="1" t="n">
        <v>45811</v>
      </c>
      <c r="D619" t="inlineStr">
        <is>
          <t>GÄVLEBORGS LÄN</t>
        </is>
      </c>
      <c r="E619" t="inlineStr">
        <is>
          <t>LJUSDAL</t>
        </is>
      </c>
      <c r="F619" t="inlineStr">
        <is>
          <t>Sveaskog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43487-2020</t>
        </is>
      </c>
      <c r="B620" s="1" t="n">
        <v>44082</v>
      </c>
      <c r="C620" s="1" t="n">
        <v>45811</v>
      </c>
      <c r="D620" t="inlineStr">
        <is>
          <t>GÄVLEBORGS LÄN</t>
        </is>
      </c>
      <c r="E620" t="inlineStr">
        <is>
          <t>LJUSDAL</t>
        </is>
      </c>
      <c r="F620" t="inlineStr">
        <is>
          <t>Sveaskog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43544-2020</t>
        </is>
      </c>
      <c r="B621" s="1" t="n">
        <v>44082</v>
      </c>
      <c r="C621" s="1" t="n">
        <v>45811</v>
      </c>
      <c r="D621" t="inlineStr">
        <is>
          <t>GÄVLEBORGS LÄN</t>
        </is>
      </c>
      <c r="E621" t="inlineStr">
        <is>
          <t>LJUSDAL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43867-2020</t>
        </is>
      </c>
      <c r="B622" s="1" t="n">
        <v>44083</v>
      </c>
      <c r="C622" s="1" t="n">
        <v>45811</v>
      </c>
      <c r="D622" t="inlineStr">
        <is>
          <t>GÄVLEBORGS LÄN</t>
        </is>
      </c>
      <c r="E622" t="inlineStr">
        <is>
          <t>LJUSDAL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44376-2020</t>
        </is>
      </c>
      <c r="B623" s="1" t="n">
        <v>44084</v>
      </c>
      <c r="C623" s="1" t="n">
        <v>45811</v>
      </c>
      <c r="D623" t="inlineStr">
        <is>
          <t>GÄVLEBORGS LÄN</t>
        </is>
      </c>
      <c r="E623" t="inlineStr">
        <is>
          <t>LJUSDAL</t>
        </is>
      </c>
      <c r="F623" t="inlineStr">
        <is>
          <t>Holmen skog AB</t>
        </is>
      </c>
      <c r="G623" t="n">
        <v>4.7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44552-2020</t>
        </is>
      </c>
      <c r="B624" s="1" t="n">
        <v>44085</v>
      </c>
      <c r="C624" s="1" t="n">
        <v>45811</v>
      </c>
      <c r="D624" t="inlineStr">
        <is>
          <t>GÄVLEBORGS LÄN</t>
        </is>
      </c>
      <c r="E624" t="inlineStr">
        <is>
          <t>LJUSDAL</t>
        </is>
      </c>
      <c r="F624" t="inlineStr">
        <is>
          <t>Bergvik skog väst AB</t>
        </is>
      </c>
      <c r="G624" t="n">
        <v>8.6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44805-2020</t>
        </is>
      </c>
      <c r="B625" s="1" t="n">
        <v>44085</v>
      </c>
      <c r="C625" s="1" t="n">
        <v>45811</v>
      </c>
      <c r="D625" t="inlineStr">
        <is>
          <t>GÄVLEBORGS LÄN</t>
        </is>
      </c>
      <c r="E625" t="inlineStr">
        <is>
          <t>LJUSDAL</t>
        </is>
      </c>
      <c r="G625" t="n">
        <v>3.6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44781-2020</t>
        </is>
      </c>
      <c r="B626" s="1" t="n">
        <v>44085</v>
      </c>
      <c r="C626" s="1" t="n">
        <v>45811</v>
      </c>
      <c r="D626" t="inlineStr">
        <is>
          <t>GÄVLEBORGS LÄN</t>
        </is>
      </c>
      <c r="E626" t="inlineStr">
        <is>
          <t>LJUSDAL</t>
        </is>
      </c>
      <c r="F626" t="inlineStr">
        <is>
          <t>Sveaskog</t>
        </is>
      </c>
      <c r="G626" t="n">
        <v>9.4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44777-2020</t>
        </is>
      </c>
      <c r="B627" s="1" t="n">
        <v>44085</v>
      </c>
      <c r="C627" s="1" t="n">
        <v>45811</v>
      </c>
      <c r="D627" t="inlineStr">
        <is>
          <t>GÄVLEBORGS LÄN</t>
        </is>
      </c>
      <c r="E627" t="inlineStr">
        <is>
          <t>LJUSDAL</t>
        </is>
      </c>
      <c r="F627" t="inlineStr">
        <is>
          <t>Sveaskog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44913-2020</t>
        </is>
      </c>
      <c r="B628" s="1" t="n">
        <v>44088</v>
      </c>
      <c r="C628" s="1" t="n">
        <v>45811</v>
      </c>
      <c r="D628" t="inlineStr">
        <is>
          <t>GÄVLEBORGS LÄN</t>
        </is>
      </c>
      <c r="E628" t="inlineStr">
        <is>
          <t>LJUSDAL</t>
        </is>
      </c>
      <c r="F628" t="inlineStr">
        <is>
          <t>Sveaskog</t>
        </is>
      </c>
      <c r="G628" t="n">
        <v>7.8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44904-2020</t>
        </is>
      </c>
      <c r="B629" s="1" t="n">
        <v>44088</v>
      </c>
      <c r="C629" s="1" t="n">
        <v>45811</v>
      </c>
      <c r="D629" t="inlineStr">
        <is>
          <t>GÄVLEBORGS LÄN</t>
        </is>
      </c>
      <c r="E629" t="inlineStr">
        <is>
          <t>LJUSDAL</t>
        </is>
      </c>
      <c r="F629" t="inlineStr">
        <is>
          <t>Sveaskog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45856-2020</t>
        </is>
      </c>
      <c r="B630" s="1" t="n">
        <v>44091</v>
      </c>
      <c r="C630" s="1" t="n">
        <v>45811</v>
      </c>
      <c r="D630" t="inlineStr">
        <is>
          <t>GÄVLEBORGS LÄN</t>
        </is>
      </c>
      <c r="E630" t="inlineStr">
        <is>
          <t>LJUSDAL</t>
        </is>
      </c>
      <c r="F630" t="inlineStr">
        <is>
          <t>Sveaskog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46287-2020</t>
        </is>
      </c>
      <c r="B631" s="1" t="n">
        <v>44092</v>
      </c>
      <c r="C631" s="1" t="n">
        <v>45811</v>
      </c>
      <c r="D631" t="inlineStr">
        <is>
          <t>GÄVLEBORGS LÄN</t>
        </is>
      </c>
      <c r="E631" t="inlineStr">
        <is>
          <t>LJUSDAL</t>
        </is>
      </c>
      <c r="F631" t="inlineStr">
        <is>
          <t>Sveaskog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46288-2020</t>
        </is>
      </c>
      <c r="B632" s="1" t="n">
        <v>44092</v>
      </c>
      <c r="C632" s="1" t="n">
        <v>45811</v>
      </c>
      <c r="D632" t="inlineStr">
        <is>
          <t>GÄVLEBORGS LÄN</t>
        </is>
      </c>
      <c r="E632" t="inlineStr">
        <is>
          <t>LJUSDAL</t>
        </is>
      </c>
      <c r="F632" t="inlineStr">
        <is>
          <t>Holmen skog AB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46301-2020</t>
        </is>
      </c>
      <c r="B633" s="1" t="n">
        <v>44092</v>
      </c>
      <c r="C633" s="1" t="n">
        <v>45811</v>
      </c>
      <c r="D633" t="inlineStr">
        <is>
          <t>GÄVLEBORGS LÄN</t>
        </is>
      </c>
      <c r="E633" t="inlineStr">
        <is>
          <t>LJUSDAL</t>
        </is>
      </c>
      <c r="F633" t="inlineStr">
        <is>
          <t>Sveaskog</t>
        </is>
      </c>
      <c r="G633" t="n">
        <v>7.1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46293-2020</t>
        </is>
      </c>
      <c r="B634" s="1" t="n">
        <v>44092</v>
      </c>
      <c r="C634" s="1" t="n">
        <v>45811</v>
      </c>
      <c r="D634" t="inlineStr">
        <is>
          <t>GÄVLEBORGS LÄN</t>
        </is>
      </c>
      <c r="E634" t="inlineStr">
        <is>
          <t>LJUSDAL</t>
        </is>
      </c>
      <c r="F634" t="inlineStr">
        <is>
          <t>Sveaskog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46577-2020</t>
        </is>
      </c>
      <c r="B635" s="1" t="n">
        <v>44095</v>
      </c>
      <c r="C635" s="1" t="n">
        <v>45811</v>
      </c>
      <c r="D635" t="inlineStr">
        <is>
          <t>GÄVLEBORGS LÄN</t>
        </is>
      </c>
      <c r="E635" t="inlineStr">
        <is>
          <t>LJUSDAL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47899-2020</t>
        </is>
      </c>
      <c r="B636" s="1" t="n">
        <v>44099</v>
      </c>
      <c r="C636" s="1" t="n">
        <v>45811</v>
      </c>
      <c r="D636" t="inlineStr">
        <is>
          <t>GÄVLEBORGS LÄN</t>
        </is>
      </c>
      <c r="E636" t="inlineStr">
        <is>
          <t>LJUSDAL</t>
        </is>
      </c>
      <c r="F636" t="inlineStr">
        <is>
          <t>Sveaskog</t>
        </is>
      </c>
      <c r="G636" t="n">
        <v>5.2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47914-2020</t>
        </is>
      </c>
      <c r="B637" s="1" t="n">
        <v>44099</v>
      </c>
      <c r="C637" s="1" t="n">
        <v>45811</v>
      </c>
      <c r="D637" t="inlineStr">
        <is>
          <t>GÄVLEBORGS LÄN</t>
        </is>
      </c>
      <c r="E637" t="inlineStr">
        <is>
          <t>LJUSDAL</t>
        </is>
      </c>
      <c r="F637" t="inlineStr">
        <is>
          <t>Holmen skog AB</t>
        </is>
      </c>
      <c r="G637" t="n">
        <v>18.2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47893-2020</t>
        </is>
      </c>
      <c r="B638" s="1" t="n">
        <v>44099</v>
      </c>
      <c r="C638" s="1" t="n">
        <v>45811</v>
      </c>
      <c r="D638" t="inlineStr">
        <is>
          <t>GÄVLEBORGS LÄN</t>
        </is>
      </c>
      <c r="E638" t="inlineStr">
        <is>
          <t>LJUSDAL</t>
        </is>
      </c>
      <c r="F638" t="inlineStr">
        <is>
          <t>Sveaskog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48742-2020</t>
        </is>
      </c>
      <c r="B639" s="1" t="n">
        <v>44103</v>
      </c>
      <c r="C639" s="1" t="n">
        <v>45811</v>
      </c>
      <c r="D639" t="inlineStr">
        <is>
          <t>GÄVLEBORGS LÄN</t>
        </is>
      </c>
      <c r="E639" t="inlineStr">
        <is>
          <t>LJUSDAL</t>
        </is>
      </c>
      <c r="F639" t="inlineStr">
        <is>
          <t>Bergvik skog väst AB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48680-2020</t>
        </is>
      </c>
      <c r="B640" s="1" t="n">
        <v>44103</v>
      </c>
      <c r="C640" s="1" t="n">
        <v>45811</v>
      </c>
      <c r="D640" t="inlineStr">
        <is>
          <t>GÄVLEBORGS LÄN</t>
        </is>
      </c>
      <c r="E640" t="inlineStr">
        <is>
          <t>LJUSDAL</t>
        </is>
      </c>
      <c r="F640" t="inlineStr">
        <is>
          <t>Holmen skog AB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48905-2020</t>
        </is>
      </c>
      <c r="B641" s="1" t="n">
        <v>44104</v>
      </c>
      <c r="C641" s="1" t="n">
        <v>45811</v>
      </c>
      <c r="D641" t="inlineStr">
        <is>
          <t>GÄVLEBORGS LÄN</t>
        </is>
      </c>
      <c r="E641" t="inlineStr">
        <is>
          <t>LJUSDAL</t>
        </is>
      </c>
      <c r="F641" t="inlineStr">
        <is>
          <t>Sveaskog</t>
        </is>
      </c>
      <c r="G641" t="n">
        <v>0.2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49687-2020</t>
        </is>
      </c>
      <c r="B642" s="1" t="n">
        <v>44106</v>
      </c>
      <c r="C642" s="1" t="n">
        <v>45811</v>
      </c>
      <c r="D642" t="inlineStr">
        <is>
          <t>GÄVLEBORGS LÄN</t>
        </is>
      </c>
      <c r="E642" t="inlineStr">
        <is>
          <t>LJUSDAL</t>
        </is>
      </c>
      <c r="F642" t="inlineStr">
        <is>
          <t>Holmen skog AB</t>
        </is>
      </c>
      <c r="G642" t="n">
        <v>4.4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49807-2020</t>
        </is>
      </c>
      <c r="B643" s="1" t="n">
        <v>44106</v>
      </c>
      <c r="C643" s="1" t="n">
        <v>45811</v>
      </c>
      <c r="D643" t="inlineStr">
        <is>
          <t>GÄVLEBORGS LÄN</t>
        </is>
      </c>
      <c r="E643" t="inlineStr">
        <is>
          <t>LJUSDAL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49810-2020</t>
        </is>
      </c>
      <c r="B644" s="1" t="n">
        <v>44106</v>
      </c>
      <c r="C644" s="1" t="n">
        <v>45811</v>
      </c>
      <c r="D644" t="inlineStr">
        <is>
          <t>GÄVLEBORGS LÄN</t>
        </is>
      </c>
      <c r="E644" t="inlineStr">
        <is>
          <t>LJUSDAL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49886-2020</t>
        </is>
      </c>
      <c r="B645" s="1" t="n">
        <v>44108</v>
      </c>
      <c r="C645" s="1" t="n">
        <v>45811</v>
      </c>
      <c r="D645" t="inlineStr">
        <is>
          <t>GÄVLEBORGS LÄN</t>
        </is>
      </c>
      <c r="E645" t="inlineStr">
        <is>
          <t>LJUSDAL</t>
        </is>
      </c>
      <c r="G645" t="n">
        <v>3.1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49924-2020</t>
        </is>
      </c>
      <c r="B646" s="1" t="n">
        <v>44109</v>
      </c>
      <c r="C646" s="1" t="n">
        <v>45811</v>
      </c>
      <c r="D646" t="inlineStr">
        <is>
          <t>GÄVLEBORGS LÄN</t>
        </is>
      </c>
      <c r="E646" t="inlineStr">
        <is>
          <t>LJUSDAL</t>
        </is>
      </c>
      <c r="F646" t="inlineStr">
        <is>
          <t>Kommuner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49913-2020</t>
        </is>
      </c>
      <c r="B647" s="1" t="n">
        <v>44109</v>
      </c>
      <c r="C647" s="1" t="n">
        <v>45811</v>
      </c>
      <c r="D647" t="inlineStr">
        <is>
          <t>GÄVLEBORGS LÄN</t>
        </is>
      </c>
      <c r="E647" t="inlineStr">
        <is>
          <t>LJUSDAL</t>
        </is>
      </c>
      <c r="F647" t="inlineStr">
        <is>
          <t>Kommuner</t>
        </is>
      </c>
      <c r="G647" t="n">
        <v>6.7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50474-2020</t>
        </is>
      </c>
      <c r="B648" s="1" t="n">
        <v>44110</v>
      </c>
      <c r="C648" s="1" t="n">
        <v>45811</v>
      </c>
      <c r="D648" t="inlineStr">
        <is>
          <t>GÄVLEBORGS LÄN</t>
        </is>
      </c>
      <c r="E648" t="inlineStr">
        <is>
          <t>LJUSDAL</t>
        </is>
      </c>
      <c r="F648" t="inlineStr">
        <is>
          <t>Kommuner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50544-2020</t>
        </is>
      </c>
      <c r="B649" s="1" t="n">
        <v>44110</v>
      </c>
      <c r="C649" s="1" t="n">
        <v>45811</v>
      </c>
      <c r="D649" t="inlineStr">
        <is>
          <t>GÄVLEBORGS LÄN</t>
        </is>
      </c>
      <c r="E649" t="inlineStr">
        <is>
          <t>LJUSDAL</t>
        </is>
      </c>
      <c r="F649" t="inlineStr">
        <is>
          <t>Sveaskog</t>
        </is>
      </c>
      <c r="G649" t="n">
        <v>4.5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50689-2020</t>
        </is>
      </c>
      <c r="B650" s="1" t="n">
        <v>44111</v>
      </c>
      <c r="C650" s="1" t="n">
        <v>45811</v>
      </c>
      <c r="D650" t="inlineStr">
        <is>
          <t>GÄVLEBORGS LÄN</t>
        </is>
      </c>
      <c r="E650" t="inlineStr">
        <is>
          <t>LJUSDAL</t>
        </is>
      </c>
      <c r="F650" t="inlineStr">
        <is>
          <t>Sveaskog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51256-2020</t>
        </is>
      </c>
      <c r="B651" s="1" t="n">
        <v>44112</v>
      </c>
      <c r="C651" s="1" t="n">
        <v>45811</v>
      </c>
      <c r="D651" t="inlineStr">
        <is>
          <t>GÄVLEBORGS LÄN</t>
        </is>
      </c>
      <c r="E651" t="inlineStr">
        <is>
          <t>LJUSDAL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51306-2020</t>
        </is>
      </c>
      <c r="B652" s="1" t="n">
        <v>44112</v>
      </c>
      <c r="C652" s="1" t="n">
        <v>45811</v>
      </c>
      <c r="D652" t="inlineStr">
        <is>
          <t>GÄVLEBORGS LÄN</t>
        </is>
      </c>
      <c r="E652" t="inlineStr">
        <is>
          <t>LJUSDAL</t>
        </is>
      </c>
      <c r="F652" t="inlineStr">
        <is>
          <t>Kommuner</t>
        </is>
      </c>
      <c r="G652" t="n">
        <v>3.7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52304-2020</t>
        </is>
      </c>
      <c r="B653" s="1" t="n">
        <v>44112</v>
      </c>
      <c r="C653" s="1" t="n">
        <v>45811</v>
      </c>
      <c r="D653" t="inlineStr">
        <is>
          <t>GÄVLEBORGS LÄN</t>
        </is>
      </c>
      <c r="E653" t="inlineStr">
        <is>
          <t>LJUSDAL</t>
        </is>
      </c>
      <c r="F653" t="inlineStr">
        <is>
          <t>Sveaskog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51790-2020</t>
        </is>
      </c>
      <c r="B654" s="1" t="n">
        <v>44116</v>
      </c>
      <c r="C654" s="1" t="n">
        <v>45811</v>
      </c>
      <c r="D654" t="inlineStr">
        <is>
          <t>GÄVLEBORGS LÄN</t>
        </is>
      </c>
      <c r="E654" t="inlineStr">
        <is>
          <t>LJUSDAL</t>
        </is>
      </c>
      <c r="F654" t="inlineStr">
        <is>
          <t>Holmen skog AB</t>
        </is>
      </c>
      <c r="G654" t="n">
        <v>5.9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51780-2020</t>
        </is>
      </c>
      <c r="B655" s="1" t="n">
        <v>44116</v>
      </c>
      <c r="C655" s="1" t="n">
        <v>45811</v>
      </c>
      <c r="D655" t="inlineStr">
        <is>
          <t>GÄVLEBORGS LÄN</t>
        </is>
      </c>
      <c r="E655" t="inlineStr">
        <is>
          <t>LJUSDAL</t>
        </is>
      </c>
      <c r="F655" t="inlineStr">
        <is>
          <t>Sveaskog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51918-2020</t>
        </is>
      </c>
      <c r="B656" s="1" t="n">
        <v>44116</v>
      </c>
      <c r="C656" s="1" t="n">
        <v>45811</v>
      </c>
      <c r="D656" t="inlineStr">
        <is>
          <t>GÄVLEBORGS LÄN</t>
        </is>
      </c>
      <c r="E656" t="inlineStr">
        <is>
          <t>LJUSDAL</t>
        </is>
      </c>
      <c r="G656" t="n">
        <v>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51779-2020</t>
        </is>
      </c>
      <c r="B657" s="1" t="n">
        <v>44116</v>
      </c>
      <c r="C657" s="1" t="n">
        <v>45811</v>
      </c>
      <c r="D657" t="inlineStr">
        <is>
          <t>GÄVLEBORGS LÄN</t>
        </is>
      </c>
      <c r="E657" t="inlineStr">
        <is>
          <t>LJUSDAL</t>
        </is>
      </c>
      <c r="F657" t="inlineStr">
        <is>
          <t>Sveaskog</t>
        </is>
      </c>
      <c r="G657" t="n">
        <v>5.6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51781-2020</t>
        </is>
      </c>
      <c r="B658" s="1" t="n">
        <v>44116</v>
      </c>
      <c r="C658" s="1" t="n">
        <v>45811</v>
      </c>
      <c r="D658" t="inlineStr">
        <is>
          <t>GÄVLEBORGS LÄN</t>
        </is>
      </c>
      <c r="E658" t="inlineStr">
        <is>
          <t>LJUSDAL</t>
        </is>
      </c>
      <c r="F658" t="inlineStr">
        <is>
          <t>Sveaskog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52772-2020</t>
        </is>
      </c>
      <c r="B659" s="1" t="n">
        <v>44119</v>
      </c>
      <c r="C659" s="1" t="n">
        <v>45811</v>
      </c>
      <c r="D659" t="inlineStr">
        <is>
          <t>GÄVLEBORGS LÄN</t>
        </is>
      </c>
      <c r="E659" t="inlineStr">
        <is>
          <t>LJUSDAL</t>
        </is>
      </c>
      <c r="F659" t="inlineStr">
        <is>
          <t>Sveaskog</t>
        </is>
      </c>
      <c r="G659" t="n">
        <v>5.4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52767-2020</t>
        </is>
      </c>
      <c r="B660" s="1" t="n">
        <v>44119</v>
      </c>
      <c r="C660" s="1" t="n">
        <v>45811</v>
      </c>
      <c r="D660" t="inlineStr">
        <is>
          <t>GÄVLEBORGS LÄN</t>
        </is>
      </c>
      <c r="E660" t="inlineStr">
        <is>
          <t>LJUSDAL</t>
        </is>
      </c>
      <c r="F660" t="inlineStr">
        <is>
          <t>Sveaskog</t>
        </is>
      </c>
      <c r="G660" t="n">
        <v>5.1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52774-2020</t>
        </is>
      </c>
      <c r="B661" s="1" t="n">
        <v>44119</v>
      </c>
      <c r="C661" s="1" t="n">
        <v>45811</v>
      </c>
      <c r="D661" t="inlineStr">
        <is>
          <t>GÄVLEBORGS LÄN</t>
        </is>
      </c>
      <c r="E661" t="inlineStr">
        <is>
          <t>LJUSDAL</t>
        </is>
      </c>
      <c r="F661" t="inlineStr">
        <is>
          <t>Sveaskog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53071-2020</t>
        </is>
      </c>
      <c r="B662" s="1" t="n">
        <v>44120</v>
      </c>
      <c r="C662" s="1" t="n">
        <v>45811</v>
      </c>
      <c r="D662" t="inlineStr">
        <is>
          <t>GÄVLEBORGS LÄN</t>
        </is>
      </c>
      <c r="E662" t="inlineStr">
        <is>
          <t>LJUSDAL</t>
        </is>
      </c>
      <c r="F662" t="inlineStr">
        <is>
          <t>Sveaskog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53218-2020</t>
        </is>
      </c>
      <c r="B663" s="1" t="n">
        <v>44123</v>
      </c>
      <c r="C663" s="1" t="n">
        <v>45811</v>
      </c>
      <c r="D663" t="inlineStr">
        <is>
          <t>GÄVLEBORGS LÄN</t>
        </is>
      </c>
      <c r="E663" t="inlineStr">
        <is>
          <t>LJUSDAL</t>
        </is>
      </c>
      <c r="F663" t="inlineStr">
        <is>
          <t>Sveaskog</t>
        </is>
      </c>
      <c r="G663" t="n">
        <v>4.4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53529-2020</t>
        </is>
      </c>
      <c r="B664" s="1" t="n">
        <v>44124</v>
      </c>
      <c r="C664" s="1" t="n">
        <v>45811</v>
      </c>
      <c r="D664" t="inlineStr">
        <is>
          <t>GÄVLEBORGS LÄN</t>
        </is>
      </c>
      <c r="E664" t="inlineStr">
        <is>
          <t>LJUSDAL</t>
        </is>
      </c>
      <c r="F664" t="inlineStr">
        <is>
          <t>Sveaskog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53508-2020</t>
        </is>
      </c>
      <c r="B665" s="1" t="n">
        <v>44124</v>
      </c>
      <c r="C665" s="1" t="n">
        <v>45811</v>
      </c>
      <c r="D665" t="inlineStr">
        <is>
          <t>GÄVLEBORGS LÄN</t>
        </is>
      </c>
      <c r="E665" t="inlineStr">
        <is>
          <t>LJUSDAL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54136-2020</t>
        </is>
      </c>
      <c r="B666" s="1" t="n">
        <v>44125</v>
      </c>
      <c r="C666" s="1" t="n">
        <v>45811</v>
      </c>
      <c r="D666" t="inlineStr">
        <is>
          <t>GÄVLEBORGS LÄN</t>
        </is>
      </c>
      <c r="E666" t="inlineStr">
        <is>
          <t>LJUSDAL</t>
        </is>
      </c>
      <c r="F666" t="inlineStr">
        <is>
          <t>Sveaskog</t>
        </is>
      </c>
      <c r="G666" t="n">
        <v>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53970-2020</t>
        </is>
      </c>
      <c r="B667" s="1" t="n">
        <v>44125</v>
      </c>
      <c r="C667" s="1" t="n">
        <v>45811</v>
      </c>
      <c r="D667" t="inlineStr">
        <is>
          <t>GÄVLEBORGS LÄN</t>
        </is>
      </c>
      <c r="E667" t="inlineStr">
        <is>
          <t>LJUSDAL</t>
        </is>
      </c>
      <c r="G667" t="n">
        <v>6.4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54133-2020</t>
        </is>
      </c>
      <c r="B668" s="1" t="n">
        <v>44125</v>
      </c>
      <c r="C668" s="1" t="n">
        <v>45811</v>
      </c>
      <c r="D668" t="inlineStr">
        <is>
          <t>GÄVLEBORGS LÄN</t>
        </is>
      </c>
      <c r="E668" t="inlineStr">
        <is>
          <t>LJUSDAL</t>
        </is>
      </c>
      <c r="F668" t="inlineStr">
        <is>
          <t>Sveaskog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53850-2020</t>
        </is>
      </c>
      <c r="B669" s="1" t="n">
        <v>44125</v>
      </c>
      <c r="C669" s="1" t="n">
        <v>45811</v>
      </c>
      <c r="D669" t="inlineStr">
        <is>
          <t>GÄVLEBORGS LÄN</t>
        </is>
      </c>
      <c r="E669" t="inlineStr">
        <is>
          <t>LJUSDAL</t>
        </is>
      </c>
      <c r="F669" t="inlineStr">
        <is>
          <t>Sveaskog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54475-2020</t>
        </is>
      </c>
      <c r="B670" s="1" t="n">
        <v>44126</v>
      </c>
      <c r="C670" s="1" t="n">
        <v>45811</v>
      </c>
      <c r="D670" t="inlineStr">
        <is>
          <t>GÄVLEBORGS LÄN</t>
        </is>
      </c>
      <c r="E670" t="inlineStr">
        <is>
          <t>LJUSDAL</t>
        </is>
      </c>
      <c r="F670" t="inlineStr">
        <is>
          <t>Bergvik skog väst AB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54472-2020</t>
        </is>
      </c>
      <c r="B671" s="1" t="n">
        <v>44126</v>
      </c>
      <c r="C671" s="1" t="n">
        <v>45811</v>
      </c>
      <c r="D671" t="inlineStr">
        <is>
          <t>GÄVLEBORGS LÄN</t>
        </is>
      </c>
      <c r="E671" t="inlineStr">
        <is>
          <t>LJUSDAL</t>
        </is>
      </c>
      <c r="F671" t="inlineStr">
        <is>
          <t>Bergvik skog väst AB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54324-2020</t>
        </is>
      </c>
      <c r="B672" s="1" t="n">
        <v>44126</v>
      </c>
      <c r="C672" s="1" t="n">
        <v>45811</v>
      </c>
      <c r="D672" t="inlineStr">
        <is>
          <t>GÄVLEBORGS LÄN</t>
        </is>
      </c>
      <c r="E672" t="inlineStr">
        <is>
          <t>LJUSDAL</t>
        </is>
      </c>
      <c r="F672" t="inlineStr">
        <is>
          <t>Sveaskog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54595-2020</t>
        </is>
      </c>
      <c r="B673" s="1" t="n">
        <v>44126</v>
      </c>
      <c r="C673" s="1" t="n">
        <v>45811</v>
      </c>
      <c r="D673" t="inlineStr">
        <is>
          <t>GÄVLEBORGS LÄN</t>
        </is>
      </c>
      <c r="E673" t="inlineStr">
        <is>
          <t>LJUSDAL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57826-2020</t>
        </is>
      </c>
      <c r="B674" s="1" t="n">
        <v>44141</v>
      </c>
      <c r="C674" s="1" t="n">
        <v>45811</v>
      </c>
      <c r="D674" t="inlineStr">
        <is>
          <t>GÄVLEBORGS LÄN</t>
        </is>
      </c>
      <c r="E674" t="inlineStr">
        <is>
          <t>LJUSDAL</t>
        </is>
      </c>
      <c r="F674" t="inlineStr">
        <is>
          <t>Holmen skog AB</t>
        </is>
      </c>
      <c r="G674" t="n">
        <v>16.8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58122-2020</t>
        </is>
      </c>
      <c r="B675" s="1" t="n">
        <v>44144</v>
      </c>
      <c r="C675" s="1" t="n">
        <v>45811</v>
      </c>
      <c r="D675" t="inlineStr">
        <is>
          <t>GÄVLEBORGS LÄN</t>
        </is>
      </c>
      <c r="E675" t="inlineStr">
        <is>
          <t>LJUSDAL</t>
        </is>
      </c>
      <c r="F675" t="inlineStr">
        <is>
          <t>Bergvik skog väst AB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58511-2020</t>
        </is>
      </c>
      <c r="B676" s="1" t="n">
        <v>44145</v>
      </c>
      <c r="C676" s="1" t="n">
        <v>45811</v>
      </c>
      <c r="D676" t="inlineStr">
        <is>
          <t>GÄVLEBORGS LÄN</t>
        </is>
      </c>
      <c r="E676" t="inlineStr">
        <is>
          <t>LJUSDAL</t>
        </is>
      </c>
      <c r="F676" t="inlineStr">
        <is>
          <t>Holmen skog AB</t>
        </is>
      </c>
      <c r="G676" t="n">
        <v>11.1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58684-2020</t>
        </is>
      </c>
      <c r="B677" s="1" t="n">
        <v>44146</v>
      </c>
      <c r="C677" s="1" t="n">
        <v>45811</v>
      </c>
      <c r="D677" t="inlineStr">
        <is>
          <t>GÄVLEBORGS LÄN</t>
        </is>
      </c>
      <c r="E677" t="inlineStr">
        <is>
          <t>LJUSDAL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59057-2020</t>
        </is>
      </c>
      <c r="B678" s="1" t="n">
        <v>44147</v>
      </c>
      <c r="C678" s="1" t="n">
        <v>45811</v>
      </c>
      <c r="D678" t="inlineStr">
        <is>
          <t>GÄVLEBORGS LÄN</t>
        </is>
      </c>
      <c r="E678" t="inlineStr">
        <is>
          <t>LJUSDAL</t>
        </is>
      </c>
      <c r="F678" t="inlineStr">
        <is>
          <t>Holmen skog AB</t>
        </is>
      </c>
      <c r="G678" t="n">
        <v>8.300000000000001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59803-2020</t>
        </is>
      </c>
      <c r="B679" s="1" t="n">
        <v>44148</v>
      </c>
      <c r="C679" s="1" t="n">
        <v>45811</v>
      </c>
      <c r="D679" t="inlineStr">
        <is>
          <t>GÄVLEBORGS LÄN</t>
        </is>
      </c>
      <c r="E679" t="inlineStr">
        <is>
          <t>LJUSDAL</t>
        </is>
      </c>
      <c r="F679" t="inlineStr">
        <is>
          <t>Sveaskog</t>
        </is>
      </c>
      <c r="G679" t="n">
        <v>3.5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59646-2020</t>
        </is>
      </c>
      <c r="B680" s="1" t="n">
        <v>44150</v>
      </c>
      <c r="C680" s="1" t="n">
        <v>45811</v>
      </c>
      <c r="D680" t="inlineStr">
        <is>
          <t>GÄVLEBORGS LÄN</t>
        </is>
      </c>
      <c r="E680" t="inlineStr">
        <is>
          <t>LJUSDAL</t>
        </is>
      </c>
      <c r="F680" t="inlineStr">
        <is>
          <t>Bergvik skog väst AB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59924-2020</t>
        </is>
      </c>
      <c r="B681" s="1" t="n">
        <v>44151</v>
      </c>
      <c r="C681" s="1" t="n">
        <v>45811</v>
      </c>
      <c r="D681" t="inlineStr">
        <is>
          <t>GÄVLEBORGS LÄN</t>
        </is>
      </c>
      <c r="E681" t="inlineStr">
        <is>
          <t>LJUSDAL</t>
        </is>
      </c>
      <c r="F681" t="inlineStr">
        <is>
          <t>Sveaskog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62191-2020</t>
        </is>
      </c>
      <c r="B682" s="1" t="n">
        <v>44159</v>
      </c>
      <c r="C682" s="1" t="n">
        <v>45811</v>
      </c>
      <c r="D682" t="inlineStr">
        <is>
          <t>GÄVLEBORGS LÄN</t>
        </is>
      </c>
      <c r="E682" t="inlineStr">
        <is>
          <t>LJUSDAL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62426-2020</t>
        </is>
      </c>
      <c r="B683" s="1" t="n">
        <v>44160</v>
      </c>
      <c r="C683" s="1" t="n">
        <v>45811</v>
      </c>
      <c r="D683" t="inlineStr">
        <is>
          <t>GÄVLEBORGS LÄN</t>
        </is>
      </c>
      <c r="E683" t="inlineStr">
        <is>
          <t>LJUSDAL</t>
        </is>
      </c>
      <c r="F683" t="inlineStr">
        <is>
          <t>Holmen skog AB</t>
        </is>
      </c>
      <c r="G683" t="n">
        <v>14.7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62829-2020</t>
        </is>
      </c>
      <c r="B684" s="1" t="n">
        <v>44161</v>
      </c>
      <c r="C684" s="1" t="n">
        <v>45811</v>
      </c>
      <c r="D684" t="inlineStr">
        <is>
          <t>GÄVLEBORGS LÄN</t>
        </is>
      </c>
      <c r="E684" t="inlineStr">
        <is>
          <t>LJUSDAL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62947-2020</t>
        </is>
      </c>
      <c r="B685" s="1" t="n">
        <v>44162</v>
      </c>
      <c r="C685" s="1" t="n">
        <v>45811</v>
      </c>
      <c r="D685" t="inlineStr">
        <is>
          <t>GÄVLEBORGS LÄN</t>
        </is>
      </c>
      <c r="E685" t="inlineStr">
        <is>
          <t>LJUSDAL</t>
        </is>
      </c>
      <c r="F685" t="inlineStr">
        <is>
          <t>Holmen skog AB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63081-2020</t>
        </is>
      </c>
      <c r="B686" s="1" t="n">
        <v>44162</v>
      </c>
      <c r="C686" s="1" t="n">
        <v>45811</v>
      </c>
      <c r="D686" t="inlineStr">
        <is>
          <t>GÄVLEBORGS LÄN</t>
        </is>
      </c>
      <c r="E686" t="inlineStr">
        <is>
          <t>LJUSDAL</t>
        </is>
      </c>
      <c r="F686" t="inlineStr">
        <is>
          <t>Sveaskog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64307-2020</t>
        </is>
      </c>
      <c r="B687" s="1" t="n">
        <v>44166</v>
      </c>
      <c r="C687" s="1" t="n">
        <v>45811</v>
      </c>
      <c r="D687" t="inlineStr">
        <is>
          <t>GÄVLEBORGS LÄN</t>
        </is>
      </c>
      <c r="E687" t="inlineStr">
        <is>
          <t>LJUSDAL</t>
        </is>
      </c>
      <c r="G687" t="n">
        <v>9.1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64040-2020</t>
        </is>
      </c>
      <c r="B688" s="1" t="n">
        <v>44167</v>
      </c>
      <c r="C688" s="1" t="n">
        <v>45811</v>
      </c>
      <c r="D688" t="inlineStr">
        <is>
          <t>GÄVLEBORGS LÄN</t>
        </is>
      </c>
      <c r="E688" t="inlineStr">
        <is>
          <t>LJUSDAL</t>
        </is>
      </c>
      <c r="F688" t="inlineStr">
        <is>
          <t>Bergvik skog väst AB</t>
        </is>
      </c>
      <c r="G688" t="n">
        <v>3.8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65862-2020</t>
        </is>
      </c>
      <c r="B689" s="1" t="n">
        <v>44174</v>
      </c>
      <c r="C689" s="1" t="n">
        <v>45811</v>
      </c>
      <c r="D689" t="inlineStr">
        <is>
          <t>GÄVLEBORGS LÄN</t>
        </is>
      </c>
      <c r="E689" t="inlineStr">
        <is>
          <t>LJUSDAL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65865-2020</t>
        </is>
      </c>
      <c r="B690" s="1" t="n">
        <v>44174</v>
      </c>
      <c r="C690" s="1" t="n">
        <v>45811</v>
      </c>
      <c r="D690" t="inlineStr">
        <is>
          <t>GÄVLEBORGS LÄN</t>
        </is>
      </c>
      <c r="E690" t="inlineStr">
        <is>
          <t>LJUSDAL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66279-2020</t>
        </is>
      </c>
      <c r="B691" s="1" t="n">
        <v>44176</v>
      </c>
      <c r="C691" s="1" t="n">
        <v>45811</v>
      </c>
      <c r="D691" t="inlineStr">
        <is>
          <t>GÄVLEBORGS LÄN</t>
        </is>
      </c>
      <c r="E691" t="inlineStr">
        <is>
          <t>LJUSDAL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66735-2020</t>
        </is>
      </c>
      <c r="B692" s="1" t="n">
        <v>44179</v>
      </c>
      <c r="C692" s="1" t="n">
        <v>45811</v>
      </c>
      <c r="D692" t="inlineStr">
        <is>
          <t>GÄVLEBORGS LÄN</t>
        </is>
      </c>
      <c r="E692" t="inlineStr">
        <is>
          <t>LJUSDAL</t>
        </is>
      </c>
      <c r="F692" t="inlineStr">
        <is>
          <t>Holmen skog AB</t>
        </is>
      </c>
      <c r="G692" t="n">
        <v>12.6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67171-2020</t>
        </is>
      </c>
      <c r="B693" s="1" t="n">
        <v>44180</v>
      </c>
      <c r="C693" s="1" t="n">
        <v>45811</v>
      </c>
      <c r="D693" t="inlineStr">
        <is>
          <t>GÄVLEBORGS LÄN</t>
        </is>
      </c>
      <c r="E693" t="inlineStr">
        <is>
          <t>LJUSDAL</t>
        </is>
      </c>
      <c r="F693" t="inlineStr">
        <is>
          <t>Sveaskog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69571-2020</t>
        </is>
      </c>
      <c r="B694" s="1" t="n">
        <v>44194</v>
      </c>
      <c r="C694" s="1" t="n">
        <v>45811</v>
      </c>
      <c r="D694" t="inlineStr">
        <is>
          <t>GÄVLEBORGS LÄN</t>
        </is>
      </c>
      <c r="E694" t="inlineStr">
        <is>
          <t>LJUSDAL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  <c r="U694">
        <f>HYPERLINK("https://klasma.github.io/Logging_2161/knärot/A 69571-2020 karta knärot.png", "A 69571-2020")</f>
        <v/>
      </c>
      <c r="V694">
        <f>HYPERLINK("https://klasma.github.io/Logging_2161/klagomål/A 69571-2020 FSC-klagomål.docx", "A 69571-2020")</f>
        <v/>
      </c>
      <c r="W694">
        <f>HYPERLINK("https://klasma.github.io/Logging_2161/klagomålsmail/A 69571-2020 FSC-klagomål mail.docx", "A 69571-2020")</f>
        <v/>
      </c>
      <c r="X694">
        <f>HYPERLINK("https://klasma.github.io/Logging_2161/tillsyn/A 69571-2020 tillsynsbegäran.docx", "A 69571-2020")</f>
        <v/>
      </c>
      <c r="Y694">
        <f>HYPERLINK("https://klasma.github.io/Logging_2161/tillsynsmail/A 69571-2020 tillsynsbegäran mail.docx", "A 69571-2020")</f>
        <v/>
      </c>
    </row>
    <row r="695" ht="15" customHeight="1">
      <c r="A695" t="inlineStr">
        <is>
          <t>A 69569-2020</t>
        </is>
      </c>
      <c r="B695" s="1" t="n">
        <v>44194</v>
      </c>
      <c r="C695" s="1" t="n">
        <v>45811</v>
      </c>
      <c r="D695" t="inlineStr">
        <is>
          <t>GÄVLEBORGS LÄN</t>
        </is>
      </c>
      <c r="E695" t="inlineStr">
        <is>
          <t>LJUSDAL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54-2021</t>
        </is>
      </c>
      <c r="B696" s="1" t="n">
        <v>44199</v>
      </c>
      <c r="C696" s="1" t="n">
        <v>45811</v>
      </c>
      <c r="D696" t="inlineStr">
        <is>
          <t>GÄVLEBORGS LÄN</t>
        </is>
      </c>
      <c r="E696" t="inlineStr">
        <is>
          <t>LJUSDAL</t>
        </is>
      </c>
      <c r="G696" t="n">
        <v>5.8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219-2021</t>
        </is>
      </c>
      <c r="B697" s="1" t="n">
        <v>44200</v>
      </c>
      <c r="C697" s="1" t="n">
        <v>45811</v>
      </c>
      <c r="D697" t="inlineStr">
        <is>
          <t>GÄVLEBORGS LÄN</t>
        </is>
      </c>
      <c r="E697" t="inlineStr">
        <is>
          <t>LJUSDAL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783-2021</t>
        </is>
      </c>
      <c r="B698" s="1" t="n">
        <v>44203</v>
      </c>
      <c r="C698" s="1" t="n">
        <v>45811</v>
      </c>
      <c r="D698" t="inlineStr">
        <is>
          <t>GÄVLEBORGS LÄN</t>
        </is>
      </c>
      <c r="E698" t="inlineStr">
        <is>
          <t>LJUSDAL</t>
        </is>
      </c>
      <c r="F698" t="inlineStr">
        <is>
          <t>Sveaskog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1196-2021</t>
        </is>
      </c>
      <c r="B699" s="1" t="n">
        <v>44208</v>
      </c>
      <c r="C699" s="1" t="n">
        <v>45811</v>
      </c>
      <c r="D699" t="inlineStr">
        <is>
          <t>GÄVLEBORGS LÄN</t>
        </is>
      </c>
      <c r="E699" t="inlineStr">
        <is>
          <t>LJUSDAL</t>
        </is>
      </c>
      <c r="F699" t="inlineStr">
        <is>
          <t>Holmen skog AB</t>
        </is>
      </c>
      <c r="G699" t="n">
        <v>3.1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3207-2021</t>
        </is>
      </c>
      <c r="B700" s="1" t="n">
        <v>44217</v>
      </c>
      <c r="C700" s="1" t="n">
        <v>45811</v>
      </c>
      <c r="D700" t="inlineStr">
        <is>
          <t>GÄVLEBORGS LÄN</t>
        </is>
      </c>
      <c r="E700" t="inlineStr">
        <is>
          <t>LJUSDAL</t>
        </is>
      </c>
      <c r="G700" t="n">
        <v>3.6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3663-2021</t>
        </is>
      </c>
      <c r="B701" s="1" t="n">
        <v>44221</v>
      </c>
      <c r="C701" s="1" t="n">
        <v>45811</v>
      </c>
      <c r="D701" t="inlineStr">
        <is>
          <t>GÄVLEBORGS LÄN</t>
        </is>
      </c>
      <c r="E701" t="inlineStr">
        <is>
          <t>LJUSDAL</t>
        </is>
      </c>
      <c r="G701" t="n">
        <v>6.8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4341-2021</t>
        </is>
      </c>
      <c r="B702" s="1" t="n">
        <v>44223</v>
      </c>
      <c r="C702" s="1" t="n">
        <v>45811</v>
      </c>
      <c r="D702" t="inlineStr">
        <is>
          <t>GÄVLEBORGS LÄN</t>
        </is>
      </c>
      <c r="E702" t="inlineStr">
        <is>
          <t>LJUSDAL</t>
        </is>
      </c>
      <c r="F702" t="inlineStr">
        <is>
          <t>Kommuner</t>
        </is>
      </c>
      <c r="G702" t="n">
        <v>7.9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5029-2021</t>
        </is>
      </c>
      <c r="B703" s="1" t="n">
        <v>44228</v>
      </c>
      <c r="C703" s="1" t="n">
        <v>45811</v>
      </c>
      <c r="D703" t="inlineStr">
        <is>
          <t>GÄVLEBORGS LÄN</t>
        </is>
      </c>
      <c r="E703" t="inlineStr">
        <is>
          <t>LJUSDAL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5431-2021</t>
        </is>
      </c>
      <c r="B704" s="1" t="n">
        <v>44229</v>
      </c>
      <c r="C704" s="1" t="n">
        <v>45811</v>
      </c>
      <c r="D704" t="inlineStr">
        <is>
          <t>GÄVLEBORGS LÄN</t>
        </is>
      </c>
      <c r="E704" t="inlineStr">
        <is>
          <t>LJUSDAL</t>
        </is>
      </c>
      <c r="G704" t="n">
        <v>5.8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6587-2021</t>
        </is>
      </c>
      <c r="B705" s="1" t="n">
        <v>44236</v>
      </c>
      <c r="C705" s="1" t="n">
        <v>45811</v>
      </c>
      <c r="D705" t="inlineStr">
        <is>
          <t>GÄVLEBORGS LÄN</t>
        </is>
      </c>
      <c r="E705" t="inlineStr">
        <is>
          <t>LJUSDAL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7358-2021</t>
        </is>
      </c>
      <c r="B706" s="1" t="n">
        <v>44239</v>
      </c>
      <c r="C706" s="1" t="n">
        <v>45811</v>
      </c>
      <c r="D706" t="inlineStr">
        <is>
          <t>GÄVLEBORGS LÄN</t>
        </is>
      </c>
      <c r="E706" t="inlineStr">
        <is>
          <t>LJUSDAL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7925-2021</t>
        </is>
      </c>
      <c r="B707" s="1" t="n">
        <v>44243</v>
      </c>
      <c r="C707" s="1" t="n">
        <v>45811</v>
      </c>
      <c r="D707" t="inlineStr">
        <is>
          <t>GÄVLEBORGS LÄN</t>
        </is>
      </c>
      <c r="E707" t="inlineStr">
        <is>
          <t>LJUSDAL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9288-2021</t>
        </is>
      </c>
      <c r="B708" s="1" t="n">
        <v>44250</v>
      </c>
      <c r="C708" s="1" t="n">
        <v>45811</v>
      </c>
      <c r="D708" t="inlineStr">
        <is>
          <t>GÄVLEBORGS LÄN</t>
        </is>
      </c>
      <c r="E708" t="inlineStr">
        <is>
          <t>LJUSDAL</t>
        </is>
      </c>
      <c r="G708" t="n">
        <v>5.5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9540-2021</t>
        </is>
      </c>
      <c r="B709" s="1" t="n">
        <v>44251</v>
      </c>
      <c r="C709" s="1" t="n">
        <v>45811</v>
      </c>
      <c r="D709" t="inlineStr">
        <is>
          <t>GÄVLEBORGS LÄN</t>
        </is>
      </c>
      <c r="E709" t="inlineStr">
        <is>
          <t>LJUSDAL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9714-2021</t>
        </is>
      </c>
      <c r="B710" s="1" t="n">
        <v>44252</v>
      </c>
      <c r="C710" s="1" t="n">
        <v>45811</v>
      </c>
      <c r="D710" t="inlineStr">
        <is>
          <t>GÄVLEBORGS LÄN</t>
        </is>
      </c>
      <c r="E710" t="inlineStr">
        <is>
          <t>LJUSDAL</t>
        </is>
      </c>
      <c r="F710" t="inlineStr">
        <is>
          <t>Bergvik skog väst AB</t>
        </is>
      </c>
      <c r="G710" t="n">
        <v>20.7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9982-2021</t>
        </is>
      </c>
      <c r="B711" s="1" t="n">
        <v>44253</v>
      </c>
      <c r="C711" s="1" t="n">
        <v>45811</v>
      </c>
      <c r="D711" t="inlineStr">
        <is>
          <t>GÄVLEBORGS LÄN</t>
        </is>
      </c>
      <c r="E711" t="inlineStr">
        <is>
          <t>LJUSDAL</t>
        </is>
      </c>
      <c r="G711" t="n">
        <v>3.4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10883-2021</t>
        </is>
      </c>
      <c r="B712" s="1" t="n">
        <v>44259</v>
      </c>
      <c r="C712" s="1" t="n">
        <v>45811</v>
      </c>
      <c r="D712" t="inlineStr">
        <is>
          <t>GÄVLEBORGS LÄN</t>
        </is>
      </c>
      <c r="E712" t="inlineStr">
        <is>
          <t>LJUSDAL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11766-2021</t>
        </is>
      </c>
      <c r="B713" s="1" t="n">
        <v>44265</v>
      </c>
      <c r="C713" s="1" t="n">
        <v>45811</v>
      </c>
      <c r="D713" t="inlineStr">
        <is>
          <t>GÄVLEBORGS LÄN</t>
        </is>
      </c>
      <c r="E713" t="inlineStr">
        <is>
          <t>LJUSDAL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11770-2021</t>
        </is>
      </c>
      <c r="B714" s="1" t="n">
        <v>44265</v>
      </c>
      <c r="C714" s="1" t="n">
        <v>45811</v>
      </c>
      <c r="D714" t="inlineStr">
        <is>
          <t>GÄVLEBORGS LÄN</t>
        </is>
      </c>
      <c r="E714" t="inlineStr">
        <is>
          <t>LJUSDAL</t>
        </is>
      </c>
      <c r="G714" t="n">
        <v>5.9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12012-2021</t>
        </is>
      </c>
      <c r="B715" s="1" t="n">
        <v>44266</v>
      </c>
      <c r="C715" s="1" t="n">
        <v>45811</v>
      </c>
      <c r="D715" t="inlineStr">
        <is>
          <t>GÄVLEBORGS LÄN</t>
        </is>
      </c>
      <c r="E715" t="inlineStr">
        <is>
          <t>LJUSDAL</t>
        </is>
      </c>
      <c r="F715" t="inlineStr">
        <is>
          <t>Bergvik skog väst AB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12330-2021</t>
        </is>
      </c>
      <c r="B716" s="1" t="n">
        <v>44267</v>
      </c>
      <c r="C716" s="1" t="n">
        <v>45811</v>
      </c>
      <c r="D716" t="inlineStr">
        <is>
          <t>GÄVLEBORGS LÄN</t>
        </is>
      </c>
      <c r="E716" t="inlineStr">
        <is>
          <t>LJUSDAL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12300-2021</t>
        </is>
      </c>
      <c r="B717" s="1" t="n">
        <v>44267</v>
      </c>
      <c r="C717" s="1" t="n">
        <v>45811</v>
      </c>
      <c r="D717" t="inlineStr">
        <is>
          <t>GÄVLEBORGS LÄN</t>
        </is>
      </c>
      <c r="E717" t="inlineStr">
        <is>
          <t>LJUSDAL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12390-2021</t>
        </is>
      </c>
      <c r="B718" s="1" t="n">
        <v>44267</v>
      </c>
      <c r="C718" s="1" t="n">
        <v>45811</v>
      </c>
      <c r="D718" t="inlineStr">
        <is>
          <t>GÄVLEBORGS LÄN</t>
        </is>
      </c>
      <c r="E718" t="inlineStr">
        <is>
          <t>LJUSDAL</t>
        </is>
      </c>
      <c r="F718" t="inlineStr">
        <is>
          <t>Bergvik skog väst AB</t>
        </is>
      </c>
      <c r="G718" t="n">
        <v>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12391-2021</t>
        </is>
      </c>
      <c r="B719" s="1" t="n">
        <v>44267</v>
      </c>
      <c r="C719" s="1" t="n">
        <v>45811</v>
      </c>
      <c r="D719" t="inlineStr">
        <is>
          <t>GÄVLEBORGS LÄN</t>
        </is>
      </c>
      <c r="E719" t="inlineStr">
        <is>
          <t>LJUSDAL</t>
        </is>
      </c>
      <c r="F719" t="inlineStr">
        <is>
          <t>Bergvik skog väst AB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12648-2021</t>
        </is>
      </c>
      <c r="B720" s="1" t="n">
        <v>44270</v>
      </c>
      <c r="C720" s="1" t="n">
        <v>45811</v>
      </c>
      <c r="D720" t="inlineStr">
        <is>
          <t>GÄVLEBORGS LÄN</t>
        </is>
      </c>
      <c r="E720" t="inlineStr">
        <is>
          <t>LJUSDAL</t>
        </is>
      </c>
      <c r="G720" t="n">
        <v>4.4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13369-2021</t>
        </is>
      </c>
      <c r="B721" s="1" t="n">
        <v>44273</v>
      </c>
      <c r="C721" s="1" t="n">
        <v>45811</v>
      </c>
      <c r="D721" t="inlineStr">
        <is>
          <t>GÄVLEBORGS LÄN</t>
        </is>
      </c>
      <c r="E721" t="inlineStr">
        <is>
          <t>LJUSDAL</t>
        </is>
      </c>
      <c r="G721" t="n">
        <v>8.699999999999999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13519-2021</t>
        </is>
      </c>
      <c r="B722" s="1" t="n">
        <v>44273</v>
      </c>
      <c r="C722" s="1" t="n">
        <v>45811</v>
      </c>
      <c r="D722" t="inlineStr">
        <is>
          <t>GÄVLEBORGS LÄN</t>
        </is>
      </c>
      <c r="E722" t="inlineStr">
        <is>
          <t>LJUSDAL</t>
        </is>
      </c>
      <c r="F722" t="inlineStr">
        <is>
          <t>Sveaskog</t>
        </is>
      </c>
      <c r="G722" t="n">
        <v>17.2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13521-2021</t>
        </is>
      </c>
      <c r="B723" s="1" t="n">
        <v>44273</v>
      </c>
      <c r="C723" s="1" t="n">
        <v>45811</v>
      </c>
      <c r="D723" t="inlineStr">
        <is>
          <t>GÄVLEBORGS LÄN</t>
        </is>
      </c>
      <c r="E723" t="inlineStr">
        <is>
          <t>LJUSDAL</t>
        </is>
      </c>
      <c r="F723" t="inlineStr">
        <is>
          <t>Sveaskog</t>
        </is>
      </c>
      <c r="G723" t="n">
        <v>11.6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14057-2021</t>
        </is>
      </c>
      <c r="B724" s="1" t="n">
        <v>44277</v>
      </c>
      <c r="C724" s="1" t="n">
        <v>45811</v>
      </c>
      <c r="D724" t="inlineStr">
        <is>
          <t>GÄVLEBORGS LÄN</t>
        </is>
      </c>
      <c r="E724" t="inlineStr">
        <is>
          <t>LJUSDAL</t>
        </is>
      </c>
      <c r="G724" t="n">
        <v>7.4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14056-2021</t>
        </is>
      </c>
      <c r="B725" s="1" t="n">
        <v>44277</v>
      </c>
      <c r="C725" s="1" t="n">
        <v>45811</v>
      </c>
      <c r="D725" t="inlineStr">
        <is>
          <t>GÄVLEBORGS LÄN</t>
        </is>
      </c>
      <c r="E725" t="inlineStr">
        <is>
          <t>LJUSDAL</t>
        </is>
      </c>
      <c r="G725" t="n">
        <v>2.8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16154-2021</t>
        </is>
      </c>
      <c r="B726" s="1" t="n">
        <v>44292</v>
      </c>
      <c r="C726" s="1" t="n">
        <v>45811</v>
      </c>
      <c r="D726" t="inlineStr">
        <is>
          <t>GÄVLEBORGS LÄN</t>
        </is>
      </c>
      <c r="E726" t="inlineStr">
        <is>
          <t>LJUSDAL</t>
        </is>
      </c>
      <c r="F726" t="inlineStr">
        <is>
          <t>Holmen skog AB</t>
        </is>
      </c>
      <c r="G726" t="n">
        <v>2.6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16699-2021</t>
        </is>
      </c>
      <c r="B727" s="1" t="n">
        <v>44294</v>
      </c>
      <c r="C727" s="1" t="n">
        <v>45811</v>
      </c>
      <c r="D727" t="inlineStr">
        <is>
          <t>GÄVLEBORGS LÄN</t>
        </is>
      </c>
      <c r="E727" t="inlineStr">
        <is>
          <t>LJUSDAL</t>
        </is>
      </c>
      <c r="F727" t="inlineStr">
        <is>
          <t>Kyrkan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16709-2021</t>
        </is>
      </c>
      <c r="B728" s="1" t="n">
        <v>44294</v>
      </c>
      <c r="C728" s="1" t="n">
        <v>45811</v>
      </c>
      <c r="D728" t="inlineStr">
        <is>
          <t>GÄVLEBORGS LÄN</t>
        </is>
      </c>
      <c r="E728" t="inlineStr">
        <is>
          <t>LJUSDAL</t>
        </is>
      </c>
      <c r="F728" t="inlineStr">
        <is>
          <t>Kyrkan</t>
        </is>
      </c>
      <c r="G728" t="n">
        <v>6.6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16925-2021</t>
        </is>
      </c>
      <c r="B729" s="1" t="n">
        <v>44295</v>
      </c>
      <c r="C729" s="1" t="n">
        <v>45811</v>
      </c>
      <c r="D729" t="inlineStr">
        <is>
          <t>GÄVLEBORGS LÄN</t>
        </is>
      </c>
      <c r="E729" t="inlineStr">
        <is>
          <t>LJUSDAL</t>
        </is>
      </c>
      <c r="F729" t="inlineStr">
        <is>
          <t>Bergvik skog väst AB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17114-2021</t>
        </is>
      </c>
      <c r="B730" s="1" t="n">
        <v>44298</v>
      </c>
      <c r="C730" s="1" t="n">
        <v>45811</v>
      </c>
      <c r="D730" t="inlineStr">
        <is>
          <t>GÄVLEBORGS LÄN</t>
        </is>
      </c>
      <c r="E730" t="inlineStr">
        <is>
          <t>LJUSDAL</t>
        </is>
      </c>
      <c r="G730" t="n">
        <v>4.9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17117-2021</t>
        </is>
      </c>
      <c r="B731" s="1" t="n">
        <v>44298</v>
      </c>
      <c r="C731" s="1" t="n">
        <v>45811</v>
      </c>
      <c r="D731" t="inlineStr">
        <is>
          <t>GÄVLEBORGS LÄN</t>
        </is>
      </c>
      <c r="E731" t="inlineStr">
        <is>
          <t>LJUSDAL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18096-2021</t>
        </is>
      </c>
      <c r="B732" s="1" t="n">
        <v>44302</v>
      </c>
      <c r="C732" s="1" t="n">
        <v>45811</v>
      </c>
      <c r="D732" t="inlineStr">
        <is>
          <t>GÄVLEBORGS LÄN</t>
        </is>
      </c>
      <c r="E732" t="inlineStr">
        <is>
          <t>LJUSDAL</t>
        </is>
      </c>
      <c r="G732" t="n">
        <v>2.8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18108-2021</t>
        </is>
      </c>
      <c r="B733" s="1" t="n">
        <v>44302</v>
      </c>
      <c r="C733" s="1" t="n">
        <v>45811</v>
      </c>
      <c r="D733" t="inlineStr">
        <is>
          <t>GÄVLEBORGS LÄN</t>
        </is>
      </c>
      <c r="E733" t="inlineStr">
        <is>
          <t>LJUSDAL</t>
        </is>
      </c>
      <c r="G733" t="n">
        <v>3.9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18151-2021</t>
        </is>
      </c>
      <c r="B734" s="1" t="n">
        <v>44302</v>
      </c>
      <c r="C734" s="1" t="n">
        <v>45811</v>
      </c>
      <c r="D734" t="inlineStr">
        <is>
          <t>GÄVLEBORGS LÄN</t>
        </is>
      </c>
      <c r="E734" t="inlineStr">
        <is>
          <t>LJUSDAL</t>
        </is>
      </c>
      <c r="F734" t="inlineStr">
        <is>
          <t>Sveaskog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18078-2021</t>
        </is>
      </c>
      <c r="B735" s="1" t="n">
        <v>44302</v>
      </c>
      <c r="C735" s="1" t="n">
        <v>45811</v>
      </c>
      <c r="D735" t="inlineStr">
        <is>
          <t>GÄVLEBORGS LÄN</t>
        </is>
      </c>
      <c r="E735" t="inlineStr">
        <is>
          <t>LJUSDAL</t>
        </is>
      </c>
      <c r="G735" t="n">
        <v>2.5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18039-2021</t>
        </is>
      </c>
      <c r="B736" s="1" t="n">
        <v>44302</v>
      </c>
      <c r="C736" s="1" t="n">
        <v>45811</v>
      </c>
      <c r="D736" t="inlineStr">
        <is>
          <t>GÄVLEBORGS LÄN</t>
        </is>
      </c>
      <c r="E736" t="inlineStr">
        <is>
          <t>LJUSDAL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18264-2021</t>
        </is>
      </c>
      <c r="B737" s="1" t="n">
        <v>44305</v>
      </c>
      <c r="C737" s="1" t="n">
        <v>45811</v>
      </c>
      <c r="D737" t="inlineStr">
        <is>
          <t>GÄVLEBORGS LÄN</t>
        </is>
      </c>
      <c r="E737" t="inlineStr">
        <is>
          <t>LJUSDAL</t>
        </is>
      </c>
      <c r="F737" t="inlineStr">
        <is>
          <t>Bergvik skog väst AB</t>
        </is>
      </c>
      <c r="G737" t="n">
        <v>8.5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18786-2021</t>
        </is>
      </c>
      <c r="B738" s="1" t="n">
        <v>44307</v>
      </c>
      <c r="C738" s="1" t="n">
        <v>45811</v>
      </c>
      <c r="D738" t="inlineStr">
        <is>
          <t>GÄVLEBORGS LÄN</t>
        </is>
      </c>
      <c r="E738" t="inlineStr">
        <is>
          <t>LJUSDAL</t>
        </is>
      </c>
      <c r="G738" t="n">
        <v>4.9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19129-2021</t>
        </is>
      </c>
      <c r="B739" s="1" t="n">
        <v>44308</v>
      </c>
      <c r="C739" s="1" t="n">
        <v>45811</v>
      </c>
      <c r="D739" t="inlineStr">
        <is>
          <t>GÄVLEBORGS LÄN</t>
        </is>
      </c>
      <c r="E739" t="inlineStr">
        <is>
          <t>LJUSDAL</t>
        </is>
      </c>
      <c r="G739" t="n">
        <v>2.7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19117-2021</t>
        </is>
      </c>
      <c r="B740" s="1" t="n">
        <v>44308</v>
      </c>
      <c r="C740" s="1" t="n">
        <v>45811</v>
      </c>
      <c r="D740" t="inlineStr">
        <is>
          <t>GÄVLEBORGS LÄN</t>
        </is>
      </c>
      <c r="E740" t="inlineStr">
        <is>
          <t>LJUSDAL</t>
        </is>
      </c>
      <c r="F740" t="inlineStr">
        <is>
          <t>Bergvik skog väst AB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19405-2021</t>
        </is>
      </c>
      <c r="B741" s="1" t="n">
        <v>44309</v>
      </c>
      <c r="C741" s="1" t="n">
        <v>45811</v>
      </c>
      <c r="D741" t="inlineStr">
        <is>
          <t>GÄVLEBORGS LÄN</t>
        </is>
      </c>
      <c r="E741" t="inlineStr">
        <is>
          <t>LJUSDAL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19973-2021</t>
        </is>
      </c>
      <c r="B742" s="1" t="n">
        <v>44313</v>
      </c>
      <c r="C742" s="1" t="n">
        <v>45811</v>
      </c>
      <c r="D742" t="inlineStr">
        <is>
          <t>GÄVLEBORGS LÄN</t>
        </is>
      </c>
      <c r="E742" t="inlineStr">
        <is>
          <t>LJUSDAL</t>
        </is>
      </c>
      <c r="F742" t="inlineStr">
        <is>
          <t>Sveaskog</t>
        </is>
      </c>
      <c r="G742" t="n">
        <v>38.9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19976-2021</t>
        </is>
      </c>
      <c r="B743" s="1" t="n">
        <v>44313</v>
      </c>
      <c r="C743" s="1" t="n">
        <v>45811</v>
      </c>
      <c r="D743" t="inlineStr">
        <is>
          <t>GÄVLEBORGS LÄN</t>
        </is>
      </c>
      <c r="E743" t="inlineStr">
        <is>
          <t>LJUSDAL</t>
        </is>
      </c>
      <c r="F743" t="inlineStr">
        <is>
          <t>Sveaskog</t>
        </is>
      </c>
      <c r="G743" t="n">
        <v>40.1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20058-2021</t>
        </is>
      </c>
      <c r="B744" s="1" t="n">
        <v>44314</v>
      </c>
      <c r="C744" s="1" t="n">
        <v>45811</v>
      </c>
      <c r="D744" t="inlineStr">
        <is>
          <t>GÄVLEBORGS LÄN</t>
        </is>
      </c>
      <c r="E744" t="inlineStr">
        <is>
          <t>LJUSDAL</t>
        </is>
      </c>
      <c r="F744" t="inlineStr">
        <is>
          <t>Sveaskog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20112-2021</t>
        </is>
      </c>
      <c r="B745" s="1" t="n">
        <v>44314</v>
      </c>
      <c r="C745" s="1" t="n">
        <v>45811</v>
      </c>
      <c r="D745" t="inlineStr">
        <is>
          <t>GÄVLEBORGS LÄN</t>
        </is>
      </c>
      <c r="E745" t="inlineStr">
        <is>
          <t>LJUSDAL</t>
        </is>
      </c>
      <c r="G745" t="n">
        <v>3.5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21259-2021</t>
        </is>
      </c>
      <c r="B746" s="1" t="n">
        <v>44320</v>
      </c>
      <c r="C746" s="1" t="n">
        <v>45811</v>
      </c>
      <c r="D746" t="inlineStr">
        <is>
          <t>GÄVLEBORGS LÄN</t>
        </is>
      </c>
      <c r="E746" t="inlineStr">
        <is>
          <t>LJUSDAL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21720-2021</t>
        </is>
      </c>
      <c r="B747" s="1" t="n">
        <v>44322</v>
      </c>
      <c r="C747" s="1" t="n">
        <v>45811</v>
      </c>
      <c r="D747" t="inlineStr">
        <is>
          <t>GÄVLEBORGS LÄN</t>
        </is>
      </c>
      <c r="E747" t="inlineStr">
        <is>
          <t>LJUSDAL</t>
        </is>
      </c>
      <c r="F747" t="inlineStr">
        <is>
          <t>Sveaskog</t>
        </is>
      </c>
      <c r="G747" t="n">
        <v>4.8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21751-2021</t>
        </is>
      </c>
      <c r="B748" s="1" t="n">
        <v>44322</v>
      </c>
      <c r="C748" s="1" t="n">
        <v>45811</v>
      </c>
      <c r="D748" t="inlineStr">
        <is>
          <t>GÄVLEBORGS LÄN</t>
        </is>
      </c>
      <c r="E748" t="inlineStr">
        <is>
          <t>LJUSDAL</t>
        </is>
      </c>
      <c r="F748" t="inlineStr">
        <is>
          <t>Bergvik skog väst AB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21781-2021</t>
        </is>
      </c>
      <c r="B749" s="1" t="n">
        <v>44322</v>
      </c>
      <c r="C749" s="1" t="n">
        <v>45811</v>
      </c>
      <c r="D749" t="inlineStr">
        <is>
          <t>GÄVLEBORGS LÄN</t>
        </is>
      </c>
      <c r="E749" t="inlineStr">
        <is>
          <t>LJUSDAL</t>
        </is>
      </c>
      <c r="F749" t="inlineStr">
        <is>
          <t>Sveaskog</t>
        </is>
      </c>
      <c r="G749" t="n">
        <v>6.2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21696-2021</t>
        </is>
      </c>
      <c r="B750" s="1" t="n">
        <v>44322</v>
      </c>
      <c r="C750" s="1" t="n">
        <v>45811</v>
      </c>
      <c r="D750" t="inlineStr">
        <is>
          <t>GÄVLEBORGS LÄN</t>
        </is>
      </c>
      <c r="E750" t="inlineStr">
        <is>
          <t>LJUSDAL</t>
        </is>
      </c>
      <c r="F750" t="inlineStr">
        <is>
          <t>Sveaskog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21708-2021</t>
        </is>
      </c>
      <c r="B751" s="1" t="n">
        <v>44322</v>
      </c>
      <c r="C751" s="1" t="n">
        <v>45811</v>
      </c>
      <c r="D751" t="inlineStr">
        <is>
          <t>GÄVLEBORGS LÄN</t>
        </is>
      </c>
      <c r="E751" t="inlineStr">
        <is>
          <t>LJUSDAL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21750-2021</t>
        </is>
      </c>
      <c r="B752" s="1" t="n">
        <v>44322</v>
      </c>
      <c r="C752" s="1" t="n">
        <v>45811</v>
      </c>
      <c r="D752" t="inlineStr">
        <is>
          <t>GÄVLEBORGS LÄN</t>
        </is>
      </c>
      <c r="E752" t="inlineStr">
        <is>
          <t>LJUSDAL</t>
        </is>
      </c>
      <c r="F752" t="inlineStr">
        <is>
          <t>Bergvik skog väst AB</t>
        </is>
      </c>
      <c r="G752" t="n">
        <v>5.6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21724-2021</t>
        </is>
      </c>
      <c r="B753" s="1" t="n">
        <v>44322</v>
      </c>
      <c r="C753" s="1" t="n">
        <v>45811</v>
      </c>
      <c r="D753" t="inlineStr">
        <is>
          <t>GÄVLEBORGS LÄN</t>
        </is>
      </c>
      <c r="E753" t="inlineStr">
        <is>
          <t>LJUSDAL</t>
        </is>
      </c>
      <c r="F753" t="inlineStr">
        <is>
          <t>Sveaskog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22012-2021</t>
        </is>
      </c>
      <c r="B754" s="1" t="n">
        <v>44323</v>
      </c>
      <c r="C754" s="1" t="n">
        <v>45811</v>
      </c>
      <c r="D754" t="inlineStr">
        <is>
          <t>GÄVLEBORGS LÄN</t>
        </is>
      </c>
      <c r="E754" t="inlineStr">
        <is>
          <t>LJUSDAL</t>
        </is>
      </c>
      <c r="F754" t="inlineStr">
        <is>
          <t>Sveaskog</t>
        </is>
      </c>
      <c r="G754" t="n">
        <v>8.1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22013-2021</t>
        </is>
      </c>
      <c r="B755" s="1" t="n">
        <v>44323</v>
      </c>
      <c r="C755" s="1" t="n">
        <v>45811</v>
      </c>
      <c r="D755" t="inlineStr">
        <is>
          <t>GÄVLEBORGS LÄN</t>
        </is>
      </c>
      <c r="E755" t="inlineStr">
        <is>
          <t>LJUSDAL</t>
        </is>
      </c>
      <c r="F755" t="inlineStr">
        <is>
          <t>Sveaskog</t>
        </is>
      </c>
      <c r="G755" t="n">
        <v>2.8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21984-2021</t>
        </is>
      </c>
      <c r="B756" s="1" t="n">
        <v>44323</v>
      </c>
      <c r="C756" s="1" t="n">
        <v>45811</v>
      </c>
      <c r="D756" t="inlineStr">
        <is>
          <t>GÄVLEBORGS LÄN</t>
        </is>
      </c>
      <c r="E756" t="inlineStr">
        <is>
          <t>LJUSDAL</t>
        </is>
      </c>
      <c r="G756" t="n">
        <v>3.5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22304-2021</t>
        </is>
      </c>
      <c r="B757" s="1" t="n">
        <v>44326</v>
      </c>
      <c r="C757" s="1" t="n">
        <v>45811</v>
      </c>
      <c r="D757" t="inlineStr">
        <is>
          <t>GÄVLEBORGS LÄN</t>
        </is>
      </c>
      <c r="E757" t="inlineStr">
        <is>
          <t>LJUSDAL</t>
        </is>
      </c>
      <c r="F757" t="inlineStr">
        <is>
          <t>Holmen skog AB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22206-2021</t>
        </is>
      </c>
      <c r="B758" s="1" t="n">
        <v>44326</v>
      </c>
      <c r="C758" s="1" t="n">
        <v>45811</v>
      </c>
      <c r="D758" t="inlineStr">
        <is>
          <t>GÄVLEBORGS LÄN</t>
        </is>
      </c>
      <c r="E758" t="inlineStr">
        <is>
          <t>LJUSDAL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22239-2021</t>
        </is>
      </c>
      <c r="B759" s="1" t="n">
        <v>44326</v>
      </c>
      <c r="C759" s="1" t="n">
        <v>45811</v>
      </c>
      <c r="D759" t="inlineStr">
        <is>
          <t>GÄVLEBORGS LÄN</t>
        </is>
      </c>
      <c r="E759" t="inlineStr">
        <is>
          <t>LJUSDAL</t>
        </is>
      </c>
      <c r="G759" t="n">
        <v>13.9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22756-2021</t>
        </is>
      </c>
      <c r="B760" s="1" t="n">
        <v>44327</v>
      </c>
      <c r="C760" s="1" t="n">
        <v>45811</v>
      </c>
      <c r="D760" t="inlineStr">
        <is>
          <t>GÄVLEBORGS LÄN</t>
        </is>
      </c>
      <c r="E760" t="inlineStr">
        <is>
          <t>LJUSDAL</t>
        </is>
      </c>
      <c r="F760" t="inlineStr">
        <is>
          <t>Sveaskog</t>
        </is>
      </c>
      <c r="G760" t="n">
        <v>2.7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22758-2021</t>
        </is>
      </c>
      <c r="B761" s="1" t="n">
        <v>44327</v>
      </c>
      <c r="C761" s="1" t="n">
        <v>45811</v>
      </c>
      <c r="D761" t="inlineStr">
        <is>
          <t>GÄVLEBORGS LÄN</t>
        </is>
      </c>
      <c r="E761" t="inlineStr">
        <is>
          <t>LJUSDAL</t>
        </is>
      </c>
      <c r="F761" t="inlineStr">
        <is>
          <t>Sveaskog</t>
        </is>
      </c>
      <c r="G761" t="n">
        <v>3.8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23329-2021</t>
        </is>
      </c>
      <c r="B762" s="1" t="n">
        <v>44333</v>
      </c>
      <c r="C762" s="1" t="n">
        <v>45811</v>
      </c>
      <c r="D762" t="inlineStr">
        <is>
          <t>GÄVLEBORGS LÄN</t>
        </is>
      </c>
      <c r="E762" t="inlineStr">
        <is>
          <t>LJUSDAL</t>
        </is>
      </c>
      <c r="F762" t="inlineStr">
        <is>
          <t>Sveaskog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23395-2021</t>
        </is>
      </c>
      <c r="B763" s="1" t="n">
        <v>44333</v>
      </c>
      <c r="C763" s="1" t="n">
        <v>45811</v>
      </c>
      <c r="D763" t="inlineStr">
        <is>
          <t>GÄVLEBORGS LÄN</t>
        </is>
      </c>
      <c r="E763" t="inlineStr">
        <is>
          <t>LJUSDAL</t>
        </is>
      </c>
      <c r="F763" t="inlineStr">
        <is>
          <t>Sveaskog</t>
        </is>
      </c>
      <c r="G763" t="n">
        <v>5.5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23418-2021</t>
        </is>
      </c>
      <c r="B764" s="1" t="n">
        <v>44333</v>
      </c>
      <c r="C764" s="1" t="n">
        <v>45811</v>
      </c>
      <c r="D764" t="inlineStr">
        <is>
          <t>GÄVLEBORGS LÄN</t>
        </is>
      </c>
      <c r="E764" t="inlineStr">
        <is>
          <t>LJUSDAL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23396-2021</t>
        </is>
      </c>
      <c r="B765" s="1" t="n">
        <v>44333</v>
      </c>
      <c r="C765" s="1" t="n">
        <v>45811</v>
      </c>
      <c r="D765" t="inlineStr">
        <is>
          <t>GÄVLEBORGS LÄN</t>
        </is>
      </c>
      <c r="E765" t="inlineStr">
        <is>
          <t>LJUSDAL</t>
        </is>
      </c>
      <c r="F765" t="inlineStr">
        <is>
          <t>Sveaskog</t>
        </is>
      </c>
      <c r="G765" t="n">
        <v>6.8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23955-2021</t>
        </is>
      </c>
      <c r="B766" s="1" t="n">
        <v>44335</v>
      </c>
      <c r="C766" s="1" t="n">
        <v>45811</v>
      </c>
      <c r="D766" t="inlineStr">
        <is>
          <t>GÄVLEBORGS LÄN</t>
        </is>
      </c>
      <c r="E766" t="inlineStr">
        <is>
          <t>LJUSDAL</t>
        </is>
      </c>
      <c r="F766" t="inlineStr">
        <is>
          <t>Holmen skog AB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23966-2021</t>
        </is>
      </c>
      <c r="B767" s="1" t="n">
        <v>44335</v>
      </c>
      <c r="C767" s="1" t="n">
        <v>45811</v>
      </c>
      <c r="D767" t="inlineStr">
        <is>
          <t>GÄVLEBORGS LÄN</t>
        </is>
      </c>
      <c r="E767" t="inlineStr">
        <is>
          <t>LJUSDAL</t>
        </is>
      </c>
      <c r="F767" t="inlineStr">
        <is>
          <t>Holmen skog AB</t>
        </is>
      </c>
      <c r="G767" t="n">
        <v>2.8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24158-2021</t>
        </is>
      </c>
      <c r="B768" s="1" t="n">
        <v>44336</v>
      </c>
      <c r="C768" s="1" t="n">
        <v>45811</v>
      </c>
      <c r="D768" t="inlineStr">
        <is>
          <t>GÄVLEBORGS LÄN</t>
        </is>
      </c>
      <c r="E768" t="inlineStr">
        <is>
          <t>LJUSDAL</t>
        </is>
      </c>
      <c r="G768" t="n">
        <v>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  <c r="U768">
        <f>HYPERLINK("https://klasma.github.io/Logging_2161/knärot/A 24158-2021 karta knärot.png", "A 24158-2021")</f>
        <v/>
      </c>
      <c r="V768">
        <f>HYPERLINK("https://klasma.github.io/Logging_2161/klagomål/A 24158-2021 FSC-klagomål.docx", "A 24158-2021")</f>
        <v/>
      </c>
      <c r="W768">
        <f>HYPERLINK("https://klasma.github.io/Logging_2161/klagomålsmail/A 24158-2021 FSC-klagomål mail.docx", "A 24158-2021")</f>
        <v/>
      </c>
      <c r="X768">
        <f>HYPERLINK("https://klasma.github.io/Logging_2161/tillsyn/A 24158-2021 tillsynsbegäran.docx", "A 24158-2021")</f>
        <v/>
      </c>
      <c r="Y768">
        <f>HYPERLINK("https://klasma.github.io/Logging_2161/tillsynsmail/A 24158-2021 tillsynsbegäran mail.docx", "A 24158-2021")</f>
        <v/>
      </c>
    </row>
    <row r="769" ht="15" customHeight="1">
      <c r="A769" t="inlineStr">
        <is>
          <t>A 24627-2021</t>
        </is>
      </c>
      <c r="B769" s="1" t="n">
        <v>44340</v>
      </c>
      <c r="C769" s="1" t="n">
        <v>45811</v>
      </c>
      <c r="D769" t="inlineStr">
        <is>
          <t>GÄVLEBORGS LÄN</t>
        </is>
      </c>
      <c r="E769" t="inlineStr">
        <is>
          <t>LJUSDAL</t>
        </is>
      </c>
      <c r="G769" t="n">
        <v>4.4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24894-2021</t>
        </is>
      </c>
      <c r="B770" s="1" t="n">
        <v>44341</v>
      </c>
      <c r="C770" s="1" t="n">
        <v>45811</v>
      </c>
      <c r="D770" t="inlineStr">
        <is>
          <t>GÄVLEBORGS LÄN</t>
        </is>
      </c>
      <c r="E770" t="inlineStr">
        <is>
          <t>LJUSDAL</t>
        </is>
      </c>
      <c r="G770" t="n">
        <v>2.8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24881-2021</t>
        </is>
      </c>
      <c r="B771" s="1" t="n">
        <v>44341</v>
      </c>
      <c r="C771" s="1" t="n">
        <v>45811</v>
      </c>
      <c r="D771" t="inlineStr">
        <is>
          <t>GÄVLEBORGS LÄN</t>
        </is>
      </c>
      <c r="E771" t="inlineStr">
        <is>
          <t>LJUSDAL</t>
        </is>
      </c>
      <c r="F771" t="inlineStr">
        <is>
          <t>Kommuner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24899-2021</t>
        </is>
      </c>
      <c r="B772" s="1" t="n">
        <v>44341</v>
      </c>
      <c r="C772" s="1" t="n">
        <v>45811</v>
      </c>
      <c r="D772" t="inlineStr">
        <is>
          <t>GÄVLEBORGS LÄN</t>
        </is>
      </c>
      <c r="E772" t="inlineStr">
        <is>
          <t>LJUSDAL</t>
        </is>
      </c>
      <c r="F772" t="inlineStr">
        <is>
          <t>Holmen skog AB</t>
        </is>
      </c>
      <c r="G772" t="n">
        <v>4.6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25144-2021</t>
        </is>
      </c>
      <c r="B773" s="1" t="n">
        <v>44341</v>
      </c>
      <c r="C773" s="1" t="n">
        <v>45811</v>
      </c>
      <c r="D773" t="inlineStr">
        <is>
          <t>GÄVLEBORGS LÄN</t>
        </is>
      </c>
      <c r="E773" t="inlineStr">
        <is>
          <t>LJUSDAL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25169-2021</t>
        </is>
      </c>
      <c r="B774" s="1" t="n">
        <v>44342</v>
      </c>
      <c r="C774" s="1" t="n">
        <v>45811</v>
      </c>
      <c r="D774" t="inlineStr">
        <is>
          <t>GÄVLEBORGS LÄN</t>
        </is>
      </c>
      <c r="E774" t="inlineStr">
        <is>
          <t>LJUSDAL</t>
        </is>
      </c>
      <c r="F774" t="inlineStr">
        <is>
          <t>Sveaskog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25170-2021</t>
        </is>
      </c>
      <c r="B775" s="1" t="n">
        <v>44342</v>
      </c>
      <c r="C775" s="1" t="n">
        <v>45811</v>
      </c>
      <c r="D775" t="inlineStr">
        <is>
          <t>GÄVLEBORGS LÄN</t>
        </is>
      </c>
      <c r="E775" t="inlineStr">
        <is>
          <t>LJUSDAL</t>
        </is>
      </c>
      <c r="F775" t="inlineStr">
        <is>
          <t>Sveaskog</t>
        </is>
      </c>
      <c r="G775" t="n">
        <v>11.8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25168-2021</t>
        </is>
      </c>
      <c r="B776" s="1" t="n">
        <v>44342</v>
      </c>
      <c r="C776" s="1" t="n">
        <v>45811</v>
      </c>
      <c r="D776" t="inlineStr">
        <is>
          <t>GÄVLEBORGS LÄN</t>
        </is>
      </c>
      <c r="E776" t="inlineStr">
        <is>
          <t>LJUSDAL</t>
        </is>
      </c>
      <c r="F776" t="inlineStr">
        <is>
          <t>Sveaskog</t>
        </is>
      </c>
      <c r="G776" t="n">
        <v>5.4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25494-2021</t>
        </is>
      </c>
      <c r="B777" s="1" t="n">
        <v>44343</v>
      </c>
      <c r="C777" s="1" t="n">
        <v>45811</v>
      </c>
      <c r="D777" t="inlineStr">
        <is>
          <t>GÄVLEBORGS LÄN</t>
        </is>
      </c>
      <c r="E777" t="inlineStr">
        <is>
          <t>LJUSDAL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26236-2021</t>
        </is>
      </c>
      <c r="B778" s="1" t="n">
        <v>44347</v>
      </c>
      <c r="C778" s="1" t="n">
        <v>45811</v>
      </c>
      <c r="D778" t="inlineStr">
        <is>
          <t>GÄVLEBORGS LÄN</t>
        </is>
      </c>
      <c r="E778" t="inlineStr">
        <is>
          <t>LJUSDAL</t>
        </is>
      </c>
      <c r="F778" t="inlineStr">
        <is>
          <t>Bergvik skog väst AB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26336-2021</t>
        </is>
      </c>
      <c r="B779" s="1" t="n">
        <v>44347</v>
      </c>
      <c r="C779" s="1" t="n">
        <v>45811</v>
      </c>
      <c r="D779" t="inlineStr">
        <is>
          <t>GÄVLEBORGS LÄN</t>
        </is>
      </c>
      <c r="E779" t="inlineStr">
        <is>
          <t>LJUSDAL</t>
        </is>
      </c>
      <c r="F779" t="inlineStr">
        <is>
          <t>Sveaskog</t>
        </is>
      </c>
      <c r="G779" t="n">
        <v>8.300000000000001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26715-2021</t>
        </is>
      </c>
      <c r="B780" s="1" t="n">
        <v>44349</v>
      </c>
      <c r="C780" s="1" t="n">
        <v>45811</v>
      </c>
      <c r="D780" t="inlineStr">
        <is>
          <t>GÄVLEBORGS LÄN</t>
        </is>
      </c>
      <c r="E780" t="inlineStr">
        <is>
          <t>LJUSDAL</t>
        </is>
      </c>
      <c r="F780" t="inlineStr">
        <is>
          <t>Sveaskog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27216-2021</t>
        </is>
      </c>
      <c r="B781" s="1" t="n">
        <v>44350</v>
      </c>
      <c r="C781" s="1" t="n">
        <v>45811</v>
      </c>
      <c r="D781" t="inlineStr">
        <is>
          <t>GÄVLEBORGS LÄN</t>
        </is>
      </c>
      <c r="E781" t="inlineStr">
        <is>
          <t>LJUSDAL</t>
        </is>
      </c>
      <c r="F781" t="inlineStr">
        <is>
          <t>Sveaskog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27051-2021</t>
        </is>
      </c>
      <c r="B782" s="1" t="n">
        <v>44350</v>
      </c>
      <c r="C782" s="1" t="n">
        <v>45811</v>
      </c>
      <c r="D782" t="inlineStr">
        <is>
          <t>GÄVLEBORGS LÄN</t>
        </is>
      </c>
      <c r="E782" t="inlineStr">
        <is>
          <t>LJUSDAL</t>
        </is>
      </c>
      <c r="F782" t="inlineStr">
        <is>
          <t>Bergvik skog väst AB</t>
        </is>
      </c>
      <c r="G782" t="n">
        <v>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27215-2021</t>
        </is>
      </c>
      <c r="B783" s="1" t="n">
        <v>44350</v>
      </c>
      <c r="C783" s="1" t="n">
        <v>45811</v>
      </c>
      <c r="D783" t="inlineStr">
        <is>
          <t>GÄVLEBORGS LÄN</t>
        </is>
      </c>
      <c r="E783" t="inlineStr">
        <is>
          <t>LJUSDAL</t>
        </is>
      </c>
      <c r="F783" t="inlineStr">
        <is>
          <t>Sveaskog</t>
        </is>
      </c>
      <c r="G783" t="n">
        <v>4.1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27218-2021</t>
        </is>
      </c>
      <c r="B784" s="1" t="n">
        <v>44350</v>
      </c>
      <c r="C784" s="1" t="n">
        <v>45811</v>
      </c>
      <c r="D784" t="inlineStr">
        <is>
          <t>GÄVLEBORGS LÄN</t>
        </is>
      </c>
      <c r="E784" t="inlineStr">
        <is>
          <t>LJUSDAL</t>
        </is>
      </c>
      <c r="F784" t="inlineStr">
        <is>
          <t>Sveaskog</t>
        </is>
      </c>
      <c r="G784" t="n">
        <v>11.5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27575-2021</t>
        </is>
      </c>
      <c r="B785" s="1" t="n">
        <v>44353</v>
      </c>
      <c r="C785" s="1" t="n">
        <v>45811</v>
      </c>
      <c r="D785" t="inlineStr">
        <is>
          <t>GÄVLEBORGS LÄN</t>
        </is>
      </c>
      <c r="E785" t="inlineStr">
        <is>
          <t>LJUSDAL</t>
        </is>
      </c>
      <c r="F785" t="inlineStr">
        <is>
          <t>Sveaskog</t>
        </is>
      </c>
      <c r="G785" t="n">
        <v>7.3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27900-2021</t>
        </is>
      </c>
      <c r="B786" s="1" t="n">
        <v>44354</v>
      </c>
      <c r="C786" s="1" t="n">
        <v>45811</v>
      </c>
      <c r="D786" t="inlineStr">
        <is>
          <t>GÄVLEBORGS LÄN</t>
        </is>
      </c>
      <c r="E786" t="inlineStr">
        <is>
          <t>LJUSDAL</t>
        </is>
      </c>
      <c r="F786" t="inlineStr">
        <is>
          <t>Bergvik skog väst AB</t>
        </is>
      </c>
      <c r="G786" t="n">
        <v>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28014-2021</t>
        </is>
      </c>
      <c r="B787" s="1" t="n">
        <v>44355</v>
      </c>
      <c r="C787" s="1" t="n">
        <v>45811</v>
      </c>
      <c r="D787" t="inlineStr">
        <is>
          <t>GÄVLEBORGS LÄN</t>
        </is>
      </c>
      <c r="E787" t="inlineStr">
        <is>
          <t>LJUSDAL</t>
        </is>
      </c>
      <c r="F787" t="inlineStr">
        <is>
          <t>Bergvik skog väst AB</t>
        </is>
      </c>
      <c r="G787" t="n">
        <v>8.5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27992-2021</t>
        </is>
      </c>
      <c r="B788" s="1" t="n">
        <v>44355</v>
      </c>
      <c r="C788" s="1" t="n">
        <v>45811</v>
      </c>
      <c r="D788" t="inlineStr">
        <is>
          <t>GÄVLEBORGS LÄN</t>
        </is>
      </c>
      <c r="E788" t="inlineStr">
        <is>
          <t>LJUSDAL</t>
        </is>
      </c>
      <c r="F788" t="inlineStr">
        <is>
          <t>Sveaskog</t>
        </is>
      </c>
      <c r="G788" t="n">
        <v>4.4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28683-2021</t>
        </is>
      </c>
      <c r="B789" s="1" t="n">
        <v>44357</v>
      </c>
      <c r="C789" s="1" t="n">
        <v>45811</v>
      </c>
      <c r="D789" t="inlineStr">
        <is>
          <t>GÄVLEBORGS LÄN</t>
        </is>
      </c>
      <c r="E789" t="inlineStr">
        <is>
          <t>LJUSDAL</t>
        </is>
      </c>
      <c r="G789" t="n">
        <v>4.2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29062-2021</t>
        </is>
      </c>
      <c r="B790" s="1" t="n">
        <v>44358</v>
      </c>
      <c r="C790" s="1" t="n">
        <v>45811</v>
      </c>
      <c r="D790" t="inlineStr">
        <is>
          <t>GÄVLEBORGS LÄN</t>
        </is>
      </c>
      <c r="E790" t="inlineStr">
        <is>
          <t>LJUSDAL</t>
        </is>
      </c>
      <c r="F790" t="inlineStr">
        <is>
          <t>Bergvik skog väst AB</t>
        </is>
      </c>
      <c r="G790" t="n">
        <v>10.8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28999-2021</t>
        </is>
      </c>
      <c r="B791" s="1" t="n">
        <v>44358</v>
      </c>
      <c r="C791" s="1" t="n">
        <v>45811</v>
      </c>
      <c r="D791" t="inlineStr">
        <is>
          <t>GÄVLEBORGS LÄN</t>
        </is>
      </c>
      <c r="E791" t="inlineStr">
        <is>
          <t>LJUSDAL</t>
        </is>
      </c>
      <c r="F791" t="inlineStr">
        <is>
          <t>Sveaskog</t>
        </is>
      </c>
      <c r="G791" t="n">
        <v>7.7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29290-2021</t>
        </is>
      </c>
      <c r="B792" s="1" t="n">
        <v>44361</v>
      </c>
      <c r="C792" s="1" t="n">
        <v>45811</v>
      </c>
      <c r="D792" t="inlineStr">
        <is>
          <t>GÄVLEBORGS LÄN</t>
        </is>
      </c>
      <c r="E792" t="inlineStr">
        <is>
          <t>LJUSDAL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29402-2021</t>
        </is>
      </c>
      <c r="B793" s="1" t="n">
        <v>44361</v>
      </c>
      <c r="C793" s="1" t="n">
        <v>45811</v>
      </c>
      <c r="D793" t="inlineStr">
        <is>
          <t>GÄVLEBORGS LÄN</t>
        </is>
      </c>
      <c r="E793" t="inlineStr">
        <is>
          <t>LJUSDAL</t>
        </is>
      </c>
      <c r="G793" t="n">
        <v>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29408-2021</t>
        </is>
      </c>
      <c r="B794" s="1" t="n">
        <v>44361</v>
      </c>
      <c r="C794" s="1" t="n">
        <v>45811</v>
      </c>
      <c r="D794" t="inlineStr">
        <is>
          <t>GÄVLEBORGS LÄN</t>
        </is>
      </c>
      <c r="E794" t="inlineStr">
        <is>
          <t>LJUSDAL</t>
        </is>
      </c>
      <c r="F794" t="inlineStr">
        <is>
          <t>Holmen skog AB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29435-2021</t>
        </is>
      </c>
      <c r="B795" s="1" t="n">
        <v>44361</v>
      </c>
      <c r="C795" s="1" t="n">
        <v>45811</v>
      </c>
      <c r="D795" t="inlineStr">
        <is>
          <t>GÄVLEBORGS LÄN</t>
        </is>
      </c>
      <c r="E795" t="inlineStr">
        <is>
          <t>LJUSDAL</t>
        </is>
      </c>
      <c r="G795" t="n">
        <v>3.4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29285-2021</t>
        </is>
      </c>
      <c r="B796" s="1" t="n">
        <v>44361</v>
      </c>
      <c r="C796" s="1" t="n">
        <v>45811</v>
      </c>
      <c r="D796" t="inlineStr">
        <is>
          <t>GÄVLEBORGS LÄN</t>
        </is>
      </c>
      <c r="E796" t="inlineStr">
        <is>
          <t>LJUSDAL</t>
        </is>
      </c>
      <c r="G796" t="n">
        <v>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29326-2021</t>
        </is>
      </c>
      <c r="B797" s="1" t="n">
        <v>44361</v>
      </c>
      <c r="C797" s="1" t="n">
        <v>45811</v>
      </c>
      <c r="D797" t="inlineStr">
        <is>
          <t>GÄVLEBORGS LÄN</t>
        </is>
      </c>
      <c r="E797" t="inlineStr">
        <is>
          <t>LJUSDAL</t>
        </is>
      </c>
      <c r="G797" t="n">
        <v>7.9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29400-2021</t>
        </is>
      </c>
      <c r="B798" s="1" t="n">
        <v>44361</v>
      </c>
      <c r="C798" s="1" t="n">
        <v>45811</v>
      </c>
      <c r="D798" t="inlineStr">
        <is>
          <t>GÄVLEBORGS LÄN</t>
        </is>
      </c>
      <c r="E798" t="inlineStr">
        <is>
          <t>LJUSDAL</t>
        </is>
      </c>
      <c r="G798" t="n">
        <v>4.1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29404-2021</t>
        </is>
      </c>
      <c r="B799" s="1" t="n">
        <v>44361</v>
      </c>
      <c r="C799" s="1" t="n">
        <v>45811</v>
      </c>
      <c r="D799" t="inlineStr">
        <is>
          <t>GÄVLEBORGS LÄN</t>
        </is>
      </c>
      <c r="E799" t="inlineStr">
        <is>
          <t>LJUSDAL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29479-2021</t>
        </is>
      </c>
      <c r="B800" s="1" t="n">
        <v>44361</v>
      </c>
      <c r="C800" s="1" t="n">
        <v>45811</v>
      </c>
      <c r="D800" t="inlineStr">
        <is>
          <t>GÄVLEBORGS LÄN</t>
        </is>
      </c>
      <c r="E800" t="inlineStr">
        <is>
          <t>LJUSDAL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29480-2021</t>
        </is>
      </c>
      <c r="B801" s="1" t="n">
        <v>44361</v>
      </c>
      <c r="C801" s="1" t="n">
        <v>45811</v>
      </c>
      <c r="D801" t="inlineStr">
        <is>
          <t>GÄVLEBORGS LÄN</t>
        </is>
      </c>
      <c r="E801" t="inlineStr">
        <is>
          <t>LJUSDAL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29568-2021</t>
        </is>
      </c>
      <c r="B802" s="1" t="n">
        <v>44362</v>
      </c>
      <c r="C802" s="1" t="n">
        <v>45811</v>
      </c>
      <c r="D802" t="inlineStr">
        <is>
          <t>GÄVLEBORGS LÄN</t>
        </is>
      </c>
      <c r="E802" t="inlineStr">
        <is>
          <t>LJUSDAL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29586-2021</t>
        </is>
      </c>
      <c r="B803" s="1" t="n">
        <v>44362</v>
      </c>
      <c r="C803" s="1" t="n">
        <v>45811</v>
      </c>
      <c r="D803" t="inlineStr">
        <is>
          <t>GÄVLEBORGS LÄN</t>
        </is>
      </c>
      <c r="E803" t="inlineStr">
        <is>
          <t>LJUSDAL</t>
        </is>
      </c>
      <c r="G803" t="n">
        <v>6.5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30112-2021</t>
        </is>
      </c>
      <c r="B804" s="1" t="n">
        <v>44363</v>
      </c>
      <c r="C804" s="1" t="n">
        <v>45811</v>
      </c>
      <c r="D804" t="inlineStr">
        <is>
          <t>GÄVLEBORGS LÄN</t>
        </is>
      </c>
      <c r="E804" t="inlineStr">
        <is>
          <t>LJUSDAL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30577-2021</t>
        </is>
      </c>
      <c r="B805" s="1" t="n">
        <v>44364</v>
      </c>
      <c r="C805" s="1" t="n">
        <v>45811</v>
      </c>
      <c r="D805" t="inlineStr">
        <is>
          <t>GÄVLEBORGS LÄN</t>
        </is>
      </c>
      <c r="E805" t="inlineStr">
        <is>
          <t>LJUSDAL</t>
        </is>
      </c>
      <c r="G805" t="n">
        <v>5.7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30607-2021</t>
        </is>
      </c>
      <c r="B806" s="1" t="n">
        <v>44365</v>
      </c>
      <c r="C806" s="1" t="n">
        <v>45811</v>
      </c>
      <c r="D806" t="inlineStr">
        <is>
          <t>GÄVLEBORGS LÄN</t>
        </is>
      </c>
      <c r="E806" t="inlineStr">
        <is>
          <t>LJUSDAL</t>
        </is>
      </c>
      <c r="F806" t="inlineStr">
        <is>
          <t>Sveaskog</t>
        </is>
      </c>
      <c r="G806" t="n">
        <v>3.9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30601-2021</t>
        </is>
      </c>
      <c r="B807" s="1" t="n">
        <v>44365</v>
      </c>
      <c r="C807" s="1" t="n">
        <v>45811</v>
      </c>
      <c r="D807" t="inlineStr">
        <is>
          <t>GÄVLEBORGS LÄN</t>
        </is>
      </c>
      <c r="E807" t="inlineStr">
        <is>
          <t>LJUSDAL</t>
        </is>
      </c>
      <c r="F807" t="inlineStr">
        <is>
          <t>Sveaskog</t>
        </is>
      </c>
      <c r="G807" t="n">
        <v>5.1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30668-2021</t>
        </is>
      </c>
      <c r="B808" s="1" t="n">
        <v>44365</v>
      </c>
      <c r="C808" s="1" t="n">
        <v>45811</v>
      </c>
      <c r="D808" t="inlineStr">
        <is>
          <t>GÄVLEBORGS LÄN</t>
        </is>
      </c>
      <c r="E808" t="inlineStr">
        <is>
          <t>LJUSDAL</t>
        </is>
      </c>
      <c r="G808" t="n">
        <v>7.6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30816-2021</t>
        </is>
      </c>
      <c r="B809" s="1" t="n">
        <v>44365</v>
      </c>
      <c r="C809" s="1" t="n">
        <v>45811</v>
      </c>
      <c r="D809" t="inlineStr">
        <is>
          <t>GÄVLEBORGS LÄN</t>
        </is>
      </c>
      <c r="E809" t="inlineStr">
        <is>
          <t>LJUSDAL</t>
        </is>
      </c>
      <c r="F809" t="inlineStr">
        <is>
          <t>Bergvik skog väst AB</t>
        </is>
      </c>
      <c r="G809" t="n">
        <v>5.6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30770-2021</t>
        </is>
      </c>
      <c r="B810" s="1" t="n">
        <v>44365</v>
      </c>
      <c r="C810" s="1" t="n">
        <v>45811</v>
      </c>
      <c r="D810" t="inlineStr">
        <is>
          <t>GÄVLEBORGS LÄN</t>
        </is>
      </c>
      <c r="E810" t="inlineStr">
        <is>
          <t>LJUSDAL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31091-2021</t>
        </is>
      </c>
      <c r="B811" s="1" t="n">
        <v>44368</v>
      </c>
      <c r="C811" s="1" t="n">
        <v>45811</v>
      </c>
      <c r="D811" t="inlineStr">
        <is>
          <t>GÄVLEBORGS LÄN</t>
        </is>
      </c>
      <c r="E811" t="inlineStr">
        <is>
          <t>LJUSDAL</t>
        </is>
      </c>
      <c r="F811" t="inlineStr">
        <is>
          <t>Holmen skog AB</t>
        </is>
      </c>
      <c r="G811" t="n">
        <v>2.5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31042-2021</t>
        </is>
      </c>
      <c r="B812" s="1" t="n">
        <v>44368</v>
      </c>
      <c r="C812" s="1" t="n">
        <v>45811</v>
      </c>
      <c r="D812" t="inlineStr">
        <is>
          <t>GÄVLEBORGS LÄN</t>
        </is>
      </c>
      <c r="E812" t="inlineStr">
        <is>
          <t>LJUSDAL</t>
        </is>
      </c>
      <c r="F812" t="inlineStr">
        <is>
          <t>Holmen skog AB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31041-2021</t>
        </is>
      </c>
      <c r="B813" s="1" t="n">
        <v>44368</v>
      </c>
      <c r="C813" s="1" t="n">
        <v>45811</v>
      </c>
      <c r="D813" t="inlineStr">
        <is>
          <t>GÄVLEBORGS LÄN</t>
        </is>
      </c>
      <c r="E813" t="inlineStr">
        <is>
          <t>LJUSDAL</t>
        </is>
      </c>
      <c r="F813" t="inlineStr">
        <is>
          <t>Holmen skog AB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31065-2021</t>
        </is>
      </c>
      <c r="B814" s="1" t="n">
        <v>44368</v>
      </c>
      <c r="C814" s="1" t="n">
        <v>45811</v>
      </c>
      <c r="D814" t="inlineStr">
        <is>
          <t>GÄVLEBORGS LÄN</t>
        </is>
      </c>
      <c r="E814" t="inlineStr">
        <is>
          <t>LJUSDAL</t>
        </is>
      </c>
      <c r="F814" t="inlineStr">
        <is>
          <t>Holmen skog AB</t>
        </is>
      </c>
      <c r="G814" t="n">
        <v>3.2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31961-2021</t>
        </is>
      </c>
      <c r="B815" s="1" t="n">
        <v>44370</v>
      </c>
      <c r="C815" s="1" t="n">
        <v>45811</v>
      </c>
      <c r="D815" t="inlineStr">
        <is>
          <t>GÄVLEBORGS LÄN</t>
        </is>
      </c>
      <c r="E815" t="inlineStr">
        <is>
          <t>LJUSDAL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32233-2021</t>
        </is>
      </c>
      <c r="B816" s="1" t="n">
        <v>44371</v>
      </c>
      <c r="C816" s="1" t="n">
        <v>45811</v>
      </c>
      <c r="D816" t="inlineStr">
        <is>
          <t>GÄVLEBORGS LÄN</t>
        </is>
      </c>
      <c r="E816" t="inlineStr">
        <is>
          <t>LJUSDAL</t>
        </is>
      </c>
      <c r="F816" t="inlineStr">
        <is>
          <t>Holmen skog AB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32774-2021</t>
        </is>
      </c>
      <c r="B817" s="1" t="n">
        <v>44375</v>
      </c>
      <c r="C817" s="1" t="n">
        <v>45811</v>
      </c>
      <c r="D817" t="inlineStr">
        <is>
          <t>GÄVLEBORGS LÄN</t>
        </is>
      </c>
      <c r="E817" t="inlineStr">
        <is>
          <t>LJUSDAL</t>
        </is>
      </c>
      <c r="F817" t="inlineStr">
        <is>
          <t>Holmen skog AB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32886-2021</t>
        </is>
      </c>
      <c r="B818" s="1" t="n">
        <v>44375</v>
      </c>
      <c r="C818" s="1" t="n">
        <v>45811</v>
      </c>
      <c r="D818" t="inlineStr">
        <is>
          <t>GÄVLEBORGS LÄN</t>
        </is>
      </c>
      <c r="E818" t="inlineStr">
        <is>
          <t>LJUSDAL</t>
        </is>
      </c>
      <c r="F818" t="inlineStr">
        <is>
          <t>Holmen skog AB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32878-2021</t>
        </is>
      </c>
      <c r="B819" s="1" t="n">
        <v>44375</v>
      </c>
      <c r="C819" s="1" t="n">
        <v>45811</v>
      </c>
      <c r="D819" t="inlineStr">
        <is>
          <t>GÄVLEBORGS LÄN</t>
        </is>
      </c>
      <c r="E819" t="inlineStr">
        <is>
          <t>LJUSDAL</t>
        </is>
      </c>
      <c r="F819" t="inlineStr">
        <is>
          <t>Holmen skog AB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32890-2021</t>
        </is>
      </c>
      <c r="B820" s="1" t="n">
        <v>44375</v>
      </c>
      <c r="C820" s="1" t="n">
        <v>45811</v>
      </c>
      <c r="D820" t="inlineStr">
        <is>
          <t>GÄVLEBORGS LÄN</t>
        </is>
      </c>
      <c r="E820" t="inlineStr">
        <is>
          <t>LJUSDAL</t>
        </is>
      </c>
      <c r="F820" t="inlineStr">
        <is>
          <t>Holmen skog AB</t>
        </is>
      </c>
      <c r="G820" t="n">
        <v>2.4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33319-2021</t>
        </is>
      </c>
      <c r="B821" s="1" t="n">
        <v>44377</v>
      </c>
      <c r="C821" s="1" t="n">
        <v>45811</v>
      </c>
      <c r="D821" t="inlineStr">
        <is>
          <t>GÄVLEBORGS LÄN</t>
        </is>
      </c>
      <c r="E821" t="inlineStr">
        <is>
          <t>LJUSDAL</t>
        </is>
      </c>
      <c r="F821" t="inlineStr">
        <is>
          <t>Bergvik skog väst AB</t>
        </is>
      </c>
      <c r="G821" t="n">
        <v>3.6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33393-2021</t>
        </is>
      </c>
      <c r="B822" s="1" t="n">
        <v>44377</v>
      </c>
      <c r="C822" s="1" t="n">
        <v>45811</v>
      </c>
      <c r="D822" t="inlineStr">
        <is>
          <t>GÄVLEBORGS LÄN</t>
        </is>
      </c>
      <c r="E822" t="inlineStr">
        <is>
          <t>LJUSDAL</t>
        </is>
      </c>
      <c r="F822" t="inlineStr">
        <is>
          <t>Holmen skog AB</t>
        </is>
      </c>
      <c r="G822" t="n">
        <v>6.7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33605-2021</t>
        </is>
      </c>
      <c r="B823" s="1" t="n">
        <v>44378</v>
      </c>
      <c r="C823" s="1" t="n">
        <v>45811</v>
      </c>
      <c r="D823" t="inlineStr">
        <is>
          <t>GÄVLEBORGS LÄN</t>
        </is>
      </c>
      <c r="E823" t="inlineStr">
        <is>
          <t>LJUSDAL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33609-2021</t>
        </is>
      </c>
      <c r="B824" s="1" t="n">
        <v>44378</v>
      </c>
      <c r="C824" s="1" t="n">
        <v>45811</v>
      </c>
      <c r="D824" t="inlineStr">
        <is>
          <t>GÄVLEBORGS LÄN</t>
        </is>
      </c>
      <c r="E824" t="inlineStr">
        <is>
          <t>LJUSDAL</t>
        </is>
      </c>
      <c r="F824" t="inlineStr">
        <is>
          <t>Sveaskog</t>
        </is>
      </c>
      <c r="G824" t="n">
        <v>2.5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33767-2021</t>
        </is>
      </c>
      <c r="B825" s="1" t="n">
        <v>44378</v>
      </c>
      <c r="C825" s="1" t="n">
        <v>45811</v>
      </c>
      <c r="D825" t="inlineStr">
        <is>
          <t>GÄVLEBORGS LÄN</t>
        </is>
      </c>
      <c r="E825" t="inlineStr">
        <is>
          <t>LJUSDAL</t>
        </is>
      </c>
      <c r="F825" t="inlineStr">
        <is>
          <t>Kommuner</t>
        </is>
      </c>
      <c r="G825" t="n">
        <v>4.9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34566-2021</t>
        </is>
      </c>
      <c r="B826" s="1" t="n">
        <v>44382</v>
      </c>
      <c r="C826" s="1" t="n">
        <v>45811</v>
      </c>
      <c r="D826" t="inlineStr">
        <is>
          <t>GÄVLEBORGS LÄN</t>
        </is>
      </c>
      <c r="E826" t="inlineStr">
        <is>
          <t>LJUSDAL</t>
        </is>
      </c>
      <c r="F826" t="inlineStr">
        <is>
          <t>Bergvik skog väst AB</t>
        </is>
      </c>
      <c r="G826" t="n">
        <v>8.199999999999999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34651-2021</t>
        </is>
      </c>
      <c r="B827" s="1" t="n">
        <v>44382</v>
      </c>
      <c r="C827" s="1" t="n">
        <v>45811</v>
      </c>
      <c r="D827" t="inlineStr">
        <is>
          <t>GÄVLEBORGS LÄN</t>
        </is>
      </c>
      <c r="E827" t="inlineStr">
        <is>
          <t>LJUSDAL</t>
        </is>
      </c>
      <c r="F827" t="inlineStr">
        <is>
          <t>SCA</t>
        </is>
      </c>
      <c r="G827" t="n">
        <v>15.5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34522-2021</t>
        </is>
      </c>
      <c r="B828" s="1" t="n">
        <v>44382</v>
      </c>
      <c r="C828" s="1" t="n">
        <v>45811</v>
      </c>
      <c r="D828" t="inlineStr">
        <is>
          <t>GÄVLEBORGS LÄN</t>
        </is>
      </c>
      <c r="E828" t="inlineStr">
        <is>
          <t>LJUSDAL</t>
        </is>
      </c>
      <c r="F828" t="inlineStr">
        <is>
          <t>Bergvik skog väst AB</t>
        </is>
      </c>
      <c r="G828" t="n">
        <v>2.8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35259-2021</t>
        </is>
      </c>
      <c r="B829" s="1" t="n">
        <v>44384</v>
      </c>
      <c r="C829" s="1" t="n">
        <v>45811</v>
      </c>
      <c r="D829" t="inlineStr">
        <is>
          <t>GÄVLEBORGS LÄN</t>
        </is>
      </c>
      <c r="E829" t="inlineStr">
        <is>
          <t>LJUSDAL</t>
        </is>
      </c>
      <c r="F829" t="inlineStr">
        <is>
          <t>Sveaskog</t>
        </is>
      </c>
      <c r="G829" t="n">
        <v>21.7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35455-2021</t>
        </is>
      </c>
      <c r="B830" s="1" t="n">
        <v>44385</v>
      </c>
      <c r="C830" s="1" t="n">
        <v>45811</v>
      </c>
      <c r="D830" t="inlineStr">
        <is>
          <t>GÄVLEBORGS LÄN</t>
        </is>
      </c>
      <c r="E830" t="inlineStr">
        <is>
          <t>LJUSDAL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35931-2021</t>
        </is>
      </c>
      <c r="B831" s="1" t="n">
        <v>44388</v>
      </c>
      <c r="C831" s="1" t="n">
        <v>45811</v>
      </c>
      <c r="D831" t="inlineStr">
        <is>
          <t>GÄVLEBORGS LÄN</t>
        </is>
      </c>
      <c r="E831" t="inlineStr">
        <is>
          <t>LJUSDAL</t>
        </is>
      </c>
      <c r="F831" t="inlineStr">
        <is>
          <t>Sveaskog</t>
        </is>
      </c>
      <c r="G831" t="n">
        <v>2.9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35976-2021</t>
        </is>
      </c>
      <c r="B832" s="1" t="n">
        <v>44389</v>
      </c>
      <c r="C832" s="1" t="n">
        <v>45811</v>
      </c>
      <c r="D832" t="inlineStr">
        <is>
          <t>GÄVLEBORGS LÄN</t>
        </is>
      </c>
      <c r="E832" t="inlineStr">
        <is>
          <t>LJUSDAL</t>
        </is>
      </c>
      <c r="F832" t="inlineStr">
        <is>
          <t>Bergvik skog väst AB</t>
        </is>
      </c>
      <c r="G832" t="n">
        <v>4.1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36256-2021</t>
        </is>
      </c>
      <c r="B833" s="1" t="n">
        <v>44390</v>
      </c>
      <c r="C833" s="1" t="n">
        <v>45811</v>
      </c>
      <c r="D833" t="inlineStr">
        <is>
          <t>GÄVLEBORGS LÄN</t>
        </is>
      </c>
      <c r="E833" t="inlineStr">
        <is>
          <t>LJUSDAL</t>
        </is>
      </c>
      <c r="F833" t="inlineStr">
        <is>
          <t>Bergvik skog väst AB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36323-2021</t>
        </is>
      </c>
      <c r="B834" s="1" t="n">
        <v>44390</v>
      </c>
      <c r="C834" s="1" t="n">
        <v>45811</v>
      </c>
      <c r="D834" t="inlineStr">
        <is>
          <t>GÄVLEBORGS LÄN</t>
        </is>
      </c>
      <c r="E834" t="inlineStr">
        <is>
          <t>LJUSDAL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36252-2021</t>
        </is>
      </c>
      <c r="B835" s="1" t="n">
        <v>44390</v>
      </c>
      <c r="C835" s="1" t="n">
        <v>45811</v>
      </c>
      <c r="D835" t="inlineStr">
        <is>
          <t>GÄVLEBORGS LÄN</t>
        </is>
      </c>
      <c r="E835" t="inlineStr">
        <is>
          <t>LJUSDAL</t>
        </is>
      </c>
      <c r="F835" t="inlineStr">
        <is>
          <t>Bergvik skog väst AB</t>
        </is>
      </c>
      <c r="G835" t="n">
        <v>5.5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36568-2021</t>
        </is>
      </c>
      <c r="B836" s="1" t="n">
        <v>44391</v>
      </c>
      <c r="C836" s="1" t="n">
        <v>45811</v>
      </c>
      <c r="D836" t="inlineStr">
        <is>
          <t>GÄVLEBORGS LÄN</t>
        </is>
      </c>
      <c r="E836" t="inlineStr">
        <is>
          <t>LJUSDAL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36713-2021</t>
        </is>
      </c>
      <c r="B837" s="1" t="n">
        <v>44392</v>
      </c>
      <c r="C837" s="1" t="n">
        <v>45811</v>
      </c>
      <c r="D837" t="inlineStr">
        <is>
          <t>GÄVLEBORGS LÄN</t>
        </is>
      </c>
      <c r="E837" t="inlineStr">
        <is>
          <t>LJUSDAL</t>
        </is>
      </c>
      <c r="F837" t="inlineStr">
        <is>
          <t>Holmen skog AB</t>
        </is>
      </c>
      <c r="G837" t="n">
        <v>5.6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36698-2021</t>
        </is>
      </c>
      <c r="B838" s="1" t="n">
        <v>44392</v>
      </c>
      <c r="C838" s="1" t="n">
        <v>45811</v>
      </c>
      <c r="D838" t="inlineStr">
        <is>
          <t>GÄVLEBORGS LÄN</t>
        </is>
      </c>
      <c r="E838" t="inlineStr">
        <is>
          <t>LJUSDAL</t>
        </is>
      </c>
      <c r="F838" t="inlineStr">
        <is>
          <t>Holmen skog AB</t>
        </is>
      </c>
      <c r="G838" t="n">
        <v>5.6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36885-2021</t>
        </is>
      </c>
      <c r="B839" s="1" t="n">
        <v>44393</v>
      </c>
      <c r="C839" s="1" t="n">
        <v>45811</v>
      </c>
      <c r="D839" t="inlineStr">
        <is>
          <t>GÄVLEBORGS LÄN</t>
        </is>
      </c>
      <c r="E839" t="inlineStr">
        <is>
          <t>LJUSDAL</t>
        </is>
      </c>
      <c r="F839" t="inlineStr">
        <is>
          <t>Bergvik skog väst AB</t>
        </is>
      </c>
      <c r="G839" t="n">
        <v>9.300000000000001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37199-2021</t>
        </is>
      </c>
      <c r="B840" s="1" t="n">
        <v>44396</v>
      </c>
      <c r="C840" s="1" t="n">
        <v>45811</v>
      </c>
      <c r="D840" t="inlineStr">
        <is>
          <t>GÄVLEBORGS LÄN</t>
        </is>
      </c>
      <c r="E840" t="inlineStr">
        <is>
          <t>LJUSDAL</t>
        </is>
      </c>
      <c r="F840" t="inlineStr">
        <is>
          <t>Sveaskog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37219-2021</t>
        </is>
      </c>
      <c r="B841" s="1" t="n">
        <v>44396</v>
      </c>
      <c r="C841" s="1" t="n">
        <v>45811</v>
      </c>
      <c r="D841" t="inlineStr">
        <is>
          <t>GÄVLEBORGS LÄN</t>
        </is>
      </c>
      <c r="E841" t="inlineStr">
        <is>
          <t>LJUSDAL</t>
        </is>
      </c>
      <c r="F841" t="inlineStr">
        <is>
          <t>Sveaskog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37253-2021</t>
        </is>
      </c>
      <c r="B842" s="1" t="n">
        <v>44397</v>
      </c>
      <c r="C842" s="1" t="n">
        <v>45811</v>
      </c>
      <c r="D842" t="inlineStr">
        <is>
          <t>GÄVLEBORGS LÄN</t>
        </is>
      </c>
      <c r="E842" t="inlineStr">
        <is>
          <t>LJUSDAL</t>
        </is>
      </c>
      <c r="F842" t="inlineStr">
        <is>
          <t>Sveaskog</t>
        </is>
      </c>
      <c r="G842" t="n">
        <v>2.8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37249-2021</t>
        </is>
      </c>
      <c r="B843" s="1" t="n">
        <v>44397</v>
      </c>
      <c r="C843" s="1" t="n">
        <v>45811</v>
      </c>
      <c r="D843" t="inlineStr">
        <is>
          <t>GÄVLEBORGS LÄN</t>
        </is>
      </c>
      <c r="E843" t="inlineStr">
        <is>
          <t>LJUSDAL</t>
        </is>
      </c>
      <c r="F843" t="inlineStr">
        <is>
          <t>Sveaskog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37402-2021</t>
        </is>
      </c>
      <c r="B844" s="1" t="n">
        <v>44398</v>
      </c>
      <c r="C844" s="1" t="n">
        <v>45811</v>
      </c>
      <c r="D844" t="inlineStr">
        <is>
          <t>GÄVLEBORGS LÄN</t>
        </is>
      </c>
      <c r="E844" t="inlineStr">
        <is>
          <t>LJUSDAL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37473-2021</t>
        </is>
      </c>
      <c r="B845" s="1" t="n">
        <v>44398</v>
      </c>
      <c r="C845" s="1" t="n">
        <v>45811</v>
      </c>
      <c r="D845" t="inlineStr">
        <is>
          <t>GÄVLEBORGS LÄN</t>
        </is>
      </c>
      <c r="E845" t="inlineStr">
        <is>
          <t>LJUSDAL</t>
        </is>
      </c>
      <c r="G845" t="n">
        <v>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37643-2021</t>
        </is>
      </c>
      <c r="B846" s="1" t="n">
        <v>44400</v>
      </c>
      <c r="C846" s="1" t="n">
        <v>45811</v>
      </c>
      <c r="D846" t="inlineStr">
        <is>
          <t>GÄVLEBORGS LÄN</t>
        </is>
      </c>
      <c r="E846" t="inlineStr">
        <is>
          <t>LJUSDAL</t>
        </is>
      </c>
      <c r="F846" t="inlineStr">
        <is>
          <t>Sveaskog</t>
        </is>
      </c>
      <c r="G846" t="n">
        <v>7.2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  <c r="U846">
        <f>HYPERLINK("https://klasma.github.io/Logging_2161/knärot/A 37643-2021 karta knärot.png", "A 37643-2021")</f>
        <v/>
      </c>
      <c r="V846">
        <f>HYPERLINK("https://klasma.github.io/Logging_2161/klagomål/A 37643-2021 FSC-klagomål.docx", "A 37643-2021")</f>
        <v/>
      </c>
      <c r="W846">
        <f>HYPERLINK("https://klasma.github.io/Logging_2161/klagomålsmail/A 37643-2021 FSC-klagomål mail.docx", "A 37643-2021")</f>
        <v/>
      </c>
      <c r="X846">
        <f>HYPERLINK("https://klasma.github.io/Logging_2161/tillsyn/A 37643-2021 tillsynsbegäran.docx", "A 37643-2021")</f>
        <v/>
      </c>
      <c r="Y846">
        <f>HYPERLINK("https://klasma.github.io/Logging_2161/tillsynsmail/A 37643-2021 tillsynsbegäran mail.docx", "A 37643-2021")</f>
        <v/>
      </c>
    </row>
    <row r="847" ht="15" customHeight="1">
      <c r="A847" t="inlineStr">
        <is>
          <t>A 37647-2021</t>
        </is>
      </c>
      <c r="B847" s="1" t="n">
        <v>44400</v>
      </c>
      <c r="C847" s="1" t="n">
        <v>45811</v>
      </c>
      <c r="D847" t="inlineStr">
        <is>
          <t>GÄVLEBORGS LÄN</t>
        </is>
      </c>
      <c r="E847" t="inlineStr">
        <is>
          <t>LJUSDAL</t>
        </is>
      </c>
      <c r="F847" t="inlineStr">
        <is>
          <t>Sveaskog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37646-2021</t>
        </is>
      </c>
      <c r="B848" s="1" t="n">
        <v>44400</v>
      </c>
      <c r="C848" s="1" t="n">
        <v>45811</v>
      </c>
      <c r="D848" t="inlineStr">
        <is>
          <t>GÄVLEBORGS LÄN</t>
        </is>
      </c>
      <c r="E848" t="inlineStr">
        <is>
          <t>LJUSDAL</t>
        </is>
      </c>
      <c r="F848" t="inlineStr">
        <is>
          <t>Sveaskog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37640-2021</t>
        </is>
      </c>
      <c r="B849" s="1" t="n">
        <v>44400</v>
      </c>
      <c r="C849" s="1" t="n">
        <v>45811</v>
      </c>
      <c r="D849" t="inlineStr">
        <is>
          <t>GÄVLEBORGS LÄN</t>
        </is>
      </c>
      <c r="E849" t="inlineStr">
        <is>
          <t>LJUSDAL</t>
        </is>
      </c>
      <c r="F849" t="inlineStr">
        <is>
          <t>Sveaskog</t>
        </is>
      </c>
      <c r="G849" t="n">
        <v>2.4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37644-2021</t>
        </is>
      </c>
      <c r="B850" s="1" t="n">
        <v>44400</v>
      </c>
      <c r="C850" s="1" t="n">
        <v>45811</v>
      </c>
      <c r="D850" t="inlineStr">
        <is>
          <t>GÄVLEBORGS LÄN</t>
        </is>
      </c>
      <c r="E850" t="inlineStr">
        <is>
          <t>LJUSDAL</t>
        </is>
      </c>
      <c r="F850" t="inlineStr">
        <is>
          <t>Sveaskog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37645-2021</t>
        </is>
      </c>
      <c r="B851" s="1" t="n">
        <v>44400</v>
      </c>
      <c r="C851" s="1" t="n">
        <v>45811</v>
      </c>
      <c r="D851" t="inlineStr">
        <is>
          <t>GÄVLEBORGS LÄN</t>
        </is>
      </c>
      <c r="E851" t="inlineStr">
        <is>
          <t>LJUSDAL</t>
        </is>
      </c>
      <c r="F851" t="inlineStr">
        <is>
          <t>Sveaskog</t>
        </is>
      </c>
      <c r="G851" t="n">
        <v>3.9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37649-2021</t>
        </is>
      </c>
      <c r="B852" s="1" t="n">
        <v>44400</v>
      </c>
      <c r="C852" s="1" t="n">
        <v>45811</v>
      </c>
      <c r="D852" t="inlineStr">
        <is>
          <t>GÄVLEBORGS LÄN</t>
        </is>
      </c>
      <c r="E852" t="inlineStr">
        <is>
          <t>LJUSDAL</t>
        </is>
      </c>
      <c r="F852" t="inlineStr">
        <is>
          <t>Sveaskog</t>
        </is>
      </c>
      <c r="G852" t="n">
        <v>5.3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37664-2021</t>
        </is>
      </c>
      <c r="B853" s="1" t="n">
        <v>44400</v>
      </c>
      <c r="C853" s="1" t="n">
        <v>45811</v>
      </c>
      <c r="D853" t="inlineStr">
        <is>
          <t>GÄVLEBORGS LÄN</t>
        </is>
      </c>
      <c r="E853" t="inlineStr">
        <is>
          <t>LJUSDAL</t>
        </is>
      </c>
      <c r="F853" t="inlineStr">
        <is>
          <t>Sveaskog</t>
        </is>
      </c>
      <c r="G853" t="n">
        <v>3.1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37903-2021</t>
        </is>
      </c>
      <c r="B854" s="1" t="n">
        <v>44403</v>
      </c>
      <c r="C854" s="1" t="n">
        <v>45811</v>
      </c>
      <c r="D854" t="inlineStr">
        <is>
          <t>GÄVLEBORGS LÄN</t>
        </is>
      </c>
      <c r="E854" t="inlineStr">
        <is>
          <t>LJUSDAL</t>
        </is>
      </c>
      <c r="F854" t="inlineStr">
        <is>
          <t>Sveaskog</t>
        </is>
      </c>
      <c r="G854" t="n">
        <v>1.6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37970-2021</t>
        </is>
      </c>
      <c r="B855" s="1" t="n">
        <v>44403</v>
      </c>
      <c r="C855" s="1" t="n">
        <v>45811</v>
      </c>
      <c r="D855" t="inlineStr">
        <is>
          <t>GÄVLEBORGS LÄN</t>
        </is>
      </c>
      <c r="E855" t="inlineStr">
        <is>
          <t>LJUSDAL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38040-2021</t>
        </is>
      </c>
      <c r="B856" s="1" t="n">
        <v>44404</v>
      </c>
      <c r="C856" s="1" t="n">
        <v>45811</v>
      </c>
      <c r="D856" t="inlineStr">
        <is>
          <t>GÄVLEBORGS LÄN</t>
        </is>
      </c>
      <c r="E856" t="inlineStr">
        <is>
          <t>LJUSDAL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38113-2021</t>
        </is>
      </c>
      <c r="B857" s="1" t="n">
        <v>44405</v>
      </c>
      <c r="C857" s="1" t="n">
        <v>45811</v>
      </c>
      <c r="D857" t="inlineStr">
        <is>
          <t>GÄVLEBORGS LÄN</t>
        </is>
      </c>
      <c r="E857" t="inlineStr">
        <is>
          <t>LJUSDAL</t>
        </is>
      </c>
      <c r="F857" t="inlineStr">
        <is>
          <t>Sveaskog</t>
        </is>
      </c>
      <c r="G857" t="n">
        <v>2.9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38109-2021</t>
        </is>
      </c>
      <c r="B858" s="1" t="n">
        <v>44405</v>
      </c>
      <c r="C858" s="1" t="n">
        <v>45811</v>
      </c>
      <c r="D858" t="inlineStr">
        <is>
          <t>GÄVLEBORGS LÄN</t>
        </is>
      </c>
      <c r="E858" t="inlineStr">
        <is>
          <t>LJUSDAL</t>
        </is>
      </c>
      <c r="F858" t="inlineStr">
        <is>
          <t>Sveaskog</t>
        </is>
      </c>
      <c r="G858" t="n">
        <v>13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38267-2021</t>
        </is>
      </c>
      <c r="B859" s="1" t="n">
        <v>44405</v>
      </c>
      <c r="C859" s="1" t="n">
        <v>45811</v>
      </c>
      <c r="D859" t="inlineStr">
        <is>
          <t>GÄVLEBORGS LÄN</t>
        </is>
      </c>
      <c r="E859" t="inlineStr">
        <is>
          <t>LJUSDAL</t>
        </is>
      </c>
      <c r="F859" t="inlineStr">
        <is>
          <t>Sveaskog</t>
        </is>
      </c>
      <c r="G859" t="n">
        <v>4.4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38331-2021</t>
        </is>
      </c>
      <c r="B860" s="1" t="n">
        <v>44406</v>
      </c>
      <c r="C860" s="1" t="n">
        <v>45811</v>
      </c>
      <c r="D860" t="inlineStr">
        <is>
          <t>GÄVLEBORGS LÄN</t>
        </is>
      </c>
      <c r="E860" t="inlineStr">
        <is>
          <t>LJUSDAL</t>
        </is>
      </c>
      <c r="F860" t="inlineStr">
        <is>
          <t>Allmännings- och besparingsskogar</t>
        </is>
      </c>
      <c r="G860" t="n">
        <v>2.3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40009-2021</t>
        </is>
      </c>
      <c r="B861" s="1" t="n">
        <v>44418</v>
      </c>
      <c r="C861" s="1" t="n">
        <v>45811</v>
      </c>
      <c r="D861" t="inlineStr">
        <is>
          <t>GÄVLEBORGS LÄN</t>
        </is>
      </c>
      <c r="E861" t="inlineStr">
        <is>
          <t>LJUSDAL</t>
        </is>
      </c>
      <c r="F861" t="inlineStr">
        <is>
          <t>Sveaskog</t>
        </is>
      </c>
      <c r="G861" t="n">
        <v>3.4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40000-2021</t>
        </is>
      </c>
      <c r="B862" s="1" t="n">
        <v>44418</v>
      </c>
      <c r="C862" s="1" t="n">
        <v>45811</v>
      </c>
      <c r="D862" t="inlineStr">
        <is>
          <t>GÄVLEBORGS LÄN</t>
        </is>
      </c>
      <c r="E862" t="inlineStr">
        <is>
          <t>LJUSDAL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40345-2021</t>
        </is>
      </c>
      <c r="B863" s="1" t="n">
        <v>44419</v>
      </c>
      <c r="C863" s="1" t="n">
        <v>45811</v>
      </c>
      <c r="D863" t="inlineStr">
        <is>
          <t>GÄVLEBORGS LÄN</t>
        </is>
      </c>
      <c r="E863" t="inlineStr">
        <is>
          <t>LJUSDAL</t>
        </is>
      </c>
      <c r="F863" t="inlineStr">
        <is>
          <t>Bergvik skog väst AB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40431-2021</t>
        </is>
      </c>
      <c r="B864" s="1" t="n">
        <v>44419</v>
      </c>
      <c r="C864" s="1" t="n">
        <v>45811</v>
      </c>
      <c r="D864" t="inlineStr">
        <is>
          <t>GÄVLEBORGS LÄN</t>
        </is>
      </c>
      <c r="E864" t="inlineStr">
        <is>
          <t>LJUSDAL</t>
        </is>
      </c>
      <c r="F864" t="inlineStr">
        <is>
          <t>Holmen skog AB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41280-2021</t>
        </is>
      </c>
      <c r="B865" s="1" t="n">
        <v>44424</v>
      </c>
      <c r="C865" s="1" t="n">
        <v>45811</v>
      </c>
      <c r="D865" t="inlineStr">
        <is>
          <t>GÄVLEBORGS LÄN</t>
        </is>
      </c>
      <c r="E865" t="inlineStr">
        <is>
          <t>LJUSDAL</t>
        </is>
      </c>
      <c r="F865" t="inlineStr">
        <is>
          <t>Bergvik skog väst AB</t>
        </is>
      </c>
      <c r="G865" t="n">
        <v>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41544-2021</t>
        </is>
      </c>
      <c r="B866" s="1" t="n">
        <v>44425</v>
      </c>
      <c r="C866" s="1" t="n">
        <v>45811</v>
      </c>
      <c r="D866" t="inlineStr">
        <is>
          <t>GÄVLEBORGS LÄN</t>
        </is>
      </c>
      <c r="E866" t="inlineStr">
        <is>
          <t>LJUSDAL</t>
        </is>
      </c>
      <c r="F866" t="inlineStr">
        <is>
          <t>Sveaskog</t>
        </is>
      </c>
      <c r="G866" t="n">
        <v>2.5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41663-2021</t>
        </is>
      </c>
      <c r="B867" s="1" t="n">
        <v>44425</v>
      </c>
      <c r="C867" s="1" t="n">
        <v>45811</v>
      </c>
      <c r="D867" t="inlineStr">
        <is>
          <t>GÄVLEBORGS LÄN</t>
        </is>
      </c>
      <c r="E867" t="inlineStr">
        <is>
          <t>LJUSDAL</t>
        </is>
      </c>
      <c r="F867" t="inlineStr">
        <is>
          <t>Sveaskog</t>
        </is>
      </c>
      <c r="G867" t="n">
        <v>8.9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41919-2021</t>
        </is>
      </c>
      <c r="B868" s="1" t="n">
        <v>44426</v>
      </c>
      <c r="C868" s="1" t="n">
        <v>45811</v>
      </c>
      <c r="D868" t="inlineStr">
        <is>
          <t>GÄVLEBORGS LÄN</t>
        </is>
      </c>
      <c r="E868" t="inlineStr">
        <is>
          <t>LJUSDAL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42553-2021</t>
        </is>
      </c>
      <c r="B869" s="1" t="n">
        <v>44427</v>
      </c>
      <c r="C869" s="1" t="n">
        <v>45811</v>
      </c>
      <c r="D869" t="inlineStr">
        <is>
          <t>GÄVLEBORGS LÄN</t>
        </is>
      </c>
      <c r="E869" t="inlineStr">
        <is>
          <t>LJUSDAL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42759-2021</t>
        </is>
      </c>
      <c r="B870" s="1" t="n">
        <v>44428</v>
      </c>
      <c r="C870" s="1" t="n">
        <v>45811</v>
      </c>
      <c r="D870" t="inlineStr">
        <is>
          <t>GÄVLEBORGS LÄN</t>
        </is>
      </c>
      <c r="E870" t="inlineStr">
        <is>
          <t>LJUSDAL</t>
        </is>
      </c>
      <c r="F870" t="inlineStr">
        <is>
          <t>Sveaskog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42959-2021</t>
        </is>
      </c>
      <c r="B871" s="1" t="n">
        <v>44431</v>
      </c>
      <c r="C871" s="1" t="n">
        <v>45811</v>
      </c>
      <c r="D871" t="inlineStr">
        <is>
          <t>GÄVLEBORGS LÄN</t>
        </is>
      </c>
      <c r="E871" t="inlineStr">
        <is>
          <t>LJUSDAL</t>
        </is>
      </c>
      <c r="F871" t="inlineStr">
        <is>
          <t>Bergvik skog väst AB</t>
        </is>
      </c>
      <c r="G871" t="n">
        <v>4.2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42996-2021</t>
        </is>
      </c>
      <c r="B872" s="1" t="n">
        <v>44431</v>
      </c>
      <c r="C872" s="1" t="n">
        <v>45811</v>
      </c>
      <c r="D872" t="inlineStr">
        <is>
          <t>GÄVLEBORGS LÄN</t>
        </is>
      </c>
      <c r="E872" t="inlineStr">
        <is>
          <t>LJUSDAL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43011-2021</t>
        </is>
      </c>
      <c r="B873" s="1" t="n">
        <v>44431</v>
      </c>
      <c r="C873" s="1" t="n">
        <v>45811</v>
      </c>
      <c r="D873" t="inlineStr">
        <is>
          <t>GÄVLEBORGS LÄN</t>
        </is>
      </c>
      <c r="E873" t="inlineStr">
        <is>
          <t>LJUSDAL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43000-2021</t>
        </is>
      </c>
      <c r="B874" s="1" t="n">
        <v>44431</v>
      </c>
      <c r="C874" s="1" t="n">
        <v>45811</v>
      </c>
      <c r="D874" t="inlineStr">
        <is>
          <t>GÄVLEBORGS LÄN</t>
        </is>
      </c>
      <c r="E874" t="inlineStr">
        <is>
          <t>LJUSDAL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43012-2021</t>
        </is>
      </c>
      <c r="B875" s="1" t="n">
        <v>44431</v>
      </c>
      <c r="C875" s="1" t="n">
        <v>45811</v>
      </c>
      <c r="D875" t="inlineStr">
        <is>
          <t>GÄVLEBORGS LÄN</t>
        </is>
      </c>
      <c r="E875" t="inlineStr">
        <is>
          <t>LJUSDAL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43109-2021</t>
        </is>
      </c>
      <c r="B876" s="1" t="n">
        <v>44431</v>
      </c>
      <c r="C876" s="1" t="n">
        <v>45811</v>
      </c>
      <c r="D876" t="inlineStr">
        <is>
          <t>GÄVLEBORGS LÄN</t>
        </is>
      </c>
      <c r="E876" t="inlineStr">
        <is>
          <t>LJUSDAL</t>
        </is>
      </c>
      <c r="F876" t="inlineStr">
        <is>
          <t>Sveaskog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43850-2021</t>
        </is>
      </c>
      <c r="B877" s="1" t="n">
        <v>44434</v>
      </c>
      <c r="C877" s="1" t="n">
        <v>45811</v>
      </c>
      <c r="D877" t="inlineStr">
        <is>
          <t>GÄVLEBORGS LÄN</t>
        </is>
      </c>
      <c r="E877" t="inlineStr">
        <is>
          <t>LJUSDAL</t>
        </is>
      </c>
      <c r="F877" t="inlineStr">
        <is>
          <t>Sveaskog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44387-2021</t>
        </is>
      </c>
      <c r="B878" s="1" t="n">
        <v>44435</v>
      </c>
      <c r="C878" s="1" t="n">
        <v>45811</v>
      </c>
      <c r="D878" t="inlineStr">
        <is>
          <t>GÄVLEBORGS LÄN</t>
        </is>
      </c>
      <c r="E878" t="inlineStr">
        <is>
          <t>LJUSDAL</t>
        </is>
      </c>
      <c r="F878" t="inlineStr">
        <is>
          <t>Sveaskog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44257-2021</t>
        </is>
      </c>
      <c r="B879" s="1" t="n">
        <v>44435</v>
      </c>
      <c r="C879" s="1" t="n">
        <v>45811</v>
      </c>
      <c r="D879" t="inlineStr">
        <is>
          <t>GÄVLEBORGS LÄN</t>
        </is>
      </c>
      <c r="E879" t="inlineStr">
        <is>
          <t>LJUSDAL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44256-2021</t>
        </is>
      </c>
      <c r="B880" s="1" t="n">
        <v>44435</v>
      </c>
      <c r="C880" s="1" t="n">
        <v>45811</v>
      </c>
      <c r="D880" t="inlineStr">
        <is>
          <t>GÄVLEBORGS LÄN</t>
        </is>
      </c>
      <c r="E880" t="inlineStr">
        <is>
          <t>LJUSDAL</t>
        </is>
      </c>
      <c r="F880" t="inlineStr">
        <is>
          <t>Sveaskog</t>
        </is>
      </c>
      <c r="G880" t="n">
        <v>6.1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44382-2021</t>
        </is>
      </c>
      <c r="B881" s="1" t="n">
        <v>44435</v>
      </c>
      <c r="C881" s="1" t="n">
        <v>45811</v>
      </c>
      <c r="D881" t="inlineStr">
        <is>
          <t>GÄVLEBORGS LÄN</t>
        </is>
      </c>
      <c r="E881" t="inlineStr">
        <is>
          <t>LJUSDAL</t>
        </is>
      </c>
      <c r="F881" t="inlineStr">
        <is>
          <t>Sveaskog</t>
        </is>
      </c>
      <c r="G881" t="n">
        <v>6.6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44507-2021</t>
        </is>
      </c>
      <c r="B882" s="1" t="n">
        <v>44435</v>
      </c>
      <c r="C882" s="1" t="n">
        <v>45811</v>
      </c>
      <c r="D882" t="inlineStr">
        <is>
          <t>GÄVLEBORGS LÄN</t>
        </is>
      </c>
      <c r="E882" t="inlineStr">
        <is>
          <t>LJUSDAL</t>
        </is>
      </c>
      <c r="F882" t="inlineStr">
        <is>
          <t>Sveaskog</t>
        </is>
      </c>
      <c r="G882" t="n">
        <v>3.5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44563-2021</t>
        </is>
      </c>
      <c r="B883" s="1" t="n">
        <v>44435</v>
      </c>
      <c r="C883" s="1" t="n">
        <v>45811</v>
      </c>
      <c r="D883" t="inlineStr">
        <is>
          <t>GÄVLEBORGS LÄN</t>
        </is>
      </c>
      <c r="E883" t="inlineStr">
        <is>
          <t>LJUSDAL</t>
        </is>
      </c>
      <c r="F883" t="inlineStr">
        <is>
          <t>Sveaskog</t>
        </is>
      </c>
      <c r="G883" t="n">
        <v>4.1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44688-2021</t>
        </is>
      </c>
      <c r="B884" s="1" t="n">
        <v>44438</v>
      </c>
      <c r="C884" s="1" t="n">
        <v>45811</v>
      </c>
      <c r="D884" t="inlineStr">
        <is>
          <t>GÄVLEBORGS LÄN</t>
        </is>
      </c>
      <c r="E884" t="inlineStr">
        <is>
          <t>LJUSDAL</t>
        </is>
      </c>
      <c r="F884" t="inlineStr">
        <is>
          <t>Sveaskog</t>
        </is>
      </c>
      <c r="G884" t="n">
        <v>4.8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44696-2021</t>
        </is>
      </c>
      <c r="B885" s="1" t="n">
        <v>44438</v>
      </c>
      <c r="C885" s="1" t="n">
        <v>45811</v>
      </c>
      <c r="D885" t="inlineStr">
        <is>
          <t>GÄVLEBORGS LÄN</t>
        </is>
      </c>
      <c r="E885" t="inlineStr">
        <is>
          <t>LJUSDAL</t>
        </is>
      </c>
      <c r="F885" t="inlineStr">
        <is>
          <t>Sveaskog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45053-2021</t>
        </is>
      </c>
      <c r="B886" s="1" t="n">
        <v>44439</v>
      </c>
      <c r="C886" s="1" t="n">
        <v>45811</v>
      </c>
      <c r="D886" t="inlineStr">
        <is>
          <t>GÄVLEBORGS LÄN</t>
        </is>
      </c>
      <c r="E886" t="inlineStr">
        <is>
          <t>LJUSDAL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45369-2021</t>
        </is>
      </c>
      <c r="B887" s="1" t="n">
        <v>44440</v>
      </c>
      <c r="C887" s="1" t="n">
        <v>45811</v>
      </c>
      <c r="D887" t="inlineStr">
        <is>
          <t>GÄVLEBORGS LÄN</t>
        </is>
      </c>
      <c r="E887" t="inlineStr">
        <is>
          <t>LJUSDAL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45367-2021</t>
        </is>
      </c>
      <c r="B888" s="1" t="n">
        <v>44440</v>
      </c>
      <c r="C888" s="1" t="n">
        <v>45811</v>
      </c>
      <c r="D888" t="inlineStr">
        <is>
          <t>GÄVLEBORGS LÄN</t>
        </is>
      </c>
      <c r="E888" t="inlineStr">
        <is>
          <t>LJUSDAL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45368-2021</t>
        </is>
      </c>
      <c r="B889" s="1" t="n">
        <v>44440</v>
      </c>
      <c r="C889" s="1" t="n">
        <v>45811</v>
      </c>
      <c r="D889" t="inlineStr">
        <is>
          <t>GÄVLEBORGS LÄN</t>
        </is>
      </c>
      <c r="E889" t="inlineStr">
        <is>
          <t>LJUSDAL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45370-2021</t>
        </is>
      </c>
      <c r="B890" s="1" t="n">
        <v>44440</v>
      </c>
      <c r="C890" s="1" t="n">
        <v>45811</v>
      </c>
      <c r="D890" t="inlineStr">
        <is>
          <t>GÄVLEBORGS LÄN</t>
        </is>
      </c>
      <c r="E890" t="inlineStr">
        <is>
          <t>LJUSDAL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45444-2021</t>
        </is>
      </c>
      <c r="B891" s="1" t="n">
        <v>44440</v>
      </c>
      <c r="C891" s="1" t="n">
        <v>45811</v>
      </c>
      <c r="D891" t="inlineStr">
        <is>
          <t>GÄVLEBORGS LÄN</t>
        </is>
      </c>
      <c r="E891" t="inlineStr">
        <is>
          <t>LJUSDAL</t>
        </is>
      </c>
      <c r="F891" t="inlineStr">
        <is>
          <t>Allmännings- och besparingsskogar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45584-2021</t>
        </is>
      </c>
      <c r="B892" s="1" t="n">
        <v>44440</v>
      </c>
      <c r="C892" s="1" t="n">
        <v>45811</v>
      </c>
      <c r="D892" t="inlineStr">
        <is>
          <t>GÄVLEBORGS LÄN</t>
        </is>
      </c>
      <c r="E892" t="inlineStr">
        <is>
          <t>LJUSDAL</t>
        </is>
      </c>
      <c r="F892" t="inlineStr">
        <is>
          <t>Holmen skog AB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45366-2021</t>
        </is>
      </c>
      <c r="B893" s="1" t="n">
        <v>44440</v>
      </c>
      <c r="C893" s="1" t="n">
        <v>45811</v>
      </c>
      <c r="D893" t="inlineStr">
        <is>
          <t>GÄVLEBORGS LÄN</t>
        </is>
      </c>
      <c r="E893" t="inlineStr">
        <is>
          <t>LJUSDAL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45701-2021</t>
        </is>
      </c>
      <c r="B894" s="1" t="n">
        <v>44441</v>
      </c>
      <c r="C894" s="1" t="n">
        <v>45811</v>
      </c>
      <c r="D894" t="inlineStr">
        <is>
          <t>GÄVLEBORGS LÄN</t>
        </is>
      </c>
      <c r="E894" t="inlineStr">
        <is>
          <t>LJUSDAL</t>
        </is>
      </c>
      <c r="F894" t="inlineStr">
        <is>
          <t>Allmännings- och besparingsskogar</t>
        </is>
      </c>
      <c r="G894" t="n">
        <v>0.4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46123-2021</t>
        </is>
      </c>
      <c r="B895" s="1" t="n">
        <v>44442</v>
      </c>
      <c r="C895" s="1" t="n">
        <v>45811</v>
      </c>
      <c r="D895" t="inlineStr">
        <is>
          <t>GÄVLEBORGS LÄN</t>
        </is>
      </c>
      <c r="E895" t="inlineStr">
        <is>
          <t>LJUSDAL</t>
        </is>
      </c>
      <c r="F895" t="inlineStr">
        <is>
          <t>Sveaskog</t>
        </is>
      </c>
      <c r="G895" t="n">
        <v>2.6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46091-2021</t>
        </is>
      </c>
      <c r="B896" s="1" t="n">
        <v>44442</v>
      </c>
      <c r="C896" s="1" t="n">
        <v>45811</v>
      </c>
      <c r="D896" t="inlineStr">
        <is>
          <t>GÄVLEBORGS LÄN</t>
        </is>
      </c>
      <c r="E896" t="inlineStr">
        <is>
          <t>LJUSDAL</t>
        </is>
      </c>
      <c r="F896" t="inlineStr">
        <is>
          <t>Holmen skog AB</t>
        </is>
      </c>
      <c r="G896" t="n">
        <v>4.4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46113-2021</t>
        </is>
      </c>
      <c r="B897" s="1" t="n">
        <v>44442</v>
      </c>
      <c r="C897" s="1" t="n">
        <v>45811</v>
      </c>
      <c r="D897" t="inlineStr">
        <is>
          <t>GÄVLEBORGS LÄN</t>
        </is>
      </c>
      <c r="E897" t="inlineStr">
        <is>
          <t>LJUSDAL</t>
        </is>
      </c>
      <c r="F897" t="inlineStr">
        <is>
          <t>Sveaskog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46421-2021</t>
        </is>
      </c>
      <c r="B898" s="1" t="n">
        <v>44445</v>
      </c>
      <c r="C898" s="1" t="n">
        <v>45811</v>
      </c>
      <c r="D898" t="inlineStr">
        <is>
          <t>GÄVLEBORGS LÄN</t>
        </is>
      </c>
      <c r="E898" t="inlineStr">
        <is>
          <t>LJUSDAL</t>
        </is>
      </c>
      <c r="F898" t="inlineStr">
        <is>
          <t>Sveaskog</t>
        </is>
      </c>
      <c r="G898" t="n">
        <v>3.3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46419-2021</t>
        </is>
      </c>
      <c r="B899" s="1" t="n">
        <v>44445</v>
      </c>
      <c r="C899" s="1" t="n">
        <v>45811</v>
      </c>
      <c r="D899" t="inlineStr">
        <is>
          <t>GÄVLEBORGS LÄN</t>
        </is>
      </c>
      <c r="E899" t="inlineStr">
        <is>
          <t>LJUSDAL</t>
        </is>
      </c>
      <c r="F899" t="inlineStr">
        <is>
          <t>Sveaskog</t>
        </is>
      </c>
      <c r="G899" t="n">
        <v>6.5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46524-2021</t>
        </is>
      </c>
      <c r="B900" s="1" t="n">
        <v>44445</v>
      </c>
      <c r="C900" s="1" t="n">
        <v>45811</v>
      </c>
      <c r="D900" t="inlineStr">
        <is>
          <t>GÄVLEBORGS LÄN</t>
        </is>
      </c>
      <c r="E900" t="inlineStr">
        <is>
          <t>LJUSDAL</t>
        </is>
      </c>
      <c r="F900" t="inlineStr">
        <is>
          <t>Allmännings- och besparingsskogar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46642-2021</t>
        </is>
      </c>
      <c r="B901" s="1" t="n">
        <v>44445</v>
      </c>
      <c r="C901" s="1" t="n">
        <v>45811</v>
      </c>
      <c r="D901" t="inlineStr">
        <is>
          <t>GÄVLEBORGS LÄN</t>
        </is>
      </c>
      <c r="E901" t="inlineStr">
        <is>
          <t>LJUSDAL</t>
        </is>
      </c>
      <c r="F901" t="inlineStr">
        <is>
          <t>Sveaskog</t>
        </is>
      </c>
      <c r="G901" t="n">
        <v>2.9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  <c r="U901">
        <f>HYPERLINK("https://klasma.github.io/Logging_2161/knärot/A 46642-2021 karta knärot.png", "A 46642-2021")</f>
        <v/>
      </c>
      <c r="V901">
        <f>HYPERLINK("https://klasma.github.io/Logging_2161/klagomål/A 46642-2021 FSC-klagomål.docx", "A 46642-2021")</f>
        <v/>
      </c>
      <c r="W901">
        <f>HYPERLINK("https://klasma.github.io/Logging_2161/klagomålsmail/A 46642-2021 FSC-klagomål mail.docx", "A 46642-2021")</f>
        <v/>
      </c>
      <c r="X901">
        <f>HYPERLINK("https://klasma.github.io/Logging_2161/tillsyn/A 46642-2021 tillsynsbegäran.docx", "A 46642-2021")</f>
        <v/>
      </c>
      <c r="Y901">
        <f>HYPERLINK("https://klasma.github.io/Logging_2161/tillsynsmail/A 46642-2021 tillsynsbegäran mail.docx", "A 46642-2021")</f>
        <v/>
      </c>
    </row>
    <row r="902" ht="15" customHeight="1">
      <c r="A902" t="inlineStr">
        <is>
          <t>A 46651-2021</t>
        </is>
      </c>
      <c r="B902" s="1" t="n">
        <v>44445</v>
      </c>
      <c r="C902" s="1" t="n">
        <v>45811</v>
      </c>
      <c r="D902" t="inlineStr">
        <is>
          <t>GÄVLEBORGS LÄN</t>
        </is>
      </c>
      <c r="E902" t="inlineStr">
        <is>
          <t>LJUSDAL</t>
        </is>
      </c>
      <c r="F902" t="inlineStr">
        <is>
          <t>Holmen skog AB</t>
        </is>
      </c>
      <c r="G902" t="n">
        <v>6.2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46679-2021</t>
        </is>
      </c>
      <c r="B903" s="1" t="n">
        <v>44445</v>
      </c>
      <c r="C903" s="1" t="n">
        <v>45811</v>
      </c>
      <c r="D903" t="inlineStr">
        <is>
          <t>GÄVLEBORGS LÄN</t>
        </is>
      </c>
      <c r="E903" t="inlineStr">
        <is>
          <t>LJUSDAL</t>
        </is>
      </c>
      <c r="G903" t="n">
        <v>4.3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46860-2021</t>
        </is>
      </c>
      <c r="B904" s="1" t="n">
        <v>44446</v>
      </c>
      <c r="C904" s="1" t="n">
        <v>45811</v>
      </c>
      <c r="D904" t="inlineStr">
        <is>
          <t>GÄVLEBORGS LÄN</t>
        </is>
      </c>
      <c r="E904" t="inlineStr">
        <is>
          <t>LJUSDAL</t>
        </is>
      </c>
      <c r="G904" t="n">
        <v>2.2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47268-2021</t>
        </is>
      </c>
      <c r="B905" s="1" t="n">
        <v>44447</v>
      </c>
      <c r="C905" s="1" t="n">
        <v>45811</v>
      </c>
      <c r="D905" t="inlineStr">
        <is>
          <t>GÄVLEBORGS LÄN</t>
        </is>
      </c>
      <c r="E905" t="inlineStr">
        <is>
          <t>LJUSDAL</t>
        </is>
      </c>
      <c r="F905" t="inlineStr">
        <is>
          <t>Bergvik skog väst AB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47924-2021</t>
        </is>
      </c>
      <c r="B906" s="1" t="n">
        <v>44448</v>
      </c>
      <c r="C906" s="1" t="n">
        <v>45811</v>
      </c>
      <c r="D906" t="inlineStr">
        <is>
          <t>GÄVLEBORGS LÄN</t>
        </is>
      </c>
      <c r="E906" t="inlineStr">
        <is>
          <t>LJUSDAL</t>
        </is>
      </c>
      <c r="G906" t="n">
        <v>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47925-2021</t>
        </is>
      </c>
      <c r="B907" s="1" t="n">
        <v>44448</v>
      </c>
      <c r="C907" s="1" t="n">
        <v>45811</v>
      </c>
      <c r="D907" t="inlineStr">
        <is>
          <t>GÄVLEBORGS LÄN</t>
        </is>
      </c>
      <c r="E907" t="inlineStr">
        <is>
          <t>LJUSDAL</t>
        </is>
      </c>
      <c r="G907" t="n">
        <v>15.5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48176-2021</t>
        </is>
      </c>
      <c r="B908" s="1" t="n">
        <v>44449</v>
      </c>
      <c r="C908" s="1" t="n">
        <v>45811</v>
      </c>
      <c r="D908" t="inlineStr">
        <is>
          <t>GÄVLEBORGS LÄN</t>
        </is>
      </c>
      <c r="E908" t="inlineStr">
        <is>
          <t>LJUSDAL</t>
        </is>
      </c>
      <c r="F908" t="inlineStr">
        <is>
          <t>Sveaskog</t>
        </is>
      </c>
      <c r="G908" t="n">
        <v>2.4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48581-2021</t>
        </is>
      </c>
      <c r="B909" s="1" t="n">
        <v>44452</v>
      </c>
      <c r="C909" s="1" t="n">
        <v>45811</v>
      </c>
      <c r="D909" t="inlineStr">
        <is>
          <t>GÄVLEBORGS LÄN</t>
        </is>
      </c>
      <c r="E909" t="inlineStr">
        <is>
          <t>LJUSDAL</t>
        </is>
      </c>
      <c r="G909" t="n">
        <v>0.4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48674-2021</t>
        </is>
      </c>
      <c r="B910" s="1" t="n">
        <v>44452</v>
      </c>
      <c r="C910" s="1" t="n">
        <v>45811</v>
      </c>
      <c r="D910" t="inlineStr">
        <is>
          <t>GÄVLEBORGS LÄN</t>
        </is>
      </c>
      <c r="E910" t="inlineStr">
        <is>
          <t>LJUSDAL</t>
        </is>
      </c>
      <c r="F910" t="inlineStr">
        <is>
          <t>Holmen skog AB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48587-2021</t>
        </is>
      </c>
      <c r="B911" s="1" t="n">
        <v>44452</v>
      </c>
      <c r="C911" s="1" t="n">
        <v>45811</v>
      </c>
      <c r="D911" t="inlineStr">
        <is>
          <t>GÄVLEBORGS LÄN</t>
        </is>
      </c>
      <c r="E911" t="inlineStr">
        <is>
          <t>LJUSDAL</t>
        </is>
      </c>
      <c r="G911" t="n">
        <v>0.4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48953-2021</t>
        </is>
      </c>
      <c r="B912" s="1" t="n">
        <v>44453</v>
      </c>
      <c r="C912" s="1" t="n">
        <v>45811</v>
      </c>
      <c r="D912" t="inlineStr">
        <is>
          <t>GÄVLEBORGS LÄN</t>
        </is>
      </c>
      <c r="E912" t="inlineStr">
        <is>
          <t>LJUSDAL</t>
        </is>
      </c>
      <c r="G912" t="n">
        <v>0.1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49068-2021</t>
        </is>
      </c>
      <c r="B913" s="1" t="n">
        <v>44453</v>
      </c>
      <c r="C913" s="1" t="n">
        <v>45811</v>
      </c>
      <c r="D913" t="inlineStr">
        <is>
          <t>GÄVLEBORGS LÄN</t>
        </is>
      </c>
      <c r="E913" t="inlineStr">
        <is>
          <t>LJUSDAL</t>
        </is>
      </c>
      <c r="F913" t="inlineStr">
        <is>
          <t>Holmen skog AB</t>
        </is>
      </c>
      <c r="G913" t="n">
        <v>2.4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49114-2021</t>
        </is>
      </c>
      <c r="B914" s="1" t="n">
        <v>44453</v>
      </c>
      <c r="C914" s="1" t="n">
        <v>45811</v>
      </c>
      <c r="D914" t="inlineStr">
        <is>
          <t>GÄVLEBORGS LÄN</t>
        </is>
      </c>
      <c r="E914" t="inlineStr">
        <is>
          <t>LJUSDAL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49501-2021</t>
        </is>
      </c>
      <c r="B915" s="1" t="n">
        <v>44455</v>
      </c>
      <c r="C915" s="1" t="n">
        <v>45811</v>
      </c>
      <c r="D915" t="inlineStr">
        <is>
          <t>GÄVLEBORGS LÄN</t>
        </is>
      </c>
      <c r="E915" t="inlineStr">
        <is>
          <t>LJUSDAL</t>
        </is>
      </c>
      <c r="F915" t="inlineStr">
        <is>
          <t>Allmännings- och besparingsskogar</t>
        </is>
      </c>
      <c r="G915" t="n">
        <v>4.5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49780-2021</t>
        </is>
      </c>
      <c r="B916" s="1" t="n">
        <v>44455</v>
      </c>
      <c r="C916" s="1" t="n">
        <v>45811</v>
      </c>
      <c r="D916" t="inlineStr">
        <is>
          <t>GÄVLEBORGS LÄN</t>
        </is>
      </c>
      <c r="E916" t="inlineStr">
        <is>
          <t>LJUSDAL</t>
        </is>
      </c>
      <c r="F916" t="inlineStr">
        <is>
          <t>Holmen skog AB</t>
        </is>
      </c>
      <c r="G916" t="n">
        <v>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50055-2021</t>
        </is>
      </c>
      <c r="B917" s="1" t="n">
        <v>44456</v>
      </c>
      <c r="C917" s="1" t="n">
        <v>45811</v>
      </c>
      <c r="D917" t="inlineStr">
        <is>
          <t>GÄVLEBORGS LÄN</t>
        </is>
      </c>
      <c r="E917" t="inlineStr">
        <is>
          <t>LJUSDAL</t>
        </is>
      </c>
      <c r="F917" t="inlineStr">
        <is>
          <t>Sveaskog</t>
        </is>
      </c>
      <c r="G917" t="n">
        <v>4.8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50057-2021</t>
        </is>
      </c>
      <c r="B918" s="1" t="n">
        <v>44456</v>
      </c>
      <c r="C918" s="1" t="n">
        <v>45811</v>
      </c>
      <c r="D918" t="inlineStr">
        <is>
          <t>GÄVLEBORGS LÄN</t>
        </is>
      </c>
      <c r="E918" t="inlineStr">
        <is>
          <t>LJUSDAL</t>
        </is>
      </c>
      <c r="F918" t="inlineStr">
        <is>
          <t>Sveaskog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50331-2021</t>
        </is>
      </c>
      <c r="B919" s="1" t="n">
        <v>44459</v>
      </c>
      <c r="C919" s="1" t="n">
        <v>45811</v>
      </c>
      <c r="D919" t="inlineStr">
        <is>
          <t>GÄVLEBORGS LÄN</t>
        </is>
      </c>
      <c r="E919" t="inlineStr">
        <is>
          <t>LJUSDAL</t>
        </is>
      </c>
      <c r="F919" t="inlineStr">
        <is>
          <t>Bergvik skog väst AB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50732-2021</t>
        </is>
      </c>
      <c r="B920" s="1" t="n">
        <v>44460</v>
      </c>
      <c r="C920" s="1" t="n">
        <v>45811</v>
      </c>
      <c r="D920" t="inlineStr">
        <is>
          <t>GÄVLEBORGS LÄN</t>
        </is>
      </c>
      <c r="E920" t="inlineStr">
        <is>
          <t>LJUSDAL</t>
        </is>
      </c>
      <c r="F920" t="inlineStr">
        <is>
          <t>Holmen skog AB</t>
        </is>
      </c>
      <c r="G920" t="n">
        <v>3.6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50697-2021</t>
        </is>
      </c>
      <c r="B921" s="1" t="n">
        <v>44460</v>
      </c>
      <c r="C921" s="1" t="n">
        <v>45811</v>
      </c>
      <c r="D921" t="inlineStr">
        <is>
          <t>GÄVLEBORGS LÄN</t>
        </is>
      </c>
      <c r="E921" t="inlineStr">
        <is>
          <t>LJUSDAL</t>
        </is>
      </c>
      <c r="F921" t="inlineStr">
        <is>
          <t>Holmen skog AB</t>
        </is>
      </c>
      <c r="G921" t="n">
        <v>4.5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50849-2021</t>
        </is>
      </c>
      <c r="B922" s="1" t="n">
        <v>44460</v>
      </c>
      <c r="C922" s="1" t="n">
        <v>45811</v>
      </c>
      <c r="D922" t="inlineStr">
        <is>
          <t>GÄVLEBORGS LÄN</t>
        </is>
      </c>
      <c r="E922" t="inlineStr">
        <is>
          <t>LJUSDAL</t>
        </is>
      </c>
      <c r="G922" t="n">
        <v>2.7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51431-2021</t>
        </is>
      </c>
      <c r="B923" s="1" t="n">
        <v>44461</v>
      </c>
      <c r="C923" s="1" t="n">
        <v>45811</v>
      </c>
      <c r="D923" t="inlineStr">
        <is>
          <t>GÄVLEBORGS LÄN</t>
        </is>
      </c>
      <c r="E923" t="inlineStr">
        <is>
          <t>LJUSDAL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52613-2021</t>
        </is>
      </c>
      <c r="B924" s="1" t="n">
        <v>44466</v>
      </c>
      <c r="C924" s="1" t="n">
        <v>45811</v>
      </c>
      <c r="D924" t="inlineStr">
        <is>
          <t>GÄVLEBORGS LÄN</t>
        </is>
      </c>
      <c r="E924" t="inlineStr">
        <is>
          <t>LJUSDAL</t>
        </is>
      </c>
      <c r="G924" t="n">
        <v>2.5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52780-2021</t>
        </is>
      </c>
      <c r="B925" s="1" t="n">
        <v>44467</v>
      </c>
      <c r="C925" s="1" t="n">
        <v>45811</v>
      </c>
      <c r="D925" t="inlineStr">
        <is>
          <t>GÄVLEBORGS LÄN</t>
        </is>
      </c>
      <c r="E925" t="inlineStr">
        <is>
          <t>LJUSDAL</t>
        </is>
      </c>
      <c r="F925" t="inlineStr">
        <is>
          <t>Sveaskog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52778-2021</t>
        </is>
      </c>
      <c r="B926" s="1" t="n">
        <v>44467</v>
      </c>
      <c r="C926" s="1" t="n">
        <v>45811</v>
      </c>
      <c r="D926" t="inlineStr">
        <is>
          <t>GÄVLEBORGS LÄN</t>
        </is>
      </c>
      <c r="E926" t="inlineStr">
        <is>
          <t>LJUSDAL</t>
        </is>
      </c>
      <c r="F926" t="inlineStr">
        <is>
          <t>Sveaskog</t>
        </is>
      </c>
      <c r="G926" t="n">
        <v>3.5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52839-2021</t>
        </is>
      </c>
      <c r="B927" s="1" t="n">
        <v>44467</v>
      </c>
      <c r="C927" s="1" t="n">
        <v>45811</v>
      </c>
      <c r="D927" t="inlineStr">
        <is>
          <t>GÄVLEBORGS LÄN</t>
        </is>
      </c>
      <c r="E927" t="inlineStr">
        <is>
          <t>LJUSDAL</t>
        </is>
      </c>
      <c r="F927" t="inlineStr">
        <is>
          <t>Holmen skog AB</t>
        </is>
      </c>
      <c r="G927" t="n">
        <v>14.9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52948-2021</t>
        </is>
      </c>
      <c r="B928" s="1" t="n">
        <v>44467</v>
      </c>
      <c r="C928" s="1" t="n">
        <v>45811</v>
      </c>
      <c r="D928" t="inlineStr">
        <is>
          <t>GÄVLEBORGS LÄN</t>
        </is>
      </c>
      <c r="E928" t="inlineStr">
        <is>
          <t>LJUSDAL</t>
        </is>
      </c>
      <c r="F928" t="inlineStr">
        <is>
          <t>Holmen skog AB</t>
        </is>
      </c>
      <c r="G928" t="n">
        <v>2.1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54113-2021</t>
        </is>
      </c>
      <c r="B929" s="1" t="n">
        <v>44470</v>
      </c>
      <c r="C929" s="1" t="n">
        <v>45811</v>
      </c>
      <c r="D929" t="inlineStr">
        <is>
          <t>GÄVLEBORGS LÄN</t>
        </is>
      </c>
      <c r="E929" t="inlineStr">
        <is>
          <t>LJUSDAL</t>
        </is>
      </c>
      <c r="G929" t="n">
        <v>4.3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53999-2021</t>
        </is>
      </c>
      <c r="B930" s="1" t="n">
        <v>44470</v>
      </c>
      <c r="C930" s="1" t="n">
        <v>45811</v>
      </c>
      <c r="D930" t="inlineStr">
        <is>
          <t>GÄVLEBORGS LÄN</t>
        </is>
      </c>
      <c r="E930" t="inlineStr">
        <is>
          <t>LJUSDAL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54237-2021</t>
        </is>
      </c>
      <c r="B931" s="1" t="n">
        <v>44470</v>
      </c>
      <c r="C931" s="1" t="n">
        <v>45811</v>
      </c>
      <c r="D931" t="inlineStr">
        <is>
          <t>GÄVLEBORGS LÄN</t>
        </is>
      </c>
      <c r="E931" t="inlineStr">
        <is>
          <t>LJUSDAL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54529-2021</t>
        </is>
      </c>
      <c r="B932" s="1" t="n">
        <v>44473</v>
      </c>
      <c r="C932" s="1" t="n">
        <v>45811</v>
      </c>
      <c r="D932" t="inlineStr">
        <is>
          <t>GÄVLEBORGS LÄN</t>
        </is>
      </c>
      <c r="E932" t="inlineStr">
        <is>
          <t>LJUSDAL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55230-2021</t>
        </is>
      </c>
      <c r="B933" s="1" t="n">
        <v>44475</v>
      </c>
      <c r="C933" s="1" t="n">
        <v>45811</v>
      </c>
      <c r="D933" t="inlineStr">
        <is>
          <t>GÄVLEBORGS LÄN</t>
        </is>
      </c>
      <c r="E933" t="inlineStr">
        <is>
          <t>LJUSDAL</t>
        </is>
      </c>
      <c r="F933" t="inlineStr">
        <is>
          <t>Holmen skog AB</t>
        </is>
      </c>
      <c r="G933" t="n">
        <v>2.6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55209-2021</t>
        </is>
      </c>
      <c r="B934" s="1" t="n">
        <v>44475</v>
      </c>
      <c r="C934" s="1" t="n">
        <v>45811</v>
      </c>
      <c r="D934" t="inlineStr">
        <is>
          <t>GÄVLEBORGS LÄN</t>
        </is>
      </c>
      <c r="E934" t="inlineStr">
        <is>
          <t>LJUSDAL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55446-2021</t>
        </is>
      </c>
      <c r="B935" s="1" t="n">
        <v>44475</v>
      </c>
      <c r="C935" s="1" t="n">
        <v>45811</v>
      </c>
      <c r="D935" t="inlineStr">
        <is>
          <t>GÄVLEBORGS LÄN</t>
        </is>
      </c>
      <c r="E935" t="inlineStr">
        <is>
          <t>LJUSDAL</t>
        </is>
      </c>
      <c r="F935" t="inlineStr">
        <is>
          <t>Holmen skog AB</t>
        </is>
      </c>
      <c r="G935" t="n">
        <v>4.9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55409-2021</t>
        </is>
      </c>
      <c r="B936" s="1" t="n">
        <v>44475</v>
      </c>
      <c r="C936" s="1" t="n">
        <v>45811</v>
      </c>
      <c r="D936" t="inlineStr">
        <is>
          <t>GÄVLEBORGS LÄN</t>
        </is>
      </c>
      <c r="E936" t="inlineStr">
        <is>
          <t>LJUSDAL</t>
        </is>
      </c>
      <c r="F936" t="inlineStr">
        <is>
          <t>Holmen skog AB</t>
        </is>
      </c>
      <c r="G936" t="n">
        <v>3.3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55534-2021</t>
        </is>
      </c>
      <c r="B937" s="1" t="n">
        <v>44475</v>
      </c>
      <c r="C937" s="1" t="n">
        <v>45811</v>
      </c>
      <c r="D937" t="inlineStr">
        <is>
          <t>GÄVLEBORGS LÄN</t>
        </is>
      </c>
      <c r="E937" t="inlineStr">
        <is>
          <t>LJUSDAL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55535-2021</t>
        </is>
      </c>
      <c r="B938" s="1" t="n">
        <v>44475</v>
      </c>
      <c r="C938" s="1" t="n">
        <v>45811</v>
      </c>
      <c r="D938" t="inlineStr">
        <is>
          <t>GÄVLEBORGS LÄN</t>
        </is>
      </c>
      <c r="E938" t="inlineStr">
        <is>
          <t>LJUSDAL</t>
        </is>
      </c>
      <c r="F938" t="inlineStr">
        <is>
          <t>Holmen skog AB</t>
        </is>
      </c>
      <c r="G938" t="n">
        <v>3.1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56016-2021</t>
        </is>
      </c>
      <c r="B939" s="1" t="n">
        <v>44477</v>
      </c>
      <c r="C939" s="1" t="n">
        <v>45811</v>
      </c>
      <c r="D939" t="inlineStr">
        <is>
          <t>GÄVLEBORGS LÄN</t>
        </is>
      </c>
      <c r="E939" t="inlineStr">
        <is>
          <t>LJUSDAL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56301-2021</t>
        </is>
      </c>
      <c r="B940" s="1" t="n">
        <v>44480</v>
      </c>
      <c r="C940" s="1" t="n">
        <v>45811</v>
      </c>
      <c r="D940" t="inlineStr">
        <is>
          <t>GÄVLEBORGS LÄN</t>
        </is>
      </c>
      <c r="E940" t="inlineStr">
        <is>
          <t>LJUSDAL</t>
        </is>
      </c>
      <c r="F940" t="inlineStr">
        <is>
          <t>Sveaskog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56846-2021</t>
        </is>
      </c>
      <c r="B941" s="1" t="n">
        <v>44481</v>
      </c>
      <c r="C941" s="1" t="n">
        <v>45811</v>
      </c>
      <c r="D941" t="inlineStr">
        <is>
          <t>GÄVLEBORGS LÄN</t>
        </is>
      </c>
      <c r="E941" t="inlineStr">
        <is>
          <t>LJUSDAL</t>
        </is>
      </c>
      <c r="G941" t="n">
        <v>11.9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56787-2021</t>
        </is>
      </c>
      <c r="B942" s="1" t="n">
        <v>44481</v>
      </c>
      <c r="C942" s="1" t="n">
        <v>45811</v>
      </c>
      <c r="D942" t="inlineStr">
        <is>
          <t>GÄVLEBORGS LÄN</t>
        </is>
      </c>
      <c r="E942" t="inlineStr">
        <is>
          <t>LJUSDAL</t>
        </is>
      </c>
      <c r="F942" t="inlineStr">
        <is>
          <t>Bergvik skog väst AB</t>
        </is>
      </c>
      <c r="G942" t="n">
        <v>3.4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56985-2021</t>
        </is>
      </c>
      <c r="B943" s="1" t="n">
        <v>44482</v>
      </c>
      <c r="C943" s="1" t="n">
        <v>45811</v>
      </c>
      <c r="D943" t="inlineStr">
        <is>
          <t>GÄVLEBORGS LÄN</t>
        </is>
      </c>
      <c r="E943" t="inlineStr">
        <is>
          <t>LJUSDAL</t>
        </is>
      </c>
      <c r="F943" t="inlineStr">
        <is>
          <t>Holmen skog AB</t>
        </is>
      </c>
      <c r="G943" t="n">
        <v>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57072-2021</t>
        </is>
      </c>
      <c r="B944" s="1" t="n">
        <v>44482</v>
      </c>
      <c r="C944" s="1" t="n">
        <v>45811</v>
      </c>
      <c r="D944" t="inlineStr">
        <is>
          <t>GÄVLEBORGS LÄN</t>
        </is>
      </c>
      <c r="E944" t="inlineStr">
        <is>
          <t>LJUSDAL</t>
        </is>
      </c>
      <c r="F944" t="inlineStr">
        <is>
          <t>Holmen skog AB</t>
        </is>
      </c>
      <c r="G944" t="n">
        <v>6.3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57029-2021</t>
        </is>
      </c>
      <c r="B945" s="1" t="n">
        <v>44482</v>
      </c>
      <c r="C945" s="1" t="n">
        <v>45811</v>
      </c>
      <c r="D945" t="inlineStr">
        <is>
          <t>GÄVLEBORGS LÄN</t>
        </is>
      </c>
      <c r="E945" t="inlineStr">
        <is>
          <t>LJUSDAL</t>
        </is>
      </c>
      <c r="F945" t="inlineStr">
        <is>
          <t>Holmen skog AB</t>
        </is>
      </c>
      <c r="G945" t="n">
        <v>3.3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57121-2021</t>
        </is>
      </c>
      <c r="B946" s="1" t="n">
        <v>44482</v>
      </c>
      <c r="C946" s="1" t="n">
        <v>45811</v>
      </c>
      <c r="D946" t="inlineStr">
        <is>
          <t>GÄVLEBORGS LÄN</t>
        </is>
      </c>
      <c r="E946" t="inlineStr">
        <is>
          <t>LJUSDAL</t>
        </is>
      </c>
      <c r="F946" t="inlineStr">
        <is>
          <t>Holmen skog AB</t>
        </is>
      </c>
      <c r="G946" t="n">
        <v>3.3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57123-2021</t>
        </is>
      </c>
      <c r="B947" s="1" t="n">
        <v>44482</v>
      </c>
      <c r="C947" s="1" t="n">
        <v>45811</v>
      </c>
      <c r="D947" t="inlineStr">
        <is>
          <t>GÄVLEBORGS LÄN</t>
        </is>
      </c>
      <c r="E947" t="inlineStr">
        <is>
          <t>LJUSDAL</t>
        </is>
      </c>
      <c r="F947" t="inlineStr">
        <is>
          <t>Holmen skog AB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57344-2021</t>
        </is>
      </c>
      <c r="B948" s="1" t="n">
        <v>44483</v>
      </c>
      <c r="C948" s="1" t="n">
        <v>45811</v>
      </c>
      <c r="D948" t="inlineStr">
        <is>
          <t>GÄVLEBORGS LÄN</t>
        </is>
      </c>
      <c r="E948" t="inlineStr">
        <is>
          <t>LJUSDAL</t>
        </is>
      </c>
      <c r="G948" t="n">
        <v>2.7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57458-2021</t>
        </is>
      </c>
      <c r="B949" s="1" t="n">
        <v>44483</v>
      </c>
      <c r="C949" s="1" t="n">
        <v>45811</v>
      </c>
      <c r="D949" t="inlineStr">
        <is>
          <t>GÄVLEBORGS LÄN</t>
        </is>
      </c>
      <c r="E949" t="inlineStr">
        <is>
          <t>LJUSDAL</t>
        </is>
      </c>
      <c r="F949" t="inlineStr">
        <is>
          <t>Holmen skog AB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57561-2021</t>
        </is>
      </c>
      <c r="B950" s="1" t="n">
        <v>44483</v>
      </c>
      <c r="C950" s="1" t="n">
        <v>45811</v>
      </c>
      <c r="D950" t="inlineStr">
        <is>
          <t>GÄVLEBORGS LÄN</t>
        </is>
      </c>
      <c r="E950" t="inlineStr">
        <is>
          <t>LJUSDAL</t>
        </is>
      </c>
      <c r="F950" t="inlineStr">
        <is>
          <t>SCA</t>
        </is>
      </c>
      <c r="G950" t="n">
        <v>2.8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58397-2021</t>
        </is>
      </c>
      <c r="B951" s="1" t="n">
        <v>44488</v>
      </c>
      <c r="C951" s="1" t="n">
        <v>45811</v>
      </c>
      <c r="D951" t="inlineStr">
        <is>
          <t>GÄVLEBORGS LÄN</t>
        </is>
      </c>
      <c r="E951" t="inlineStr">
        <is>
          <t>LJUSDAL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58385-2021</t>
        </is>
      </c>
      <c r="B952" s="1" t="n">
        <v>44488</v>
      </c>
      <c r="C952" s="1" t="n">
        <v>45811</v>
      </c>
      <c r="D952" t="inlineStr">
        <is>
          <t>GÄVLEBORGS LÄN</t>
        </is>
      </c>
      <c r="E952" t="inlineStr">
        <is>
          <t>LJUSDAL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58648-2021</t>
        </is>
      </c>
      <c r="B953" s="1" t="n">
        <v>44489</v>
      </c>
      <c r="C953" s="1" t="n">
        <v>45811</v>
      </c>
      <c r="D953" t="inlineStr">
        <is>
          <t>GÄVLEBORGS LÄN</t>
        </is>
      </c>
      <c r="E953" t="inlineStr">
        <is>
          <t>LJUSDAL</t>
        </is>
      </c>
      <c r="F953" t="inlineStr">
        <is>
          <t>Holmen skog AB</t>
        </is>
      </c>
      <c r="G953" t="n">
        <v>4.5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58731-2021</t>
        </is>
      </c>
      <c r="B954" s="1" t="n">
        <v>44489</v>
      </c>
      <c r="C954" s="1" t="n">
        <v>45811</v>
      </c>
      <c r="D954" t="inlineStr">
        <is>
          <t>GÄVLEBORGS LÄN</t>
        </is>
      </c>
      <c r="E954" t="inlineStr">
        <is>
          <t>LJUSDAL</t>
        </is>
      </c>
      <c r="F954" t="inlineStr">
        <is>
          <t>Holmen skog AB</t>
        </is>
      </c>
      <c r="G954" t="n">
        <v>2.5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58624-2021</t>
        </is>
      </c>
      <c r="B955" s="1" t="n">
        <v>44489</v>
      </c>
      <c r="C955" s="1" t="n">
        <v>45811</v>
      </c>
      <c r="D955" t="inlineStr">
        <is>
          <t>GÄVLEBORGS LÄN</t>
        </is>
      </c>
      <c r="E955" t="inlineStr">
        <is>
          <t>LJUSDAL</t>
        </is>
      </c>
      <c r="F955" t="inlineStr">
        <is>
          <t>Holmen skog AB</t>
        </is>
      </c>
      <c r="G955" t="n">
        <v>33.3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58874-2021</t>
        </is>
      </c>
      <c r="B956" s="1" t="n">
        <v>44489</v>
      </c>
      <c r="C956" s="1" t="n">
        <v>45811</v>
      </c>
      <c r="D956" t="inlineStr">
        <is>
          <t>GÄVLEBORGS LÄN</t>
        </is>
      </c>
      <c r="E956" t="inlineStr">
        <is>
          <t>LJUSDAL</t>
        </is>
      </c>
      <c r="F956" t="inlineStr">
        <is>
          <t>Holmen skog AB</t>
        </is>
      </c>
      <c r="G956" t="n">
        <v>17.2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59129-2021</t>
        </is>
      </c>
      <c r="B957" s="1" t="n">
        <v>44490</v>
      </c>
      <c r="C957" s="1" t="n">
        <v>45811</v>
      </c>
      <c r="D957" t="inlineStr">
        <is>
          <t>GÄVLEBORGS LÄN</t>
        </is>
      </c>
      <c r="E957" t="inlineStr">
        <is>
          <t>LJUSDAL</t>
        </is>
      </c>
      <c r="F957" t="inlineStr">
        <is>
          <t>Sveaskog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60346-2021</t>
        </is>
      </c>
      <c r="B958" s="1" t="n">
        <v>44496</v>
      </c>
      <c r="C958" s="1" t="n">
        <v>45811</v>
      </c>
      <c r="D958" t="inlineStr">
        <is>
          <t>GÄVLEBORGS LÄN</t>
        </is>
      </c>
      <c r="E958" t="inlineStr">
        <is>
          <t>LJUSDAL</t>
        </is>
      </c>
      <c r="F958" t="inlineStr">
        <is>
          <t>Kommuner</t>
        </is>
      </c>
      <c r="G958" t="n">
        <v>8.1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60569-2021</t>
        </is>
      </c>
      <c r="B959" s="1" t="n">
        <v>44496</v>
      </c>
      <c r="C959" s="1" t="n">
        <v>45811</v>
      </c>
      <c r="D959" t="inlineStr">
        <is>
          <t>GÄVLEBORGS LÄN</t>
        </is>
      </c>
      <c r="E959" t="inlineStr">
        <is>
          <t>LJUSDAL</t>
        </is>
      </c>
      <c r="F959" t="inlineStr">
        <is>
          <t>Bergvik skog väst AB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60689-2021</t>
        </is>
      </c>
      <c r="B960" s="1" t="n">
        <v>44496</v>
      </c>
      <c r="C960" s="1" t="n">
        <v>45811</v>
      </c>
      <c r="D960" t="inlineStr">
        <is>
          <t>GÄVLEBORGS LÄN</t>
        </is>
      </c>
      <c r="E960" t="inlineStr">
        <is>
          <t>LJUSDAL</t>
        </is>
      </c>
      <c r="G960" t="n">
        <v>2.6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60768-2021</t>
        </is>
      </c>
      <c r="B961" s="1" t="n">
        <v>44497</v>
      </c>
      <c r="C961" s="1" t="n">
        <v>45811</v>
      </c>
      <c r="D961" t="inlineStr">
        <is>
          <t>GÄVLEBORGS LÄN</t>
        </is>
      </c>
      <c r="E961" t="inlineStr">
        <is>
          <t>LJUSDAL</t>
        </is>
      </c>
      <c r="F961" t="inlineStr">
        <is>
          <t>SCA</t>
        </is>
      </c>
      <c r="G961" t="n">
        <v>3.5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61012-2021</t>
        </is>
      </c>
      <c r="B962" s="1" t="n">
        <v>44497</v>
      </c>
      <c r="C962" s="1" t="n">
        <v>45811</v>
      </c>
      <c r="D962" t="inlineStr">
        <is>
          <t>GÄVLEBORGS LÄN</t>
        </is>
      </c>
      <c r="E962" t="inlineStr">
        <is>
          <t>LJUSDAL</t>
        </is>
      </c>
      <c r="F962" t="inlineStr">
        <is>
          <t>Holmen skog AB</t>
        </is>
      </c>
      <c r="G962" t="n">
        <v>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61010-2021</t>
        </is>
      </c>
      <c r="B963" s="1" t="n">
        <v>44497</v>
      </c>
      <c r="C963" s="1" t="n">
        <v>45811</v>
      </c>
      <c r="D963" t="inlineStr">
        <is>
          <t>GÄVLEBORGS LÄN</t>
        </is>
      </c>
      <c r="E963" t="inlineStr">
        <is>
          <t>LJUSDAL</t>
        </is>
      </c>
      <c r="F963" t="inlineStr">
        <is>
          <t>Holmen skog AB</t>
        </is>
      </c>
      <c r="G963" t="n">
        <v>1.9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61164-2021</t>
        </is>
      </c>
      <c r="B964" s="1" t="n">
        <v>44497</v>
      </c>
      <c r="C964" s="1" t="n">
        <v>45811</v>
      </c>
      <c r="D964" t="inlineStr">
        <is>
          <t>GÄVLEBORGS LÄN</t>
        </is>
      </c>
      <c r="E964" t="inlineStr">
        <is>
          <t>LJUSDAL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60902-2021</t>
        </is>
      </c>
      <c r="B965" s="1" t="n">
        <v>44497</v>
      </c>
      <c r="C965" s="1" t="n">
        <v>45811</v>
      </c>
      <c r="D965" t="inlineStr">
        <is>
          <t>GÄVLEBORGS LÄN</t>
        </is>
      </c>
      <c r="E965" t="inlineStr">
        <is>
          <t>LJUSDAL</t>
        </is>
      </c>
      <c r="F965" t="inlineStr">
        <is>
          <t>Holmen skog AB</t>
        </is>
      </c>
      <c r="G965" t="n">
        <v>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61162-2021</t>
        </is>
      </c>
      <c r="B966" s="1" t="n">
        <v>44497</v>
      </c>
      <c r="C966" s="1" t="n">
        <v>45811</v>
      </c>
      <c r="D966" t="inlineStr">
        <is>
          <t>GÄVLEBORGS LÄN</t>
        </is>
      </c>
      <c r="E966" t="inlineStr">
        <is>
          <t>LJUSDAL</t>
        </is>
      </c>
      <c r="G966" t="n">
        <v>11.2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61670-2021</t>
        </is>
      </c>
      <c r="B967" s="1" t="n">
        <v>44501</v>
      </c>
      <c r="C967" s="1" t="n">
        <v>45811</v>
      </c>
      <c r="D967" t="inlineStr">
        <is>
          <t>GÄVLEBORGS LÄN</t>
        </is>
      </c>
      <c r="E967" t="inlineStr">
        <is>
          <t>LJUSDAL</t>
        </is>
      </c>
      <c r="F967" t="inlineStr">
        <is>
          <t>Holmen skog AB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62146-2021</t>
        </is>
      </c>
      <c r="B968" s="1" t="n">
        <v>44502</v>
      </c>
      <c r="C968" s="1" t="n">
        <v>45811</v>
      </c>
      <c r="D968" t="inlineStr">
        <is>
          <t>GÄVLEBORGS LÄN</t>
        </is>
      </c>
      <c r="E968" t="inlineStr">
        <is>
          <t>LJUSDAL</t>
        </is>
      </c>
      <c r="G968" t="n">
        <v>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62424-2021</t>
        </is>
      </c>
      <c r="B969" s="1" t="n">
        <v>44503</v>
      </c>
      <c r="C969" s="1" t="n">
        <v>45811</v>
      </c>
      <c r="D969" t="inlineStr">
        <is>
          <t>GÄVLEBORGS LÄN</t>
        </is>
      </c>
      <c r="E969" t="inlineStr">
        <is>
          <t>LJUSDAL</t>
        </is>
      </c>
      <c r="F969" t="inlineStr">
        <is>
          <t>Holmen skog AB</t>
        </is>
      </c>
      <c r="G969" t="n">
        <v>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62256-2021</t>
        </is>
      </c>
      <c r="B970" s="1" t="n">
        <v>44503</v>
      </c>
      <c r="C970" s="1" t="n">
        <v>45811</v>
      </c>
      <c r="D970" t="inlineStr">
        <is>
          <t>GÄVLEBORGS LÄN</t>
        </is>
      </c>
      <c r="E970" t="inlineStr">
        <is>
          <t>LJUSDAL</t>
        </is>
      </c>
      <c r="F970" t="inlineStr">
        <is>
          <t>Holmen skog AB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62583-2021</t>
        </is>
      </c>
      <c r="B971" s="1" t="n">
        <v>44503</v>
      </c>
      <c r="C971" s="1" t="n">
        <v>45811</v>
      </c>
      <c r="D971" t="inlineStr">
        <is>
          <t>GÄVLEBORGS LÄN</t>
        </is>
      </c>
      <c r="E971" t="inlineStr">
        <is>
          <t>LJUSDAL</t>
        </is>
      </c>
      <c r="F971" t="inlineStr">
        <is>
          <t>Holmen skog AB</t>
        </is>
      </c>
      <c r="G971" t="n">
        <v>3.6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62505-2021</t>
        </is>
      </c>
      <c r="B972" s="1" t="n">
        <v>44503</v>
      </c>
      <c r="C972" s="1" t="n">
        <v>45811</v>
      </c>
      <c r="D972" t="inlineStr">
        <is>
          <t>GÄVLEBORGS LÄN</t>
        </is>
      </c>
      <c r="E972" t="inlineStr">
        <is>
          <t>LJUSDAL</t>
        </is>
      </c>
      <c r="F972" t="inlineStr">
        <is>
          <t>Holmen skog AB</t>
        </is>
      </c>
      <c r="G972" t="n">
        <v>1.2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62650-2021</t>
        </is>
      </c>
      <c r="B973" s="1" t="n">
        <v>44503</v>
      </c>
      <c r="C973" s="1" t="n">
        <v>45811</v>
      </c>
      <c r="D973" t="inlineStr">
        <is>
          <t>GÄVLEBORGS LÄN</t>
        </is>
      </c>
      <c r="E973" t="inlineStr">
        <is>
          <t>LJUSDAL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62707-2021</t>
        </is>
      </c>
      <c r="B974" s="1" t="n">
        <v>44504</v>
      </c>
      <c r="C974" s="1" t="n">
        <v>45811</v>
      </c>
      <c r="D974" t="inlineStr">
        <is>
          <t>GÄVLEBORGS LÄN</t>
        </is>
      </c>
      <c r="E974" t="inlineStr">
        <is>
          <t>LJUSDAL</t>
        </is>
      </c>
      <c r="F974" t="inlineStr">
        <is>
          <t>Holmen skog AB</t>
        </is>
      </c>
      <c r="G974" t="n">
        <v>0.2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62991-2021</t>
        </is>
      </c>
      <c r="B975" s="1" t="n">
        <v>44505</v>
      </c>
      <c r="C975" s="1" t="n">
        <v>45811</v>
      </c>
      <c r="D975" t="inlineStr">
        <is>
          <t>GÄVLEBORGS LÄN</t>
        </is>
      </c>
      <c r="E975" t="inlineStr">
        <is>
          <t>LJUSDAL</t>
        </is>
      </c>
      <c r="F975" t="inlineStr">
        <is>
          <t>Bergvik skog väst AB</t>
        </is>
      </c>
      <c r="G975" t="n">
        <v>4.5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63149-2021</t>
        </is>
      </c>
      <c r="B976" s="1" t="n">
        <v>44505</v>
      </c>
      <c r="C976" s="1" t="n">
        <v>45811</v>
      </c>
      <c r="D976" t="inlineStr">
        <is>
          <t>GÄVLEBORGS LÄN</t>
        </is>
      </c>
      <c r="E976" t="inlineStr">
        <is>
          <t>LJUSDAL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63528-2021</t>
        </is>
      </c>
      <c r="B977" s="1" t="n">
        <v>44508</v>
      </c>
      <c r="C977" s="1" t="n">
        <v>45811</v>
      </c>
      <c r="D977" t="inlineStr">
        <is>
          <t>GÄVLEBORGS LÄN</t>
        </is>
      </c>
      <c r="E977" t="inlineStr">
        <is>
          <t>LJUSDAL</t>
        </is>
      </c>
      <c r="F977" t="inlineStr">
        <is>
          <t>Holmen skog AB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63760-2021</t>
        </is>
      </c>
      <c r="B978" s="1" t="n">
        <v>44509</v>
      </c>
      <c r="C978" s="1" t="n">
        <v>45811</v>
      </c>
      <c r="D978" t="inlineStr">
        <is>
          <t>GÄVLEBORGS LÄN</t>
        </is>
      </c>
      <c r="E978" t="inlineStr">
        <is>
          <t>LJUSDAL</t>
        </is>
      </c>
      <c r="F978" t="inlineStr">
        <is>
          <t>Holmen skog AB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64120-2021</t>
        </is>
      </c>
      <c r="B979" s="1" t="n">
        <v>44510</v>
      </c>
      <c r="C979" s="1" t="n">
        <v>45811</v>
      </c>
      <c r="D979" t="inlineStr">
        <is>
          <t>GÄVLEBORGS LÄN</t>
        </is>
      </c>
      <c r="E979" t="inlineStr">
        <is>
          <t>LJUSDAL</t>
        </is>
      </c>
      <c r="F979" t="inlineStr">
        <is>
          <t>Kommuner</t>
        </is>
      </c>
      <c r="G979" t="n">
        <v>7.3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64423-2021</t>
        </is>
      </c>
      <c r="B980" s="1" t="n">
        <v>44511</v>
      </c>
      <c r="C980" s="1" t="n">
        <v>45811</v>
      </c>
      <c r="D980" t="inlineStr">
        <is>
          <t>GÄVLEBORGS LÄN</t>
        </is>
      </c>
      <c r="E980" t="inlineStr">
        <is>
          <t>LJUSDAL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64556-2021</t>
        </is>
      </c>
      <c r="B981" s="1" t="n">
        <v>44511</v>
      </c>
      <c r="C981" s="1" t="n">
        <v>45811</v>
      </c>
      <c r="D981" t="inlineStr">
        <is>
          <t>GÄVLEBORGS LÄN</t>
        </is>
      </c>
      <c r="E981" t="inlineStr">
        <is>
          <t>LJUSDAL</t>
        </is>
      </c>
      <c r="F981" t="inlineStr">
        <is>
          <t>Holmen skog AB</t>
        </is>
      </c>
      <c r="G981" t="n">
        <v>4.3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64601-2021</t>
        </is>
      </c>
      <c r="B982" s="1" t="n">
        <v>44511</v>
      </c>
      <c r="C982" s="1" t="n">
        <v>45811</v>
      </c>
      <c r="D982" t="inlineStr">
        <is>
          <t>GÄVLEBORGS LÄN</t>
        </is>
      </c>
      <c r="E982" t="inlineStr">
        <is>
          <t>LJUSDAL</t>
        </is>
      </c>
      <c r="F982" t="inlineStr">
        <is>
          <t>Kommuner</t>
        </is>
      </c>
      <c r="G982" t="n">
        <v>4.2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64875-2021</t>
        </is>
      </c>
      <c r="B983" s="1" t="n">
        <v>44512</v>
      </c>
      <c r="C983" s="1" t="n">
        <v>45811</v>
      </c>
      <c r="D983" t="inlineStr">
        <is>
          <t>GÄVLEBORGS LÄN</t>
        </is>
      </c>
      <c r="E983" t="inlineStr">
        <is>
          <t>LJUSDAL</t>
        </is>
      </c>
      <c r="F983" t="inlineStr">
        <is>
          <t>Sveaskog</t>
        </is>
      </c>
      <c r="G983" t="n">
        <v>19.8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65345-2021</t>
        </is>
      </c>
      <c r="B984" s="1" t="n">
        <v>44515</v>
      </c>
      <c r="C984" s="1" t="n">
        <v>45811</v>
      </c>
      <c r="D984" t="inlineStr">
        <is>
          <t>GÄVLEBORGS LÄN</t>
        </is>
      </c>
      <c r="E984" t="inlineStr">
        <is>
          <t>LJUSDAL</t>
        </is>
      </c>
      <c r="F984" t="inlineStr">
        <is>
          <t>Holmen skog AB</t>
        </is>
      </c>
      <c r="G984" t="n">
        <v>9.300000000000001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66208-2021</t>
        </is>
      </c>
      <c r="B985" s="1" t="n">
        <v>44518</v>
      </c>
      <c r="C985" s="1" t="n">
        <v>45811</v>
      </c>
      <c r="D985" t="inlineStr">
        <is>
          <t>GÄVLEBORGS LÄN</t>
        </is>
      </c>
      <c r="E985" t="inlineStr">
        <is>
          <t>LJUSDAL</t>
        </is>
      </c>
      <c r="F985" t="inlineStr">
        <is>
          <t>Sveaskog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67327-2021</t>
        </is>
      </c>
      <c r="B986" s="1" t="n">
        <v>44523</v>
      </c>
      <c r="C986" s="1" t="n">
        <v>45811</v>
      </c>
      <c r="D986" t="inlineStr">
        <is>
          <t>GÄVLEBORGS LÄN</t>
        </is>
      </c>
      <c r="E986" t="inlineStr">
        <is>
          <t>LJUSDAL</t>
        </is>
      </c>
      <c r="F986" t="inlineStr">
        <is>
          <t>Holmen skog AB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67380-2021</t>
        </is>
      </c>
      <c r="B987" s="1" t="n">
        <v>44523</v>
      </c>
      <c r="C987" s="1" t="n">
        <v>45811</v>
      </c>
      <c r="D987" t="inlineStr">
        <is>
          <t>GÄVLEBORGS LÄN</t>
        </is>
      </c>
      <c r="E987" t="inlineStr">
        <is>
          <t>LJUSDAL</t>
        </is>
      </c>
      <c r="G987" t="n">
        <v>4.6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67781-2021</t>
        </is>
      </c>
      <c r="B988" s="1" t="n">
        <v>44525</v>
      </c>
      <c r="C988" s="1" t="n">
        <v>45811</v>
      </c>
      <c r="D988" t="inlineStr">
        <is>
          <t>GÄVLEBORGS LÄN</t>
        </is>
      </c>
      <c r="E988" t="inlineStr">
        <is>
          <t>LJUSDAL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67776-2021</t>
        </is>
      </c>
      <c r="B989" s="1" t="n">
        <v>44525</v>
      </c>
      <c r="C989" s="1" t="n">
        <v>45811</v>
      </c>
      <c r="D989" t="inlineStr">
        <is>
          <t>GÄVLEBORGS LÄN</t>
        </is>
      </c>
      <c r="E989" t="inlineStr">
        <is>
          <t>LJUSDAL</t>
        </is>
      </c>
      <c r="F989" t="inlineStr">
        <is>
          <t>Holmen skog AB</t>
        </is>
      </c>
      <c r="G989" t="n">
        <v>3.9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67854-2021</t>
        </is>
      </c>
      <c r="B990" s="1" t="n">
        <v>44525</v>
      </c>
      <c r="C990" s="1" t="n">
        <v>45811</v>
      </c>
      <c r="D990" t="inlineStr">
        <is>
          <t>GÄVLEBORGS LÄN</t>
        </is>
      </c>
      <c r="E990" t="inlineStr">
        <is>
          <t>LJUSDAL</t>
        </is>
      </c>
      <c r="F990" t="inlineStr">
        <is>
          <t>Bergvik skog väst AB</t>
        </is>
      </c>
      <c r="G990" t="n">
        <v>10.1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67794-2021</t>
        </is>
      </c>
      <c r="B991" s="1" t="n">
        <v>44525</v>
      </c>
      <c r="C991" s="1" t="n">
        <v>45811</v>
      </c>
      <c r="D991" t="inlineStr">
        <is>
          <t>GÄVLEBORGS LÄN</t>
        </is>
      </c>
      <c r="E991" t="inlineStr">
        <is>
          <t>LJUSDAL</t>
        </is>
      </c>
      <c r="F991" t="inlineStr">
        <is>
          <t>Allmännings- och besparingsskogar</t>
        </is>
      </c>
      <c r="G991" t="n">
        <v>3.1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67923-2021</t>
        </is>
      </c>
      <c r="B992" s="1" t="n">
        <v>44525</v>
      </c>
      <c r="C992" s="1" t="n">
        <v>45811</v>
      </c>
      <c r="D992" t="inlineStr">
        <is>
          <t>GÄVLEBORGS LÄN</t>
        </is>
      </c>
      <c r="E992" t="inlineStr">
        <is>
          <t>LJUSDAL</t>
        </is>
      </c>
      <c r="G992" t="n">
        <v>2.6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69057-2021</t>
        </is>
      </c>
      <c r="B993" s="1" t="n">
        <v>44530</v>
      </c>
      <c r="C993" s="1" t="n">
        <v>45811</v>
      </c>
      <c r="D993" t="inlineStr">
        <is>
          <t>GÄVLEBORGS LÄN</t>
        </is>
      </c>
      <c r="E993" t="inlineStr">
        <is>
          <t>LJUSDAL</t>
        </is>
      </c>
      <c r="G993" t="n">
        <v>2.7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70478-2021</t>
        </is>
      </c>
      <c r="B994" s="1" t="n">
        <v>44536</v>
      </c>
      <c r="C994" s="1" t="n">
        <v>45811</v>
      </c>
      <c r="D994" t="inlineStr">
        <is>
          <t>GÄVLEBORGS LÄN</t>
        </is>
      </c>
      <c r="E994" t="inlineStr">
        <is>
          <t>LJUSDAL</t>
        </is>
      </c>
      <c r="G994" t="n">
        <v>2.1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71070-2021</t>
        </is>
      </c>
      <c r="B995" s="1" t="n">
        <v>44538</v>
      </c>
      <c r="C995" s="1" t="n">
        <v>45811</v>
      </c>
      <c r="D995" t="inlineStr">
        <is>
          <t>GÄVLEBORGS LÄN</t>
        </is>
      </c>
      <c r="E995" t="inlineStr">
        <is>
          <t>LJUSDAL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71068-2021</t>
        </is>
      </c>
      <c r="B996" s="1" t="n">
        <v>44538</v>
      </c>
      <c r="C996" s="1" t="n">
        <v>45811</v>
      </c>
      <c r="D996" t="inlineStr">
        <is>
          <t>GÄVLEBORGS LÄN</t>
        </is>
      </c>
      <c r="E996" t="inlineStr">
        <is>
          <t>LJUSDAL</t>
        </is>
      </c>
      <c r="G996" t="n">
        <v>5.8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71305-2021</t>
        </is>
      </c>
      <c r="B997" s="1" t="n">
        <v>44539</v>
      </c>
      <c r="C997" s="1" t="n">
        <v>45811</v>
      </c>
      <c r="D997" t="inlineStr">
        <is>
          <t>GÄVLEBORGS LÄN</t>
        </is>
      </c>
      <c r="E997" t="inlineStr">
        <is>
          <t>LJUSDAL</t>
        </is>
      </c>
      <c r="F997" t="inlineStr">
        <is>
          <t>Kommuner</t>
        </is>
      </c>
      <c r="G997" t="n">
        <v>3.8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71698-2021</t>
        </is>
      </c>
      <c r="B998" s="1" t="n">
        <v>44543</v>
      </c>
      <c r="C998" s="1" t="n">
        <v>45811</v>
      </c>
      <c r="D998" t="inlineStr">
        <is>
          <t>GÄVLEBORGS LÄN</t>
        </is>
      </c>
      <c r="E998" t="inlineStr">
        <is>
          <t>LJUSDAL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71680-2021</t>
        </is>
      </c>
      <c r="B999" s="1" t="n">
        <v>44543</v>
      </c>
      <c r="C999" s="1" t="n">
        <v>45811</v>
      </c>
      <c r="D999" t="inlineStr">
        <is>
          <t>GÄVLEBORGS LÄN</t>
        </is>
      </c>
      <c r="E999" t="inlineStr">
        <is>
          <t>LJUSDAL</t>
        </is>
      </c>
      <c r="G999" t="n">
        <v>1.6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72150-2021</t>
        </is>
      </c>
      <c r="B1000" s="1" t="n">
        <v>44544</v>
      </c>
      <c r="C1000" s="1" t="n">
        <v>45811</v>
      </c>
      <c r="D1000" t="inlineStr">
        <is>
          <t>GÄVLEBORGS LÄN</t>
        </is>
      </c>
      <c r="E1000" t="inlineStr">
        <is>
          <t>LJUSDAL</t>
        </is>
      </c>
      <c r="F1000" t="inlineStr">
        <is>
          <t>Holmen skog AB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72457-2021</t>
        </is>
      </c>
      <c r="B1001" s="1" t="n">
        <v>44545</v>
      </c>
      <c r="C1001" s="1" t="n">
        <v>45811</v>
      </c>
      <c r="D1001" t="inlineStr">
        <is>
          <t>GÄVLEBORGS LÄN</t>
        </is>
      </c>
      <c r="E1001" t="inlineStr">
        <is>
          <t>LJUSDAL</t>
        </is>
      </c>
      <c r="G1001" t="n">
        <v>3.9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72464-2021</t>
        </is>
      </c>
      <c r="B1002" s="1" t="n">
        <v>44545</v>
      </c>
      <c r="C1002" s="1" t="n">
        <v>45811</v>
      </c>
      <c r="D1002" t="inlineStr">
        <is>
          <t>GÄVLEBORGS LÄN</t>
        </is>
      </c>
      <c r="E1002" t="inlineStr">
        <is>
          <t>LJUSDAL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72711-2021</t>
        </is>
      </c>
      <c r="B1003" s="1" t="n">
        <v>44546</v>
      </c>
      <c r="C1003" s="1" t="n">
        <v>45811</v>
      </c>
      <c r="D1003" t="inlineStr">
        <is>
          <t>GÄVLEBORGS LÄN</t>
        </is>
      </c>
      <c r="E1003" t="inlineStr">
        <is>
          <t>LJUSDAL</t>
        </is>
      </c>
      <c r="F1003" t="inlineStr">
        <is>
          <t>Sveaskog</t>
        </is>
      </c>
      <c r="G1003" t="n">
        <v>2.3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73190-2021</t>
        </is>
      </c>
      <c r="B1004" s="1" t="n">
        <v>44550</v>
      </c>
      <c r="C1004" s="1" t="n">
        <v>45811</v>
      </c>
      <c r="D1004" t="inlineStr">
        <is>
          <t>GÄVLEBORGS LÄN</t>
        </is>
      </c>
      <c r="E1004" t="inlineStr">
        <is>
          <t>LJUSDAL</t>
        </is>
      </c>
      <c r="F1004" t="inlineStr">
        <is>
          <t>Holmen skog AB</t>
        </is>
      </c>
      <c r="G1004" t="n">
        <v>4.9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73241-2021</t>
        </is>
      </c>
      <c r="B1005" s="1" t="n">
        <v>44550</v>
      </c>
      <c r="C1005" s="1" t="n">
        <v>45811</v>
      </c>
      <c r="D1005" t="inlineStr">
        <is>
          <t>GÄVLEBORGS LÄN</t>
        </is>
      </c>
      <c r="E1005" t="inlineStr">
        <is>
          <t>LJUSDAL</t>
        </is>
      </c>
      <c r="F1005" t="inlineStr">
        <is>
          <t>Allmännings- och besparingsskogar</t>
        </is>
      </c>
      <c r="G1005" t="n">
        <v>42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73555-2021</t>
        </is>
      </c>
      <c r="B1006" s="1" t="n">
        <v>44551</v>
      </c>
      <c r="C1006" s="1" t="n">
        <v>45811</v>
      </c>
      <c r="D1006" t="inlineStr">
        <is>
          <t>GÄVLEBORGS LÄN</t>
        </is>
      </c>
      <c r="E1006" t="inlineStr">
        <is>
          <t>LJUSDAL</t>
        </is>
      </c>
      <c r="G1006" t="n">
        <v>1.6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73554-2021</t>
        </is>
      </c>
      <c r="B1007" s="1" t="n">
        <v>44551</v>
      </c>
      <c r="C1007" s="1" t="n">
        <v>45811</v>
      </c>
      <c r="D1007" t="inlineStr">
        <is>
          <t>GÄVLEBORGS LÄN</t>
        </is>
      </c>
      <c r="E1007" t="inlineStr">
        <is>
          <t>LJUSDAL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73672-2021</t>
        </is>
      </c>
      <c r="B1008" s="1" t="n">
        <v>44552</v>
      </c>
      <c r="C1008" s="1" t="n">
        <v>45811</v>
      </c>
      <c r="D1008" t="inlineStr">
        <is>
          <t>GÄVLEBORGS LÄN</t>
        </is>
      </c>
      <c r="E1008" t="inlineStr">
        <is>
          <t>LJUSDAL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73750-2021</t>
        </is>
      </c>
      <c r="B1009" s="1" t="n">
        <v>44552</v>
      </c>
      <c r="C1009" s="1" t="n">
        <v>45811</v>
      </c>
      <c r="D1009" t="inlineStr">
        <is>
          <t>GÄVLEBORGS LÄN</t>
        </is>
      </c>
      <c r="E1009" t="inlineStr">
        <is>
          <t>LJUSDAL</t>
        </is>
      </c>
      <c r="G1009" t="n">
        <v>1.4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74337-2021</t>
        </is>
      </c>
      <c r="B1010" s="1" t="n">
        <v>44559</v>
      </c>
      <c r="C1010" s="1" t="n">
        <v>45811</v>
      </c>
      <c r="D1010" t="inlineStr">
        <is>
          <t>GÄVLEBORGS LÄN</t>
        </is>
      </c>
      <c r="E1010" t="inlineStr">
        <is>
          <t>LJUSDAL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30-2022</t>
        </is>
      </c>
      <c r="B1011" s="1" t="n">
        <v>44564</v>
      </c>
      <c r="C1011" s="1" t="n">
        <v>45811</v>
      </c>
      <c r="D1011" t="inlineStr">
        <is>
          <t>GÄVLEBORGS LÄN</t>
        </is>
      </c>
      <c r="E1011" t="inlineStr">
        <is>
          <t>LJUSDAL</t>
        </is>
      </c>
      <c r="G1011" t="n">
        <v>0.5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331-2022</t>
        </is>
      </c>
      <c r="B1012" s="1" t="n">
        <v>44565</v>
      </c>
      <c r="C1012" s="1" t="n">
        <v>45811</v>
      </c>
      <c r="D1012" t="inlineStr">
        <is>
          <t>GÄVLEBORGS LÄN</t>
        </is>
      </c>
      <c r="E1012" t="inlineStr">
        <is>
          <t>LJUSDAL</t>
        </is>
      </c>
      <c r="F1012" t="inlineStr">
        <is>
          <t>Holmen skog AB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574-2022</t>
        </is>
      </c>
      <c r="B1013" s="1" t="n">
        <v>44566</v>
      </c>
      <c r="C1013" s="1" t="n">
        <v>45811</v>
      </c>
      <c r="D1013" t="inlineStr">
        <is>
          <t>GÄVLEBORGS LÄN</t>
        </is>
      </c>
      <c r="E1013" t="inlineStr">
        <is>
          <t>LJUSDAL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983-2022</t>
        </is>
      </c>
      <c r="B1014" s="1" t="n">
        <v>44571</v>
      </c>
      <c r="C1014" s="1" t="n">
        <v>45811</v>
      </c>
      <c r="D1014" t="inlineStr">
        <is>
          <t>GÄVLEBORGS LÄN</t>
        </is>
      </c>
      <c r="E1014" t="inlineStr">
        <is>
          <t>LJUSDAL</t>
        </is>
      </c>
      <c r="F1014" t="inlineStr">
        <is>
          <t>Holmen skog AB</t>
        </is>
      </c>
      <c r="G1014" t="n">
        <v>10.6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1250-2022</t>
        </is>
      </c>
      <c r="B1015" s="1" t="n">
        <v>44572</v>
      </c>
      <c r="C1015" s="1" t="n">
        <v>45811</v>
      </c>
      <c r="D1015" t="inlineStr">
        <is>
          <t>GÄVLEBORGS LÄN</t>
        </is>
      </c>
      <c r="E1015" t="inlineStr">
        <is>
          <t>LJUSDAL</t>
        </is>
      </c>
      <c r="G1015" t="n">
        <v>11.5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2449-2022</t>
        </is>
      </c>
      <c r="B1016" s="1" t="n">
        <v>44579</v>
      </c>
      <c r="C1016" s="1" t="n">
        <v>45811</v>
      </c>
      <c r="D1016" t="inlineStr">
        <is>
          <t>GÄVLEBORGS LÄN</t>
        </is>
      </c>
      <c r="E1016" t="inlineStr">
        <is>
          <t>LJUSDAL</t>
        </is>
      </c>
      <c r="F1016" t="inlineStr">
        <is>
          <t>Holmen skog AB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3098-2022</t>
        </is>
      </c>
      <c r="B1017" s="1" t="n">
        <v>44582</v>
      </c>
      <c r="C1017" s="1" t="n">
        <v>45811</v>
      </c>
      <c r="D1017" t="inlineStr">
        <is>
          <t>GÄVLEBORGS LÄN</t>
        </is>
      </c>
      <c r="E1017" t="inlineStr">
        <is>
          <t>LJUSDAL</t>
        </is>
      </c>
      <c r="G1017" t="n">
        <v>0.1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3868-2022</t>
        </is>
      </c>
      <c r="B1018" s="1" t="n">
        <v>44587</v>
      </c>
      <c r="C1018" s="1" t="n">
        <v>45811</v>
      </c>
      <c r="D1018" t="inlineStr">
        <is>
          <t>GÄVLEBORGS LÄN</t>
        </is>
      </c>
      <c r="E1018" t="inlineStr">
        <is>
          <t>LJUSDAL</t>
        </is>
      </c>
      <c r="F1018" t="inlineStr">
        <is>
          <t>Sveaskog</t>
        </is>
      </c>
      <c r="G1018" t="n">
        <v>0.2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4433-2022</t>
        </is>
      </c>
      <c r="B1019" s="1" t="n">
        <v>44589</v>
      </c>
      <c r="C1019" s="1" t="n">
        <v>45811</v>
      </c>
      <c r="D1019" t="inlineStr">
        <is>
          <t>GÄVLEBORGS LÄN</t>
        </is>
      </c>
      <c r="E1019" t="inlineStr">
        <is>
          <t>LJUSDAL</t>
        </is>
      </c>
      <c r="G1019" t="n">
        <v>10.3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4543-2022</t>
        </is>
      </c>
      <c r="B1020" s="1" t="n">
        <v>44590</v>
      </c>
      <c r="C1020" s="1" t="n">
        <v>45811</v>
      </c>
      <c r="D1020" t="inlineStr">
        <is>
          <t>GÄVLEBORGS LÄN</t>
        </is>
      </c>
      <c r="E1020" t="inlineStr">
        <is>
          <t>LJUSDAL</t>
        </is>
      </c>
      <c r="G1020" t="n">
        <v>4.1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4813-2022</t>
        </is>
      </c>
      <c r="B1021" s="1" t="n">
        <v>44592</v>
      </c>
      <c r="C1021" s="1" t="n">
        <v>45811</v>
      </c>
      <c r="D1021" t="inlineStr">
        <is>
          <t>GÄVLEBORGS LÄN</t>
        </is>
      </c>
      <c r="E1021" t="inlineStr">
        <is>
          <t>LJUSDAL</t>
        </is>
      </c>
      <c r="F1021" t="inlineStr">
        <is>
          <t>Sveaskog</t>
        </is>
      </c>
      <c r="G1021" t="n">
        <v>0.1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5614-2022</t>
        </is>
      </c>
      <c r="B1022" s="1" t="n">
        <v>44595</v>
      </c>
      <c r="C1022" s="1" t="n">
        <v>45811</v>
      </c>
      <c r="D1022" t="inlineStr">
        <is>
          <t>GÄVLEBORGS LÄN</t>
        </is>
      </c>
      <c r="E1022" t="inlineStr">
        <is>
          <t>LJUSDAL</t>
        </is>
      </c>
      <c r="G1022" t="n">
        <v>4.2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5889-2022</t>
        </is>
      </c>
      <c r="B1023" s="1" t="n">
        <v>44596</v>
      </c>
      <c r="C1023" s="1" t="n">
        <v>45811</v>
      </c>
      <c r="D1023" t="inlineStr">
        <is>
          <t>GÄVLEBORGS LÄN</t>
        </is>
      </c>
      <c r="E1023" t="inlineStr">
        <is>
          <t>LJUSDAL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6308-2022</t>
        </is>
      </c>
      <c r="B1024" s="1" t="n">
        <v>44600</v>
      </c>
      <c r="C1024" s="1" t="n">
        <v>45811</v>
      </c>
      <c r="D1024" t="inlineStr">
        <is>
          <t>GÄVLEBORGS LÄN</t>
        </is>
      </c>
      <c r="E1024" t="inlineStr">
        <is>
          <t>LJUSDAL</t>
        </is>
      </c>
      <c r="G1024" t="n">
        <v>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6634-2022</t>
        </is>
      </c>
      <c r="B1025" s="1" t="n">
        <v>44601</v>
      </c>
      <c r="C1025" s="1" t="n">
        <v>45811</v>
      </c>
      <c r="D1025" t="inlineStr">
        <is>
          <t>GÄVLEBORGS LÄN</t>
        </is>
      </c>
      <c r="E1025" t="inlineStr">
        <is>
          <t>LJUSDAL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7472-2022</t>
        </is>
      </c>
      <c r="B1026" s="1" t="n">
        <v>44607</v>
      </c>
      <c r="C1026" s="1" t="n">
        <v>45811</v>
      </c>
      <c r="D1026" t="inlineStr">
        <is>
          <t>GÄVLEBORGS LÄN</t>
        </is>
      </c>
      <c r="E1026" t="inlineStr">
        <is>
          <t>LJUSDAL</t>
        </is>
      </c>
      <c r="F1026" t="inlineStr">
        <is>
          <t>Holmen skog AB</t>
        </is>
      </c>
      <c r="G1026" t="n">
        <v>7.3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7592-2022</t>
        </is>
      </c>
      <c r="B1027" s="1" t="n">
        <v>44607</v>
      </c>
      <c r="C1027" s="1" t="n">
        <v>45811</v>
      </c>
      <c r="D1027" t="inlineStr">
        <is>
          <t>GÄVLEBORGS LÄN</t>
        </is>
      </c>
      <c r="E1027" t="inlineStr">
        <is>
          <t>LJUSDAL</t>
        </is>
      </c>
      <c r="F1027" t="inlineStr">
        <is>
          <t>Holmen skog AB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7606-2022</t>
        </is>
      </c>
      <c r="B1028" s="1" t="n">
        <v>44607</v>
      </c>
      <c r="C1028" s="1" t="n">
        <v>45811</v>
      </c>
      <c r="D1028" t="inlineStr">
        <is>
          <t>GÄVLEBORGS LÄN</t>
        </is>
      </c>
      <c r="E1028" t="inlineStr">
        <is>
          <t>LJUSDAL</t>
        </is>
      </c>
      <c r="F1028" t="inlineStr">
        <is>
          <t>Holmen skog AB</t>
        </is>
      </c>
      <c r="G1028" t="n">
        <v>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8153-2022</t>
        </is>
      </c>
      <c r="B1029" s="1" t="n">
        <v>44609</v>
      </c>
      <c r="C1029" s="1" t="n">
        <v>45811</v>
      </c>
      <c r="D1029" t="inlineStr">
        <is>
          <t>GÄVLEBORGS LÄN</t>
        </is>
      </c>
      <c r="E1029" t="inlineStr">
        <is>
          <t>LJUSDAL</t>
        </is>
      </c>
      <c r="F1029" t="inlineStr">
        <is>
          <t>Holmen skog AB</t>
        </is>
      </c>
      <c r="G1029" t="n">
        <v>3.8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8813-2022</t>
        </is>
      </c>
      <c r="B1030" s="1" t="n">
        <v>44614</v>
      </c>
      <c r="C1030" s="1" t="n">
        <v>45811</v>
      </c>
      <c r="D1030" t="inlineStr">
        <is>
          <t>GÄVLEBORGS LÄN</t>
        </is>
      </c>
      <c r="E1030" t="inlineStr">
        <is>
          <t>LJUSDAL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9191-2022</t>
        </is>
      </c>
      <c r="B1031" s="1" t="n">
        <v>44615</v>
      </c>
      <c r="C1031" s="1" t="n">
        <v>45811</v>
      </c>
      <c r="D1031" t="inlineStr">
        <is>
          <t>GÄVLEBORGS LÄN</t>
        </is>
      </c>
      <c r="E1031" t="inlineStr">
        <is>
          <t>LJUSDAL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9194-2022</t>
        </is>
      </c>
      <c r="B1032" s="1" t="n">
        <v>44615</v>
      </c>
      <c r="C1032" s="1" t="n">
        <v>45811</v>
      </c>
      <c r="D1032" t="inlineStr">
        <is>
          <t>GÄVLEBORGS LÄN</t>
        </is>
      </c>
      <c r="E1032" t="inlineStr">
        <is>
          <t>LJUSDAL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9462-2022</t>
        </is>
      </c>
      <c r="B1033" s="1" t="n">
        <v>44616</v>
      </c>
      <c r="C1033" s="1" t="n">
        <v>45811</v>
      </c>
      <c r="D1033" t="inlineStr">
        <is>
          <t>GÄVLEBORGS LÄN</t>
        </is>
      </c>
      <c r="E1033" t="inlineStr">
        <is>
          <t>LJUSDAL</t>
        </is>
      </c>
      <c r="G1033" t="n">
        <v>7.9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9935-2022</t>
        </is>
      </c>
      <c r="B1034" s="1" t="n">
        <v>44620</v>
      </c>
      <c r="C1034" s="1" t="n">
        <v>45811</v>
      </c>
      <c r="D1034" t="inlineStr">
        <is>
          <t>GÄVLEBORGS LÄN</t>
        </is>
      </c>
      <c r="E1034" t="inlineStr">
        <is>
          <t>LJUSDAL</t>
        </is>
      </c>
      <c r="G1034" t="n">
        <v>1.8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9936-2022</t>
        </is>
      </c>
      <c r="B1035" s="1" t="n">
        <v>44620</v>
      </c>
      <c r="C1035" s="1" t="n">
        <v>45811</v>
      </c>
      <c r="D1035" t="inlineStr">
        <is>
          <t>GÄVLEBORGS LÄN</t>
        </is>
      </c>
      <c r="E1035" t="inlineStr">
        <is>
          <t>LJUSDAL</t>
        </is>
      </c>
      <c r="G1035" t="n">
        <v>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10074-2022</t>
        </is>
      </c>
      <c r="B1036" s="1" t="n">
        <v>44621</v>
      </c>
      <c r="C1036" s="1" t="n">
        <v>45811</v>
      </c>
      <c r="D1036" t="inlineStr">
        <is>
          <t>GÄVLEBORGS LÄN</t>
        </is>
      </c>
      <c r="E1036" t="inlineStr">
        <is>
          <t>LJUSDAL</t>
        </is>
      </c>
      <c r="F1036" t="inlineStr">
        <is>
          <t>Kommuner</t>
        </is>
      </c>
      <c r="G1036" t="n">
        <v>1.8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10591-2022</t>
        </is>
      </c>
      <c r="B1037" s="1" t="n">
        <v>44624</v>
      </c>
      <c r="C1037" s="1" t="n">
        <v>45811</v>
      </c>
      <c r="D1037" t="inlineStr">
        <is>
          <t>GÄVLEBORGS LÄN</t>
        </is>
      </c>
      <c r="E1037" t="inlineStr">
        <is>
          <t>LJUSDAL</t>
        </is>
      </c>
      <c r="G1037" t="n">
        <v>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10856-2022</t>
        </is>
      </c>
      <c r="B1038" s="1" t="n">
        <v>44627</v>
      </c>
      <c r="C1038" s="1" t="n">
        <v>45811</v>
      </c>
      <c r="D1038" t="inlineStr">
        <is>
          <t>GÄVLEBORGS LÄN</t>
        </is>
      </c>
      <c r="E1038" t="inlineStr">
        <is>
          <t>LJUSDAL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10945-2022</t>
        </is>
      </c>
      <c r="B1039" s="1" t="n">
        <v>44627</v>
      </c>
      <c r="C1039" s="1" t="n">
        <v>45811</v>
      </c>
      <c r="D1039" t="inlineStr">
        <is>
          <t>GÄVLEBORGS LÄN</t>
        </is>
      </c>
      <c r="E1039" t="inlineStr">
        <is>
          <t>LJUSDAL</t>
        </is>
      </c>
      <c r="G1039" t="n">
        <v>2.2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11242-2022</t>
        </is>
      </c>
      <c r="B1040" s="1" t="n">
        <v>44629</v>
      </c>
      <c r="C1040" s="1" t="n">
        <v>45811</v>
      </c>
      <c r="D1040" t="inlineStr">
        <is>
          <t>GÄVLEBORGS LÄN</t>
        </is>
      </c>
      <c r="E1040" t="inlineStr">
        <is>
          <t>LJUSDAL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11286-2022</t>
        </is>
      </c>
      <c r="B1041" s="1" t="n">
        <v>44629</v>
      </c>
      <c r="C1041" s="1" t="n">
        <v>45811</v>
      </c>
      <c r="D1041" t="inlineStr">
        <is>
          <t>GÄVLEBORGS LÄN</t>
        </is>
      </c>
      <c r="E1041" t="inlineStr">
        <is>
          <t>LJUSDAL</t>
        </is>
      </c>
      <c r="G1041" t="n">
        <v>11.5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13064-2022</t>
        </is>
      </c>
      <c r="B1042" s="1" t="n">
        <v>44643</v>
      </c>
      <c r="C1042" s="1" t="n">
        <v>45811</v>
      </c>
      <c r="D1042" t="inlineStr">
        <is>
          <t>GÄVLEBORGS LÄN</t>
        </is>
      </c>
      <c r="E1042" t="inlineStr">
        <is>
          <t>LJUSDAL</t>
        </is>
      </c>
      <c r="G1042" t="n">
        <v>2.4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13245-2022</t>
        </is>
      </c>
      <c r="B1043" s="1" t="n">
        <v>44644</v>
      </c>
      <c r="C1043" s="1" t="n">
        <v>45811</v>
      </c>
      <c r="D1043" t="inlineStr">
        <is>
          <t>GÄVLEBORGS LÄN</t>
        </is>
      </c>
      <c r="E1043" t="inlineStr">
        <is>
          <t>LJUSDAL</t>
        </is>
      </c>
      <c r="F1043" t="inlineStr">
        <is>
          <t>Holmen skog AB</t>
        </is>
      </c>
      <c r="G1043" t="n">
        <v>20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13622-2022</t>
        </is>
      </c>
      <c r="B1044" s="1" t="n">
        <v>44648</v>
      </c>
      <c r="C1044" s="1" t="n">
        <v>45811</v>
      </c>
      <c r="D1044" t="inlineStr">
        <is>
          <t>GÄVLEBORGS LÄN</t>
        </is>
      </c>
      <c r="E1044" t="inlineStr">
        <is>
          <t>LJUSDAL</t>
        </is>
      </c>
      <c r="G1044" t="n">
        <v>3.1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14010-2022</t>
        </is>
      </c>
      <c r="B1045" s="1" t="n">
        <v>44650</v>
      </c>
      <c r="C1045" s="1" t="n">
        <v>45811</v>
      </c>
      <c r="D1045" t="inlineStr">
        <is>
          <t>GÄVLEBORGS LÄN</t>
        </is>
      </c>
      <c r="E1045" t="inlineStr">
        <is>
          <t>LJUSDAL</t>
        </is>
      </c>
      <c r="G1045" t="n">
        <v>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14608-2022</t>
        </is>
      </c>
      <c r="B1046" s="1" t="n">
        <v>44655</v>
      </c>
      <c r="C1046" s="1" t="n">
        <v>45811</v>
      </c>
      <c r="D1046" t="inlineStr">
        <is>
          <t>GÄVLEBORGS LÄN</t>
        </is>
      </c>
      <c r="E1046" t="inlineStr">
        <is>
          <t>LJUSDAL</t>
        </is>
      </c>
      <c r="F1046" t="inlineStr">
        <is>
          <t>Holmen skog AB</t>
        </is>
      </c>
      <c r="G1046" t="n">
        <v>4.7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15042-2022</t>
        </is>
      </c>
      <c r="B1047" s="1" t="n">
        <v>44657</v>
      </c>
      <c r="C1047" s="1" t="n">
        <v>45811</v>
      </c>
      <c r="D1047" t="inlineStr">
        <is>
          <t>GÄVLEBORGS LÄN</t>
        </is>
      </c>
      <c r="E1047" t="inlineStr">
        <is>
          <t>LJUSDAL</t>
        </is>
      </c>
      <c r="G1047" t="n">
        <v>4.1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15485-2022</t>
        </is>
      </c>
      <c r="B1048" s="1" t="n">
        <v>44662</v>
      </c>
      <c r="C1048" s="1" t="n">
        <v>45811</v>
      </c>
      <c r="D1048" t="inlineStr">
        <is>
          <t>GÄVLEBORGS LÄN</t>
        </is>
      </c>
      <c r="E1048" t="inlineStr">
        <is>
          <t>LJUSDAL</t>
        </is>
      </c>
      <c r="F1048" t="inlineStr">
        <is>
          <t>Kyrkan</t>
        </is>
      </c>
      <c r="G1048" t="n">
        <v>17.9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15750-2022</t>
        </is>
      </c>
      <c r="B1049" s="1" t="n">
        <v>44663</v>
      </c>
      <c r="C1049" s="1" t="n">
        <v>45811</v>
      </c>
      <c r="D1049" t="inlineStr">
        <is>
          <t>GÄVLEBORGS LÄN</t>
        </is>
      </c>
      <c r="E1049" t="inlineStr">
        <is>
          <t>LJUSDAL</t>
        </is>
      </c>
      <c r="G1049" t="n">
        <v>3.1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15767-2022</t>
        </is>
      </c>
      <c r="B1050" s="1" t="n">
        <v>44663</v>
      </c>
      <c r="C1050" s="1" t="n">
        <v>45811</v>
      </c>
      <c r="D1050" t="inlineStr">
        <is>
          <t>GÄVLEBORGS LÄN</t>
        </is>
      </c>
      <c r="E1050" t="inlineStr">
        <is>
          <t>LJUSDAL</t>
        </is>
      </c>
      <c r="G1050" t="n">
        <v>2.5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16894-2022</t>
        </is>
      </c>
      <c r="B1051" s="1" t="n">
        <v>44676</v>
      </c>
      <c r="C1051" s="1" t="n">
        <v>45811</v>
      </c>
      <c r="D1051" t="inlineStr">
        <is>
          <t>GÄVLEBORGS LÄN</t>
        </is>
      </c>
      <c r="E1051" t="inlineStr">
        <is>
          <t>LJUSDAL</t>
        </is>
      </c>
      <c r="F1051" t="inlineStr">
        <is>
          <t>Bergvik skog väst AB</t>
        </is>
      </c>
      <c r="G1051" t="n">
        <v>5.7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16973-2022</t>
        </is>
      </c>
      <c r="B1052" s="1" t="n">
        <v>44676</v>
      </c>
      <c r="C1052" s="1" t="n">
        <v>45811</v>
      </c>
      <c r="D1052" t="inlineStr">
        <is>
          <t>GÄVLEBORGS LÄN</t>
        </is>
      </c>
      <c r="E1052" t="inlineStr">
        <is>
          <t>LJUSDAL</t>
        </is>
      </c>
      <c r="F1052" t="inlineStr">
        <is>
          <t>Bergvik skog väst AB</t>
        </is>
      </c>
      <c r="G1052" t="n">
        <v>1.9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17246-2022</t>
        </is>
      </c>
      <c r="B1053" s="1" t="n">
        <v>44678</v>
      </c>
      <c r="C1053" s="1" t="n">
        <v>45811</v>
      </c>
      <c r="D1053" t="inlineStr">
        <is>
          <t>GÄVLEBORGS LÄN</t>
        </is>
      </c>
      <c r="E1053" t="inlineStr">
        <is>
          <t>LJUSDAL</t>
        </is>
      </c>
      <c r="F1053" t="inlineStr">
        <is>
          <t>Holmen skog AB</t>
        </is>
      </c>
      <c r="G1053" t="n">
        <v>6.6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17458-2022</t>
        </is>
      </c>
      <c r="B1054" s="1" t="n">
        <v>44679</v>
      </c>
      <c r="C1054" s="1" t="n">
        <v>45811</v>
      </c>
      <c r="D1054" t="inlineStr">
        <is>
          <t>GÄVLEBORGS LÄN</t>
        </is>
      </c>
      <c r="E1054" t="inlineStr">
        <is>
          <t>LJUSDAL</t>
        </is>
      </c>
      <c r="G1054" t="n">
        <v>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17487-2022</t>
        </is>
      </c>
      <c r="B1055" s="1" t="n">
        <v>44679</v>
      </c>
      <c r="C1055" s="1" t="n">
        <v>45811</v>
      </c>
      <c r="D1055" t="inlineStr">
        <is>
          <t>GÄVLEBORGS LÄN</t>
        </is>
      </c>
      <c r="E1055" t="inlineStr">
        <is>
          <t>LJUSDAL</t>
        </is>
      </c>
      <c r="F1055" t="inlineStr">
        <is>
          <t>Holmen skog AB</t>
        </is>
      </c>
      <c r="G1055" t="n">
        <v>0.4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17559-2022</t>
        </is>
      </c>
      <c r="B1056" s="1" t="n">
        <v>44679</v>
      </c>
      <c r="C1056" s="1" t="n">
        <v>45811</v>
      </c>
      <c r="D1056" t="inlineStr">
        <is>
          <t>GÄVLEBORGS LÄN</t>
        </is>
      </c>
      <c r="E1056" t="inlineStr">
        <is>
          <t>LJUSDAL</t>
        </is>
      </c>
      <c r="F1056" t="inlineStr">
        <is>
          <t>Holmen skog AB</t>
        </is>
      </c>
      <c r="G1056" t="n">
        <v>6.4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17862-2022</t>
        </is>
      </c>
      <c r="B1057" s="1" t="n">
        <v>44683</v>
      </c>
      <c r="C1057" s="1" t="n">
        <v>45811</v>
      </c>
      <c r="D1057" t="inlineStr">
        <is>
          <t>GÄVLEBORGS LÄN</t>
        </is>
      </c>
      <c r="E1057" t="inlineStr">
        <is>
          <t>LJUSDAL</t>
        </is>
      </c>
      <c r="F1057" t="inlineStr">
        <is>
          <t>Bergvik skog väst AB</t>
        </is>
      </c>
      <c r="G1057" t="n">
        <v>11.7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18143-2022</t>
        </is>
      </c>
      <c r="B1058" s="1" t="n">
        <v>44684</v>
      </c>
      <c r="C1058" s="1" t="n">
        <v>45811</v>
      </c>
      <c r="D1058" t="inlineStr">
        <is>
          <t>GÄVLEBORGS LÄN</t>
        </is>
      </c>
      <c r="E1058" t="inlineStr">
        <is>
          <t>LJUSDAL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18663-2022</t>
        </is>
      </c>
      <c r="B1059" s="1" t="n">
        <v>44687</v>
      </c>
      <c r="C1059" s="1" t="n">
        <v>45811</v>
      </c>
      <c r="D1059" t="inlineStr">
        <is>
          <t>GÄVLEBORGS LÄN</t>
        </is>
      </c>
      <c r="E1059" t="inlineStr">
        <is>
          <t>LJUSDAL</t>
        </is>
      </c>
      <c r="G1059" t="n">
        <v>3.6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18670-2022</t>
        </is>
      </c>
      <c r="B1060" s="1" t="n">
        <v>44687</v>
      </c>
      <c r="C1060" s="1" t="n">
        <v>45811</v>
      </c>
      <c r="D1060" t="inlineStr">
        <is>
          <t>GÄVLEBORGS LÄN</t>
        </is>
      </c>
      <c r="E1060" t="inlineStr">
        <is>
          <t>LJUSDAL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18691-2022</t>
        </is>
      </c>
      <c r="B1061" s="1" t="n">
        <v>44687</v>
      </c>
      <c r="C1061" s="1" t="n">
        <v>45811</v>
      </c>
      <c r="D1061" t="inlineStr">
        <is>
          <t>GÄVLEBORGS LÄN</t>
        </is>
      </c>
      <c r="E1061" t="inlineStr">
        <is>
          <t>LJUSDAL</t>
        </is>
      </c>
      <c r="G1061" t="n">
        <v>0.4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18677-2022</t>
        </is>
      </c>
      <c r="B1062" s="1" t="n">
        <v>44687</v>
      </c>
      <c r="C1062" s="1" t="n">
        <v>45811</v>
      </c>
      <c r="D1062" t="inlineStr">
        <is>
          <t>GÄVLEBORGS LÄN</t>
        </is>
      </c>
      <c r="E1062" t="inlineStr">
        <is>
          <t>LJUSDAL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18681-2022</t>
        </is>
      </c>
      <c r="B1063" s="1" t="n">
        <v>44687</v>
      </c>
      <c r="C1063" s="1" t="n">
        <v>45811</v>
      </c>
      <c r="D1063" t="inlineStr">
        <is>
          <t>GÄVLEBORGS LÄN</t>
        </is>
      </c>
      <c r="E1063" t="inlineStr">
        <is>
          <t>LJUSDAL</t>
        </is>
      </c>
      <c r="F1063" t="inlineStr">
        <is>
          <t>Bergvik skog väst AB</t>
        </is>
      </c>
      <c r="G1063" t="n">
        <v>2.9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18721-2022</t>
        </is>
      </c>
      <c r="B1064" s="1" t="n">
        <v>44687</v>
      </c>
      <c r="C1064" s="1" t="n">
        <v>45811</v>
      </c>
      <c r="D1064" t="inlineStr">
        <is>
          <t>GÄVLEBORGS LÄN</t>
        </is>
      </c>
      <c r="E1064" t="inlineStr">
        <is>
          <t>LJUSDAL</t>
        </is>
      </c>
      <c r="F1064" t="inlineStr">
        <is>
          <t>Holmen skog AB</t>
        </is>
      </c>
      <c r="G1064" t="n">
        <v>4.8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19200-2022</t>
        </is>
      </c>
      <c r="B1065" s="1" t="n">
        <v>44691</v>
      </c>
      <c r="C1065" s="1" t="n">
        <v>45811</v>
      </c>
      <c r="D1065" t="inlineStr">
        <is>
          <t>GÄVLEBORGS LÄN</t>
        </is>
      </c>
      <c r="E1065" t="inlineStr">
        <is>
          <t>LJUSDAL</t>
        </is>
      </c>
      <c r="F1065" t="inlineStr">
        <is>
          <t>Bergvik skog väst AB</t>
        </is>
      </c>
      <c r="G1065" t="n">
        <v>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19252-2022</t>
        </is>
      </c>
      <c r="B1066" s="1" t="n">
        <v>44692</v>
      </c>
      <c r="C1066" s="1" t="n">
        <v>45811</v>
      </c>
      <c r="D1066" t="inlineStr">
        <is>
          <t>GÄVLEBORGS LÄN</t>
        </is>
      </c>
      <c r="E1066" t="inlineStr">
        <is>
          <t>LJUSDAL</t>
        </is>
      </c>
      <c r="F1066" t="inlineStr">
        <is>
          <t>Holmen skog AB</t>
        </is>
      </c>
      <c r="G1066" t="n">
        <v>4.1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19288-2022</t>
        </is>
      </c>
      <c r="B1067" s="1" t="n">
        <v>44692</v>
      </c>
      <c r="C1067" s="1" t="n">
        <v>45811</v>
      </c>
      <c r="D1067" t="inlineStr">
        <is>
          <t>GÄVLEBORGS LÄN</t>
        </is>
      </c>
      <c r="E1067" t="inlineStr">
        <is>
          <t>LJUSDAL</t>
        </is>
      </c>
      <c r="F1067" t="inlineStr">
        <is>
          <t>Holmen skog AB</t>
        </is>
      </c>
      <c r="G1067" t="n">
        <v>2.9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19303-2022</t>
        </is>
      </c>
      <c r="B1068" s="1" t="n">
        <v>44692</v>
      </c>
      <c r="C1068" s="1" t="n">
        <v>45811</v>
      </c>
      <c r="D1068" t="inlineStr">
        <is>
          <t>GÄVLEBORGS LÄN</t>
        </is>
      </c>
      <c r="E1068" t="inlineStr">
        <is>
          <t>LJUSDAL</t>
        </is>
      </c>
      <c r="F1068" t="inlineStr">
        <is>
          <t>Sveaskog</t>
        </is>
      </c>
      <c r="G1068" t="n">
        <v>2.4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19265-2022</t>
        </is>
      </c>
      <c r="B1069" s="1" t="n">
        <v>44692</v>
      </c>
      <c r="C1069" s="1" t="n">
        <v>45811</v>
      </c>
      <c r="D1069" t="inlineStr">
        <is>
          <t>GÄVLEBORGS LÄN</t>
        </is>
      </c>
      <c r="E1069" t="inlineStr">
        <is>
          <t>LJUSDAL</t>
        </is>
      </c>
      <c r="F1069" t="inlineStr">
        <is>
          <t>Holmen skog AB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19316-2022</t>
        </is>
      </c>
      <c r="B1070" s="1" t="n">
        <v>44692</v>
      </c>
      <c r="C1070" s="1" t="n">
        <v>45811</v>
      </c>
      <c r="D1070" t="inlineStr">
        <is>
          <t>GÄVLEBORGS LÄN</t>
        </is>
      </c>
      <c r="E1070" t="inlineStr">
        <is>
          <t>LJUSDAL</t>
        </is>
      </c>
      <c r="F1070" t="inlineStr">
        <is>
          <t>Holmen skog AB</t>
        </is>
      </c>
      <c r="G1070" t="n">
        <v>7.3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19531-2022</t>
        </is>
      </c>
      <c r="B1071" s="1" t="n">
        <v>44693</v>
      </c>
      <c r="C1071" s="1" t="n">
        <v>45811</v>
      </c>
      <c r="D1071" t="inlineStr">
        <is>
          <t>GÄVLEBORGS LÄN</t>
        </is>
      </c>
      <c r="E1071" t="inlineStr">
        <is>
          <t>LJUSDAL</t>
        </is>
      </c>
      <c r="F1071" t="inlineStr">
        <is>
          <t>Allmännings- och besparingsskogar</t>
        </is>
      </c>
      <c r="G1071" t="n">
        <v>46.7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19892-2022</t>
        </is>
      </c>
      <c r="B1072" s="1" t="n">
        <v>44697</v>
      </c>
      <c r="C1072" s="1" t="n">
        <v>45811</v>
      </c>
      <c r="D1072" t="inlineStr">
        <is>
          <t>GÄVLEBORGS LÄN</t>
        </is>
      </c>
      <c r="E1072" t="inlineStr">
        <is>
          <t>LJUSDAL</t>
        </is>
      </c>
      <c r="G1072" t="n">
        <v>1.4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20209-2022</t>
        </is>
      </c>
      <c r="B1073" s="1" t="n">
        <v>44698</v>
      </c>
      <c r="C1073" s="1" t="n">
        <v>45811</v>
      </c>
      <c r="D1073" t="inlineStr">
        <is>
          <t>GÄVLEBORGS LÄN</t>
        </is>
      </c>
      <c r="E1073" t="inlineStr">
        <is>
          <t>LJUSDAL</t>
        </is>
      </c>
      <c r="F1073" t="inlineStr">
        <is>
          <t>Sveaskog</t>
        </is>
      </c>
      <c r="G1073" t="n">
        <v>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20593-2022</t>
        </is>
      </c>
      <c r="B1074" s="1" t="n">
        <v>44700</v>
      </c>
      <c r="C1074" s="1" t="n">
        <v>45811</v>
      </c>
      <c r="D1074" t="inlineStr">
        <is>
          <t>GÄVLEBORGS LÄN</t>
        </is>
      </c>
      <c r="E1074" t="inlineStr">
        <is>
          <t>LJUSDAL</t>
        </is>
      </c>
      <c r="F1074" t="inlineStr">
        <is>
          <t>Holmen skog AB</t>
        </is>
      </c>
      <c r="G1074" t="n">
        <v>6.3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20730-2022</t>
        </is>
      </c>
      <c r="B1075" s="1" t="n">
        <v>44701</v>
      </c>
      <c r="C1075" s="1" t="n">
        <v>45811</v>
      </c>
      <c r="D1075" t="inlineStr">
        <is>
          <t>GÄVLEBORGS LÄN</t>
        </is>
      </c>
      <c r="E1075" t="inlineStr">
        <is>
          <t>LJUSDAL</t>
        </is>
      </c>
      <c r="G1075" t="n">
        <v>5.9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20744-2022</t>
        </is>
      </c>
      <c r="B1076" s="1" t="n">
        <v>44701</v>
      </c>
      <c r="C1076" s="1" t="n">
        <v>45811</v>
      </c>
      <c r="D1076" t="inlineStr">
        <is>
          <t>GÄVLEBORGS LÄN</t>
        </is>
      </c>
      <c r="E1076" t="inlineStr">
        <is>
          <t>LJUSDAL</t>
        </is>
      </c>
      <c r="F1076" t="inlineStr">
        <is>
          <t>Sveaskog</t>
        </is>
      </c>
      <c r="G1076" t="n">
        <v>10.9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20746-2022</t>
        </is>
      </c>
      <c r="B1077" s="1" t="n">
        <v>44701</v>
      </c>
      <c r="C1077" s="1" t="n">
        <v>45811</v>
      </c>
      <c r="D1077" t="inlineStr">
        <is>
          <t>GÄVLEBORGS LÄN</t>
        </is>
      </c>
      <c r="E1077" t="inlineStr">
        <is>
          <t>LJUSDAL</t>
        </is>
      </c>
      <c r="F1077" t="inlineStr">
        <is>
          <t>Sveaskog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20747-2022</t>
        </is>
      </c>
      <c r="B1078" s="1" t="n">
        <v>44701</v>
      </c>
      <c r="C1078" s="1" t="n">
        <v>45811</v>
      </c>
      <c r="D1078" t="inlineStr">
        <is>
          <t>GÄVLEBORGS LÄN</t>
        </is>
      </c>
      <c r="E1078" t="inlineStr">
        <is>
          <t>LJUSDAL</t>
        </is>
      </c>
      <c r="F1078" t="inlineStr">
        <is>
          <t>Sveaskog</t>
        </is>
      </c>
      <c r="G1078" t="n">
        <v>13.2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20750-2022</t>
        </is>
      </c>
      <c r="B1079" s="1" t="n">
        <v>44701</v>
      </c>
      <c r="C1079" s="1" t="n">
        <v>45811</v>
      </c>
      <c r="D1079" t="inlineStr">
        <is>
          <t>GÄVLEBORGS LÄN</t>
        </is>
      </c>
      <c r="E1079" t="inlineStr">
        <is>
          <t>LJUSDAL</t>
        </is>
      </c>
      <c r="F1079" t="inlineStr">
        <is>
          <t>Sveaskog</t>
        </is>
      </c>
      <c r="G1079" t="n">
        <v>6.8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20756-2022</t>
        </is>
      </c>
      <c r="B1080" s="1" t="n">
        <v>44701</v>
      </c>
      <c r="C1080" s="1" t="n">
        <v>45811</v>
      </c>
      <c r="D1080" t="inlineStr">
        <is>
          <t>GÄVLEBORGS LÄN</t>
        </is>
      </c>
      <c r="E1080" t="inlineStr">
        <is>
          <t>LJUSDAL</t>
        </is>
      </c>
      <c r="F1080" t="inlineStr">
        <is>
          <t>Sveaskog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20906-2022</t>
        </is>
      </c>
      <c r="B1081" s="1" t="n">
        <v>44701</v>
      </c>
      <c r="C1081" s="1" t="n">
        <v>45811</v>
      </c>
      <c r="D1081" t="inlineStr">
        <is>
          <t>GÄVLEBORGS LÄN</t>
        </is>
      </c>
      <c r="E1081" t="inlineStr">
        <is>
          <t>LJUSDAL</t>
        </is>
      </c>
      <c r="F1081" t="inlineStr">
        <is>
          <t>Sveaskog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20916-2022</t>
        </is>
      </c>
      <c r="B1082" s="1" t="n">
        <v>44701</v>
      </c>
      <c r="C1082" s="1" t="n">
        <v>45811</v>
      </c>
      <c r="D1082" t="inlineStr">
        <is>
          <t>GÄVLEBORGS LÄN</t>
        </is>
      </c>
      <c r="E1082" t="inlineStr">
        <is>
          <t>LJUSDAL</t>
        </is>
      </c>
      <c r="F1082" t="inlineStr">
        <is>
          <t>Sveaskog</t>
        </is>
      </c>
      <c r="G1082" t="n">
        <v>8.800000000000001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20902-2022</t>
        </is>
      </c>
      <c r="B1083" s="1" t="n">
        <v>44701</v>
      </c>
      <c r="C1083" s="1" t="n">
        <v>45811</v>
      </c>
      <c r="D1083" t="inlineStr">
        <is>
          <t>GÄVLEBORGS LÄN</t>
        </is>
      </c>
      <c r="E1083" t="inlineStr">
        <is>
          <t>LJUSDAL</t>
        </is>
      </c>
      <c r="F1083" t="inlineStr">
        <is>
          <t>Sveaskog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21044-2022</t>
        </is>
      </c>
      <c r="B1084" s="1" t="n">
        <v>44704</v>
      </c>
      <c r="C1084" s="1" t="n">
        <v>45811</v>
      </c>
      <c r="D1084" t="inlineStr">
        <is>
          <t>GÄVLEBORGS LÄN</t>
        </is>
      </c>
      <c r="E1084" t="inlineStr">
        <is>
          <t>LJUSDAL</t>
        </is>
      </c>
      <c r="F1084" t="inlineStr">
        <is>
          <t>Allmännings- och besparingsskogar</t>
        </is>
      </c>
      <c r="G1084" t="n">
        <v>31.3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21542-2022</t>
        </is>
      </c>
      <c r="B1085" s="1" t="n">
        <v>44706</v>
      </c>
      <c r="C1085" s="1" t="n">
        <v>45811</v>
      </c>
      <c r="D1085" t="inlineStr">
        <is>
          <t>GÄVLEBORGS LÄN</t>
        </is>
      </c>
      <c r="E1085" t="inlineStr">
        <is>
          <t>LJUSDAL</t>
        </is>
      </c>
      <c r="F1085" t="inlineStr">
        <is>
          <t>Sveaskog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21941-2022</t>
        </is>
      </c>
      <c r="B1086" s="1" t="n">
        <v>44711</v>
      </c>
      <c r="C1086" s="1" t="n">
        <v>45811</v>
      </c>
      <c r="D1086" t="inlineStr">
        <is>
          <t>GÄVLEBORGS LÄN</t>
        </is>
      </c>
      <c r="E1086" t="inlineStr">
        <is>
          <t>LJUSDAL</t>
        </is>
      </c>
      <c r="F1086" t="inlineStr">
        <is>
          <t>Bergvik skog väst AB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21890-2022</t>
        </is>
      </c>
      <c r="B1087" s="1" t="n">
        <v>44711</v>
      </c>
      <c r="C1087" s="1" t="n">
        <v>45811</v>
      </c>
      <c r="D1087" t="inlineStr">
        <is>
          <t>GÄVLEBORGS LÄN</t>
        </is>
      </c>
      <c r="E1087" t="inlineStr">
        <is>
          <t>LJUSDAL</t>
        </is>
      </c>
      <c r="F1087" t="inlineStr">
        <is>
          <t>Bergvik skog väst AB</t>
        </is>
      </c>
      <c r="G1087" t="n">
        <v>30.7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21952-2022</t>
        </is>
      </c>
      <c r="B1088" s="1" t="n">
        <v>44711</v>
      </c>
      <c r="C1088" s="1" t="n">
        <v>45811</v>
      </c>
      <c r="D1088" t="inlineStr">
        <is>
          <t>GÄVLEBORGS LÄN</t>
        </is>
      </c>
      <c r="E1088" t="inlineStr">
        <is>
          <t>LJUSDAL</t>
        </is>
      </c>
      <c r="F1088" t="inlineStr">
        <is>
          <t>Bergvik skog väst AB</t>
        </is>
      </c>
      <c r="G1088" t="n">
        <v>2.5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21965-2022</t>
        </is>
      </c>
      <c r="B1089" s="1" t="n">
        <v>44711</v>
      </c>
      <c r="C1089" s="1" t="n">
        <v>45811</v>
      </c>
      <c r="D1089" t="inlineStr">
        <is>
          <t>GÄVLEBORGS LÄN</t>
        </is>
      </c>
      <c r="E1089" t="inlineStr">
        <is>
          <t>LJUSDAL</t>
        </is>
      </c>
      <c r="F1089" t="inlineStr">
        <is>
          <t>Bergvik skog väst AB</t>
        </is>
      </c>
      <c r="G1089" t="n">
        <v>3.7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21985-2022</t>
        </is>
      </c>
      <c r="B1090" s="1" t="n">
        <v>44711</v>
      </c>
      <c r="C1090" s="1" t="n">
        <v>45811</v>
      </c>
      <c r="D1090" t="inlineStr">
        <is>
          <t>GÄVLEBORGS LÄN</t>
        </is>
      </c>
      <c r="E1090" t="inlineStr">
        <is>
          <t>LJUSDAL</t>
        </is>
      </c>
      <c r="F1090" t="inlineStr">
        <is>
          <t>Bergvik skog väst AB</t>
        </is>
      </c>
      <c r="G1090" t="n">
        <v>8.699999999999999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22097-2022</t>
        </is>
      </c>
      <c r="B1091" s="1" t="n">
        <v>44712</v>
      </c>
      <c r="C1091" s="1" t="n">
        <v>45811</v>
      </c>
      <c r="D1091" t="inlineStr">
        <is>
          <t>GÄVLEBORGS LÄN</t>
        </is>
      </c>
      <c r="E1091" t="inlineStr">
        <is>
          <t>LJUSDAL</t>
        </is>
      </c>
      <c r="F1091" t="inlineStr">
        <is>
          <t>Naturvårdsverket</t>
        </is>
      </c>
      <c r="G1091" t="n">
        <v>3.5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22155-2022</t>
        </is>
      </c>
      <c r="B1092" s="1" t="n">
        <v>44712</v>
      </c>
      <c r="C1092" s="1" t="n">
        <v>45811</v>
      </c>
      <c r="D1092" t="inlineStr">
        <is>
          <t>GÄVLEBORGS LÄN</t>
        </is>
      </c>
      <c r="E1092" t="inlineStr">
        <is>
          <t>LJUSDAL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22357-2022</t>
        </is>
      </c>
      <c r="B1093" s="1" t="n">
        <v>44713</v>
      </c>
      <c r="C1093" s="1" t="n">
        <v>45811</v>
      </c>
      <c r="D1093" t="inlineStr">
        <is>
          <t>GÄVLEBORGS LÄN</t>
        </is>
      </c>
      <c r="E1093" t="inlineStr">
        <is>
          <t>LJUSDAL</t>
        </is>
      </c>
      <c r="G1093" t="n">
        <v>1.3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22573-2022</t>
        </is>
      </c>
      <c r="B1094" s="1" t="n">
        <v>44714</v>
      </c>
      <c r="C1094" s="1" t="n">
        <v>45811</v>
      </c>
      <c r="D1094" t="inlineStr">
        <is>
          <t>GÄVLEBORGS LÄN</t>
        </is>
      </c>
      <c r="E1094" t="inlineStr">
        <is>
          <t>LJUSDAL</t>
        </is>
      </c>
      <c r="F1094" t="inlineStr">
        <is>
          <t>Naturvårdsverket</t>
        </is>
      </c>
      <c r="G1094" t="n">
        <v>2.7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22699-2022</t>
        </is>
      </c>
      <c r="B1095" s="1" t="n">
        <v>44714</v>
      </c>
      <c r="C1095" s="1" t="n">
        <v>45811</v>
      </c>
      <c r="D1095" t="inlineStr">
        <is>
          <t>GÄVLEBORGS LÄN</t>
        </is>
      </c>
      <c r="E1095" t="inlineStr">
        <is>
          <t>LJUSDAL</t>
        </is>
      </c>
      <c r="G1095" t="n">
        <v>3.7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22859-2022</t>
        </is>
      </c>
      <c r="B1096" s="1" t="n">
        <v>44715</v>
      </c>
      <c r="C1096" s="1" t="n">
        <v>45811</v>
      </c>
      <c r="D1096" t="inlineStr">
        <is>
          <t>GÄVLEBORGS LÄN</t>
        </is>
      </c>
      <c r="E1096" t="inlineStr">
        <is>
          <t>LJUSDAL</t>
        </is>
      </c>
      <c r="F1096" t="inlineStr">
        <is>
          <t>Sveaskog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22851-2022</t>
        </is>
      </c>
      <c r="B1097" s="1" t="n">
        <v>44715</v>
      </c>
      <c r="C1097" s="1" t="n">
        <v>45811</v>
      </c>
      <c r="D1097" t="inlineStr">
        <is>
          <t>GÄVLEBORGS LÄN</t>
        </is>
      </c>
      <c r="E1097" t="inlineStr">
        <is>
          <t>LJUSDAL</t>
        </is>
      </c>
      <c r="F1097" t="inlineStr">
        <is>
          <t>Sveaskog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22856-2022</t>
        </is>
      </c>
      <c r="B1098" s="1" t="n">
        <v>44715</v>
      </c>
      <c r="C1098" s="1" t="n">
        <v>45811</v>
      </c>
      <c r="D1098" t="inlineStr">
        <is>
          <t>GÄVLEBORGS LÄN</t>
        </is>
      </c>
      <c r="E1098" t="inlineStr">
        <is>
          <t>LJUSDAL</t>
        </is>
      </c>
      <c r="F1098" t="inlineStr">
        <is>
          <t>Sveaskog</t>
        </is>
      </c>
      <c r="G1098" t="n">
        <v>10.3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22933-2022</t>
        </is>
      </c>
      <c r="B1099" s="1" t="n">
        <v>44715</v>
      </c>
      <c r="C1099" s="1" t="n">
        <v>45811</v>
      </c>
      <c r="D1099" t="inlineStr">
        <is>
          <t>GÄVLEBORGS LÄN</t>
        </is>
      </c>
      <c r="E1099" t="inlineStr">
        <is>
          <t>LJUSDAL</t>
        </is>
      </c>
      <c r="F1099" t="inlineStr">
        <is>
          <t>Sveaskog</t>
        </is>
      </c>
      <c r="G1099" t="n">
        <v>10.1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23089-2022</t>
        </is>
      </c>
      <c r="B1100" s="1" t="n">
        <v>44719</v>
      </c>
      <c r="C1100" s="1" t="n">
        <v>45811</v>
      </c>
      <c r="D1100" t="inlineStr">
        <is>
          <t>GÄVLEBORGS LÄN</t>
        </is>
      </c>
      <c r="E1100" t="inlineStr">
        <is>
          <t>LJUSDAL</t>
        </is>
      </c>
      <c r="F1100" t="inlineStr">
        <is>
          <t>Sveaskog</t>
        </is>
      </c>
      <c r="G1100" t="n">
        <v>3.9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23087-2022</t>
        </is>
      </c>
      <c r="B1101" s="1" t="n">
        <v>44719</v>
      </c>
      <c r="C1101" s="1" t="n">
        <v>45811</v>
      </c>
      <c r="D1101" t="inlineStr">
        <is>
          <t>GÄVLEBORGS LÄN</t>
        </is>
      </c>
      <c r="E1101" t="inlineStr">
        <is>
          <t>LJUSDAL</t>
        </is>
      </c>
      <c r="F1101" t="inlineStr">
        <is>
          <t>Sveaskog</t>
        </is>
      </c>
      <c r="G1101" t="n">
        <v>3.1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23195-2022</t>
        </is>
      </c>
      <c r="B1102" s="1" t="n">
        <v>44720</v>
      </c>
      <c r="C1102" s="1" t="n">
        <v>45811</v>
      </c>
      <c r="D1102" t="inlineStr">
        <is>
          <t>GÄVLEBORGS LÄN</t>
        </is>
      </c>
      <c r="E1102" t="inlineStr">
        <is>
          <t>LJUSDAL</t>
        </is>
      </c>
      <c r="G1102" t="n">
        <v>4.2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23191-2022</t>
        </is>
      </c>
      <c r="B1103" s="1" t="n">
        <v>44720</v>
      </c>
      <c r="C1103" s="1" t="n">
        <v>45811</v>
      </c>
      <c r="D1103" t="inlineStr">
        <is>
          <t>GÄVLEBORGS LÄN</t>
        </is>
      </c>
      <c r="E1103" t="inlineStr">
        <is>
          <t>LJUSDAL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23192-2022</t>
        </is>
      </c>
      <c r="B1104" s="1" t="n">
        <v>44720</v>
      </c>
      <c r="C1104" s="1" t="n">
        <v>45811</v>
      </c>
      <c r="D1104" t="inlineStr">
        <is>
          <t>GÄVLEBORGS LÄN</t>
        </is>
      </c>
      <c r="E1104" t="inlineStr">
        <is>
          <t>LJUSDAL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23652-2022</t>
        </is>
      </c>
      <c r="B1105" s="1" t="n">
        <v>44721</v>
      </c>
      <c r="C1105" s="1" t="n">
        <v>45811</v>
      </c>
      <c r="D1105" t="inlineStr">
        <is>
          <t>GÄVLEBORGS LÄN</t>
        </is>
      </c>
      <c r="E1105" t="inlineStr">
        <is>
          <t>LJUSDAL</t>
        </is>
      </c>
      <c r="F1105" t="inlineStr">
        <is>
          <t>Sveaskog</t>
        </is>
      </c>
      <c r="G1105" t="n">
        <v>7.6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23619-2022</t>
        </is>
      </c>
      <c r="B1106" s="1" t="n">
        <v>44721</v>
      </c>
      <c r="C1106" s="1" t="n">
        <v>45811</v>
      </c>
      <c r="D1106" t="inlineStr">
        <is>
          <t>GÄVLEBORGS LÄN</t>
        </is>
      </c>
      <c r="E1106" t="inlineStr">
        <is>
          <t>LJUSDAL</t>
        </is>
      </c>
      <c r="G1106" t="n">
        <v>1.2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23982-2022</t>
        </is>
      </c>
      <c r="B1107" s="1" t="n">
        <v>44723</v>
      </c>
      <c r="C1107" s="1" t="n">
        <v>45811</v>
      </c>
      <c r="D1107" t="inlineStr">
        <is>
          <t>GÄVLEBORGS LÄN</t>
        </is>
      </c>
      <c r="E1107" t="inlineStr">
        <is>
          <t>LJUSDAL</t>
        </is>
      </c>
      <c r="G1107" t="n">
        <v>1.8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23957-2022</t>
        </is>
      </c>
      <c r="B1108" s="1" t="n">
        <v>44722</v>
      </c>
      <c r="C1108" s="1" t="n">
        <v>45811</v>
      </c>
      <c r="D1108" t="inlineStr">
        <is>
          <t>GÄVLEBORGS LÄN</t>
        </is>
      </c>
      <c r="E1108" t="inlineStr">
        <is>
          <t>LJUSDAL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23985-2022</t>
        </is>
      </c>
      <c r="B1109" s="1" t="n">
        <v>44723</v>
      </c>
      <c r="C1109" s="1" t="n">
        <v>45811</v>
      </c>
      <c r="D1109" t="inlineStr">
        <is>
          <t>GÄVLEBORGS LÄN</t>
        </is>
      </c>
      <c r="E1109" t="inlineStr">
        <is>
          <t>LJUSDAL</t>
        </is>
      </c>
      <c r="G1109" t="n">
        <v>6.6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24205-2022</t>
        </is>
      </c>
      <c r="B1110" s="1" t="n">
        <v>44725</v>
      </c>
      <c r="C1110" s="1" t="n">
        <v>45811</v>
      </c>
      <c r="D1110" t="inlineStr">
        <is>
          <t>GÄVLEBORGS LÄN</t>
        </is>
      </c>
      <c r="E1110" t="inlineStr">
        <is>
          <t>LJUSDAL</t>
        </is>
      </c>
      <c r="G1110" t="n">
        <v>2.7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24208-2022</t>
        </is>
      </c>
      <c r="B1111" s="1" t="n">
        <v>44725</v>
      </c>
      <c r="C1111" s="1" t="n">
        <v>45811</v>
      </c>
      <c r="D1111" t="inlineStr">
        <is>
          <t>GÄVLEBORGS LÄN</t>
        </is>
      </c>
      <c r="E1111" t="inlineStr">
        <is>
          <t>LJUSDAL</t>
        </is>
      </c>
      <c r="G1111" t="n">
        <v>1.4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24217-2022</t>
        </is>
      </c>
      <c r="B1112" s="1" t="n">
        <v>44725</v>
      </c>
      <c r="C1112" s="1" t="n">
        <v>45811</v>
      </c>
      <c r="D1112" t="inlineStr">
        <is>
          <t>GÄVLEBORGS LÄN</t>
        </is>
      </c>
      <c r="E1112" t="inlineStr">
        <is>
          <t>LJUSDAL</t>
        </is>
      </c>
      <c r="G1112" t="n">
        <v>1.3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24102-2022</t>
        </is>
      </c>
      <c r="B1113" s="1" t="n">
        <v>44725</v>
      </c>
      <c r="C1113" s="1" t="n">
        <v>45811</v>
      </c>
      <c r="D1113" t="inlineStr">
        <is>
          <t>GÄVLEBORGS LÄN</t>
        </is>
      </c>
      <c r="E1113" t="inlineStr">
        <is>
          <t>LJUSDAL</t>
        </is>
      </c>
      <c r="F1113" t="inlineStr">
        <is>
          <t>Bergvik skog väst AB</t>
        </is>
      </c>
      <c r="G1113" t="n">
        <v>10.5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24347-2022</t>
        </is>
      </c>
      <c r="B1114" s="1" t="n">
        <v>44726</v>
      </c>
      <c r="C1114" s="1" t="n">
        <v>45811</v>
      </c>
      <c r="D1114" t="inlineStr">
        <is>
          <t>GÄVLEBORGS LÄN</t>
        </is>
      </c>
      <c r="E1114" t="inlineStr">
        <is>
          <t>LJUSDAL</t>
        </is>
      </c>
      <c r="G1114" t="n">
        <v>1.7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24340-2022</t>
        </is>
      </c>
      <c r="B1115" s="1" t="n">
        <v>44726</v>
      </c>
      <c r="C1115" s="1" t="n">
        <v>45811</v>
      </c>
      <c r="D1115" t="inlineStr">
        <is>
          <t>GÄVLEBORGS LÄN</t>
        </is>
      </c>
      <c r="E1115" t="inlineStr">
        <is>
          <t>LJUSDAL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24342-2022</t>
        </is>
      </c>
      <c r="B1116" s="1" t="n">
        <v>44726</v>
      </c>
      <c r="C1116" s="1" t="n">
        <v>45811</v>
      </c>
      <c r="D1116" t="inlineStr">
        <is>
          <t>GÄVLEBORGS LÄN</t>
        </is>
      </c>
      <c r="E1116" t="inlineStr">
        <is>
          <t>LJUSDAL</t>
        </is>
      </c>
      <c r="G1116" t="n">
        <v>1.7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24457-2022</t>
        </is>
      </c>
      <c r="B1117" s="1" t="n">
        <v>44726</v>
      </c>
      <c r="C1117" s="1" t="n">
        <v>45811</v>
      </c>
      <c r="D1117" t="inlineStr">
        <is>
          <t>GÄVLEBORGS LÄN</t>
        </is>
      </c>
      <c r="E1117" t="inlineStr">
        <is>
          <t>LJUSDAL</t>
        </is>
      </c>
      <c r="F1117" t="inlineStr">
        <is>
          <t>Allmännings- och besparingsskogar</t>
        </is>
      </c>
      <c r="G1117" t="n">
        <v>1.5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24491-2022</t>
        </is>
      </c>
      <c r="B1118" s="1" t="n">
        <v>44726</v>
      </c>
      <c r="C1118" s="1" t="n">
        <v>45811</v>
      </c>
      <c r="D1118" t="inlineStr">
        <is>
          <t>GÄVLEBORGS LÄN</t>
        </is>
      </c>
      <c r="E1118" t="inlineStr">
        <is>
          <t>LJUSDAL</t>
        </is>
      </c>
      <c r="G1118" t="n">
        <v>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24512-2022</t>
        </is>
      </c>
      <c r="B1119" s="1" t="n">
        <v>44726</v>
      </c>
      <c r="C1119" s="1" t="n">
        <v>45811</v>
      </c>
      <c r="D1119" t="inlineStr">
        <is>
          <t>GÄVLEBORGS LÄN</t>
        </is>
      </c>
      <c r="E1119" t="inlineStr">
        <is>
          <t>LJUSDAL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24752-2022</t>
        </is>
      </c>
      <c r="B1120" s="1" t="n">
        <v>44728</v>
      </c>
      <c r="C1120" s="1" t="n">
        <v>45811</v>
      </c>
      <c r="D1120" t="inlineStr">
        <is>
          <t>GÄVLEBORGS LÄN</t>
        </is>
      </c>
      <c r="E1120" t="inlineStr">
        <is>
          <t>LJUSDAL</t>
        </is>
      </c>
      <c r="F1120" t="inlineStr">
        <is>
          <t>Sveaskog</t>
        </is>
      </c>
      <c r="G1120" t="n">
        <v>4.8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24750-2022</t>
        </is>
      </c>
      <c r="B1121" s="1" t="n">
        <v>44728</v>
      </c>
      <c r="C1121" s="1" t="n">
        <v>45811</v>
      </c>
      <c r="D1121" t="inlineStr">
        <is>
          <t>GÄVLEBORGS LÄN</t>
        </is>
      </c>
      <c r="E1121" t="inlineStr">
        <is>
          <t>LJUSDAL</t>
        </is>
      </c>
      <c r="F1121" t="inlineStr">
        <is>
          <t>Sveaskog</t>
        </is>
      </c>
      <c r="G1121" t="n">
        <v>20.7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25075-2022</t>
        </is>
      </c>
      <c r="B1122" s="1" t="n">
        <v>44729</v>
      </c>
      <c r="C1122" s="1" t="n">
        <v>45811</v>
      </c>
      <c r="D1122" t="inlineStr">
        <is>
          <t>GÄVLEBORGS LÄN</t>
        </is>
      </c>
      <c r="E1122" t="inlineStr">
        <is>
          <t>LJUSDAL</t>
        </is>
      </c>
      <c r="F1122" t="inlineStr">
        <is>
          <t>Bergvik skog väst AB</t>
        </is>
      </c>
      <c r="G1122" t="n">
        <v>6.2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25116-2022</t>
        </is>
      </c>
      <c r="B1123" s="1" t="n">
        <v>44729</v>
      </c>
      <c r="C1123" s="1" t="n">
        <v>45811</v>
      </c>
      <c r="D1123" t="inlineStr">
        <is>
          <t>GÄVLEBORGS LÄN</t>
        </is>
      </c>
      <c r="E1123" t="inlineStr">
        <is>
          <t>LJUSDAL</t>
        </is>
      </c>
      <c r="F1123" t="inlineStr">
        <is>
          <t>Sveaskog</t>
        </is>
      </c>
      <c r="G1123" t="n">
        <v>1.6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25110-2022</t>
        </is>
      </c>
      <c r="B1124" s="1" t="n">
        <v>44729</v>
      </c>
      <c r="C1124" s="1" t="n">
        <v>45811</v>
      </c>
      <c r="D1124" t="inlineStr">
        <is>
          <t>GÄVLEBORGS LÄN</t>
        </is>
      </c>
      <c r="E1124" t="inlineStr">
        <is>
          <t>LJUSDAL</t>
        </is>
      </c>
      <c r="F1124" t="inlineStr">
        <is>
          <t>Sveaskog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25126-2022</t>
        </is>
      </c>
      <c r="B1125" s="1" t="n">
        <v>44729</v>
      </c>
      <c r="C1125" s="1" t="n">
        <v>45811</v>
      </c>
      <c r="D1125" t="inlineStr">
        <is>
          <t>GÄVLEBORGS LÄN</t>
        </is>
      </c>
      <c r="E1125" t="inlineStr">
        <is>
          <t>LJUSDAL</t>
        </is>
      </c>
      <c r="F1125" t="inlineStr">
        <is>
          <t>Sveaskog</t>
        </is>
      </c>
      <c r="G1125" t="n">
        <v>9.699999999999999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25447-2022</t>
        </is>
      </c>
      <c r="B1126" s="1" t="n">
        <v>44732</v>
      </c>
      <c r="C1126" s="1" t="n">
        <v>45811</v>
      </c>
      <c r="D1126" t="inlineStr">
        <is>
          <t>GÄVLEBORGS LÄN</t>
        </is>
      </c>
      <c r="E1126" t="inlineStr">
        <is>
          <t>LJUSDAL</t>
        </is>
      </c>
      <c r="F1126" t="inlineStr">
        <is>
          <t>Sveaskog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25415-2022</t>
        </is>
      </c>
      <c r="B1127" s="1" t="n">
        <v>44732</v>
      </c>
      <c r="C1127" s="1" t="n">
        <v>45811</v>
      </c>
      <c r="D1127" t="inlineStr">
        <is>
          <t>GÄVLEBORGS LÄN</t>
        </is>
      </c>
      <c r="E1127" t="inlineStr">
        <is>
          <t>LJUSDAL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25638-2022</t>
        </is>
      </c>
      <c r="B1128" s="1" t="n">
        <v>44733</v>
      </c>
      <c r="C1128" s="1" t="n">
        <v>45811</v>
      </c>
      <c r="D1128" t="inlineStr">
        <is>
          <t>GÄVLEBORGS LÄN</t>
        </is>
      </c>
      <c r="E1128" t="inlineStr">
        <is>
          <t>LJUSDAL</t>
        </is>
      </c>
      <c r="G1128" t="n">
        <v>2.4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25630-2022</t>
        </is>
      </c>
      <c r="B1129" s="1" t="n">
        <v>44733</v>
      </c>
      <c r="C1129" s="1" t="n">
        <v>45811</v>
      </c>
      <c r="D1129" t="inlineStr">
        <is>
          <t>GÄVLEBORGS LÄN</t>
        </is>
      </c>
      <c r="E1129" t="inlineStr">
        <is>
          <t>LJUSDAL</t>
        </is>
      </c>
      <c r="G1129" t="n">
        <v>4.2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25634-2022</t>
        </is>
      </c>
      <c r="B1130" s="1" t="n">
        <v>44733</v>
      </c>
      <c r="C1130" s="1" t="n">
        <v>45811</v>
      </c>
      <c r="D1130" t="inlineStr">
        <is>
          <t>GÄVLEBORGS LÄN</t>
        </is>
      </c>
      <c r="E1130" t="inlineStr">
        <is>
          <t>LJUSDAL</t>
        </is>
      </c>
      <c r="G1130" t="n">
        <v>9.800000000000001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26228-2022</t>
        </is>
      </c>
      <c r="B1131" s="1" t="n">
        <v>44735</v>
      </c>
      <c r="C1131" s="1" t="n">
        <v>45811</v>
      </c>
      <c r="D1131" t="inlineStr">
        <is>
          <t>GÄVLEBORGS LÄN</t>
        </is>
      </c>
      <c r="E1131" t="inlineStr">
        <is>
          <t>LJUSDAL</t>
        </is>
      </c>
      <c r="G1131" t="n">
        <v>2.9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26271-2022</t>
        </is>
      </c>
      <c r="B1132" s="1" t="n">
        <v>44735</v>
      </c>
      <c r="C1132" s="1" t="n">
        <v>45811</v>
      </c>
      <c r="D1132" t="inlineStr">
        <is>
          <t>GÄVLEBORGS LÄN</t>
        </is>
      </c>
      <c r="E1132" t="inlineStr">
        <is>
          <t>LJUSDAL</t>
        </is>
      </c>
      <c r="F1132" t="inlineStr">
        <is>
          <t>Sveaskog</t>
        </is>
      </c>
      <c r="G1132" t="n">
        <v>2.3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26176-2022</t>
        </is>
      </c>
      <c r="B1133" s="1" t="n">
        <v>44735</v>
      </c>
      <c r="C1133" s="1" t="n">
        <v>45811</v>
      </c>
      <c r="D1133" t="inlineStr">
        <is>
          <t>GÄVLEBORGS LÄN</t>
        </is>
      </c>
      <c r="E1133" t="inlineStr">
        <is>
          <t>LJUSDAL</t>
        </is>
      </c>
      <c r="F1133" t="inlineStr">
        <is>
          <t>Naturvårdsverket</t>
        </is>
      </c>
      <c r="G1133" t="n">
        <v>3.2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26955-2022</t>
        </is>
      </c>
      <c r="B1134" s="1" t="n">
        <v>44740</v>
      </c>
      <c r="C1134" s="1" t="n">
        <v>45811</v>
      </c>
      <c r="D1134" t="inlineStr">
        <is>
          <t>GÄVLEBORGS LÄN</t>
        </is>
      </c>
      <c r="E1134" t="inlineStr">
        <is>
          <t>LJUSDAL</t>
        </is>
      </c>
      <c r="F1134" t="inlineStr">
        <is>
          <t>Holmen skog AB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26976-2022</t>
        </is>
      </c>
      <c r="B1135" s="1" t="n">
        <v>44740</v>
      </c>
      <c r="C1135" s="1" t="n">
        <v>45811</v>
      </c>
      <c r="D1135" t="inlineStr">
        <is>
          <t>GÄVLEBORGS LÄN</t>
        </is>
      </c>
      <c r="E1135" t="inlineStr">
        <is>
          <t>LJUSDAL</t>
        </is>
      </c>
      <c r="F1135" t="inlineStr">
        <is>
          <t>Holmen skog AB</t>
        </is>
      </c>
      <c r="G1135" t="n">
        <v>10.8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  <c r="U1135">
        <f>HYPERLINK("https://klasma.github.io/Logging_2161/knärot/A 26976-2022 karta knärot.png", "A 26976-2022")</f>
        <v/>
      </c>
      <c r="V1135">
        <f>HYPERLINK("https://klasma.github.io/Logging_2161/klagomål/A 26976-2022 FSC-klagomål.docx", "A 26976-2022")</f>
        <v/>
      </c>
      <c r="W1135">
        <f>HYPERLINK("https://klasma.github.io/Logging_2161/klagomålsmail/A 26976-2022 FSC-klagomål mail.docx", "A 26976-2022")</f>
        <v/>
      </c>
      <c r="X1135">
        <f>HYPERLINK("https://klasma.github.io/Logging_2161/tillsyn/A 26976-2022 tillsynsbegäran.docx", "A 26976-2022")</f>
        <v/>
      </c>
      <c r="Y1135">
        <f>HYPERLINK("https://klasma.github.io/Logging_2161/tillsynsmail/A 26976-2022 tillsynsbegäran mail.docx", "A 26976-2022")</f>
        <v/>
      </c>
    </row>
    <row r="1136" ht="15" customHeight="1">
      <c r="A1136" t="inlineStr">
        <is>
          <t>A 27247-2022</t>
        </is>
      </c>
      <c r="B1136" s="1" t="n">
        <v>44741</v>
      </c>
      <c r="C1136" s="1" t="n">
        <v>45811</v>
      </c>
      <c r="D1136" t="inlineStr">
        <is>
          <t>GÄVLEBORGS LÄN</t>
        </is>
      </c>
      <c r="E1136" t="inlineStr">
        <is>
          <t>LJUSDAL</t>
        </is>
      </c>
      <c r="F1136" t="inlineStr">
        <is>
          <t>Sveaskog</t>
        </is>
      </c>
      <c r="G1136" t="n">
        <v>11.7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27248-2022</t>
        </is>
      </c>
      <c r="B1137" s="1" t="n">
        <v>44741</v>
      </c>
      <c r="C1137" s="1" t="n">
        <v>45811</v>
      </c>
      <c r="D1137" t="inlineStr">
        <is>
          <t>GÄVLEBORGS LÄN</t>
        </is>
      </c>
      <c r="E1137" t="inlineStr">
        <is>
          <t>LJUSDAL</t>
        </is>
      </c>
      <c r="F1137" t="inlineStr">
        <is>
          <t>Sveaskog</t>
        </is>
      </c>
      <c r="G1137" t="n">
        <v>5.5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27320-2022</t>
        </is>
      </c>
      <c r="B1138" s="1" t="n">
        <v>44742</v>
      </c>
      <c r="C1138" s="1" t="n">
        <v>45811</v>
      </c>
      <c r="D1138" t="inlineStr">
        <is>
          <t>GÄVLEBORGS LÄN</t>
        </is>
      </c>
      <c r="E1138" t="inlineStr">
        <is>
          <t>LJUSDAL</t>
        </is>
      </c>
      <c r="F1138" t="inlineStr">
        <is>
          <t>Holmen skog AB</t>
        </is>
      </c>
      <c r="G1138" t="n">
        <v>1.5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27539-2022</t>
        </is>
      </c>
      <c r="B1139" s="1" t="n">
        <v>44742</v>
      </c>
      <c r="C1139" s="1" t="n">
        <v>45811</v>
      </c>
      <c r="D1139" t="inlineStr">
        <is>
          <t>GÄVLEBORGS LÄN</t>
        </is>
      </c>
      <c r="E1139" t="inlineStr">
        <is>
          <t>LJUSDAL</t>
        </is>
      </c>
      <c r="F1139" t="inlineStr">
        <is>
          <t>Holmen skog AB</t>
        </is>
      </c>
      <c r="G1139" t="n">
        <v>1.6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27764-2022</t>
        </is>
      </c>
      <c r="B1140" s="1" t="n">
        <v>44743</v>
      </c>
      <c r="C1140" s="1" t="n">
        <v>45811</v>
      </c>
      <c r="D1140" t="inlineStr">
        <is>
          <t>GÄVLEBORGS LÄN</t>
        </is>
      </c>
      <c r="E1140" t="inlineStr">
        <is>
          <t>LJUSDAL</t>
        </is>
      </c>
      <c r="F1140" t="inlineStr">
        <is>
          <t>Bergvik skog väst AB</t>
        </is>
      </c>
      <c r="G1140" t="n">
        <v>5.5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27799-2022</t>
        </is>
      </c>
      <c r="B1141" s="1" t="n">
        <v>44743</v>
      </c>
      <c r="C1141" s="1" t="n">
        <v>45811</v>
      </c>
      <c r="D1141" t="inlineStr">
        <is>
          <t>GÄVLEBORGS LÄN</t>
        </is>
      </c>
      <c r="E1141" t="inlineStr">
        <is>
          <t>LJUSDAL</t>
        </is>
      </c>
      <c r="F1141" t="inlineStr">
        <is>
          <t>Sveaskog</t>
        </is>
      </c>
      <c r="G1141" t="n">
        <v>6.2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27809-2022</t>
        </is>
      </c>
      <c r="B1142" s="1" t="n">
        <v>44743</v>
      </c>
      <c r="C1142" s="1" t="n">
        <v>45811</v>
      </c>
      <c r="D1142" t="inlineStr">
        <is>
          <t>GÄVLEBORGS LÄN</t>
        </is>
      </c>
      <c r="E1142" t="inlineStr">
        <is>
          <t>LJUSDAL</t>
        </is>
      </c>
      <c r="F1142" t="inlineStr">
        <is>
          <t>Sveaskog</t>
        </is>
      </c>
      <c r="G1142" t="n">
        <v>2.9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27768-2022</t>
        </is>
      </c>
      <c r="B1143" s="1" t="n">
        <v>44743</v>
      </c>
      <c r="C1143" s="1" t="n">
        <v>45811</v>
      </c>
      <c r="D1143" t="inlineStr">
        <is>
          <t>GÄVLEBORGS LÄN</t>
        </is>
      </c>
      <c r="E1143" t="inlineStr">
        <is>
          <t>LJUSDAL</t>
        </is>
      </c>
      <c r="F1143" t="inlineStr">
        <is>
          <t>Bergvik skog väst AB</t>
        </is>
      </c>
      <c r="G1143" t="n">
        <v>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27806-2022</t>
        </is>
      </c>
      <c r="B1144" s="1" t="n">
        <v>44743</v>
      </c>
      <c r="C1144" s="1" t="n">
        <v>45811</v>
      </c>
      <c r="D1144" t="inlineStr">
        <is>
          <t>GÄVLEBORGS LÄN</t>
        </is>
      </c>
      <c r="E1144" t="inlineStr">
        <is>
          <t>LJUSDAL</t>
        </is>
      </c>
      <c r="F1144" t="inlineStr">
        <is>
          <t>Sveaskog</t>
        </is>
      </c>
      <c r="G1144" t="n">
        <v>9.699999999999999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27818-2022</t>
        </is>
      </c>
      <c r="B1145" s="1" t="n">
        <v>44743</v>
      </c>
      <c r="C1145" s="1" t="n">
        <v>45811</v>
      </c>
      <c r="D1145" t="inlineStr">
        <is>
          <t>GÄVLEBORGS LÄN</t>
        </is>
      </c>
      <c r="E1145" t="inlineStr">
        <is>
          <t>LJUSDAL</t>
        </is>
      </c>
      <c r="F1145" t="inlineStr">
        <is>
          <t>Sveaskog</t>
        </is>
      </c>
      <c r="G1145" t="n">
        <v>3.5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27802-2022</t>
        </is>
      </c>
      <c r="B1146" s="1" t="n">
        <v>44743</v>
      </c>
      <c r="C1146" s="1" t="n">
        <v>45811</v>
      </c>
      <c r="D1146" t="inlineStr">
        <is>
          <t>GÄVLEBORGS LÄN</t>
        </is>
      </c>
      <c r="E1146" t="inlineStr">
        <is>
          <t>LJUSDAL</t>
        </is>
      </c>
      <c r="F1146" t="inlineStr">
        <is>
          <t>Sveaskog</t>
        </is>
      </c>
      <c r="G1146" t="n">
        <v>2.8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27915-2022</t>
        </is>
      </c>
      <c r="B1147" s="1" t="n">
        <v>44744</v>
      </c>
      <c r="C1147" s="1" t="n">
        <v>45811</v>
      </c>
      <c r="D1147" t="inlineStr">
        <is>
          <t>GÄVLEBORGS LÄN</t>
        </is>
      </c>
      <c r="E1147" t="inlineStr">
        <is>
          <t>LJUSDAL</t>
        </is>
      </c>
      <c r="G1147" t="n">
        <v>2.6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27819-2022</t>
        </is>
      </c>
      <c r="B1148" s="1" t="n">
        <v>44743</v>
      </c>
      <c r="C1148" s="1" t="n">
        <v>45811</v>
      </c>
      <c r="D1148" t="inlineStr">
        <is>
          <t>GÄVLEBORGS LÄN</t>
        </is>
      </c>
      <c r="E1148" t="inlineStr">
        <is>
          <t>LJUSDAL</t>
        </is>
      </c>
      <c r="F1148" t="inlineStr">
        <is>
          <t>Sveaskog</t>
        </is>
      </c>
      <c r="G1148" t="n">
        <v>4.2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27914-2022</t>
        </is>
      </c>
      <c r="B1149" s="1" t="n">
        <v>44744</v>
      </c>
      <c r="C1149" s="1" t="n">
        <v>45811</v>
      </c>
      <c r="D1149" t="inlineStr">
        <is>
          <t>GÄVLEBORGS LÄN</t>
        </is>
      </c>
      <c r="E1149" t="inlineStr">
        <is>
          <t>LJUSDAL</t>
        </is>
      </c>
      <c r="G1149" t="n">
        <v>1.1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28255-2022</t>
        </is>
      </c>
      <c r="B1150" s="1" t="n">
        <v>44746</v>
      </c>
      <c r="C1150" s="1" t="n">
        <v>45811</v>
      </c>
      <c r="D1150" t="inlineStr">
        <is>
          <t>GÄVLEBORGS LÄN</t>
        </is>
      </c>
      <c r="E1150" t="inlineStr">
        <is>
          <t>LJUSDAL</t>
        </is>
      </c>
      <c r="F1150" t="inlineStr">
        <is>
          <t>Allmännings- och besparingsskogar</t>
        </is>
      </c>
      <c r="G1150" t="n">
        <v>11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28454-2022</t>
        </is>
      </c>
      <c r="B1151" s="1" t="n">
        <v>44747</v>
      </c>
      <c r="C1151" s="1" t="n">
        <v>45811</v>
      </c>
      <c r="D1151" t="inlineStr">
        <is>
          <t>GÄVLEBORGS LÄN</t>
        </is>
      </c>
      <c r="E1151" t="inlineStr">
        <is>
          <t>LJUSDAL</t>
        </is>
      </c>
      <c r="G1151" t="n">
        <v>2.4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28457-2022</t>
        </is>
      </c>
      <c r="B1152" s="1" t="n">
        <v>44747</v>
      </c>
      <c r="C1152" s="1" t="n">
        <v>45811</v>
      </c>
      <c r="D1152" t="inlineStr">
        <is>
          <t>GÄVLEBORGS LÄN</t>
        </is>
      </c>
      <c r="E1152" t="inlineStr">
        <is>
          <t>LJUSDAL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28464-2022</t>
        </is>
      </c>
      <c r="B1153" s="1" t="n">
        <v>44747</v>
      </c>
      <c r="C1153" s="1" t="n">
        <v>45811</v>
      </c>
      <c r="D1153" t="inlineStr">
        <is>
          <t>GÄVLEBORGS LÄN</t>
        </is>
      </c>
      <c r="E1153" t="inlineStr">
        <is>
          <t>LJUSDAL</t>
        </is>
      </c>
      <c r="G1153" t="n">
        <v>7.2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28455-2022</t>
        </is>
      </c>
      <c r="B1154" s="1" t="n">
        <v>44747</v>
      </c>
      <c r="C1154" s="1" t="n">
        <v>45811</v>
      </c>
      <c r="D1154" t="inlineStr">
        <is>
          <t>GÄVLEBORGS LÄN</t>
        </is>
      </c>
      <c r="E1154" t="inlineStr">
        <is>
          <t>LJUSDAL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28460-2022</t>
        </is>
      </c>
      <c r="B1155" s="1" t="n">
        <v>44747</v>
      </c>
      <c r="C1155" s="1" t="n">
        <v>45811</v>
      </c>
      <c r="D1155" t="inlineStr">
        <is>
          <t>GÄVLEBORGS LÄN</t>
        </is>
      </c>
      <c r="E1155" t="inlineStr">
        <is>
          <t>LJUSDAL</t>
        </is>
      </c>
      <c r="G1155" t="n">
        <v>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28527-2022</t>
        </is>
      </c>
      <c r="B1156" s="1" t="n">
        <v>44748</v>
      </c>
      <c r="C1156" s="1" t="n">
        <v>45811</v>
      </c>
      <c r="D1156" t="inlineStr">
        <is>
          <t>GÄVLEBORGS LÄN</t>
        </is>
      </c>
      <c r="E1156" t="inlineStr">
        <is>
          <t>LJUSDAL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28841-2022</t>
        </is>
      </c>
      <c r="B1157" s="1" t="n">
        <v>44749</v>
      </c>
      <c r="C1157" s="1" t="n">
        <v>45811</v>
      </c>
      <c r="D1157" t="inlineStr">
        <is>
          <t>GÄVLEBORGS LÄN</t>
        </is>
      </c>
      <c r="E1157" t="inlineStr">
        <is>
          <t>LJUSDAL</t>
        </is>
      </c>
      <c r="F1157" t="inlineStr">
        <is>
          <t>Bergvik skog väst AB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28846-2022</t>
        </is>
      </c>
      <c r="B1158" s="1" t="n">
        <v>44749</v>
      </c>
      <c r="C1158" s="1" t="n">
        <v>45811</v>
      </c>
      <c r="D1158" t="inlineStr">
        <is>
          <t>GÄVLEBORGS LÄN</t>
        </is>
      </c>
      <c r="E1158" t="inlineStr">
        <is>
          <t>LJUSDAL</t>
        </is>
      </c>
      <c r="F1158" t="inlineStr">
        <is>
          <t>Bergvik skog väst AB</t>
        </is>
      </c>
      <c r="G1158" t="n">
        <v>1.7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29267-2022</t>
        </is>
      </c>
      <c r="B1159" s="1" t="n">
        <v>44750</v>
      </c>
      <c r="C1159" s="1" t="n">
        <v>45811</v>
      </c>
      <c r="D1159" t="inlineStr">
        <is>
          <t>GÄVLEBORGS LÄN</t>
        </is>
      </c>
      <c r="E1159" t="inlineStr">
        <is>
          <t>LJUSDAL</t>
        </is>
      </c>
      <c r="F1159" t="inlineStr">
        <is>
          <t>Holmen skog AB</t>
        </is>
      </c>
      <c r="G1159" t="n">
        <v>1.6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29263-2022</t>
        </is>
      </c>
      <c r="B1160" s="1" t="n">
        <v>44750</v>
      </c>
      <c r="C1160" s="1" t="n">
        <v>45811</v>
      </c>
      <c r="D1160" t="inlineStr">
        <is>
          <t>GÄVLEBORGS LÄN</t>
        </is>
      </c>
      <c r="E1160" t="inlineStr">
        <is>
          <t>LJUSDAL</t>
        </is>
      </c>
      <c r="F1160" t="inlineStr">
        <is>
          <t>Holmen skog AB</t>
        </is>
      </c>
      <c r="G1160" t="n">
        <v>3.1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29601-2022</t>
        </is>
      </c>
      <c r="B1161" s="1" t="n">
        <v>44754</v>
      </c>
      <c r="C1161" s="1" t="n">
        <v>45811</v>
      </c>
      <c r="D1161" t="inlineStr">
        <is>
          <t>GÄVLEBORGS LÄN</t>
        </is>
      </c>
      <c r="E1161" t="inlineStr">
        <is>
          <t>LJUSDAL</t>
        </is>
      </c>
      <c r="F1161" t="inlineStr">
        <is>
          <t>Bergvik skog väst AB</t>
        </is>
      </c>
      <c r="G1161" t="n">
        <v>7.5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29951-2022</t>
        </is>
      </c>
      <c r="B1162" s="1" t="n">
        <v>44756</v>
      </c>
      <c r="C1162" s="1" t="n">
        <v>45811</v>
      </c>
      <c r="D1162" t="inlineStr">
        <is>
          <t>GÄVLEBORGS LÄN</t>
        </is>
      </c>
      <c r="E1162" t="inlineStr">
        <is>
          <t>LJUSDAL</t>
        </is>
      </c>
      <c r="F1162" t="inlineStr">
        <is>
          <t>Sveaskog</t>
        </is>
      </c>
      <c r="G1162" t="n">
        <v>1.9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29949-2022</t>
        </is>
      </c>
      <c r="B1163" s="1" t="n">
        <v>44756</v>
      </c>
      <c r="C1163" s="1" t="n">
        <v>45811</v>
      </c>
      <c r="D1163" t="inlineStr">
        <is>
          <t>GÄVLEBORGS LÄN</t>
        </is>
      </c>
      <c r="E1163" t="inlineStr">
        <is>
          <t>LJUSDAL</t>
        </is>
      </c>
      <c r="F1163" t="inlineStr">
        <is>
          <t>Sveaskog</t>
        </is>
      </c>
      <c r="G1163" t="n">
        <v>3.1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30202-2022</t>
        </is>
      </c>
      <c r="B1164" s="1" t="n">
        <v>44757</v>
      </c>
      <c r="C1164" s="1" t="n">
        <v>45811</v>
      </c>
      <c r="D1164" t="inlineStr">
        <is>
          <t>GÄVLEBORGS LÄN</t>
        </is>
      </c>
      <c r="E1164" t="inlineStr">
        <is>
          <t>LJUSDAL</t>
        </is>
      </c>
      <c r="F1164" t="inlineStr">
        <is>
          <t>Allmännings- och besparingsskogar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30199-2022</t>
        </is>
      </c>
      <c r="B1165" s="1" t="n">
        <v>44757</v>
      </c>
      <c r="C1165" s="1" t="n">
        <v>45811</v>
      </c>
      <c r="D1165" t="inlineStr">
        <is>
          <t>GÄVLEBORGS LÄN</t>
        </is>
      </c>
      <c r="E1165" t="inlineStr">
        <is>
          <t>LJUSDAL</t>
        </is>
      </c>
      <c r="F1165" t="inlineStr">
        <is>
          <t>Allmännings- och besparingsskogar</t>
        </is>
      </c>
      <c r="G1165" t="n">
        <v>3.3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30545-2022</t>
        </is>
      </c>
      <c r="B1166" s="1" t="n">
        <v>44762</v>
      </c>
      <c r="C1166" s="1" t="n">
        <v>45811</v>
      </c>
      <c r="D1166" t="inlineStr">
        <is>
          <t>GÄVLEBORGS LÄN</t>
        </is>
      </c>
      <c r="E1166" t="inlineStr">
        <is>
          <t>LJUSDAL</t>
        </is>
      </c>
      <c r="F1166" t="inlineStr">
        <is>
          <t>Bergvik skog väst AB</t>
        </is>
      </c>
      <c r="G1166" t="n">
        <v>13.8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30556-2022</t>
        </is>
      </c>
      <c r="B1167" s="1" t="n">
        <v>44762</v>
      </c>
      <c r="C1167" s="1" t="n">
        <v>45811</v>
      </c>
      <c r="D1167" t="inlineStr">
        <is>
          <t>GÄVLEBORGS LÄN</t>
        </is>
      </c>
      <c r="E1167" t="inlineStr">
        <is>
          <t>LJUSDAL</t>
        </is>
      </c>
      <c r="F1167" t="inlineStr">
        <is>
          <t>Bergvik skog väst AB</t>
        </is>
      </c>
      <c r="G1167" t="n">
        <v>3.4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30629-2022</t>
        </is>
      </c>
      <c r="B1168" s="1" t="n">
        <v>44763</v>
      </c>
      <c r="C1168" s="1" t="n">
        <v>45811</v>
      </c>
      <c r="D1168" t="inlineStr">
        <is>
          <t>GÄVLEBORGS LÄN</t>
        </is>
      </c>
      <c r="E1168" t="inlineStr">
        <is>
          <t>LJUSDAL</t>
        </is>
      </c>
      <c r="F1168" t="inlineStr">
        <is>
          <t>Sveaskog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30668-2022</t>
        </is>
      </c>
      <c r="B1169" s="1" t="n">
        <v>44763</v>
      </c>
      <c r="C1169" s="1" t="n">
        <v>45811</v>
      </c>
      <c r="D1169" t="inlineStr">
        <is>
          <t>GÄVLEBORGS LÄN</t>
        </is>
      </c>
      <c r="E1169" t="inlineStr">
        <is>
          <t>LJUSDAL</t>
        </is>
      </c>
      <c r="F1169" t="inlineStr">
        <is>
          <t>Bergvik skog väst AB</t>
        </is>
      </c>
      <c r="G1169" t="n">
        <v>2.1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30671-2022</t>
        </is>
      </c>
      <c r="B1170" s="1" t="n">
        <v>44763</v>
      </c>
      <c r="C1170" s="1" t="n">
        <v>45811</v>
      </c>
      <c r="D1170" t="inlineStr">
        <is>
          <t>GÄVLEBORGS LÄN</t>
        </is>
      </c>
      <c r="E1170" t="inlineStr">
        <is>
          <t>LJUSDAL</t>
        </is>
      </c>
      <c r="F1170" t="inlineStr">
        <is>
          <t>Sveaskog</t>
        </is>
      </c>
      <c r="G1170" t="n">
        <v>1.4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30667-2022</t>
        </is>
      </c>
      <c r="B1171" s="1" t="n">
        <v>44763</v>
      </c>
      <c r="C1171" s="1" t="n">
        <v>45811</v>
      </c>
      <c r="D1171" t="inlineStr">
        <is>
          <t>GÄVLEBORGS LÄN</t>
        </is>
      </c>
      <c r="E1171" t="inlineStr">
        <is>
          <t>LJUSDAL</t>
        </is>
      </c>
      <c r="F1171" t="inlineStr">
        <is>
          <t>Sveaskog</t>
        </is>
      </c>
      <c r="G1171" t="n">
        <v>3.1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30869-2022</t>
        </is>
      </c>
      <c r="B1172" s="1" t="n">
        <v>44767</v>
      </c>
      <c r="C1172" s="1" t="n">
        <v>45811</v>
      </c>
      <c r="D1172" t="inlineStr">
        <is>
          <t>GÄVLEBORGS LÄN</t>
        </is>
      </c>
      <c r="E1172" t="inlineStr">
        <is>
          <t>LJUSDAL</t>
        </is>
      </c>
      <c r="F1172" t="inlineStr">
        <is>
          <t>Holmen skog AB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30877-2022</t>
        </is>
      </c>
      <c r="B1173" s="1" t="n">
        <v>44767</v>
      </c>
      <c r="C1173" s="1" t="n">
        <v>45811</v>
      </c>
      <c r="D1173" t="inlineStr">
        <is>
          <t>GÄVLEBORGS LÄN</t>
        </is>
      </c>
      <c r="E1173" t="inlineStr">
        <is>
          <t>LJUSDAL</t>
        </is>
      </c>
      <c r="F1173" t="inlineStr">
        <is>
          <t>Holmen skog AB</t>
        </is>
      </c>
      <c r="G1173" t="n">
        <v>1.2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30984-2022</t>
        </is>
      </c>
      <c r="B1174" s="1" t="n">
        <v>44768</v>
      </c>
      <c r="C1174" s="1" t="n">
        <v>45811</v>
      </c>
      <c r="D1174" t="inlineStr">
        <is>
          <t>GÄVLEBORGS LÄN</t>
        </is>
      </c>
      <c r="E1174" t="inlineStr">
        <is>
          <t>LJUSDAL</t>
        </is>
      </c>
      <c r="F1174" t="inlineStr">
        <is>
          <t>Allmännings- och besparingsskogar</t>
        </is>
      </c>
      <c r="G1174" t="n">
        <v>6.5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31348-2022</t>
        </is>
      </c>
      <c r="B1175" s="1" t="n">
        <v>44774</v>
      </c>
      <c r="C1175" s="1" t="n">
        <v>45811</v>
      </c>
      <c r="D1175" t="inlineStr">
        <is>
          <t>GÄVLEBORGS LÄN</t>
        </is>
      </c>
      <c r="E1175" t="inlineStr">
        <is>
          <t>LJUSDAL</t>
        </is>
      </c>
      <c r="F1175" t="inlineStr">
        <is>
          <t>Holmen skog AB</t>
        </is>
      </c>
      <c r="G1175" t="n">
        <v>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31312-2022</t>
        </is>
      </c>
      <c r="B1176" s="1" t="n">
        <v>44774</v>
      </c>
      <c r="C1176" s="1" t="n">
        <v>45811</v>
      </c>
      <c r="D1176" t="inlineStr">
        <is>
          <t>GÄVLEBORGS LÄN</t>
        </is>
      </c>
      <c r="E1176" t="inlineStr">
        <is>
          <t>LJUSDAL</t>
        </is>
      </c>
      <c r="F1176" t="inlineStr">
        <is>
          <t>Holmen skog AB</t>
        </is>
      </c>
      <c r="G1176" t="n">
        <v>2.8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31336-2022</t>
        </is>
      </c>
      <c r="B1177" s="1" t="n">
        <v>44774</v>
      </c>
      <c r="C1177" s="1" t="n">
        <v>45811</v>
      </c>
      <c r="D1177" t="inlineStr">
        <is>
          <t>GÄVLEBORGS LÄN</t>
        </is>
      </c>
      <c r="E1177" t="inlineStr">
        <is>
          <t>LJUSDAL</t>
        </is>
      </c>
      <c r="F1177" t="inlineStr">
        <is>
          <t>Holmen skog AB</t>
        </is>
      </c>
      <c r="G1177" t="n">
        <v>3.5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31378-2022</t>
        </is>
      </c>
      <c r="B1178" s="1" t="n">
        <v>44774</v>
      </c>
      <c r="C1178" s="1" t="n">
        <v>45811</v>
      </c>
      <c r="D1178" t="inlineStr">
        <is>
          <t>GÄVLEBORGS LÄN</t>
        </is>
      </c>
      <c r="E1178" t="inlineStr">
        <is>
          <t>LJUSDAL</t>
        </is>
      </c>
      <c r="F1178" t="inlineStr">
        <is>
          <t>Holmen skog AB</t>
        </is>
      </c>
      <c r="G1178" t="n">
        <v>3.9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31397-2022</t>
        </is>
      </c>
      <c r="B1179" s="1" t="n">
        <v>44774</v>
      </c>
      <c r="C1179" s="1" t="n">
        <v>45811</v>
      </c>
      <c r="D1179" t="inlineStr">
        <is>
          <t>GÄVLEBORGS LÄN</t>
        </is>
      </c>
      <c r="E1179" t="inlineStr">
        <is>
          <t>LJUSDAL</t>
        </is>
      </c>
      <c r="F1179" t="inlineStr">
        <is>
          <t>Holmen skog AB</t>
        </is>
      </c>
      <c r="G1179" t="n">
        <v>5.3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31808-2022</t>
        </is>
      </c>
      <c r="B1180" s="1" t="n">
        <v>44776</v>
      </c>
      <c r="C1180" s="1" t="n">
        <v>45811</v>
      </c>
      <c r="D1180" t="inlineStr">
        <is>
          <t>GÄVLEBORGS LÄN</t>
        </is>
      </c>
      <c r="E1180" t="inlineStr">
        <is>
          <t>LJUSDAL</t>
        </is>
      </c>
      <c r="G1180" t="n">
        <v>5.6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31890-2022</t>
        </is>
      </c>
      <c r="B1181" s="1" t="n">
        <v>44777</v>
      </c>
      <c r="C1181" s="1" t="n">
        <v>45811</v>
      </c>
      <c r="D1181" t="inlineStr">
        <is>
          <t>GÄVLEBORGS LÄN</t>
        </is>
      </c>
      <c r="E1181" t="inlineStr">
        <is>
          <t>LJUSDAL</t>
        </is>
      </c>
      <c r="G1181" t="n">
        <v>2.1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32040-2022</t>
        </is>
      </c>
      <c r="B1182" s="1" t="n">
        <v>44778</v>
      </c>
      <c r="C1182" s="1" t="n">
        <v>45811</v>
      </c>
      <c r="D1182" t="inlineStr">
        <is>
          <t>GÄVLEBORGS LÄN</t>
        </is>
      </c>
      <c r="E1182" t="inlineStr">
        <is>
          <t>LJUSDAL</t>
        </is>
      </c>
      <c r="F1182" t="inlineStr">
        <is>
          <t>Sveaskog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32035-2022</t>
        </is>
      </c>
      <c r="B1183" s="1" t="n">
        <v>44778</v>
      </c>
      <c r="C1183" s="1" t="n">
        <v>45811</v>
      </c>
      <c r="D1183" t="inlineStr">
        <is>
          <t>GÄVLEBORGS LÄN</t>
        </is>
      </c>
      <c r="E1183" t="inlineStr">
        <is>
          <t>LJUSDAL</t>
        </is>
      </c>
      <c r="F1183" t="inlineStr">
        <is>
          <t>Sveaskog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32038-2022</t>
        </is>
      </c>
      <c r="B1184" s="1" t="n">
        <v>44778</v>
      </c>
      <c r="C1184" s="1" t="n">
        <v>45811</v>
      </c>
      <c r="D1184" t="inlineStr">
        <is>
          <t>GÄVLEBORGS LÄN</t>
        </is>
      </c>
      <c r="E1184" t="inlineStr">
        <is>
          <t>LJUSDAL</t>
        </is>
      </c>
      <c r="F1184" t="inlineStr">
        <is>
          <t>Sveaskog</t>
        </is>
      </c>
      <c r="G1184" t="n">
        <v>3.1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32217-2022</t>
        </is>
      </c>
      <c r="B1185" s="1" t="n">
        <v>44781</v>
      </c>
      <c r="C1185" s="1" t="n">
        <v>45811</v>
      </c>
      <c r="D1185" t="inlineStr">
        <is>
          <t>GÄVLEBORGS LÄN</t>
        </is>
      </c>
      <c r="E1185" t="inlineStr">
        <is>
          <t>LJUSDAL</t>
        </is>
      </c>
      <c r="F1185" t="inlineStr">
        <is>
          <t>Holmen skog AB</t>
        </is>
      </c>
      <c r="G1185" t="n">
        <v>2.1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32238-2022</t>
        </is>
      </c>
      <c r="B1186" s="1" t="n">
        <v>44781</v>
      </c>
      <c r="C1186" s="1" t="n">
        <v>45811</v>
      </c>
      <c r="D1186" t="inlineStr">
        <is>
          <t>GÄVLEBORGS LÄN</t>
        </is>
      </c>
      <c r="E1186" t="inlineStr">
        <is>
          <t>LJUSDAL</t>
        </is>
      </c>
      <c r="F1186" t="inlineStr">
        <is>
          <t>Holmen skog AB</t>
        </is>
      </c>
      <c r="G1186" t="n">
        <v>1.7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32277-2022</t>
        </is>
      </c>
      <c r="B1187" s="1" t="n">
        <v>44781</v>
      </c>
      <c r="C1187" s="1" t="n">
        <v>45811</v>
      </c>
      <c r="D1187" t="inlineStr">
        <is>
          <t>GÄVLEBORGS LÄN</t>
        </is>
      </c>
      <c r="E1187" t="inlineStr">
        <is>
          <t>LJUSDAL</t>
        </is>
      </c>
      <c r="F1187" t="inlineStr">
        <is>
          <t>Sveaskog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32689-2022</t>
        </is>
      </c>
      <c r="B1188" s="1" t="n">
        <v>44783</v>
      </c>
      <c r="C1188" s="1" t="n">
        <v>45811</v>
      </c>
      <c r="D1188" t="inlineStr">
        <is>
          <t>GÄVLEBORGS LÄN</t>
        </is>
      </c>
      <c r="E1188" t="inlineStr">
        <is>
          <t>LJUSDAL</t>
        </is>
      </c>
      <c r="F1188" t="inlineStr">
        <is>
          <t>Sveaskog</t>
        </is>
      </c>
      <c r="G1188" t="n">
        <v>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32879-2022</t>
        </is>
      </c>
      <c r="B1189" s="1" t="n">
        <v>44784</v>
      </c>
      <c r="C1189" s="1" t="n">
        <v>45811</v>
      </c>
      <c r="D1189" t="inlineStr">
        <is>
          <t>GÄVLEBORGS LÄN</t>
        </is>
      </c>
      <c r="E1189" t="inlineStr">
        <is>
          <t>LJUSDAL</t>
        </is>
      </c>
      <c r="F1189" t="inlineStr">
        <is>
          <t>Bergvik skog väst AB</t>
        </is>
      </c>
      <c r="G1189" t="n">
        <v>4.3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32832-2022</t>
        </is>
      </c>
      <c r="B1190" s="1" t="n">
        <v>44784</v>
      </c>
      <c r="C1190" s="1" t="n">
        <v>45811</v>
      </c>
      <c r="D1190" t="inlineStr">
        <is>
          <t>GÄVLEBORGS LÄN</t>
        </is>
      </c>
      <c r="E1190" t="inlineStr">
        <is>
          <t>LJUSDAL</t>
        </is>
      </c>
      <c r="F1190" t="inlineStr">
        <is>
          <t>Bergvik skog väst AB</t>
        </is>
      </c>
      <c r="G1190" t="n">
        <v>2.4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33568-2022</t>
        </is>
      </c>
      <c r="B1191" s="1" t="n">
        <v>44789</v>
      </c>
      <c r="C1191" s="1" t="n">
        <v>45811</v>
      </c>
      <c r="D1191" t="inlineStr">
        <is>
          <t>GÄVLEBORGS LÄN</t>
        </is>
      </c>
      <c r="E1191" t="inlineStr">
        <is>
          <t>LJUSDAL</t>
        </is>
      </c>
      <c r="F1191" t="inlineStr">
        <is>
          <t>Bergvik skog väst AB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33626-2022</t>
        </is>
      </c>
      <c r="B1192" s="1" t="n">
        <v>44789</v>
      </c>
      <c r="C1192" s="1" t="n">
        <v>45811</v>
      </c>
      <c r="D1192" t="inlineStr">
        <is>
          <t>GÄVLEBORGS LÄN</t>
        </is>
      </c>
      <c r="E1192" t="inlineStr">
        <is>
          <t>LJUSDAL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33806-2022</t>
        </is>
      </c>
      <c r="B1193" s="1" t="n">
        <v>44790</v>
      </c>
      <c r="C1193" s="1" t="n">
        <v>45811</v>
      </c>
      <c r="D1193" t="inlineStr">
        <is>
          <t>GÄVLEBORGS LÄN</t>
        </is>
      </c>
      <c r="E1193" t="inlineStr">
        <is>
          <t>LJUSDAL</t>
        </is>
      </c>
      <c r="G1193" t="n">
        <v>0.8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34058-2022</t>
        </is>
      </c>
      <c r="B1194" s="1" t="n">
        <v>44791</v>
      </c>
      <c r="C1194" s="1" t="n">
        <v>45811</v>
      </c>
      <c r="D1194" t="inlineStr">
        <is>
          <t>GÄVLEBORGS LÄN</t>
        </is>
      </c>
      <c r="E1194" t="inlineStr">
        <is>
          <t>LJUSDAL</t>
        </is>
      </c>
      <c r="G1194" t="n">
        <v>2.2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34172-2022</t>
        </is>
      </c>
      <c r="B1195" s="1" t="n">
        <v>44791</v>
      </c>
      <c r="C1195" s="1" t="n">
        <v>45811</v>
      </c>
      <c r="D1195" t="inlineStr">
        <is>
          <t>GÄVLEBORGS LÄN</t>
        </is>
      </c>
      <c r="E1195" t="inlineStr">
        <is>
          <t>LJUSDAL</t>
        </is>
      </c>
      <c r="G1195" t="n">
        <v>4.6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34422-2022</t>
        </is>
      </c>
      <c r="B1196" s="1" t="n">
        <v>44792</v>
      </c>
      <c r="C1196" s="1" t="n">
        <v>45811</v>
      </c>
      <c r="D1196" t="inlineStr">
        <is>
          <t>GÄVLEBORGS LÄN</t>
        </is>
      </c>
      <c r="E1196" t="inlineStr">
        <is>
          <t>LJUSDAL</t>
        </is>
      </c>
      <c r="F1196" t="inlineStr">
        <is>
          <t>Bergvik skog väst AB</t>
        </is>
      </c>
      <c r="G1196" t="n">
        <v>6.2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34447-2022</t>
        </is>
      </c>
      <c r="B1197" s="1" t="n">
        <v>44792</v>
      </c>
      <c r="C1197" s="1" t="n">
        <v>45811</v>
      </c>
      <c r="D1197" t="inlineStr">
        <is>
          <t>GÄVLEBORGS LÄN</t>
        </is>
      </c>
      <c r="E1197" t="inlineStr">
        <is>
          <t>LJUSDAL</t>
        </is>
      </c>
      <c r="G1197" t="n">
        <v>3.5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34457-2022</t>
        </is>
      </c>
      <c r="B1198" s="1" t="n">
        <v>44792</v>
      </c>
      <c r="C1198" s="1" t="n">
        <v>45811</v>
      </c>
      <c r="D1198" t="inlineStr">
        <is>
          <t>GÄVLEBORGS LÄN</t>
        </is>
      </c>
      <c r="E1198" t="inlineStr">
        <is>
          <t>LJUSDAL</t>
        </is>
      </c>
      <c r="F1198" t="inlineStr">
        <is>
          <t>Sveaskog</t>
        </is>
      </c>
      <c r="G1198" t="n">
        <v>11.1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34419-2022</t>
        </is>
      </c>
      <c r="B1199" s="1" t="n">
        <v>44792</v>
      </c>
      <c r="C1199" s="1" t="n">
        <v>45811</v>
      </c>
      <c r="D1199" t="inlineStr">
        <is>
          <t>GÄVLEBORGS LÄN</t>
        </is>
      </c>
      <c r="E1199" t="inlineStr">
        <is>
          <t>LJUSDAL</t>
        </is>
      </c>
      <c r="F1199" t="inlineStr">
        <is>
          <t>Sveaskog</t>
        </is>
      </c>
      <c r="G1199" t="n">
        <v>3.6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34602-2022</t>
        </is>
      </c>
      <c r="B1200" s="1" t="n">
        <v>44795</v>
      </c>
      <c r="C1200" s="1" t="n">
        <v>45811</v>
      </c>
      <c r="D1200" t="inlineStr">
        <is>
          <t>GÄVLEBORGS LÄN</t>
        </is>
      </c>
      <c r="E1200" t="inlineStr">
        <is>
          <t>LJUSDAL</t>
        </is>
      </c>
      <c r="G1200" t="n">
        <v>7.7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34771-2022</t>
        </is>
      </c>
      <c r="B1201" s="1" t="n">
        <v>44795</v>
      </c>
      <c r="C1201" s="1" t="n">
        <v>45811</v>
      </c>
      <c r="D1201" t="inlineStr">
        <is>
          <t>GÄVLEBORGS LÄN</t>
        </is>
      </c>
      <c r="E1201" t="inlineStr">
        <is>
          <t>LJUSDAL</t>
        </is>
      </c>
      <c r="F1201" t="inlineStr">
        <is>
          <t>Allmännings- och besparingsskogar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35035-2022</t>
        </is>
      </c>
      <c r="B1202" s="1" t="n">
        <v>44797</v>
      </c>
      <c r="C1202" s="1" t="n">
        <v>45811</v>
      </c>
      <c r="D1202" t="inlineStr">
        <is>
          <t>GÄVLEBORGS LÄN</t>
        </is>
      </c>
      <c r="E1202" t="inlineStr">
        <is>
          <t>LJUSDAL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35030-2022</t>
        </is>
      </c>
      <c r="B1203" s="1" t="n">
        <v>44797</v>
      </c>
      <c r="C1203" s="1" t="n">
        <v>45811</v>
      </c>
      <c r="D1203" t="inlineStr">
        <is>
          <t>GÄVLEBORGS LÄN</t>
        </is>
      </c>
      <c r="E1203" t="inlineStr">
        <is>
          <t>LJUSDAL</t>
        </is>
      </c>
      <c r="F1203" t="inlineStr">
        <is>
          <t>Sveaskog</t>
        </is>
      </c>
      <c r="G1203" t="n">
        <v>7.3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35387-2022</t>
        </is>
      </c>
      <c r="B1204" s="1" t="n">
        <v>44798</v>
      </c>
      <c r="C1204" s="1" t="n">
        <v>45811</v>
      </c>
      <c r="D1204" t="inlineStr">
        <is>
          <t>GÄVLEBORGS LÄN</t>
        </is>
      </c>
      <c r="E1204" t="inlineStr">
        <is>
          <t>LJUSDAL</t>
        </is>
      </c>
      <c r="F1204" t="inlineStr">
        <is>
          <t>Sveaskog</t>
        </is>
      </c>
      <c r="G1204" t="n">
        <v>6.4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35461-2022</t>
        </is>
      </c>
      <c r="B1205" s="1" t="n">
        <v>44798</v>
      </c>
      <c r="C1205" s="1" t="n">
        <v>45811</v>
      </c>
      <c r="D1205" t="inlineStr">
        <is>
          <t>GÄVLEBORGS LÄN</t>
        </is>
      </c>
      <c r="E1205" t="inlineStr">
        <is>
          <t>LJUSDAL</t>
        </is>
      </c>
      <c r="F1205" t="inlineStr">
        <is>
          <t>Holmen skog AB</t>
        </is>
      </c>
      <c r="G1205" t="n">
        <v>2.5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35467-2022</t>
        </is>
      </c>
      <c r="B1206" s="1" t="n">
        <v>44798</v>
      </c>
      <c r="C1206" s="1" t="n">
        <v>45811</v>
      </c>
      <c r="D1206" t="inlineStr">
        <is>
          <t>GÄVLEBORGS LÄN</t>
        </is>
      </c>
      <c r="E1206" t="inlineStr">
        <is>
          <t>LJUSDAL</t>
        </is>
      </c>
      <c r="G1206" t="n">
        <v>1.9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35527-2022</t>
        </is>
      </c>
      <c r="B1207" s="1" t="n">
        <v>44799</v>
      </c>
      <c r="C1207" s="1" t="n">
        <v>45811</v>
      </c>
      <c r="D1207" t="inlineStr">
        <is>
          <t>GÄVLEBORGS LÄN</t>
        </is>
      </c>
      <c r="E1207" t="inlineStr">
        <is>
          <t>LJUSDAL</t>
        </is>
      </c>
      <c r="G1207" t="n">
        <v>4.9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35586-2022</t>
        </is>
      </c>
      <c r="B1208" s="1" t="n">
        <v>44799</v>
      </c>
      <c r="C1208" s="1" t="n">
        <v>45811</v>
      </c>
      <c r="D1208" t="inlineStr">
        <is>
          <t>GÄVLEBORGS LÄN</t>
        </is>
      </c>
      <c r="E1208" t="inlineStr">
        <is>
          <t>LJUSDAL</t>
        </is>
      </c>
      <c r="F1208" t="inlineStr">
        <is>
          <t>Sveaskog</t>
        </is>
      </c>
      <c r="G1208" t="n">
        <v>0.9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35584-2022</t>
        </is>
      </c>
      <c r="B1209" s="1" t="n">
        <v>44799</v>
      </c>
      <c r="C1209" s="1" t="n">
        <v>45811</v>
      </c>
      <c r="D1209" t="inlineStr">
        <is>
          <t>GÄVLEBORGS LÄN</t>
        </is>
      </c>
      <c r="E1209" t="inlineStr">
        <is>
          <t>LJUSDAL</t>
        </is>
      </c>
      <c r="F1209" t="inlineStr">
        <is>
          <t>Sveaskog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35583-2022</t>
        </is>
      </c>
      <c r="B1210" s="1" t="n">
        <v>44799</v>
      </c>
      <c r="C1210" s="1" t="n">
        <v>45811</v>
      </c>
      <c r="D1210" t="inlineStr">
        <is>
          <t>GÄVLEBORGS LÄN</t>
        </is>
      </c>
      <c r="E1210" t="inlineStr">
        <is>
          <t>LJUSDAL</t>
        </is>
      </c>
      <c r="F1210" t="inlineStr">
        <is>
          <t>Sveaskog</t>
        </is>
      </c>
      <c r="G1210" t="n">
        <v>4.6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35591-2022</t>
        </is>
      </c>
      <c r="B1211" s="1" t="n">
        <v>44799</v>
      </c>
      <c r="C1211" s="1" t="n">
        <v>45811</v>
      </c>
      <c r="D1211" t="inlineStr">
        <is>
          <t>GÄVLEBORGS LÄN</t>
        </is>
      </c>
      <c r="E1211" t="inlineStr">
        <is>
          <t>LJUSDAL</t>
        </is>
      </c>
      <c r="F1211" t="inlineStr">
        <is>
          <t>Sveaskog</t>
        </is>
      </c>
      <c r="G1211" t="n">
        <v>12.1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35734-2022</t>
        </is>
      </c>
      <c r="B1212" s="1" t="n">
        <v>44800</v>
      </c>
      <c r="C1212" s="1" t="n">
        <v>45811</v>
      </c>
      <c r="D1212" t="inlineStr">
        <is>
          <t>GÄVLEBORGS LÄN</t>
        </is>
      </c>
      <c r="E1212" t="inlineStr">
        <is>
          <t>LJUSDAL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35855-2022</t>
        </is>
      </c>
      <c r="B1213" s="1" t="n">
        <v>44802</v>
      </c>
      <c r="C1213" s="1" t="n">
        <v>45811</v>
      </c>
      <c r="D1213" t="inlineStr">
        <is>
          <t>GÄVLEBORGS LÄN</t>
        </is>
      </c>
      <c r="E1213" t="inlineStr">
        <is>
          <t>LJUSDAL</t>
        </is>
      </c>
      <c r="G1213" t="n">
        <v>8.6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35890-2022</t>
        </is>
      </c>
      <c r="B1214" s="1" t="n">
        <v>44802</v>
      </c>
      <c r="C1214" s="1" t="n">
        <v>45811</v>
      </c>
      <c r="D1214" t="inlineStr">
        <is>
          <t>GÄVLEBORGS LÄN</t>
        </is>
      </c>
      <c r="E1214" t="inlineStr">
        <is>
          <t>LJUSDAL</t>
        </is>
      </c>
      <c r="F1214" t="inlineStr">
        <is>
          <t>Bergvik skog väst AB</t>
        </is>
      </c>
      <c r="G1214" t="n">
        <v>1.8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36196-2022</t>
        </is>
      </c>
      <c r="B1215" s="1" t="n">
        <v>44803</v>
      </c>
      <c r="C1215" s="1" t="n">
        <v>45811</v>
      </c>
      <c r="D1215" t="inlineStr">
        <is>
          <t>GÄVLEBORGS LÄN</t>
        </is>
      </c>
      <c r="E1215" t="inlineStr">
        <is>
          <t>LJUSDAL</t>
        </is>
      </c>
      <c r="G1215" t="n">
        <v>37.7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36229-2022</t>
        </is>
      </c>
      <c r="B1216" s="1" t="n">
        <v>44803</v>
      </c>
      <c r="C1216" s="1" t="n">
        <v>45811</v>
      </c>
      <c r="D1216" t="inlineStr">
        <is>
          <t>GÄVLEBORGS LÄN</t>
        </is>
      </c>
      <c r="E1216" t="inlineStr">
        <is>
          <t>LJUSDAL</t>
        </is>
      </c>
      <c r="G1216" t="n">
        <v>8.1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36233-2022</t>
        </is>
      </c>
      <c r="B1217" s="1" t="n">
        <v>44803</v>
      </c>
      <c r="C1217" s="1" t="n">
        <v>45811</v>
      </c>
      <c r="D1217" t="inlineStr">
        <is>
          <t>GÄVLEBORGS LÄN</t>
        </is>
      </c>
      <c r="E1217" t="inlineStr">
        <is>
          <t>LJUSDAL</t>
        </is>
      </c>
      <c r="G1217" t="n">
        <v>4.4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36466-2022</t>
        </is>
      </c>
      <c r="B1218" s="1" t="n">
        <v>44804</v>
      </c>
      <c r="C1218" s="1" t="n">
        <v>45811</v>
      </c>
      <c r="D1218" t="inlineStr">
        <is>
          <t>GÄVLEBORGS LÄN</t>
        </is>
      </c>
      <c r="E1218" t="inlineStr">
        <is>
          <t>LJUSDAL</t>
        </is>
      </c>
      <c r="G1218" t="n">
        <v>3.5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36470-2022</t>
        </is>
      </c>
      <c r="B1219" s="1" t="n">
        <v>44804</v>
      </c>
      <c r="C1219" s="1" t="n">
        <v>45811</v>
      </c>
      <c r="D1219" t="inlineStr">
        <is>
          <t>GÄVLEBORGS LÄN</t>
        </is>
      </c>
      <c r="E1219" t="inlineStr">
        <is>
          <t>LJUSDAL</t>
        </is>
      </c>
      <c r="G1219" t="n">
        <v>0.8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36475-2022</t>
        </is>
      </c>
      <c r="B1220" s="1" t="n">
        <v>44804</v>
      </c>
      <c r="C1220" s="1" t="n">
        <v>45811</v>
      </c>
      <c r="D1220" t="inlineStr">
        <is>
          <t>GÄVLEBORGS LÄN</t>
        </is>
      </c>
      <c r="E1220" t="inlineStr">
        <is>
          <t>LJUSDAL</t>
        </is>
      </c>
      <c r="G1220" t="n">
        <v>1.5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36518-2022</t>
        </is>
      </c>
      <c r="B1221" s="1" t="n">
        <v>44804</v>
      </c>
      <c r="C1221" s="1" t="n">
        <v>45811</v>
      </c>
      <c r="D1221" t="inlineStr">
        <is>
          <t>GÄVLEBORGS LÄN</t>
        </is>
      </c>
      <c r="E1221" t="inlineStr">
        <is>
          <t>LJUSDAL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36456-2022</t>
        </is>
      </c>
      <c r="B1222" s="1" t="n">
        <v>44804</v>
      </c>
      <c r="C1222" s="1" t="n">
        <v>45811</v>
      </c>
      <c r="D1222" t="inlineStr">
        <is>
          <t>GÄVLEBORGS LÄN</t>
        </is>
      </c>
      <c r="E1222" t="inlineStr">
        <is>
          <t>LJUSDAL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36563-2022</t>
        </is>
      </c>
      <c r="B1223" s="1" t="n">
        <v>44804</v>
      </c>
      <c r="C1223" s="1" t="n">
        <v>45811</v>
      </c>
      <c r="D1223" t="inlineStr">
        <is>
          <t>GÄVLEBORGS LÄN</t>
        </is>
      </c>
      <c r="E1223" t="inlineStr">
        <is>
          <t>LJUSDAL</t>
        </is>
      </c>
      <c r="F1223" t="inlineStr">
        <is>
          <t>Holmen skog AB</t>
        </is>
      </c>
      <c r="G1223" t="n">
        <v>1.3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37303-2022</t>
        </is>
      </c>
      <c r="B1224" s="1" t="n">
        <v>44809</v>
      </c>
      <c r="C1224" s="1" t="n">
        <v>45811</v>
      </c>
      <c r="D1224" t="inlineStr">
        <is>
          <t>GÄVLEBORGS LÄN</t>
        </is>
      </c>
      <c r="E1224" t="inlineStr">
        <is>
          <t>LJUSDAL</t>
        </is>
      </c>
      <c r="G1224" t="n">
        <v>8.6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37343-2022</t>
        </is>
      </c>
      <c r="B1225" s="1" t="n">
        <v>44809</v>
      </c>
      <c r="C1225" s="1" t="n">
        <v>45811</v>
      </c>
      <c r="D1225" t="inlineStr">
        <is>
          <t>GÄVLEBORGS LÄN</t>
        </is>
      </c>
      <c r="E1225" t="inlineStr">
        <is>
          <t>LJUSDAL</t>
        </is>
      </c>
      <c r="F1225" t="inlineStr">
        <is>
          <t>Sveaskog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37345-2022</t>
        </is>
      </c>
      <c r="B1226" s="1" t="n">
        <v>44809</v>
      </c>
      <c r="C1226" s="1" t="n">
        <v>45811</v>
      </c>
      <c r="D1226" t="inlineStr">
        <is>
          <t>GÄVLEBORGS LÄN</t>
        </is>
      </c>
      <c r="E1226" t="inlineStr">
        <is>
          <t>LJUSDAL</t>
        </is>
      </c>
      <c r="F1226" t="inlineStr">
        <is>
          <t>Sveaskog</t>
        </is>
      </c>
      <c r="G1226" t="n">
        <v>0.8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37792-2022</t>
        </is>
      </c>
      <c r="B1227" s="1" t="n">
        <v>44810</v>
      </c>
      <c r="C1227" s="1" t="n">
        <v>45811</v>
      </c>
      <c r="D1227" t="inlineStr">
        <is>
          <t>GÄVLEBORGS LÄN</t>
        </is>
      </c>
      <c r="E1227" t="inlineStr">
        <is>
          <t>LJUSDAL</t>
        </is>
      </c>
      <c r="G1227" t="n">
        <v>3.4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37995-2022</t>
        </is>
      </c>
      <c r="B1228" s="1" t="n">
        <v>44811</v>
      </c>
      <c r="C1228" s="1" t="n">
        <v>45811</v>
      </c>
      <c r="D1228" t="inlineStr">
        <is>
          <t>GÄVLEBORGS LÄN</t>
        </is>
      </c>
      <c r="E1228" t="inlineStr">
        <is>
          <t>LJUSDAL</t>
        </is>
      </c>
      <c r="G1228" t="n">
        <v>3.8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38332-2022</t>
        </is>
      </c>
      <c r="B1229" s="1" t="n">
        <v>44812</v>
      </c>
      <c r="C1229" s="1" t="n">
        <v>45811</v>
      </c>
      <c r="D1229" t="inlineStr">
        <is>
          <t>GÄVLEBORGS LÄN</t>
        </is>
      </c>
      <c r="E1229" t="inlineStr">
        <is>
          <t>LJUSDAL</t>
        </is>
      </c>
      <c r="F1229" t="inlineStr">
        <is>
          <t>Allmännings- och besparingsskogar</t>
        </is>
      </c>
      <c r="G1229" t="n">
        <v>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38479-2022</t>
        </is>
      </c>
      <c r="B1230" s="1" t="n">
        <v>44813</v>
      </c>
      <c r="C1230" s="1" t="n">
        <v>45811</v>
      </c>
      <c r="D1230" t="inlineStr">
        <is>
          <t>GÄVLEBORGS LÄN</t>
        </is>
      </c>
      <c r="E1230" t="inlineStr">
        <is>
          <t>LJUSDAL</t>
        </is>
      </c>
      <c r="F1230" t="inlineStr">
        <is>
          <t>Bergvik skog väst AB</t>
        </is>
      </c>
      <c r="G1230" t="n">
        <v>4.4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38540-2022</t>
        </is>
      </c>
      <c r="B1231" s="1" t="n">
        <v>44813</v>
      </c>
      <c r="C1231" s="1" t="n">
        <v>45811</v>
      </c>
      <c r="D1231" t="inlineStr">
        <is>
          <t>GÄVLEBORGS LÄN</t>
        </is>
      </c>
      <c r="E1231" t="inlineStr">
        <is>
          <t>LJUSDAL</t>
        </is>
      </c>
      <c r="F1231" t="inlineStr">
        <is>
          <t>Allmännings- och besparingsskogar</t>
        </is>
      </c>
      <c r="G1231" t="n">
        <v>1.8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38499-2022</t>
        </is>
      </c>
      <c r="B1232" s="1" t="n">
        <v>44813</v>
      </c>
      <c r="C1232" s="1" t="n">
        <v>45811</v>
      </c>
      <c r="D1232" t="inlineStr">
        <is>
          <t>GÄVLEBORGS LÄN</t>
        </is>
      </c>
      <c r="E1232" t="inlineStr">
        <is>
          <t>LJUSDAL</t>
        </is>
      </c>
      <c r="G1232" t="n">
        <v>3.4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38575-2022</t>
        </is>
      </c>
      <c r="B1233" s="1" t="n">
        <v>44813</v>
      </c>
      <c r="C1233" s="1" t="n">
        <v>45811</v>
      </c>
      <c r="D1233" t="inlineStr">
        <is>
          <t>GÄVLEBORGS LÄN</t>
        </is>
      </c>
      <c r="E1233" t="inlineStr">
        <is>
          <t>LJUSDAL</t>
        </is>
      </c>
      <c r="F1233" t="inlineStr">
        <is>
          <t>Allmännings- och besparingsskogar</t>
        </is>
      </c>
      <c r="G1233" t="n">
        <v>4.4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38594-2022</t>
        </is>
      </c>
      <c r="B1234" s="1" t="n">
        <v>44813</v>
      </c>
      <c r="C1234" s="1" t="n">
        <v>45811</v>
      </c>
      <c r="D1234" t="inlineStr">
        <is>
          <t>GÄVLEBORGS LÄN</t>
        </is>
      </c>
      <c r="E1234" t="inlineStr">
        <is>
          <t>LJUSDAL</t>
        </is>
      </c>
      <c r="F1234" t="inlineStr">
        <is>
          <t>Bergvik skog väst AB</t>
        </is>
      </c>
      <c r="G1234" t="n">
        <v>1.4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38598-2022</t>
        </is>
      </c>
      <c r="B1235" s="1" t="n">
        <v>44813</v>
      </c>
      <c r="C1235" s="1" t="n">
        <v>45811</v>
      </c>
      <c r="D1235" t="inlineStr">
        <is>
          <t>GÄVLEBORGS LÄN</t>
        </is>
      </c>
      <c r="E1235" t="inlineStr">
        <is>
          <t>LJUSDAL</t>
        </is>
      </c>
      <c r="G1235" t="n">
        <v>3.5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38596-2022</t>
        </is>
      </c>
      <c r="B1236" s="1" t="n">
        <v>44813</v>
      </c>
      <c r="C1236" s="1" t="n">
        <v>45811</v>
      </c>
      <c r="D1236" t="inlineStr">
        <is>
          <t>GÄVLEBORGS LÄN</t>
        </is>
      </c>
      <c r="E1236" t="inlineStr">
        <is>
          <t>LJUSDAL</t>
        </is>
      </c>
      <c r="G1236" t="n">
        <v>3.1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38824-2022</t>
        </is>
      </c>
      <c r="B1237" s="1" t="n">
        <v>44816</v>
      </c>
      <c r="C1237" s="1" t="n">
        <v>45811</v>
      </c>
      <c r="D1237" t="inlineStr">
        <is>
          <t>GÄVLEBORGS LÄN</t>
        </is>
      </c>
      <c r="E1237" t="inlineStr">
        <is>
          <t>LJUSDAL</t>
        </is>
      </c>
      <c r="F1237" t="inlineStr">
        <is>
          <t>Holmen skog AB</t>
        </is>
      </c>
      <c r="G1237" t="n">
        <v>3.6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39126-2022</t>
        </is>
      </c>
      <c r="B1238" s="1" t="n">
        <v>44817</v>
      </c>
      <c r="C1238" s="1" t="n">
        <v>45811</v>
      </c>
      <c r="D1238" t="inlineStr">
        <is>
          <t>GÄVLEBORGS LÄN</t>
        </is>
      </c>
      <c r="E1238" t="inlineStr">
        <is>
          <t>LJUSDAL</t>
        </is>
      </c>
      <c r="F1238" t="inlineStr">
        <is>
          <t>Holmen skog AB</t>
        </is>
      </c>
      <c r="G1238" t="n">
        <v>4.7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39301-2022</t>
        </is>
      </c>
      <c r="B1239" s="1" t="n">
        <v>44817</v>
      </c>
      <c r="C1239" s="1" t="n">
        <v>45811</v>
      </c>
      <c r="D1239" t="inlineStr">
        <is>
          <t>GÄVLEBORGS LÄN</t>
        </is>
      </c>
      <c r="E1239" t="inlineStr">
        <is>
          <t>LJUSDAL</t>
        </is>
      </c>
      <c r="F1239" t="inlineStr">
        <is>
          <t>Holmen skog AB</t>
        </is>
      </c>
      <c r="G1239" t="n">
        <v>3.5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39062-2022</t>
        </is>
      </c>
      <c r="B1240" s="1" t="n">
        <v>44817</v>
      </c>
      <c r="C1240" s="1" t="n">
        <v>45811</v>
      </c>
      <c r="D1240" t="inlineStr">
        <is>
          <t>GÄVLEBORGS LÄN</t>
        </is>
      </c>
      <c r="E1240" t="inlineStr">
        <is>
          <t>LJUSDAL</t>
        </is>
      </c>
      <c r="F1240" t="inlineStr">
        <is>
          <t>Bergvik skog väst AB</t>
        </is>
      </c>
      <c r="G1240" t="n">
        <v>3.6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39064-2022</t>
        </is>
      </c>
      <c r="B1241" s="1" t="n">
        <v>44817</v>
      </c>
      <c r="C1241" s="1" t="n">
        <v>45811</v>
      </c>
      <c r="D1241" t="inlineStr">
        <is>
          <t>GÄVLEBORGS LÄN</t>
        </is>
      </c>
      <c r="E1241" t="inlineStr">
        <is>
          <t>LJUSDAL</t>
        </is>
      </c>
      <c r="F1241" t="inlineStr">
        <is>
          <t>Bergvik skog väst AB</t>
        </is>
      </c>
      <c r="G1241" t="n">
        <v>2.7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39141-2022</t>
        </is>
      </c>
      <c r="B1242" s="1" t="n">
        <v>44817</v>
      </c>
      <c r="C1242" s="1" t="n">
        <v>45811</v>
      </c>
      <c r="D1242" t="inlineStr">
        <is>
          <t>GÄVLEBORGS LÄN</t>
        </is>
      </c>
      <c r="E1242" t="inlineStr">
        <is>
          <t>LJUSDAL</t>
        </is>
      </c>
      <c r="F1242" t="inlineStr">
        <is>
          <t>Holmen skog AB</t>
        </is>
      </c>
      <c r="G1242" t="n">
        <v>0.9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39228-2022</t>
        </is>
      </c>
      <c r="B1243" s="1" t="n">
        <v>44817</v>
      </c>
      <c r="C1243" s="1" t="n">
        <v>45811</v>
      </c>
      <c r="D1243" t="inlineStr">
        <is>
          <t>GÄVLEBORGS LÄN</t>
        </is>
      </c>
      <c r="E1243" t="inlineStr">
        <is>
          <t>LJUSDAL</t>
        </is>
      </c>
      <c r="G1243" t="n">
        <v>0.5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39424-2022</t>
        </is>
      </c>
      <c r="B1244" s="1" t="n">
        <v>44818</v>
      </c>
      <c r="C1244" s="1" t="n">
        <v>45811</v>
      </c>
      <c r="D1244" t="inlineStr">
        <is>
          <t>GÄVLEBORGS LÄN</t>
        </is>
      </c>
      <c r="E1244" t="inlineStr">
        <is>
          <t>LJUSDAL</t>
        </is>
      </c>
      <c r="G1244" t="n">
        <v>5.8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39644-2022</t>
        </is>
      </c>
      <c r="B1245" s="1" t="n">
        <v>44818</v>
      </c>
      <c r="C1245" s="1" t="n">
        <v>45811</v>
      </c>
      <c r="D1245" t="inlineStr">
        <is>
          <t>GÄVLEBORGS LÄN</t>
        </is>
      </c>
      <c r="E1245" t="inlineStr">
        <is>
          <t>LJUSDAL</t>
        </is>
      </c>
      <c r="G1245" t="n">
        <v>3.3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39832-2022</t>
        </is>
      </c>
      <c r="B1246" s="1" t="n">
        <v>44819</v>
      </c>
      <c r="C1246" s="1" t="n">
        <v>45811</v>
      </c>
      <c r="D1246" t="inlineStr">
        <is>
          <t>GÄVLEBORGS LÄN</t>
        </is>
      </c>
      <c r="E1246" t="inlineStr">
        <is>
          <t>LJUSDAL</t>
        </is>
      </c>
      <c r="F1246" t="inlineStr">
        <is>
          <t>Holmen skog AB</t>
        </is>
      </c>
      <c r="G1246" t="n">
        <v>2.7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39848-2022</t>
        </is>
      </c>
      <c r="B1247" s="1" t="n">
        <v>44819</v>
      </c>
      <c r="C1247" s="1" t="n">
        <v>45811</v>
      </c>
      <c r="D1247" t="inlineStr">
        <is>
          <t>GÄVLEBORGS LÄN</t>
        </is>
      </c>
      <c r="E1247" t="inlineStr">
        <is>
          <t>LJUSDAL</t>
        </is>
      </c>
      <c r="F1247" t="inlineStr">
        <is>
          <t>Allmännings- och besparingsskogar</t>
        </is>
      </c>
      <c r="G1247" t="n">
        <v>33.9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40554-2022</t>
        </is>
      </c>
      <c r="B1248" s="1" t="n">
        <v>44823</v>
      </c>
      <c r="C1248" s="1" t="n">
        <v>45811</v>
      </c>
      <c r="D1248" t="inlineStr">
        <is>
          <t>GÄVLEBORGS LÄN</t>
        </is>
      </c>
      <c r="E1248" t="inlineStr">
        <is>
          <t>LJUSDAL</t>
        </is>
      </c>
      <c r="F1248" t="inlineStr">
        <is>
          <t>Bergvik skog väst AB</t>
        </is>
      </c>
      <c r="G1248" t="n">
        <v>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40766-2022</t>
        </is>
      </c>
      <c r="B1249" s="1" t="n">
        <v>44824</v>
      </c>
      <c r="C1249" s="1" t="n">
        <v>45811</v>
      </c>
      <c r="D1249" t="inlineStr">
        <is>
          <t>GÄVLEBORGS LÄN</t>
        </is>
      </c>
      <c r="E1249" t="inlineStr">
        <is>
          <t>LJUSDAL</t>
        </is>
      </c>
      <c r="F1249" t="inlineStr">
        <is>
          <t>Holmen skog AB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40729-2022</t>
        </is>
      </c>
      <c r="B1250" s="1" t="n">
        <v>44824</v>
      </c>
      <c r="C1250" s="1" t="n">
        <v>45811</v>
      </c>
      <c r="D1250" t="inlineStr">
        <is>
          <t>GÄVLEBORGS LÄN</t>
        </is>
      </c>
      <c r="E1250" t="inlineStr">
        <is>
          <t>LJUSDAL</t>
        </is>
      </c>
      <c r="F1250" t="inlineStr">
        <is>
          <t>Holmen skog AB</t>
        </is>
      </c>
      <c r="G1250" t="n">
        <v>1.5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40787-2022</t>
        </is>
      </c>
      <c r="B1251" s="1" t="n">
        <v>44824</v>
      </c>
      <c r="C1251" s="1" t="n">
        <v>45811</v>
      </c>
      <c r="D1251" t="inlineStr">
        <is>
          <t>GÄVLEBORGS LÄN</t>
        </is>
      </c>
      <c r="E1251" t="inlineStr">
        <is>
          <t>LJUSDAL</t>
        </is>
      </c>
      <c r="F1251" t="inlineStr">
        <is>
          <t>Holmen skog AB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41285-2022</t>
        </is>
      </c>
      <c r="B1252" s="1" t="n">
        <v>44826</v>
      </c>
      <c r="C1252" s="1" t="n">
        <v>45811</v>
      </c>
      <c r="D1252" t="inlineStr">
        <is>
          <t>GÄVLEBORGS LÄN</t>
        </is>
      </c>
      <c r="E1252" t="inlineStr">
        <is>
          <t>LJUSDAL</t>
        </is>
      </c>
      <c r="G1252" t="n">
        <v>1.8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41461-2022</t>
        </is>
      </c>
      <c r="B1253" s="1" t="n">
        <v>44827</v>
      </c>
      <c r="C1253" s="1" t="n">
        <v>45811</v>
      </c>
      <c r="D1253" t="inlineStr">
        <is>
          <t>GÄVLEBORGS LÄN</t>
        </is>
      </c>
      <c r="E1253" t="inlineStr">
        <is>
          <t>LJUSDAL</t>
        </is>
      </c>
      <c r="F1253" t="inlineStr">
        <is>
          <t>SCA</t>
        </is>
      </c>
      <c r="G1253" t="n">
        <v>3.1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41698-2022</t>
        </is>
      </c>
      <c r="B1254" s="1" t="n">
        <v>44827</v>
      </c>
      <c r="C1254" s="1" t="n">
        <v>45811</v>
      </c>
      <c r="D1254" t="inlineStr">
        <is>
          <t>GÄVLEBORGS LÄN</t>
        </is>
      </c>
      <c r="E1254" t="inlineStr">
        <is>
          <t>LJUSDAL</t>
        </is>
      </c>
      <c r="F1254" t="inlineStr">
        <is>
          <t>Bergvik skog väst AB</t>
        </is>
      </c>
      <c r="G1254" t="n">
        <v>7.4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41718-2022</t>
        </is>
      </c>
      <c r="B1255" s="1" t="n">
        <v>44827</v>
      </c>
      <c r="C1255" s="1" t="n">
        <v>45811</v>
      </c>
      <c r="D1255" t="inlineStr">
        <is>
          <t>GÄVLEBORGS LÄN</t>
        </is>
      </c>
      <c r="E1255" t="inlineStr">
        <is>
          <t>LJUSDAL</t>
        </is>
      </c>
      <c r="F1255" t="inlineStr">
        <is>
          <t>Bergvik skog väst AB</t>
        </is>
      </c>
      <c r="G1255" t="n">
        <v>17.3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41525-2022</t>
        </is>
      </c>
      <c r="B1256" s="1" t="n">
        <v>44827</v>
      </c>
      <c r="C1256" s="1" t="n">
        <v>45811</v>
      </c>
      <c r="D1256" t="inlineStr">
        <is>
          <t>GÄVLEBORGS LÄN</t>
        </is>
      </c>
      <c r="E1256" t="inlineStr">
        <is>
          <t>LJUSDAL</t>
        </is>
      </c>
      <c r="F1256" t="inlineStr">
        <is>
          <t>Holmen skog AB</t>
        </is>
      </c>
      <c r="G1256" t="n">
        <v>1.4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41848-2022</t>
        </is>
      </c>
      <c r="B1257" s="1" t="n">
        <v>44828</v>
      </c>
      <c r="C1257" s="1" t="n">
        <v>45811</v>
      </c>
      <c r="D1257" t="inlineStr">
        <is>
          <t>GÄVLEBORGS LÄN</t>
        </is>
      </c>
      <c r="E1257" t="inlineStr">
        <is>
          <t>LJUSDAL</t>
        </is>
      </c>
      <c r="G1257" t="n">
        <v>4.8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42330-2022</t>
        </is>
      </c>
      <c r="B1258" s="1" t="n">
        <v>44831</v>
      </c>
      <c r="C1258" s="1" t="n">
        <v>45811</v>
      </c>
      <c r="D1258" t="inlineStr">
        <is>
          <t>GÄVLEBORGS LÄN</t>
        </is>
      </c>
      <c r="E1258" t="inlineStr">
        <is>
          <t>LJUSDAL</t>
        </is>
      </c>
      <c r="F1258" t="inlineStr">
        <is>
          <t>Bergvik skog väst AB</t>
        </is>
      </c>
      <c r="G1258" t="n">
        <v>2.8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  <c r="U1258">
        <f>HYPERLINK("https://klasma.github.io/Logging_2161/knärot/A 42330-2022 karta knärot.png", "A 42330-2022")</f>
        <v/>
      </c>
      <c r="V1258">
        <f>HYPERLINK("https://klasma.github.io/Logging_2161/klagomål/A 42330-2022 FSC-klagomål.docx", "A 42330-2022")</f>
        <v/>
      </c>
      <c r="W1258">
        <f>HYPERLINK("https://klasma.github.io/Logging_2161/klagomålsmail/A 42330-2022 FSC-klagomål mail.docx", "A 42330-2022")</f>
        <v/>
      </c>
      <c r="X1258">
        <f>HYPERLINK("https://klasma.github.io/Logging_2161/tillsyn/A 42330-2022 tillsynsbegäran.docx", "A 42330-2022")</f>
        <v/>
      </c>
      <c r="Y1258">
        <f>HYPERLINK("https://klasma.github.io/Logging_2161/tillsynsmail/A 42330-2022 tillsynsbegäran mail.docx", "A 42330-2022")</f>
        <v/>
      </c>
    </row>
    <row r="1259" ht="15" customHeight="1">
      <c r="A1259" t="inlineStr">
        <is>
          <t>A 42326-2022</t>
        </is>
      </c>
      <c r="B1259" s="1" t="n">
        <v>44831</v>
      </c>
      <c r="C1259" s="1" t="n">
        <v>45811</v>
      </c>
      <c r="D1259" t="inlineStr">
        <is>
          <t>GÄVLEBORGS LÄN</t>
        </is>
      </c>
      <c r="E1259" t="inlineStr">
        <is>
          <t>LJUSDAL</t>
        </is>
      </c>
      <c r="G1259" t="n">
        <v>4.7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42347-2022</t>
        </is>
      </c>
      <c r="B1260" s="1" t="n">
        <v>44831</v>
      </c>
      <c r="C1260" s="1" t="n">
        <v>45811</v>
      </c>
      <c r="D1260" t="inlineStr">
        <is>
          <t>GÄVLEBORGS LÄN</t>
        </is>
      </c>
      <c r="E1260" t="inlineStr">
        <is>
          <t>LJUSDAL</t>
        </is>
      </c>
      <c r="F1260" t="inlineStr">
        <is>
          <t>Bergvik skog väst AB</t>
        </is>
      </c>
      <c r="G1260" t="n">
        <v>14.1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  <c r="U1260">
        <f>HYPERLINK("https://klasma.github.io/Logging_2161/knärot/A 42347-2022 karta knärot.png", "A 42347-2022")</f>
        <v/>
      </c>
      <c r="V1260">
        <f>HYPERLINK("https://klasma.github.io/Logging_2161/klagomål/A 42347-2022 FSC-klagomål.docx", "A 42347-2022")</f>
        <v/>
      </c>
      <c r="W1260">
        <f>HYPERLINK("https://klasma.github.io/Logging_2161/klagomålsmail/A 42347-2022 FSC-klagomål mail.docx", "A 42347-2022")</f>
        <v/>
      </c>
      <c r="X1260">
        <f>HYPERLINK("https://klasma.github.io/Logging_2161/tillsyn/A 42347-2022 tillsynsbegäran.docx", "A 42347-2022")</f>
        <v/>
      </c>
      <c r="Y1260">
        <f>HYPERLINK("https://klasma.github.io/Logging_2161/tillsynsmail/A 42347-2022 tillsynsbegäran mail.docx", "A 42347-2022")</f>
        <v/>
      </c>
    </row>
    <row r="1261" ht="15" customHeight="1">
      <c r="A1261" t="inlineStr">
        <is>
          <t>A 42826-2022</t>
        </is>
      </c>
      <c r="B1261" s="1" t="n">
        <v>44832</v>
      </c>
      <c r="C1261" s="1" t="n">
        <v>45811</v>
      </c>
      <c r="D1261" t="inlineStr">
        <is>
          <t>GÄVLEBORGS LÄN</t>
        </is>
      </c>
      <c r="E1261" t="inlineStr">
        <is>
          <t>LJUSDAL</t>
        </is>
      </c>
      <c r="F1261" t="inlineStr">
        <is>
          <t>Bergvik skog väst AB</t>
        </is>
      </c>
      <c r="G1261" t="n">
        <v>5.4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42839-2022</t>
        </is>
      </c>
      <c r="B1262" s="1" t="n">
        <v>44832</v>
      </c>
      <c r="C1262" s="1" t="n">
        <v>45811</v>
      </c>
      <c r="D1262" t="inlineStr">
        <is>
          <t>GÄVLEBORGS LÄN</t>
        </is>
      </c>
      <c r="E1262" t="inlineStr">
        <is>
          <t>LJUSDAL</t>
        </is>
      </c>
      <c r="F1262" t="inlineStr">
        <is>
          <t>Bergvik skog väst AB</t>
        </is>
      </c>
      <c r="G1262" t="n">
        <v>3.3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42915-2022</t>
        </is>
      </c>
      <c r="B1263" s="1" t="n">
        <v>44833</v>
      </c>
      <c r="C1263" s="1" t="n">
        <v>45811</v>
      </c>
      <c r="D1263" t="inlineStr">
        <is>
          <t>GÄVLEBORGS LÄN</t>
        </is>
      </c>
      <c r="E1263" t="inlineStr">
        <is>
          <t>LJUSDAL</t>
        </is>
      </c>
      <c r="F1263" t="inlineStr">
        <is>
          <t>Bergvik skog väst AB</t>
        </is>
      </c>
      <c r="G1263" t="n">
        <v>11.8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42961-2022</t>
        </is>
      </c>
      <c r="B1264" s="1" t="n">
        <v>44833</v>
      </c>
      <c r="C1264" s="1" t="n">
        <v>45811</v>
      </c>
      <c r="D1264" t="inlineStr">
        <is>
          <t>GÄVLEBORGS LÄN</t>
        </is>
      </c>
      <c r="E1264" t="inlineStr">
        <is>
          <t>LJUSDAL</t>
        </is>
      </c>
      <c r="F1264" t="inlineStr">
        <is>
          <t>Bergvik skog väst AB</t>
        </is>
      </c>
      <c r="G1264" t="n">
        <v>7.5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42972-2022</t>
        </is>
      </c>
      <c r="B1265" s="1" t="n">
        <v>44833</v>
      </c>
      <c r="C1265" s="1" t="n">
        <v>45811</v>
      </c>
      <c r="D1265" t="inlineStr">
        <is>
          <t>GÄVLEBORGS LÄN</t>
        </is>
      </c>
      <c r="E1265" t="inlineStr">
        <is>
          <t>LJUSDAL</t>
        </is>
      </c>
      <c r="F1265" t="inlineStr">
        <is>
          <t>Bergvik skog väst AB</t>
        </is>
      </c>
      <c r="G1265" t="n">
        <v>3.7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43016-2022</t>
        </is>
      </c>
      <c r="B1266" s="1" t="n">
        <v>44833</v>
      </c>
      <c r="C1266" s="1" t="n">
        <v>45811</v>
      </c>
      <c r="D1266" t="inlineStr">
        <is>
          <t>GÄVLEBORGS LÄN</t>
        </is>
      </c>
      <c r="E1266" t="inlineStr">
        <is>
          <t>LJUSDAL</t>
        </is>
      </c>
      <c r="F1266" t="inlineStr">
        <is>
          <t>Naturvårdsverket</t>
        </is>
      </c>
      <c r="G1266" t="n">
        <v>4.9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43024-2022</t>
        </is>
      </c>
      <c r="B1267" s="1" t="n">
        <v>44833</v>
      </c>
      <c r="C1267" s="1" t="n">
        <v>45811</v>
      </c>
      <c r="D1267" t="inlineStr">
        <is>
          <t>GÄVLEBORGS LÄN</t>
        </is>
      </c>
      <c r="E1267" t="inlineStr">
        <is>
          <t>LJUSDAL</t>
        </is>
      </c>
      <c r="G1267" t="n">
        <v>7.7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42956-2022</t>
        </is>
      </c>
      <c r="B1268" s="1" t="n">
        <v>44833</v>
      </c>
      <c r="C1268" s="1" t="n">
        <v>45811</v>
      </c>
      <c r="D1268" t="inlineStr">
        <is>
          <t>GÄVLEBORGS LÄN</t>
        </is>
      </c>
      <c r="E1268" t="inlineStr">
        <is>
          <t>LJUSDAL</t>
        </is>
      </c>
      <c r="F1268" t="inlineStr">
        <is>
          <t>Bergvik skog väst AB</t>
        </is>
      </c>
      <c r="G1268" t="n">
        <v>6.6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42918-2022</t>
        </is>
      </c>
      <c r="B1269" s="1" t="n">
        <v>44833</v>
      </c>
      <c r="C1269" s="1" t="n">
        <v>45811</v>
      </c>
      <c r="D1269" t="inlineStr">
        <is>
          <t>GÄVLEBORGS LÄN</t>
        </is>
      </c>
      <c r="E1269" t="inlineStr">
        <is>
          <t>LJUSDAL</t>
        </is>
      </c>
      <c r="F1269" t="inlineStr">
        <is>
          <t>Bergvik skog väst AB</t>
        </is>
      </c>
      <c r="G1269" t="n">
        <v>1.9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42964-2022</t>
        </is>
      </c>
      <c r="B1270" s="1" t="n">
        <v>44833</v>
      </c>
      <c r="C1270" s="1" t="n">
        <v>45811</v>
      </c>
      <c r="D1270" t="inlineStr">
        <is>
          <t>GÄVLEBORGS LÄN</t>
        </is>
      </c>
      <c r="E1270" t="inlineStr">
        <is>
          <t>LJUSDAL</t>
        </is>
      </c>
      <c r="F1270" t="inlineStr">
        <is>
          <t>Bergvik skog väst AB</t>
        </is>
      </c>
      <c r="G1270" t="n">
        <v>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42959-2022</t>
        </is>
      </c>
      <c r="B1271" s="1" t="n">
        <v>44833</v>
      </c>
      <c r="C1271" s="1" t="n">
        <v>45811</v>
      </c>
      <c r="D1271" t="inlineStr">
        <is>
          <t>GÄVLEBORGS LÄN</t>
        </is>
      </c>
      <c r="E1271" t="inlineStr">
        <is>
          <t>LJUSDAL</t>
        </is>
      </c>
      <c r="F1271" t="inlineStr">
        <is>
          <t>Bergvik skog väst AB</t>
        </is>
      </c>
      <c r="G1271" t="n">
        <v>0.5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43023-2022</t>
        </is>
      </c>
      <c r="B1272" s="1" t="n">
        <v>44833</v>
      </c>
      <c r="C1272" s="1" t="n">
        <v>45811</v>
      </c>
      <c r="D1272" t="inlineStr">
        <is>
          <t>GÄVLEBORGS LÄN</t>
        </is>
      </c>
      <c r="E1272" t="inlineStr">
        <is>
          <t>LJUSDAL</t>
        </is>
      </c>
      <c r="G1272" t="n">
        <v>1.1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43077-2022</t>
        </is>
      </c>
      <c r="B1273" s="1" t="n">
        <v>44833</v>
      </c>
      <c r="C1273" s="1" t="n">
        <v>45811</v>
      </c>
      <c r="D1273" t="inlineStr">
        <is>
          <t>GÄVLEBORGS LÄN</t>
        </is>
      </c>
      <c r="E1273" t="inlineStr">
        <is>
          <t>LJUSDAL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43060-2022</t>
        </is>
      </c>
      <c r="B1274" s="1" t="n">
        <v>44833</v>
      </c>
      <c r="C1274" s="1" t="n">
        <v>45811</v>
      </c>
      <c r="D1274" t="inlineStr">
        <is>
          <t>GÄVLEBORGS LÄN</t>
        </is>
      </c>
      <c r="E1274" t="inlineStr">
        <is>
          <t>LJUSDAL</t>
        </is>
      </c>
      <c r="G1274" t="n">
        <v>8.9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43090-2022</t>
        </is>
      </c>
      <c r="B1275" s="1" t="n">
        <v>44833</v>
      </c>
      <c r="C1275" s="1" t="n">
        <v>45811</v>
      </c>
      <c r="D1275" t="inlineStr">
        <is>
          <t>GÄVLEBORGS LÄN</t>
        </is>
      </c>
      <c r="E1275" t="inlineStr">
        <is>
          <t>LJUSDAL</t>
        </is>
      </c>
      <c r="F1275" t="inlineStr">
        <is>
          <t>Bergvik skog väst AB</t>
        </is>
      </c>
      <c r="G1275" t="n">
        <v>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43423-2022</t>
        </is>
      </c>
      <c r="B1276" s="1" t="n">
        <v>44835</v>
      </c>
      <c r="C1276" s="1" t="n">
        <v>45811</v>
      </c>
      <c r="D1276" t="inlineStr">
        <is>
          <t>GÄVLEBORGS LÄN</t>
        </is>
      </c>
      <c r="E1276" t="inlineStr">
        <is>
          <t>LJUSDAL</t>
        </is>
      </c>
      <c r="F1276" t="inlineStr">
        <is>
          <t>SCA</t>
        </is>
      </c>
      <c r="G1276" t="n">
        <v>6.2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43425-2022</t>
        </is>
      </c>
      <c r="B1277" s="1" t="n">
        <v>44834</v>
      </c>
      <c r="C1277" s="1" t="n">
        <v>45811</v>
      </c>
      <c r="D1277" t="inlineStr">
        <is>
          <t>GÄVLEBORGS LÄN</t>
        </is>
      </c>
      <c r="E1277" t="inlineStr">
        <is>
          <t>LJUSDAL</t>
        </is>
      </c>
      <c r="F1277" t="inlineStr">
        <is>
          <t>SCA</t>
        </is>
      </c>
      <c r="G1277" t="n">
        <v>0.6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43505-2022</t>
        </is>
      </c>
      <c r="B1278" s="1" t="n">
        <v>44837</v>
      </c>
      <c r="C1278" s="1" t="n">
        <v>45811</v>
      </c>
      <c r="D1278" t="inlineStr">
        <is>
          <t>GÄVLEBORGS LÄN</t>
        </is>
      </c>
      <c r="E1278" t="inlineStr">
        <is>
          <t>LJUSDAL</t>
        </is>
      </c>
      <c r="F1278" t="inlineStr">
        <is>
          <t>Naturvårdsverket</t>
        </is>
      </c>
      <c r="G1278" t="n">
        <v>0.6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43523-2022</t>
        </is>
      </c>
      <c r="B1279" s="1" t="n">
        <v>44837</v>
      </c>
      <c r="C1279" s="1" t="n">
        <v>45811</v>
      </c>
      <c r="D1279" t="inlineStr">
        <is>
          <t>GÄVLEBORGS LÄN</t>
        </is>
      </c>
      <c r="E1279" t="inlineStr">
        <is>
          <t>LJUSDAL</t>
        </is>
      </c>
      <c r="G1279" t="n">
        <v>22.4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43537-2022</t>
        </is>
      </c>
      <c r="B1280" s="1" t="n">
        <v>44837</v>
      </c>
      <c r="C1280" s="1" t="n">
        <v>45811</v>
      </c>
      <c r="D1280" t="inlineStr">
        <is>
          <t>GÄVLEBORGS LÄN</t>
        </is>
      </c>
      <c r="E1280" t="inlineStr">
        <is>
          <t>LJUSDAL</t>
        </is>
      </c>
      <c r="F1280" t="inlineStr">
        <is>
          <t>Naturvårdsverket</t>
        </is>
      </c>
      <c r="G1280" t="n">
        <v>0.7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44027-2022</t>
        </is>
      </c>
      <c r="B1281" s="1" t="n">
        <v>44839</v>
      </c>
      <c r="C1281" s="1" t="n">
        <v>45811</v>
      </c>
      <c r="D1281" t="inlineStr">
        <is>
          <t>GÄVLEBORGS LÄN</t>
        </is>
      </c>
      <c r="E1281" t="inlineStr">
        <is>
          <t>LJUSDAL</t>
        </is>
      </c>
      <c r="G1281" t="n">
        <v>4.4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44032-2022</t>
        </is>
      </c>
      <c r="B1282" s="1" t="n">
        <v>44838</v>
      </c>
      <c r="C1282" s="1" t="n">
        <v>45811</v>
      </c>
      <c r="D1282" t="inlineStr">
        <is>
          <t>GÄVLEBORGS LÄN</t>
        </is>
      </c>
      <c r="E1282" t="inlineStr">
        <is>
          <t>LJUSDAL</t>
        </is>
      </c>
      <c r="G1282" t="n">
        <v>2.6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44048-2022</t>
        </is>
      </c>
      <c r="B1283" s="1" t="n">
        <v>44839</v>
      </c>
      <c r="C1283" s="1" t="n">
        <v>45811</v>
      </c>
      <c r="D1283" t="inlineStr">
        <is>
          <t>GÄVLEBORGS LÄN</t>
        </is>
      </c>
      <c r="E1283" t="inlineStr">
        <is>
          <t>LJUSDAL</t>
        </is>
      </c>
      <c r="F1283" t="inlineStr">
        <is>
          <t>SCA</t>
        </is>
      </c>
      <c r="G1283" t="n">
        <v>1.9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44028-2022</t>
        </is>
      </c>
      <c r="B1284" s="1" t="n">
        <v>44838</v>
      </c>
      <c r="C1284" s="1" t="n">
        <v>45811</v>
      </c>
      <c r="D1284" t="inlineStr">
        <is>
          <t>GÄVLEBORGS LÄN</t>
        </is>
      </c>
      <c r="E1284" t="inlineStr">
        <is>
          <t>LJUSDAL</t>
        </is>
      </c>
      <c r="G1284" t="n">
        <v>4.9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44041-2022</t>
        </is>
      </c>
      <c r="B1285" s="1" t="n">
        <v>44839</v>
      </c>
      <c r="C1285" s="1" t="n">
        <v>45811</v>
      </c>
      <c r="D1285" t="inlineStr">
        <is>
          <t>GÄVLEBORGS LÄN</t>
        </is>
      </c>
      <c r="E1285" t="inlineStr">
        <is>
          <t>LJUSDAL</t>
        </is>
      </c>
      <c r="F1285" t="inlineStr">
        <is>
          <t>Naturvårdsverket</t>
        </is>
      </c>
      <c r="G1285" t="n">
        <v>2.5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44658-2022</t>
        </is>
      </c>
      <c r="B1286" s="1" t="n">
        <v>44840</v>
      </c>
      <c r="C1286" s="1" t="n">
        <v>45811</v>
      </c>
      <c r="D1286" t="inlineStr">
        <is>
          <t>GÄVLEBORGS LÄN</t>
        </is>
      </c>
      <c r="E1286" t="inlineStr">
        <is>
          <t>LJUSDAL</t>
        </is>
      </c>
      <c r="F1286" t="inlineStr">
        <is>
          <t>Bergvik skog väst AB</t>
        </is>
      </c>
      <c r="G1286" t="n">
        <v>1.5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44680-2022</t>
        </is>
      </c>
      <c r="B1287" s="1" t="n">
        <v>44840</v>
      </c>
      <c r="C1287" s="1" t="n">
        <v>45811</v>
      </c>
      <c r="D1287" t="inlineStr">
        <is>
          <t>GÄVLEBORGS LÄN</t>
        </is>
      </c>
      <c r="E1287" t="inlineStr">
        <is>
          <t>LJUSDAL</t>
        </is>
      </c>
      <c r="F1287" t="inlineStr">
        <is>
          <t>Holmen skog AB</t>
        </is>
      </c>
      <c r="G1287" t="n">
        <v>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44636-2022</t>
        </is>
      </c>
      <c r="B1288" s="1" t="n">
        <v>44840</v>
      </c>
      <c r="C1288" s="1" t="n">
        <v>45811</v>
      </c>
      <c r="D1288" t="inlineStr">
        <is>
          <t>GÄVLEBORGS LÄN</t>
        </is>
      </c>
      <c r="E1288" t="inlineStr">
        <is>
          <t>LJUSDAL</t>
        </is>
      </c>
      <c r="F1288" t="inlineStr">
        <is>
          <t>Bergvik skog väst AB</t>
        </is>
      </c>
      <c r="G1288" t="n">
        <v>4.2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45054-2022</t>
        </is>
      </c>
      <c r="B1289" s="1" t="n">
        <v>44841</v>
      </c>
      <c r="C1289" s="1" t="n">
        <v>45811</v>
      </c>
      <c r="D1289" t="inlineStr">
        <is>
          <t>GÄVLEBORGS LÄN</t>
        </is>
      </c>
      <c r="E1289" t="inlineStr">
        <is>
          <t>LJUSDAL</t>
        </is>
      </c>
      <c r="F1289" t="inlineStr">
        <is>
          <t>Sveaskog</t>
        </is>
      </c>
      <c r="G1289" t="n">
        <v>11.6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45116-2022</t>
        </is>
      </c>
      <c r="B1290" s="1" t="n">
        <v>44844</v>
      </c>
      <c r="C1290" s="1" t="n">
        <v>45811</v>
      </c>
      <c r="D1290" t="inlineStr">
        <is>
          <t>GÄVLEBORGS LÄN</t>
        </is>
      </c>
      <c r="E1290" t="inlineStr">
        <is>
          <t>LJUSDAL</t>
        </is>
      </c>
      <c r="G1290" t="n">
        <v>0.9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45414-2022</t>
        </is>
      </c>
      <c r="B1291" s="1" t="n">
        <v>44844</v>
      </c>
      <c r="C1291" s="1" t="n">
        <v>45811</v>
      </c>
      <c r="D1291" t="inlineStr">
        <is>
          <t>GÄVLEBORGS LÄN</t>
        </is>
      </c>
      <c r="E1291" t="inlineStr">
        <is>
          <t>LJUSDAL</t>
        </is>
      </c>
      <c r="F1291" t="inlineStr">
        <is>
          <t>Sveaskog</t>
        </is>
      </c>
      <c r="G1291" t="n">
        <v>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45819-2022</t>
        </is>
      </c>
      <c r="B1292" s="1" t="n">
        <v>44846</v>
      </c>
      <c r="C1292" s="1" t="n">
        <v>45811</v>
      </c>
      <c r="D1292" t="inlineStr">
        <is>
          <t>GÄVLEBORGS LÄN</t>
        </is>
      </c>
      <c r="E1292" t="inlineStr">
        <is>
          <t>LJUSDAL</t>
        </is>
      </c>
      <c r="G1292" t="n">
        <v>5.9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46157-2022</t>
        </is>
      </c>
      <c r="B1293" s="1" t="n">
        <v>44847</v>
      </c>
      <c r="C1293" s="1" t="n">
        <v>45811</v>
      </c>
      <c r="D1293" t="inlineStr">
        <is>
          <t>GÄVLEBORGS LÄN</t>
        </is>
      </c>
      <c r="E1293" t="inlineStr">
        <is>
          <t>LJUSDAL</t>
        </is>
      </c>
      <c r="F1293" t="inlineStr">
        <is>
          <t>Bergvik skog väst AB</t>
        </is>
      </c>
      <c r="G1293" t="n">
        <v>2.8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46221-2022</t>
        </is>
      </c>
      <c r="B1294" s="1" t="n">
        <v>44847</v>
      </c>
      <c r="C1294" s="1" t="n">
        <v>45811</v>
      </c>
      <c r="D1294" t="inlineStr">
        <is>
          <t>GÄVLEBORGS LÄN</t>
        </is>
      </c>
      <c r="E1294" t="inlineStr">
        <is>
          <t>LJUSDAL</t>
        </is>
      </c>
      <c r="G1294" t="n">
        <v>0.8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46198-2022</t>
        </is>
      </c>
      <c r="B1295" s="1" t="n">
        <v>44847</v>
      </c>
      <c r="C1295" s="1" t="n">
        <v>45811</v>
      </c>
      <c r="D1295" t="inlineStr">
        <is>
          <t>GÄVLEBORGS LÄN</t>
        </is>
      </c>
      <c r="E1295" t="inlineStr">
        <is>
          <t>LJUSDAL</t>
        </is>
      </c>
      <c r="F1295" t="inlineStr">
        <is>
          <t>Bergvik skog väst AB</t>
        </is>
      </c>
      <c r="G1295" t="n">
        <v>1.6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46193-2022</t>
        </is>
      </c>
      <c r="B1296" s="1" t="n">
        <v>44847</v>
      </c>
      <c r="C1296" s="1" t="n">
        <v>45811</v>
      </c>
      <c r="D1296" t="inlineStr">
        <is>
          <t>GÄVLEBORGS LÄN</t>
        </is>
      </c>
      <c r="E1296" t="inlineStr">
        <is>
          <t>LJUSDAL</t>
        </is>
      </c>
      <c r="F1296" t="inlineStr">
        <is>
          <t>Bergvik skog väst AB</t>
        </is>
      </c>
      <c r="G1296" t="n">
        <v>1.5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46256-2022</t>
        </is>
      </c>
      <c r="B1297" s="1" t="n">
        <v>44847</v>
      </c>
      <c r="C1297" s="1" t="n">
        <v>45811</v>
      </c>
      <c r="D1297" t="inlineStr">
        <is>
          <t>GÄVLEBORGS LÄN</t>
        </is>
      </c>
      <c r="E1297" t="inlineStr">
        <is>
          <t>LJUSDAL</t>
        </is>
      </c>
      <c r="F1297" t="inlineStr">
        <is>
          <t>Holmen skog AB</t>
        </is>
      </c>
      <c r="G1297" t="n">
        <v>2.5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46404-2022</t>
        </is>
      </c>
      <c r="B1298" s="1" t="n">
        <v>44848</v>
      </c>
      <c r="C1298" s="1" t="n">
        <v>45811</v>
      </c>
      <c r="D1298" t="inlineStr">
        <is>
          <t>GÄVLEBORGS LÄN</t>
        </is>
      </c>
      <c r="E1298" t="inlineStr">
        <is>
          <t>LJUSDAL</t>
        </is>
      </c>
      <c r="F1298" t="inlineStr">
        <is>
          <t>Bergvik skog väst AB</t>
        </is>
      </c>
      <c r="G1298" t="n">
        <v>9.199999999999999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46572-2022</t>
        </is>
      </c>
      <c r="B1299" s="1" t="n">
        <v>44848</v>
      </c>
      <c r="C1299" s="1" t="n">
        <v>45811</v>
      </c>
      <c r="D1299" t="inlineStr">
        <is>
          <t>GÄVLEBORGS LÄN</t>
        </is>
      </c>
      <c r="E1299" t="inlineStr">
        <is>
          <t>LJUSDAL</t>
        </is>
      </c>
      <c r="F1299" t="inlineStr">
        <is>
          <t>Sveaskog</t>
        </is>
      </c>
      <c r="G1299" t="n">
        <v>2.5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47502-2022</t>
        </is>
      </c>
      <c r="B1300" s="1" t="n">
        <v>44853</v>
      </c>
      <c r="C1300" s="1" t="n">
        <v>45811</v>
      </c>
      <c r="D1300" t="inlineStr">
        <is>
          <t>GÄVLEBORGS LÄN</t>
        </is>
      </c>
      <c r="E1300" t="inlineStr">
        <is>
          <t>LJUSDAL</t>
        </is>
      </c>
      <c r="G1300" t="n">
        <v>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47855-2022</t>
        </is>
      </c>
      <c r="B1301" s="1" t="n">
        <v>44855</v>
      </c>
      <c r="C1301" s="1" t="n">
        <v>45811</v>
      </c>
      <c r="D1301" t="inlineStr">
        <is>
          <t>GÄVLEBORGS LÄN</t>
        </is>
      </c>
      <c r="E1301" t="inlineStr">
        <is>
          <t>LJUSDAL</t>
        </is>
      </c>
      <c r="F1301" t="inlineStr">
        <is>
          <t>Sveaskog</t>
        </is>
      </c>
      <c r="G1301" t="n">
        <v>7.8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47853-2022</t>
        </is>
      </c>
      <c r="B1302" s="1" t="n">
        <v>44855</v>
      </c>
      <c r="C1302" s="1" t="n">
        <v>45811</v>
      </c>
      <c r="D1302" t="inlineStr">
        <is>
          <t>GÄVLEBORGS LÄN</t>
        </is>
      </c>
      <c r="E1302" t="inlineStr">
        <is>
          <t>LJUSDAL</t>
        </is>
      </c>
      <c r="F1302" t="inlineStr">
        <is>
          <t>Sveaskog</t>
        </is>
      </c>
      <c r="G1302" t="n">
        <v>7.5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48332-2022</t>
        </is>
      </c>
      <c r="B1303" s="1" t="n">
        <v>44858</v>
      </c>
      <c r="C1303" s="1" t="n">
        <v>45811</v>
      </c>
      <c r="D1303" t="inlineStr">
        <is>
          <t>GÄVLEBORGS LÄN</t>
        </is>
      </c>
      <c r="E1303" t="inlineStr">
        <is>
          <t>LJUSDAL</t>
        </is>
      </c>
      <c r="F1303" t="inlineStr">
        <is>
          <t>Bergvik skog väst AB</t>
        </is>
      </c>
      <c r="G1303" t="n">
        <v>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48370-2022</t>
        </is>
      </c>
      <c r="B1304" s="1" t="n">
        <v>44858</v>
      </c>
      <c r="C1304" s="1" t="n">
        <v>45811</v>
      </c>
      <c r="D1304" t="inlineStr">
        <is>
          <t>GÄVLEBORGS LÄN</t>
        </is>
      </c>
      <c r="E1304" t="inlineStr">
        <is>
          <t>LJUSDAL</t>
        </is>
      </c>
      <c r="G1304" t="n">
        <v>0.8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48330-2022</t>
        </is>
      </c>
      <c r="B1305" s="1" t="n">
        <v>44858</v>
      </c>
      <c r="C1305" s="1" t="n">
        <v>45811</v>
      </c>
      <c r="D1305" t="inlineStr">
        <is>
          <t>GÄVLEBORGS LÄN</t>
        </is>
      </c>
      <c r="E1305" t="inlineStr">
        <is>
          <t>LJUSDAL</t>
        </is>
      </c>
      <c r="G1305" t="n">
        <v>1.2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48654-2022</t>
        </is>
      </c>
      <c r="B1306" s="1" t="n">
        <v>44859</v>
      </c>
      <c r="C1306" s="1" t="n">
        <v>45811</v>
      </c>
      <c r="D1306" t="inlineStr">
        <is>
          <t>GÄVLEBORGS LÄN</t>
        </is>
      </c>
      <c r="E1306" t="inlineStr">
        <is>
          <t>LJUSDAL</t>
        </is>
      </c>
      <c r="G1306" t="n">
        <v>1.2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49172-2022</t>
        </is>
      </c>
      <c r="B1307" s="1" t="n">
        <v>44860</v>
      </c>
      <c r="C1307" s="1" t="n">
        <v>45811</v>
      </c>
      <c r="D1307" t="inlineStr">
        <is>
          <t>GÄVLEBORGS LÄN</t>
        </is>
      </c>
      <c r="E1307" t="inlineStr">
        <is>
          <t>LJUSDAL</t>
        </is>
      </c>
      <c r="G1307" t="n">
        <v>1.7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49672-2022</t>
        </is>
      </c>
      <c r="B1308" s="1" t="n">
        <v>44862</v>
      </c>
      <c r="C1308" s="1" t="n">
        <v>45811</v>
      </c>
      <c r="D1308" t="inlineStr">
        <is>
          <t>GÄVLEBORGS LÄN</t>
        </is>
      </c>
      <c r="E1308" t="inlineStr">
        <is>
          <t>LJUSDAL</t>
        </is>
      </c>
      <c r="F1308" t="inlineStr">
        <is>
          <t>Sveaskog</t>
        </is>
      </c>
      <c r="G1308" t="n">
        <v>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49716-2022</t>
        </is>
      </c>
      <c r="B1309" s="1" t="n">
        <v>44862</v>
      </c>
      <c r="C1309" s="1" t="n">
        <v>45811</v>
      </c>
      <c r="D1309" t="inlineStr">
        <is>
          <t>GÄVLEBORGS LÄN</t>
        </is>
      </c>
      <c r="E1309" t="inlineStr">
        <is>
          <t>LJUSDAL</t>
        </is>
      </c>
      <c r="G1309" t="n">
        <v>13.7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49803-2022</t>
        </is>
      </c>
      <c r="B1310" s="1" t="n">
        <v>44862</v>
      </c>
      <c r="C1310" s="1" t="n">
        <v>45811</v>
      </c>
      <c r="D1310" t="inlineStr">
        <is>
          <t>GÄVLEBORGS LÄN</t>
        </is>
      </c>
      <c r="E1310" t="inlineStr">
        <is>
          <t>LJUSDAL</t>
        </is>
      </c>
      <c r="F1310" t="inlineStr">
        <is>
          <t>Sveaskog</t>
        </is>
      </c>
      <c r="G1310" t="n">
        <v>1.9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49726-2022</t>
        </is>
      </c>
      <c r="B1311" s="1" t="n">
        <v>44862</v>
      </c>
      <c r="C1311" s="1" t="n">
        <v>45811</v>
      </c>
      <c r="D1311" t="inlineStr">
        <is>
          <t>GÄVLEBORGS LÄN</t>
        </is>
      </c>
      <c r="E1311" t="inlineStr">
        <is>
          <t>LJUSDAL</t>
        </is>
      </c>
      <c r="G1311" t="n">
        <v>3.7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49881-2022</t>
        </is>
      </c>
      <c r="B1312" s="1" t="n">
        <v>44864</v>
      </c>
      <c r="C1312" s="1" t="n">
        <v>45811</v>
      </c>
      <c r="D1312" t="inlineStr">
        <is>
          <t>GÄVLEBORGS LÄN</t>
        </is>
      </c>
      <c r="E1312" t="inlineStr">
        <is>
          <t>LJUSDAL</t>
        </is>
      </c>
      <c r="G1312" t="n">
        <v>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50299-2022</t>
        </is>
      </c>
      <c r="B1313" s="1" t="n">
        <v>44865</v>
      </c>
      <c r="C1313" s="1" t="n">
        <v>45811</v>
      </c>
      <c r="D1313" t="inlineStr">
        <is>
          <t>GÄVLEBORGS LÄN</t>
        </is>
      </c>
      <c r="E1313" t="inlineStr">
        <is>
          <t>LJUSDAL</t>
        </is>
      </c>
      <c r="G1313" t="n">
        <v>1.3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50345-2022</t>
        </is>
      </c>
      <c r="B1314" s="1" t="n">
        <v>44866</v>
      </c>
      <c r="C1314" s="1" t="n">
        <v>45811</v>
      </c>
      <c r="D1314" t="inlineStr">
        <is>
          <t>GÄVLEBORGS LÄN</t>
        </is>
      </c>
      <c r="E1314" t="inlineStr">
        <is>
          <t>LJUSDAL</t>
        </is>
      </c>
      <c r="F1314" t="inlineStr">
        <is>
          <t>Holmen skog AB</t>
        </is>
      </c>
      <c r="G1314" t="n">
        <v>10.1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50369-2022</t>
        </is>
      </c>
      <c r="B1315" s="1" t="n">
        <v>44866</v>
      </c>
      <c r="C1315" s="1" t="n">
        <v>45811</v>
      </c>
      <c r="D1315" t="inlineStr">
        <is>
          <t>GÄVLEBORGS LÄN</t>
        </is>
      </c>
      <c r="E1315" t="inlineStr">
        <is>
          <t>LJUSDAL</t>
        </is>
      </c>
      <c r="F1315" t="inlineStr">
        <is>
          <t>Bergvik skog väst AB</t>
        </is>
      </c>
      <c r="G1315" t="n">
        <v>1.2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50347-2022</t>
        </is>
      </c>
      <c r="B1316" s="1" t="n">
        <v>44866</v>
      </c>
      <c r="C1316" s="1" t="n">
        <v>45811</v>
      </c>
      <c r="D1316" t="inlineStr">
        <is>
          <t>GÄVLEBORGS LÄN</t>
        </is>
      </c>
      <c r="E1316" t="inlineStr">
        <is>
          <t>LJUSDAL</t>
        </is>
      </c>
      <c r="F1316" t="inlineStr">
        <is>
          <t>Holmen skog AB</t>
        </is>
      </c>
      <c r="G1316" t="n">
        <v>3.5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50351-2022</t>
        </is>
      </c>
      <c r="B1317" s="1" t="n">
        <v>44866</v>
      </c>
      <c r="C1317" s="1" t="n">
        <v>45811</v>
      </c>
      <c r="D1317" t="inlineStr">
        <is>
          <t>GÄVLEBORGS LÄN</t>
        </is>
      </c>
      <c r="E1317" t="inlineStr">
        <is>
          <t>LJUSDAL</t>
        </is>
      </c>
      <c r="G1317" t="n">
        <v>1.6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50567-2022</t>
        </is>
      </c>
      <c r="B1318" s="1" t="n">
        <v>44866</v>
      </c>
      <c r="C1318" s="1" t="n">
        <v>45811</v>
      </c>
      <c r="D1318" t="inlineStr">
        <is>
          <t>GÄVLEBORGS LÄN</t>
        </is>
      </c>
      <c r="E1318" t="inlineStr">
        <is>
          <t>LJUSDAL</t>
        </is>
      </c>
      <c r="F1318" t="inlineStr">
        <is>
          <t>Holmen skog AB</t>
        </is>
      </c>
      <c r="G1318" t="n">
        <v>1.8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50579-2022</t>
        </is>
      </c>
      <c r="B1319" s="1" t="n">
        <v>44866</v>
      </c>
      <c r="C1319" s="1" t="n">
        <v>45811</v>
      </c>
      <c r="D1319" t="inlineStr">
        <is>
          <t>GÄVLEBORGS LÄN</t>
        </is>
      </c>
      <c r="E1319" t="inlineStr">
        <is>
          <t>LJUSDAL</t>
        </is>
      </c>
      <c r="F1319" t="inlineStr">
        <is>
          <t>Bergvik skog väst AB</t>
        </is>
      </c>
      <c r="G1319" t="n">
        <v>3.1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50740-2022</t>
        </is>
      </c>
      <c r="B1320" s="1" t="n">
        <v>44867</v>
      </c>
      <c r="C1320" s="1" t="n">
        <v>45811</v>
      </c>
      <c r="D1320" t="inlineStr">
        <is>
          <t>GÄVLEBORGS LÄN</t>
        </is>
      </c>
      <c r="E1320" t="inlineStr">
        <is>
          <t>LJUSDAL</t>
        </is>
      </c>
      <c r="F1320" t="inlineStr">
        <is>
          <t>Kommuner</t>
        </is>
      </c>
      <c r="G1320" t="n">
        <v>5.7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50863-2022</t>
        </is>
      </c>
      <c r="B1321" s="1" t="n">
        <v>44867</v>
      </c>
      <c r="C1321" s="1" t="n">
        <v>45811</v>
      </c>
      <c r="D1321" t="inlineStr">
        <is>
          <t>GÄVLEBORGS LÄN</t>
        </is>
      </c>
      <c r="E1321" t="inlineStr">
        <is>
          <t>LJUSDAL</t>
        </is>
      </c>
      <c r="F1321" t="inlineStr">
        <is>
          <t>Holmen skog AB</t>
        </is>
      </c>
      <c r="G1321" t="n">
        <v>5.6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50931-2022</t>
        </is>
      </c>
      <c r="B1322" s="1" t="n">
        <v>44867</v>
      </c>
      <c r="C1322" s="1" t="n">
        <v>45811</v>
      </c>
      <c r="D1322" t="inlineStr">
        <is>
          <t>GÄVLEBORGS LÄN</t>
        </is>
      </c>
      <c r="E1322" t="inlineStr">
        <is>
          <t>LJUSDAL</t>
        </is>
      </c>
      <c r="F1322" t="inlineStr">
        <is>
          <t>Sveaskog</t>
        </is>
      </c>
      <c r="G1322" t="n">
        <v>9.699999999999999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50733-2022</t>
        </is>
      </c>
      <c r="B1323" s="1" t="n">
        <v>44867</v>
      </c>
      <c r="C1323" s="1" t="n">
        <v>45811</v>
      </c>
      <c r="D1323" t="inlineStr">
        <is>
          <t>GÄVLEBORGS LÄN</t>
        </is>
      </c>
      <c r="E1323" t="inlineStr">
        <is>
          <t>LJUSDAL</t>
        </is>
      </c>
      <c r="F1323" t="inlineStr">
        <is>
          <t>Kommuner</t>
        </is>
      </c>
      <c r="G1323" t="n">
        <v>6.3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50743-2022</t>
        </is>
      </c>
      <c r="B1324" s="1" t="n">
        <v>44867</v>
      </c>
      <c r="C1324" s="1" t="n">
        <v>45811</v>
      </c>
      <c r="D1324" t="inlineStr">
        <is>
          <t>GÄVLEBORGS LÄN</t>
        </is>
      </c>
      <c r="E1324" t="inlineStr">
        <is>
          <t>LJUSDAL</t>
        </is>
      </c>
      <c r="F1324" t="inlineStr">
        <is>
          <t>Kommuner</t>
        </is>
      </c>
      <c r="G1324" t="n">
        <v>0.6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50877-2022</t>
        </is>
      </c>
      <c r="B1325" s="1" t="n">
        <v>44867</v>
      </c>
      <c r="C1325" s="1" t="n">
        <v>45811</v>
      </c>
      <c r="D1325" t="inlineStr">
        <is>
          <t>GÄVLEBORGS LÄN</t>
        </is>
      </c>
      <c r="E1325" t="inlineStr">
        <is>
          <t>LJUSDAL</t>
        </is>
      </c>
      <c r="F1325" t="inlineStr">
        <is>
          <t>Holmen skog AB</t>
        </is>
      </c>
      <c r="G1325" t="n">
        <v>2.3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50927-2022</t>
        </is>
      </c>
      <c r="B1326" s="1" t="n">
        <v>44867</v>
      </c>
      <c r="C1326" s="1" t="n">
        <v>45811</v>
      </c>
      <c r="D1326" t="inlineStr">
        <is>
          <t>GÄVLEBORGS LÄN</t>
        </is>
      </c>
      <c r="E1326" t="inlineStr">
        <is>
          <t>LJUSDAL</t>
        </is>
      </c>
      <c r="F1326" t="inlineStr">
        <is>
          <t>Holmen skog AB</t>
        </is>
      </c>
      <c r="G1326" t="n">
        <v>4.4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50886-2022</t>
        </is>
      </c>
      <c r="B1327" s="1" t="n">
        <v>44867</v>
      </c>
      <c r="C1327" s="1" t="n">
        <v>45811</v>
      </c>
      <c r="D1327" t="inlineStr">
        <is>
          <t>GÄVLEBORGS LÄN</t>
        </is>
      </c>
      <c r="E1327" t="inlineStr">
        <is>
          <t>LJUSDAL</t>
        </is>
      </c>
      <c r="G1327" t="n">
        <v>2.4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51048-2022</t>
        </is>
      </c>
      <c r="B1328" s="1" t="n">
        <v>44868</v>
      </c>
      <c r="C1328" s="1" t="n">
        <v>45811</v>
      </c>
      <c r="D1328" t="inlineStr">
        <is>
          <t>GÄVLEBORGS LÄN</t>
        </is>
      </c>
      <c r="E1328" t="inlineStr">
        <is>
          <t>LJUSDAL</t>
        </is>
      </c>
      <c r="F1328" t="inlineStr">
        <is>
          <t>Bergvik skog väst AB</t>
        </is>
      </c>
      <c r="G1328" t="n">
        <v>0.7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51089-2022</t>
        </is>
      </c>
      <c r="B1329" s="1" t="n">
        <v>44868</v>
      </c>
      <c r="C1329" s="1" t="n">
        <v>45811</v>
      </c>
      <c r="D1329" t="inlineStr">
        <is>
          <t>GÄVLEBORGS LÄN</t>
        </is>
      </c>
      <c r="E1329" t="inlineStr">
        <is>
          <t>LJUSDAL</t>
        </is>
      </c>
      <c r="F1329" t="inlineStr">
        <is>
          <t>Bergvik skog väst AB</t>
        </is>
      </c>
      <c r="G1329" t="n">
        <v>2.2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51099-2022</t>
        </is>
      </c>
      <c r="B1330" s="1" t="n">
        <v>44868</v>
      </c>
      <c r="C1330" s="1" t="n">
        <v>45811</v>
      </c>
      <c r="D1330" t="inlineStr">
        <is>
          <t>GÄVLEBORGS LÄN</t>
        </is>
      </c>
      <c r="E1330" t="inlineStr">
        <is>
          <t>LJUSDAL</t>
        </is>
      </c>
      <c r="F1330" t="inlineStr">
        <is>
          <t>Bergvik skog väst AB</t>
        </is>
      </c>
      <c r="G1330" t="n">
        <v>7.1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51044-2022</t>
        </is>
      </c>
      <c r="B1331" s="1" t="n">
        <v>44868</v>
      </c>
      <c r="C1331" s="1" t="n">
        <v>45811</v>
      </c>
      <c r="D1331" t="inlineStr">
        <is>
          <t>GÄVLEBORGS LÄN</t>
        </is>
      </c>
      <c r="E1331" t="inlineStr">
        <is>
          <t>LJUSDAL</t>
        </is>
      </c>
      <c r="F1331" t="inlineStr">
        <is>
          <t>Bergvik skog väst AB</t>
        </is>
      </c>
      <c r="G1331" t="n">
        <v>2.1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51049-2022</t>
        </is>
      </c>
      <c r="B1332" s="1" t="n">
        <v>44868</v>
      </c>
      <c r="C1332" s="1" t="n">
        <v>45811</v>
      </c>
      <c r="D1332" t="inlineStr">
        <is>
          <t>GÄVLEBORGS LÄN</t>
        </is>
      </c>
      <c r="E1332" t="inlineStr">
        <is>
          <t>LJUSDAL</t>
        </is>
      </c>
      <c r="F1332" t="inlineStr">
        <is>
          <t>Bergvik skog väst AB</t>
        </is>
      </c>
      <c r="G1332" t="n">
        <v>0.5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51115-2022</t>
        </is>
      </c>
      <c r="B1333" s="1" t="n">
        <v>44868</v>
      </c>
      <c r="C1333" s="1" t="n">
        <v>45811</v>
      </c>
      <c r="D1333" t="inlineStr">
        <is>
          <t>GÄVLEBORGS LÄN</t>
        </is>
      </c>
      <c r="E1333" t="inlineStr">
        <is>
          <t>LJUSDAL</t>
        </is>
      </c>
      <c r="F1333" t="inlineStr">
        <is>
          <t>Bergvik skog väst AB</t>
        </is>
      </c>
      <c r="G1333" t="n">
        <v>12.9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51123-2022</t>
        </is>
      </c>
      <c r="B1334" s="1" t="n">
        <v>44868</v>
      </c>
      <c r="C1334" s="1" t="n">
        <v>45811</v>
      </c>
      <c r="D1334" t="inlineStr">
        <is>
          <t>GÄVLEBORGS LÄN</t>
        </is>
      </c>
      <c r="E1334" t="inlineStr">
        <is>
          <t>LJUSDAL</t>
        </is>
      </c>
      <c r="F1334" t="inlineStr">
        <is>
          <t>Sveaskog</t>
        </is>
      </c>
      <c r="G1334" t="n">
        <v>8.9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51121-2022</t>
        </is>
      </c>
      <c r="B1335" s="1" t="n">
        <v>44868</v>
      </c>
      <c r="C1335" s="1" t="n">
        <v>45811</v>
      </c>
      <c r="D1335" t="inlineStr">
        <is>
          <t>GÄVLEBORGS LÄN</t>
        </is>
      </c>
      <c r="E1335" t="inlineStr">
        <is>
          <t>LJUSDAL</t>
        </is>
      </c>
      <c r="F1335" t="inlineStr">
        <is>
          <t>Sveaskog</t>
        </is>
      </c>
      <c r="G1335" t="n">
        <v>3.1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51145-2022</t>
        </is>
      </c>
      <c r="B1336" s="1" t="n">
        <v>44868</v>
      </c>
      <c r="C1336" s="1" t="n">
        <v>45811</v>
      </c>
      <c r="D1336" t="inlineStr">
        <is>
          <t>GÄVLEBORGS LÄN</t>
        </is>
      </c>
      <c r="E1336" t="inlineStr">
        <is>
          <t>LJUSDAL</t>
        </is>
      </c>
      <c r="F1336" t="inlineStr">
        <is>
          <t>Bergvik skog väst AB</t>
        </is>
      </c>
      <c r="G1336" t="n">
        <v>3.2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51519-2022</t>
        </is>
      </c>
      <c r="B1337" s="1" t="n">
        <v>44869</v>
      </c>
      <c r="C1337" s="1" t="n">
        <v>45811</v>
      </c>
      <c r="D1337" t="inlineStr">
        <is>
          <t>GÄVLEBORGS LÄN</t>
        </is>
      </c>
      <c r="E1337" t="inlineStr">
        <is>
          <t>LJUSDAL</t>
        </is>
      </c>
      <c r="G1337" t="n">
        <v>0.5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51738-2022</t>
        </is>
      </c>
      <c r="B1338" s="1" t="n">
        <v>44872</v>
      </c>
      <c r="C1338" s="1" t="n">
        <v>45811</v>
      </c>
      <c r="D1338" t="inlineStr">
        <is>
          <t>GÄVLEBORGS LÄN</t>
        </is>
      </c>
      <c r="E1338" t="inlineStr">
        <is>
          <t>LJUSDAL</t>
        </is>
      </c>
      <c r="F1338" t="inlineStr">
        <is>
          <t>Bergvik skog väst AB</t>
        </is>
      </c>
      <c r="G1338" t="n">
        <v>6.6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51634-2022</t>
        </is>
      </c>
      <c r="B1339" s="1" t="n">
        <v>44872</v>
      </c>
      <c r="C1339" s="1" t="n">
        <v>45811</v>
      </c>
      <c r="D1339" t="inlineStr">
        <is>
          <t>GÄVLEBORGS LÄN</t>
        </is>
      </c>
      <c r="E1339" t="inlineStr">
        <is>
          <t>LJUSDAL</t>
        </is>
      </c>
      <c r="G1339" t="n">
        <v>3.1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51726-2022</t>
        </is>
      </c>
      <c r="B1340" s="1" t="n">
        <v>44872</v>
      </c>
      <c r="C1340" s="1" t="n">
        <v>45811</v>
      </c>
      <c r="D1340" t="inlineStr">
        <is>
          <t>GÄVLEBORGS LÄN</t>
        </is>
      </c>
      <c r="E1340" t="inlineStr">
        <is>
          <t>LJUSDAL</t>
        </is>
      </c>
      <c r="F1340" t="inlineStr">
        <is>
          <t>Bergvik skog väst AB</t>
        </is>
      </c>
      <c r="G1340" t="n">
        <v>9.800000000000001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51754-2022</t>
        </is>
      </c>
      <c r="B1341" s="1" t="n">
        <v>44872</v>
      </c>
      <c r="C1341" s="1" t="n">
        <v>45811</v>
      </c>
      <c r="D1341" t="inlineStr">
        <is>
          <t>GÄVLEBORGS LÄN</t>
        </is>
      </c>
      <c r="E1341" t="inlineStr">
        <is>
          <t>LJUSDAL</t>
        </is>
      </c>
      <c r="G1341" t="n">
        <v>1.3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51838-2022</t>
        </is>
      </c>
      <c r="B1342" s="1" t="n">
        <v>44872</v>
      </c>
      <c r="C1342" s="1" t="n">
        <v>45811</v>
      </c>
      <c r="D1342" t="inlineStr">
        <is>
          <t>GÄVLEBORGS LÄN</t>
        </is>
      </c>
      <c r="E1342" t="inlineStr">
        <is>
          <t>LJUSDAL</t>
        </is>
      </c>
      <c r="F1342" t="inlineStr">
        <is>
          <t>Bergvik skog väst AB</t>
        </is>
      </c>
      <c r="G1342" t="n">
        <v>3.7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51853-2022</t>
        </is>
      </c>
      <c r="B1343" s="1" t="n">
        <v>44872</v>
      </c>
      <c r="C1343" s="1" t="n">
        <v>45811</v>
      </c>
      <c r="D1343" t="inlineStr">
        <is>
          <t>GÄVLEBORGS LÄN</t>
        </is>
      </c>
      <c r="E1343" t="inlineStr">
        <is>
          <t>LJUSDAL</t>
        </is>
      </c>
      <c r="F1343" t="inlineStr">
        <is>
          <t>Bergvik skog väst AB</t>
        </is>
      </c>
      <c r="G1343" t="n">
        <v>0.6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51922-2022</t>
        </is>
      </c>
      <c r="B1344" s="1" t="n">
        <v>44872</v>
      </c>
      <c r="C1344" s="1" t="n">
        <v>45811</v>
      </c>
      <c r="D1344" t="inlineStr">
        <is>
          <t>GÄVLEBORGS LÄN</t>
        </is>
      </c>
      <c r="E1344" t="inlineStr">
        <is>
          <t>LJUSDAL</t>
        </is>
      </c>
      <c r="F1344" t="inlineStr">
        <is>
          <t>Kommuner</t>
        </is>
      </c>
      <c r="G1344" t="n">
        <v>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52121-2022</t>
        </is>
      </c>
      <c r="B1345" s="1" t="n">
        <v>44873</v>
      </c>
      <c r="C1345" s="1" t="n">
        <v>45811</v>
      </c>
      <c r="D1345" t="inlineStr">
        <is>
          <t>GÄVLEBORGS LÄN</t>
        </is>
      </c>
      <c r="E1345" t="inlineStr">
        <is>
          <t>LJUSDAL</t>
        </is>
      </c>
      <c r="F1345" t="inlineStr">
        <is>
          <t>Bergvik skog väst AB</t>
        </is>
      </c>
      <c r="G1345" t="n">
        <v>6.9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52226-2022</t>
        </is>
      </c>
      <c r="B1346" s="1" t="n">
        <v>44873</v>
      </c>
      <c r="C1346" s="1" t="n">
        <v>45811</v>
      </c>
      <c r="D1346" t="inlineStr">
        <is>
          <t>GÄVLEBORGS LÄN</t>
        </is>
      </c>
      <c r="E1346" t="inlineStr">
        <is>
          <t>LJUSDAL</t>
        </is>
      </c>
      <c r="G1346" t="n">
        <v>0.6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52222-2022</t>
        </is>
      </c>
      <c r="B1347" s="1" t="n">
        <v>44873</v>
      </c>
      <c r="C1347" s="1" t="n">
        <v>45811</v>
      </c>
      <c r="D1347" t="inlineStr">
        <is>
          <t>GÄVLEBORGS LÄN</t>
        </is>
      </c>
      <c r="E1347" t="inlineStr">
        <is>
          <t>LJUSDAL</t>
        </is>
      </c>
      <c r="G1347" t="n">
        <v>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52443-2022</t>
        </is>
      </c>
      <c r="B1348" s="1" t="n">
        <v>44874</v>
      </c>
      <c r="C1348" s="1" t="n">
        <v>45811</v>
      </c>
      <c r="D1348" t="inlineStr">
        <is>
          <t>GÄVLEBORGS LÄN</t>
        </is>
      </c>
      <c r="E1348" t="inlineStr">
        <is>
          <t>LJUSDAL</t>
        </is>
      </c>
      <c r="F1348" t="inlineStr">
        <is>
          <t>Kyrkan</t>
        </is>
      </c>
      <c r="G1348" t="n">
        <v>10.4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52626-2022</t>
        </is>
      </c>
      <c r="B1349" s="1" t="n">
        <v>44874</v>
      </c>
      <c r="C1349" s="1" t="n">
        <v>45811</v>
      </c>
      <c r="D1349" t="inlineStr">
        <is>
          <t>GÄVLEBORGS LÄN</t>
        </is>
      </c>
      <c r="E1349" t="inlineStr">
        <is>
          <t>LJUSDAL</t>
        </is>
      </c>
      <c r="F1349" t="inlineStr">
        <is>
          <t>Kyrkan</t>
        </is>
      </c>
      <c r="G1349" t="n">
        <v>3.4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52568-2022</t>
        </is>
      </c>
      <c r="B1350" s="1" t="n">
        <v>44874</v>
      </c>
      <c r="C1350" s="1" t="n">
        <v>45811</v>
      </c>
      <c r="D1350" t="inlineStr">
        <is>
          <t>GÄVLEBORGS LÄN</t>
        </is>
      </c>
      <c r="E1350" t="inlineStr">
        <is>
          <t>LJUSDAL</t>
        </is>
      </c>
      <c r="F1350" t="inlineStr">
        <is>
          <t>Kyrkan</t>
        </is>
      </c>
      <c r="G1350" t="n">
        <v>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52824-2022</t>
        </is>
      </c>
      <c r="B1351" s="1" t="n">
        <v>44875</v>
      </c>
      <c r="C1351" s="1" t="n">
        <v>45811</v>
      </c>
      <c r="D1351" t="inlineStr">
        <is>
          <t>GÄVLEBORGS LÄN</t>
        </is>
      </c>
      <c r="E1351" t="inlineStr">
        <is>
          <t>LJUSDAL</t>
        </is>
      </c>
      <c r="F1351" t="inlineStr">
        <is>
          <t>Bergvik skog väst AB</t>
        </is>
      </c>
      <c r="G1351" t="n">
        <v>1.9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52842-2022</t>
        </is>
      </c>
      <c r="B1352" s="1" t="n">
        <v>44875</v>
      </c>
      <c r="C1352" s="1" t="n">
        <v>45811</v>
      </c>
      <c r="D1352" t="inlineStr">
        <is>
          <t>GÄVLEBORGS LÄN</t>
        </is>
      </c>
      <c r="E1352" t="inlineStr">
        <is>
          <t>LJUSDAL</t>
        </is>
      </c>
      <c r="G1352" t="n">
        <v>0.6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53159-2022</t>
        </is>
      </c>
      <c r="B1353" s="1" t="n">
        <v>44876</v>
      </c>
      <c r="C1353" s="1" t="n">
        <v>45811</v>
      </c>
      <c r="D1353" t="inlineStr">
        <is>
          <t>GÄVLEBORGS LÄN</t>
        </is>
      </c>
      <c r="E1353" t="inlineStr">
        <is>
          <t>LJUSDAL</t>
        </is>
      </c>
      <c r="F1353" t="inlineStr">
        <is>
          <t>Kyrkan</t>
        </is>
      </c>
      <c r="G1353" t="n">
        <v>26.3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53844-2022</t>
        </is>
      </c>
      <c r="B1354" s="1" t="n">
        <v>44880</v>
      </c>
      <c r="C1354" s="1" t="n">
        <v>45811</v>
      </c>
      <c r="D1354" t="inlineStr">
        <is>
          <t>GÄVLEBORGS LÄN</t>
        </is>
      </c>
      <c r="E1354" t="inlineStr">
        <is>
          <t>LJUSDAL</t>
        </is>
      </c>
      <c r="F1354" t="inlineStr">
        <is>
          <t>Bergvik skog väst AB</t>
        </is>
      </c>
      <c r="G1354" t="n">
        <v>1.7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53927-2022</t>
        </is>
      </c>
      <c r="B1355" s="1" t="n">
        <v>44880</v>
      </c>
      <c r="C1355" s="1" t="n">
        <v>45811</v>
      </c>
      <c r="D1355" t="inlineStr">
        <is>
          <t>GÄVLEBORGS LÄN</t>
        </is>
      </c>
      <c r="E1355" t="inlineStr">
        <is>
          <t>LJUSDAL</t>
        </is>
      </c>
      <c r="F1355" t="inlineStr">
        <is>
          <t>Naturvårdsverket</t>
        </is>
      </c>
      <c r="G1355" t="n">
        <v>17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54349-2022</t>
        </is>
      </c>
      <c r="B1356" s="1" t="n">
        <v>44882</v>
      </c>
      <c r="C1356" s="1" t="n">
        <v>45811</v>
      </c>
      <c r="D1356" t="inlineStr">
        <is>
          <t>GÄVLEBORGS LÄN</t>
        </is>
      </c>
      <c r="E1356" t="inlineStr">
        <is>
          <t>LJUSDAL</t>
        </is>
      </c>
      <c r="G1356" t="n">
        <v>1.7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54908-2022</t>
        </is>
      </c>
      <c r="B1357" s="1" t="n">
        <v>44886</v>
      </c>
      <c r="C1357" s="1" t="n">
        <v>45811</v>
      </c>
      <c r="D1357" t="inlineStr">
        <is>
          <t>GÄVLEBORGS LÄN</t>
        </is>
      </c>
      <c r="E1357" t="inlineStr">
        <is>
          <t>LJUSDAL</t>
        </is>
      </c>
      <c r="G1357" t="n">
        <v>1.3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55055-2022</t>
        </is>
      </c>
      <c r="B1358" s="1" t="n">
        <v>44886</v>
      </c>
      <c r="C1358" s="1" t="n">
        <v>45811</v>
      </c>
      <c r="D1358" t="inlineStr">
        <is>
          <t>GÄVLEBORGS LÄN</t>
        </is>
      </c>
      <c r="E1358" t="inlineStr">
        <is>
          <t>LJUSDAL</t>
        </is>
      </c>
      <c r="G1358" t="n">
        <v>0.8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55215-2022</t>
        </is>
      </c>
      <c r="B1359" s="1" t="n">
        <v>44886</v>
      </c>
      <c r="C1359" s="1" t="n">
        <v>45811</v>
      </c>
      <c r="D1359" t="inlineStr">
        <is>
          <t>GÄVLEBORGS LÄN</t>
        </is>
      </c>
      <c r="E1359" t="inlineStr">
        <is>
          <t>LJUSDAL</t>
        </is>
      </c>
      <c r="F1359" t="inlineStr">
        <is>
          <t>SCA</t>
        </is>
      </c>
      <c r="G1359" t="n">
        <v>14.5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55025-2022</t>
        </is>
      </c>
      <c r="B1360" s="1" t="n">
        <v>44886</v>
      </c>
      <c r="C1360" s="1" t="n">
        <v>45811</v>
      </c>
      <c r="D1360" t="inlineStr">
        <is>
          <t>GÄVLEBORGS LÄN</t>
        </is>
      </c>
      <c r="E1360" t="inlineStr">
        <is>
          <t>LJUSDAL</t>
        </is>
      </c>
      <c r="G1360" t="n">
        <v>1.6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55046-2022</t>
        </is>
      </c>
      <c r="B1361" s="1" t="n">
        <v>44886</v>
      </c>
      <c r="C1361" s="1" t="n">
        <v>45811</v>
      </c>
      <c r="D1361" t="inlineStr">
        <is>
          <t>GÄVLEBORGS LÄN</t>
        </is>
      </c>
      <c r="E1361" t="inlineStr">
        <is>
          <t>LJUSDAL</t>
        </is>
      </c>
      <c r="F1361" t="inlineStr">
        <is>
          <t>Bergvik skog väst AB</t>
        </is>
      </c>
      <c r="G1361" t="n">
        <v>43.8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55781-2022</t>
        </is>
      </c>
      <c r="B1362" s="1" t="n">
        <v>44888</v>
      </c>
      <c r="C1362" s="1" t="n">
        <v>45811</v>
      </c>
      <c r="D1362" t="inlineStr">
        <is>
          <t>GÄVLEBORGS LÄN</t>
        </is>
      </c>
      <c r="E1362" t="inlineStr">
        <is>
          <t>LJUSDAL</t>
        </is>
      </c>
      <c r="F1362" t="inlineStr">
        <is>
          <t>Kommuner</t>
        </is>
      </c>
      <c r="G1362" t="n">
        <v>0.8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55997-2022</t>
        </is>
      </c>
      <c r="B1363" s="1" t="n">
        <v>44889</v>
      </c>
      <c r="C1363" s="1" t="n">
        <v>45811</v>
      </c>
      <c r="D1363" t="inlineStr">
        <is>
          <t>GÄVLEBORGS LÄN</t>
        </is>
      </c>
      <c r="E1363" t="inlineStr">
        <is>
          <t>LJUSDAL</t>
        </is>
      </c>
      <c r="F1363" t="inlineStr">
        <is>
          <t>Holmen skog AB</t>
        </is>
      </c>
      <c r="G1363" t="n">
        <v>5.6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55962-2022</t>
        </is>
      </c>
      <c r="B1364" s="1" t="n">
        <v>44889</v>
      </c>
      <c r="C1364" s="1" t="n">
        <v>45811</v>
      </c>
      <c r="D1364" t="inlineStr">
        <is>
          <t>GÄVLEBORGS LÄN</t>
        </is>
      </c>
      <c r="E1364" t="inlineStr">
        <is>
          <t>LJUSDAL</t>
        </is>
      </c>
      <c r="G1364" t="n">
        <v>0.1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56478-2022</t>
        </is>
      </c>
      <c r="B1365" s="1" t="n">
        <v>44893</v>
      </c>
      <c r="C1365" s="1" t="n">
        <v>45811</v>
      </c>
      <c r="D1365" t="inlineStr">
        <is>
          <t>GÄVLEBORGS LÄN</t>
        </is>
      </c>
      <c r="E1365" t="inlineStr">
        <is>
          <t>LJUSDAL</t>
        </is>
      </c>
      <c r="G1365" t="n">
        <v>5.9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56766-2022</t>
        </is>
      </c>
      <c r="B1366" s="1" t="n">
        <v>44894</v>
      </c>
      <c r="C1366" s="1" t="n">
        <v>45811</v>
      </c>
      <c r="D1366" t="inlineStr">
        <is>
          <t>GÄVLEBORGS LÄN</t>
        </is>
      </c>
      <c r="E1366" t="inlineStr">
        <is>
          <t>LJUSDAL</t>
        </is>
      </c>
      <c r="F1366" t="inlineStr">
        <is>
          <t>Holmen skog AB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57110-2022</t>
        </is>
      </c>
      <c r="B1367" s="1" t="n">
        <v>44895</v>
      </c>
      <c r="C1367" s="1" t="n">
        <v>45811</v>
      </c>
      <c r="D1367" t="inlineStr">
        <is>
          <t>GÄVLEBORGS LÄN</t>
        </is>
      </c>
      <c r="E1367" t="inlineStr">
        <is>
          <t>LJUSDAL</t>
        </is>
      </c>
      <c r="G1367" t="n">
        <v>0.4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57269-2022</t>
        </is>
      </c>
      <c r="B1368" s="1" t="n">
        <v>44895</v>
      </c>
      <c r="C1368" s="1" t="n">
        <v>45811</v>
      </c>
      <c r="D1368" t="inlineStr">
        <is>
          <t>GÄVLEBORGS LÄN</t>
        </is>
      </c>
      <c r="E1368" t="inlineStr">
        <is>
          <t>LJUSDAL</t>
        </is>
      </c>
      <c r="G1368" t="n">
        <v>0.5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57905-2022</t>
        </is>
      </c>
      <c r="B1369" s="1" t="n">
        <v>44900</v>
      </c>
      <c r="C1369" s="1" t="n">
        <v>45811</v>
      </c>
      <c r="D1369" t="inlineStr">
        <is>
          <t>GÄVLEBORGS LÄN</t>
        </is>
      </c>
      <c r="E1369" t="inlineStr">
        <is>
          <t>LJUSDAL</t>
        </is>
      </c>
      <c r="F1369" t="inlineStr">
        <is>
          <t>Allmännings- och besparingsskogar</t>
        </is>
      </c>
      <c r="G1369" t="n">
        <v>11.5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58113-2022</t>
        </is>
      </c>
      <c r="B1370" s="1" t="n">
        <v>44900</v>
      </c>
      <c r="C1370" s="1" t="n">
        <v>45811</v>
      </c>
      <c r="D1370" t="inlineStr">
        <is>
          <t>GÄVLEBORGS LÄN</t>
        </is>
      </c>
      <c r="E1370" t="inlineStr">
        <is>
          <t>LJUSDAL</t>
        </is>
      </c>
      <c r="F1370" t="inlineStr">
        <is>
          <t>Sveaskog</t>
        </is>
      </c>
      <c r="G1370" t="n">
        <v>3.1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57949-2022</t>
        </is>
      </c>
      <c r="B1371" s="1" t="n">
        <v>44900</v>
      </c>
      <c r="C1371" s="1" t="n">
        <v>45811</v>
      </c>
      <c r="D1371" t="inlineStr">
        <is>
          <t>GÄVLEBORGS LÄN</t>
        </is>
      </c>
      <c r="E1371" t="inlineStr">
        <is>
          <t>LJUSDAL</t>
        </is>
      </c>
      <c r="F1371" t="inlineStr">
        <is>
          <t>Holmen skog AB</t>
        </is>
      </c>
      <c r="G1371" t="n">
        <v>6.4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57977-2022</t>
        </is>
      </c>
      <c r="B1372" s="1" t="n">
        <v>44900</v>
      </c>
      <c r="C1372" s="1" t="n">
        <v>45811</v>
      </c>
      <c r="D1372" t="inlineStr">
        <is>
          <t>GÄVLEBORGS LÄN</t>
        </is>
      </c>
      <c r="E1372" t="inlineStr">
        <is>
          <t>LJUSDAL</t>
        </is>
      </c>
      <c r="F1372" t="inlineStr">
        <is>
          <t>Holmen skog AB</t>
        </is>
      </c>
      <c r="G1372" t="n">
        <v>2.1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58239-2022</t>
        </is>
      </c>
      <c r="B1373" s="1" t="n">
        <v>44901</v>
      </c>
      <c r="C1373" s="1" t="n">
        <v>45811</v>
      </c>
      <c r="D1373" t="inlineStr">
        <is>
          <t>GÄVLEBORGS LÄN</t>
        </is>
      </c>
      <c r="E1373" t="inlineStr">
        <is>
          <t>LJUSDAL</t>
        </is>
      </c>
      <c r="G1373" t="n">
        <v>0.5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58280-2022</t>
        </is>
      </c>
      <c r="B1374" s="1" t="n">
        <v>44901</v>
      </c>
      <c r="C1374" s="1" t="n">
        <v>45811</v>
      </c>
      <c r="D1374" t="inlineStr">
        <is>
          <t>GÄVLEBORGS LÄN</t>
        </is>
      </c>
      <c r="E1374" t="inlineStr">
        <is>
          <t>LJUSDAL</t>
        </is>
      </c>
      <c r="G1374" t="n">
        <v>0.9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58530-2022</t>
        </is>
      </c>
      <c r="B1375" s="1" t="n">
        <v>44902</v>
      </c>
      <c r="C1375" s="1" t="n">
        <v>45811</v>
      </c>
      <c r="D1375" t="inlineStr">
        <is>
          <t>GÄVLEBORGS LÄN</t>
        </is>
      </c>
      <c r="E1375" t="inlineStr">
        <is>
          <t>LJUSDAL</t>
        </is>
      </c>
      <c r="G1375" t="n">
        <v>4.8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58600-2022</t>
        </is>
      </c>
      <c r="B1376" s="1" t="n">
        <v>44902</v>
      </c>
      <c r="C1376" s="1" t="n">
        <v>45811</v>
      </c>
      <c r="D1376" t="inlineStr">
        <is>
          <t>GÄVLEBORGS LÄN</t>
        </is>
      </c>
      <c r="E1376" t="inlineStr">
        <is>
          <t>LJUSDAL</t>
        </is>
      </c>
      <c r="G1376" t="n">
        <v>4.2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58611-2022</t>
        </is>
      </c>
      <c r="B1377" s="1" t="n">
        <v>44902</v>
      </c>
      <c r="C1377" s="1" t="n">
        <v>45811</v>
      </c>
      <c r="D1377" t="inlineStr">
        <is>
          <t>GÄVLEBORGS LÄN</t>
        </is>
      </c>
      <c r="E1377" t="inlineStr">
        <is>
          <t>LJUSDAL</t>
        </is>
      </c>
      <c r="G1377" t="n">
        <v>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58783-2022</t>
        </is>
      </c>
      <c r="B1378" s="1" t="n">
        <v>44903</v>
      </c>
      <c r="C1378" s="1" t="n">
        <v>45811</v>
      </c>
      <c r="D1378" t="inlineStr">
        <is>
          <t>GÄVLEBORGS LÄN</t>
        </is>
      </c>
      <c r="E1378" t="inlineStr">
        <is>
          <t>LJUSDAL</t>
        </is>
      </c>
      <c r="F1378" t="inlineStr">
        <is>
          <t>Kyrkan</t>
        </is>
      </c>
      <c r="G1378" t="n">
        <v>5.1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58796-2022</t>
        </is>
      </c>
      <c r="B1379" s="1" t="n">
        <v>44903</v>
      </c>
      <c r="C1379" s="1" t="n">
        <v>45811</v>
      </c>
      <c r="D1379" t="inlineStr">
        <is>
          <t>GÄVLEBORGS LÄN</t>
        </is>
      </c>
      <c r="E1379" t="inlineStr">
        <is>
          <t>LJUSDAL</t>
        </is>
      </c>
      <c r="F1379" t="inlineStr">
        <is>
          <t>Kyrkan</t>
        </is>
      </c>
      <c r="G1379" t="n">
        <v>6.8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  <c r="U1379">
        <f>HYPERLINK("https://klasma.github.io/Logging_2161/knärot/A 58796-2022 karta knärot.png", "A 58796-2022")</f>
        <v/>
      </c>
      <c r="V1379">
        <f>HYPERLINK("https://klasma.github.io/Logging_2161/klagomål/A 58796-2022 FSC-klagomål.docx", "A 58796-2022")</f>
        <v/>
      </c>
      <c r="W1379">
        <f>HYPERLINK("https://klasma.github.io/Logging_2161/klagomålsmail/A 58796-2022 FSC-klagomål mail.docx", "A 58796-2022")</f>
        <v/>
      </c>
      <c r="X1379">
        <f>HYPERLINK("https://klasma.github.io/Logging_2161/tillsyn/A 58796-2022 tillsynsbegäran.docx", "A 58796-2022")</f>
        <v/>
      </c>
      <c r="Y1379">
        <f>HYPERLINK("https://klasma.github.io/Logging_2161/tillsynsmail/A 58796-2022 tillsynsbegäran mail.docx", "A 58796-2022")</f>
        <v/>
      </c>
    </row>
    <row r="1380" ht="15" customHeight="1">
      <c r="A1380" t="inlineStr">
        <is>
          <t>A 58820-2022</t>
        </is>
      </c>
      <c r="B1380" s="1" t="n">
        <v>44903</v>
      </c>
      <c r="C1380" s="1" t="n">
        <v>45811</v>
      </c>
      <c r="D1380" t="inlineStr">
        <is>
          <t>GÄVLEBORGS LÄN</t>
        </is>
      </c>
      <c r="E1380" t="inlineStr">
        <is>
          <t>LJUSDAL</t>
        </is>
      </c>
      <c r="F1380" t="inlineStr">
        <is>
          <t>Kyrkan</t>
        </is>
      </c>
      <c r="G1380" t="n">
        <v>13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59077-2022</t>
        </is>
      </c>
      <c r="B1381" s="1" t="n">
        <v>44904</v>
      </c>
      <c r="C1381" s="1" t="n">
        <v>45811</v>
      </c>
      <c r="D1381" t="inlineStr">
        <is>
          <t>GÄVLEBORGS LÄN</t>
        </is>
      </c>
      <c r="E1381" t="inlineStr">
        <is>
          <t>LJUSDAL</t>
        </is>
      </c>
      <c r="F1381" t="inlineStr">
        <is>
          <t>Holmen skog AB</t>
        </is>
      </c>
      <c r="G1381" t="n">
        <v>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59120-2022</t>
        </is>
      </c>
      <c r="B1382" s="1" t="n">
        <v>44904</v>
      </c>
      <c r="C1382" s="1" t="n">
        <v>45811</v>
      </c>
      <c r="D1382" t="inlineStr">
        <is>
          <t>GÄVLEBORGS LÄN</t>
        </is>
      </c>
      <c r="E1382" t="inlineStr">
        <is>
          <t>LJUSDAL</t>
        </is>
      </c>
      <c r="G1382" t="n">
        <v>3.8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60822-2022</t>
        </is>
      </c>
      <c r="B1383" s="1" t="n">
        <v>44904</v>
      </c>
      <c r="C1383" s="1" t="n">
        <v>45811</v>
      </c>
      <c r="D1383" t="inlineStr">
        <is>
          <t>GÄVLEBORGS LÄN</t>
        </is>
      </c>
      <c r="E1383" t="inlineStr">
        <is>
          <t>LJUSDAL</t>
        </is>
      </c>
      <c r="G1383" t="n">
        <v>0.8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59710-2022</t>
        </is>
      </c>
      <c r="B1384" s="1" t="n">
        <v>44908</v>
      </c>
      <c r="C1384" s="1" t="n">
        <v>45811</v>
      </c>
      <c r="D1384" t="inlineStr">
        <is>
          <t>GÄVLEBORGS LÄN</t>
        </is>
      </c>
      <c r="E1384" t="inlineStr">
        <is>
          <t>LJUSDAL</t>
        </is>
      </c>
      <c r="G1384" t="n">
        <v>3.3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59901-2022</t>
        </is>
      </c>
      <c r="B1385" s="1" t="n">
        <v>44908</v>
      </c>
      <c r="C1385" s="1" t="n">
        <v>45811</v>
      </c>
      <c r="D1385" t="inlineStr">
        <is>
          <t>GÄVLEBORGS LÄN</t>
        </is>
      </c>
      <c r="E1385" t="inlineStr">
        <is>
          <t>LJUSDAL</t>
        </is>
      </c>
      <c r="G1385" t="n">
        <v>10.3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59826-2022</t>
        </is>
      </c>
      <c r="B1386" s="1" t="n">
        <v>44908</v>
      </c>
      <c r="C1386" s="1" t="n">
        <v>45811</v>
      </c>
      <c r="D1386" t="inlineStr">
        <is>
          <t>GÄVLEBORGS LÄN</t>
        </is>
      </c>
      <c r="E1386" t="inlineStr">
        <is>
          <t>LJUSDAL</t>
        </is>
      </c>
      <c r="F1386" t="inlineStr">
        <is>
          <t>Kommuner</t>
        </is>
      </c>
      <c r="G1386" t="n">
        <v>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60099-2022</t>
        </is>
      </c>
      <c r="B1387" s="1" t="n">
        <v>44909</v>
      </c>
      <c r="C1387" s="1" t="n">
        <v>45811</v>
      </c>
      <c r="D1387" t="inlineStr">
        <is>
          <t>GÄVLEBORGS LÄN</t>
        </is>
      </c>
      <c r="E1387" t="inlineStr">
        <is>
          <t>LJUSDAL</t>
        </is>
      </c>
      <c r="F1387" t="inlineStr">
        <is>
          <t>Bergvik skog väst AB</t>
        </is>
      </c>
      <c r="G1387" t="n">
        <v>2.7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60118-2022</t>
        </is>
      </c>
      <c r="B1388" s="1" t="n">
        <v>44909</v>
      </c>
      <c r="C1388" s="1" t="n">
        <v>45811</v>
      </c>
      <c r="D1388" t="inlineStr">
        <is>
          <t>GÄVLEBORGS LÄN</t>
        </is>
      </c>
      <c r="E1388" t="inlineStr">
        <is>
          <t>LJUSDAL</t>
        </is>
      </c>
      <c r="F1388" t="inlineStr">
        <is>
          <t>Bergvik skog väst AB</t>
        </is>
      </c>
      <c r="G1388" t="n">
        <v>4.2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60125-2022</t>
        </is>
      </c>
      <c r="B1389" s="1" t="n">
        <v>44909</v>
      </c>
      <c r="C1389" s="1" t="n">
        <v>45811</v>
      </c>
      <c r="D1389" t="inlineStr">
        <is>
          <t>GÄVLEBORGS LÄN</t>
        </is>
      </c>
      <c r="E1389" t="inlineStr">
        <is>
          <t>LJUSDAL</t>
        </is>
      </c>
      <c r="F1389" t="inlineStr">
        <is>
          <t>Bergvik skog väst AB</t>
        </is>
      </c>
      <c r="G1389" t="n">
        <v>0.9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60121-2022</t>
        </is>
      </c>
      <c r="B1390" s="1" t="n">
        <v>44909</v>
      </c>
      <c r="C1390" s="1" t="n">
        <v>45811</v>
      </c>
      <c r="D1390" t="inlineStr">
        <is>
          <t>GÄVLEBORGS LÄN</t>
        </is>
      </c>
      <c r="E1390" t="inlineStr">
        <is>
          <t>LJUSDAL</t>
        </is>
      </c>
      <c r="F1390" t="inlineStr">
        <is>
          <t>Bergvik skog väst AB</t>
        </is>
      </c>
      <c r="G1390" t="n">
        <v>1.5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60183-2022</t>
        </is>
      </c>
      <c r="B1391" s="1" t="n">
        <v>44910</v>
      </c>
      <c r="C1391" s="1" t="n">
        <v>45811</v>
      </c>
      <c r="D1391" t="inlineStr">
        <is>
          <t>GÄVLEBORGS LÄN</t>
        </is>
      </c>
      <c r="E1391" t="inlineStr">
        <is>
          <t>LJUSDAL</t>
        </is>
      </c>
      <c r="F1391" t="inlineStr">
        <is>
          <t>Holmen skog AB</t>
        </is>
      </c>
      <c r="G1391" t="n">
        <v>14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60273-2022</t>
        </is>
      </c>
      <c r="B1392" s="1" t="n">
        <v>44910</v>
      </c>
      <c r="C1392" s="1" t="n">
        <v>45811</v>
      </c>
      <c r="D1392" t="inlineStr">
        <is>
          <t>GÄVLEBORGS LÄN</t>
        </is>
      </c>
      <c r="E1392" t="inlineStr">
        <is>
          <t>LJUSDAL</t>
        </is>
      </c>
      <c r="F1392" t="inlineStr">
        <is>
          <t>Bergvik skog väst AB</t>
        </is>
      </c>
      <c r="G1392" t="n">
        <v>3.4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60553-2022</t>
        </is>
      </c>
      <c r="B1393" s="1" t="n">
        <v>44911</v>
      </c>
      <c r="C1393" s="1" t="n">
        <v>45811</v>
      </c>
      <c r="D1393" t="inlineStr">
        <is>
          <t>GÄVLEBORGS LÄN</t>
        </is>
      </c>
      <c r="E1393" t="inlineStr">
        <is>
          <t>LJUSDAL</t>
        </is>
      </c>
      <c r="F1393" t="inlineStr">
        <is>
          <t>Bergvik skog väst AB</t>
        </is>
      </c>
      <c r="G1393" t="n">
        <v>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61157-2022</t>
        </is>
      </c>
      <c r="B1394" s="1" t="n">
        <v>44915</v>
      </c>
      <c r="C1394" s="1" t="n">
        <v>45811</v>
      </c>
      <c r="D1394" t="inlineStr">
        <is>
          <t>GÄVLEBORGS LÄN</t>
        </is>
      </c>
      <c r="E1394" t="inlineStr">
        <is>
          <t>LJUSDAL</t>
        </is>
      </c>
      <c r="F1394" t="inlineStr">
        <is>
          <t>Kommuner</t>
        </is>
      </c>
      <c r="G1394" t="n">
        <v>4.6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61124-2022</t>
        </is>
      </c>
      <c r="B1395" s="1" t="n">
        <v>44915</v>
      </c>
      <c r="C1395" s="1" t="n">
        <v>45811</v>
      </c>
      <c r="D1395" t="inlineStr">
        <is>
          <t>GÄVLEBORGS LÄN</t>
        </is>
      </c>
      <c r="E1395" t="inlineStr">
        <is>
          <t>LJUSDAL</t>
        </is>
      </c>
      <c r="F1395" t="inlineStr">
        <is>
          <t>Holmen skog AB</t>
        </is>
      </c>
      <c r="G1395" t="n">
        <v>12.1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61603-2022</t>
        </is>
      </c>
      <c r="B1396" s="1" t="n">
        <v>44916</v>
      </c>
      <c r="C1396" s="1" t="n">
        <v>45811</v>
      </c>
      <c r="D1396" t="inlineStr">
        <is>
          <t>GÄVLEBORGS LÄN</t>
        </is>
      </c>
      <c r="E1396" t="inlineStr">
        <is>
          <t>LJUSDAL</t>
        </is>
      </c>
      <c r="G1396" t="n">
        <v>1.2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62024-2022</t>
        </is>
      </c>
      <c r="B1397" s="1" t="n">
        <v>44918</v>
      </c>
      <c r="C1397" s="1" t="n">
        <v>45811</v>
      </c>
      <c r="D1397" t="inlineStr">
        <is>
          <t>GÄVLEBORGS LÄN</t>
        </is>
      </c>
      <c r="E1397" t="inlineStr">
        <is>
          <t>LJUSDAL</t>
        </is>
      </c>
      <c r="F1397" t="inlineStr">
        <is>
          <t>Holmen skog AB</t>
        </is>
      </c>
      <c r="G1397" t="n">
        <v>1.2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62030-2022</t>
        </is>
      </c>
      <c r="B1398" s="1" t="n">
        <v>44918</v>
      </c>
      <c r="C1398" s="1" t="n">
        <v>45811</v>
      </c>
      <c r="D1398" t="inlineStr">
        <is>
          <t>GÄVLEBORGS LÄN</t>
        </is>
      </c>
      <c r="E1398" t="inlineStr">
        <is>
          <t>LJUSDAL</t>
        </is>
      </c>
      <c r="F1398" t="inlineStr">
        <is>
          <t>Holmen skog AB</t>
        </is>
      </c>
      <c r="G1398" t="n">
        <v>0.8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62200-2022</t>
        </is>
      </c>
      <c r="B1399" s="1" t="n">
        <v>44922</v>
      </c>
      <c r="C1399" s="1" t="n">
        <v>45811</v>
      </c>
      <c r="D1399" t="inlineStr">
        <is>
          <t>GÄVLEBORGS LÄN</t>
        </is>
      </c>
      <c r="E1399" t="inlineStr">
        <is>
          <t>LJUSDAL</t>
        </is>
      </c>
      <c r="F1399" t="inlineStr">
        <is>
          <t>Holmen skog AB</t>
        </is>
      </c>
      <c r="G1399" t="n">
        <v>10.8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62420-2022</t>
        </is>
      </c>
      <c r="B1400" s="1" t="n">
        <v>44924</v>
      </c>
      <c r="C1400" s="1" t="n">
        <v>45811</v>
      </c>
      <c r="D1400" t="inlineStr">
        <is>
          <t>GÄVLEBORGS LÄN</t>
        </is>
      </c>
      <c r="E1400" t="inlineStr">
        <is>
          <t>LJUSDAL</t>
        </is>
      </c>
      <c r="G1400" t="n">
        <v>2.6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62489-2022</t>
        </is>
      </c>
      <c r="B1401" s="1" t="n">
        <v>44924</v>
      </c>
      <c r="C1401" s="1" t="n">
        <v>45811</v>
      </c>
      <c r="D1401" t="inlineStr">
        <is>
          <t>GÄVLEBORGS LÄN</t>
        </is>
      </c>
      <c r="E1401" t="inlineStr">
        <is>
          <t>LJUSDAL</t>
        </is>
      </c>
      <c r="G1401" t="n">
        <v>1.2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62620-2022</t>
        </is>
      </c>
      <c r="B1402" s="1" t="n">
        <v>44925</v>
      </c>
      <c r="C1402" s="1" t="n">
        <v>45811</v>
      </c>
      <c r="D1402" t="inlineStr">
        <is>
          <t>GÄVLEBORGS LÄN</t>
        </is>
      </c>
      <c r="E1402" t="inlineStr">
        <is>
          <t>LJUSDAL</t>
        </is>
      </c>
      <c r="G1402" t="n">
        <v>11.6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62631-2022</t>
        </is>
      </c>
      <c r="B1403" s="1" t="n">
        <v>44925</v>
      </c>
      <c r="C1403" s="1" t="n">
        <v>45811</v>
      </c>
      <c r="D1403" t="inlineStr">
        <is>
          <t>GÄVLEBORGS LÄN</t>
        </is>
      </c>
      <c r="E1403" t="inlineStr">
        <is>
          <t>LJUSDAL</t>
        </is>
      </c>
      <c r="G1403" t="n">
        <v>13.8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474-2023</t>
        </is>
      </c>
      <c r="B1404" s="1" t="n">
        <v>44929</v>
      </c>
      <c r="C1404" s="1" t="n">
        <v>45811</v>
      </c>
      <c r="D1404" t="inlineStr">
        <is>
          <t>GÄVLEBORGS LÄN</t>
        </is>
      </c>
      <c r="E1404" t="inlineStr">
        <is>
          <t>LJUSDAL</t>
        </is>
      </c>
      <c r="G1404" t="n">
        <v>1.1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619-2023</t>
        </is>
      </c>
      <c r="B1405" s="1" t="n">
        <v>44930</v>
      </c>
      <c r="C1405" s="1" t="n">
        <v>45811</v>
      </c>
      <c r="D1405" t="inlineStr">
        <is>
          <t>GÄVLEBORGS LÄN</t>
        </is>
      </c>
      <c r="E1405" t="inlineStr">
        <is>
          <t>LJUSDAL</t>
        </is>
      </c>
      <c r="G1405" t="n">
        <v>3.7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599-2023</t>
        </is>
      </c>
      <c r="B1406" s="1" t="n">
        <v>44930</v>
      </c>
      <c r="C1406" s="1" t="n">
        <v>45811</v>
      </c>
      <c r="D1406" t="inlineStr">
        <is>
          <t>GÄVLEBORGS LÄN</t>
        </is>
      </c>
      <c r="E1406" t="inlineStr">
        <is>
          <t>LJUSDAL</t>
        </is>
      </c>
      <c r="F1406" t="inlineStr">
        <is>
          <t>Holmen skog AB</t>
        </is>
      </c>
      <c r="G1406" t="n">
        <v>7.9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766-2023</t>
        </is>
      </c>
      <c r="B1407" s="1" t="n">
        <v>44931</v>
      </c>
      <c r="C1407" s="1" t="n">
        <v>45811</v>
      </c>
      <c r="D1407" t="inlineStr">
        <is>
          <t>GÄVLEBORGS LÄN</t>
        </is>
      </c>
      <c r="E1407" t="inlineStr">
        <is>
          <t>LJUSDAL</t>
        </is>
      </c>
      <c r="F1407" t="inlineStr">
        <is>
          <t>Bergvik skog väst AB</t>
        </is>
      </c>
      <c r="G1407" t="n">
        <v>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835-2023</t>
        </is>
      </c>
      <c r="B1408" s="1" t="n">
        <v>44931</v>
      </c>
      <c r="C1408" s="1" t="n">
        <v>45811</v>
      </c>
      <c r="D1408" t="inlineStr">
        <is>
          <t>GÄVLEBORGS LÄN</t>
        </is>
      </c>
      <c r="E1408" t="inlineStr">
        <is>
          <t>LJUSDAL</t>
        </is>
      </c>
      <c r="G1408" t="n">
        <v>2.2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846-2023</t>
        </is>
      </c>
      <c r="B1409" s="1" t="n">
        <v>44931</v>
      </c>
      <c r="C1409" s="1" t="n">
        <v>45811</v>
      </c>
      <c r="D1409" t="inlineStr">
        <is>
          <t>GÄVLEBORGS LÄN</t>
        </is>
      </c>
      <c r="E1409" t="inlineStr">
        <is>
          <t>LJUSDAL</t>
        </is>
      </c>
      <c r="G1409" t="n">
        <v>0.7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1067-2023</t>
        </is>
      </c>
      <c r="B1410" s="1" t="n">
        <v>44935</v>
      </c>
      <c r="C1410" s="1" t="n">
        <v>45811</v>
      </c>
      <c r="D1410" t="inlineStr">
        <is>
          <t>GÄVLEBORGS LÄN</t>
        </is>
      </c>
      <c r="E1410" t="inlineStr">
        <is>
          <t>LJUSDAL</t>
        </is>
      </c>
      <c r="G1410" t="n">
        <v>3.3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1005-2023</t>
        </is>
      </c>
      <c r="B1411" s="1" t="n">
        <v>44935</v>
      </c>
      <c r="C1411" s="1" t="n">
        <v>45811</v>
      </c>
      <c r="D1411" t="inlineStr">
        <is>
          <t>GÄVLEBORGS LÄN</t>
        </is>
      </c>
      <c r="E1411" t="inlineStr">
        <is>
          <t>LJUSDAL</t>
        </is>
      </c>
      <c r="F1411" t="inlineStr">
        <is>
          <t>Holmen skog AB</t>
        </is>
      </c>
      <c r="G1411" t="n">
        <v>1.5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1259-2023</t>
        </is>
      </c>
      <c r="B1412" s="1" t="n">
        <v>44936</v>
      </c>
      <c r="C1412" s="1" t="n">
        <v>45811</v>
      </c>
      <c r="D1412" t="inlineStr">
        <is>
          <t>GÄVLEBORGS LÄN</t>
        </is>
      </c>
      <c r="E1412" t="inlineStr">
        <is>
          <t>LJUSDAL</t>
        </is>
      </c>
      <c r="G1412" t="n">
        <v>1.7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1253-2023</t>
        </is>
      </c>
      <c r="B1413" s="1" t="n">
        <v>44936</v>
      </c>
      <c r="C1413" s="1" t="n">
        <v>45811</v>
      </c>
      <c r="D1413" t="inlineStr">
        <is>
          <t>GÄVLEBORGS LÄN</t>
        </is>
      </c>
      <c r="E1413" t="inlineStr">
        <is>
          <t>LJUSDAL</t>
        </is>
      </c>
      <c r="G1413" t="n">
        <v>2.3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1471-2023</t>
        </is>
      </c>
      <c r="B1414" s="1" t="n">
        <v>44937</v>
      </c>
      <c r="C1414" s="1" t="n">
        <v>45811</v>
      </c>
      <c r="D1414" t="inlineStr">
        <is>
          <t>GÄVLEBORGS LÄN</t>
        </is>
      </c>
      <c r="E1414" t="inlineStr">
        <is>
          <t>LJUSDAL</t>
        </is>
      </c>
      <c r="F1414" t="inlineStr">
        <is>
          <t>Bergvik skog väst AB</t>
        </is>
      </c>
      <c r="G1414" t="n">
        <v>5.2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1445-2023</t>
        </is>
      </c>
      <c r="B1415" s="1" t="n">
        <v>44937</v>
      </c>
      <c r="C1415" s="1" t="n">
        <v>45811</v>
      </c>
      <c r="D1415" t="inlineStr">
        <is>
          <t>GÄVLEBORGS LÄN</t>
        </is>
      </c>
      <c r="E1415" t="inlineStr">
        <is>
          <t>LJUSDAL</t>
        </is>
      </c>
      <c r="G1415" t="n">
        <v>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1584-2023</t>
        </is>
      </c>
      <c r="B1416" s="1" t="n">
        <v>44937</v>
      </c>
      <c r="C1416" s="1" t="n">
        <v>45811</v>
      </c>
      <c r="D1416" t="inlineStr">
        <is>
          <t>GÄVLEBORGS LÄN</t>
        </is>
      </c>
      <c r="E1416" t="inlineStr">
        <is>
          <t>LJUSDAL</t>
        </is>
      </c>
      <c r="G1416" t="n">
        <v>1.9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2013-2023</t>
        </is>
      </c>
      <c r="B1417" s="1" t="n">
        <v>44939</v>
      </c>
      <c r="C1417" s="1" t="n">
        <v>45811</v>
      </c>
      <c r="D1417" t="inlineStr">
        <is>
          <t>GÄVLEBORGS LÄN</t>
        </is>
      </c>
      <c r="E1417" t="inlineStr">
        <is>
          <t>LJUSDAL</t>
        </is>
      </c>
      <c r="F1417" t="inlineStr">
        <is>
          <t>Sveaskog</t>
        </is>
      </c>
      <c r="G1417" t="n">
        <v>3.1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2248-2023</t>
        </is>
      </c>
      <c r="B1418" s="1" t="n">
        <v>44942</v>
      </c>
      <c r="C1418" s="1" t="n">
        <v>45811</v>
      </c>
      <c r="D1418" t="inlineStr">
        <is>
          <t>GÄVLEBORGS LÄN</t>
        </is>
      </c>
      <c r="E1418" t="inlineStr">
        <is>
          <t>LJUSDAL</t>
        </is>
      </c>
      <c r="G1418" t="n">
        <v>2.5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2330-2023</t>
        </is>
      </c>
      <c r="B1419" s="1" t="n">
        <v>44942</v>
      </c>
      <c r="C1419" s="1" t="n">
        <v>45811</v>
      </c>
      <c r="D1419" t="inlineStr">
        <is>
          <t>GÄVLEBORGS LÄN</t>
        </is>
      </c>
      <c r="E1419" t="inlineStr">
        <is>
          <t>LJUSDAL</t>
        </is>
      </c>
      <c r="G1419" t="n">
        <v>1.8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2378-2023</t>
        </is>
      </c>
      <c r="B1420" s="1" t="n">
        <v>44942</v>
      </c>
      <c r="C1420" s="1" t="n">
        <v>45811</v>
      </c>
      <c r="D1420" t="inlineStr">
        <is>
          <t>GÄVLEBORGS LÄN</t>
        </is>
      </c>
      <c r="E1420" t="inlineStr">
        <is>
          <t>LJUSDAL</t>
        </is>
      </c>
      <c r="G1420" t="n">
        <v>4.8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2370-2023</t>
        </is>
      </c>
      <c r="B1421" s="1" t="n">
        <v>44942</v>
      </c>
      <c r="C1421" s="1" t="n">
        <v>45811</v>
      </c>
      <c r="D1421" t="inlineStr">
        <is>
          <t>GÄVLEBORGS LÄN</t>
        </is>
      </c>
      <c r="E1421" t="inlineStr">
        <is>
          <t>LJUSDAL</t>
        </is>
      </c>
      <c r="G1421" t="n">
        <v>3.2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3193-2023</t>
        </is>
      </c>
      <c r="B1422" s="1" t="n">
        <v>44946</v>
      </c>
      <c r="C1422" s="1" t="n">
        <v>45811</v>
      </c>
      <c r="D1422" t="inlineStr">
        <is>
          <t>GÄVLEBORGS LÄN</t>
        </is>
      </c>
      <c r="E1422" t="inlineStr">
        <is>
          <t>LJUSDAL</t>
        </is>
      </c>
      <c r="F1422" t="inlineStr">
        <is>
          <t>Holmen skog AB</t>
        </is>
      </c>
      <c r="G1422" t="n">
        <v>25.7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3188-2023</t>
        </is>
      </c>
      <c r="B1423" s="1" t="n">
        <v>44946</v>
      </c>
      <c r="C1423" s="1" t="n">
        <v>45811</v>
      </c>
      <c r="D1423" t="inlineStr">
        <is>
          <t>GÄVLEBORGS LÄN</t>
        </is>
      </c>
      <c r="E1423" t="inlineStr">
        <is>
          <t>LJUSDAL</t>
        </is>
      </c>
      <c r="G1423" t="n">
        <v>1.3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3365-2023</t>
        </is>
      </c>
      <c r="B1424" s="1" t="n">
        <v>44949</v>
      </c>
      <c r="C1424" s="1" t="n">
        <v>45811</v>
      </c>
      <c r="D1424" t="inlineStr">
        <is>
          <t>GÄVLEBORGS LÄN</t>
        </is>
      </c>
      <c r="E1424" t="inlineStr">
        <is>
          <t>LJUSDAL</t>
        </is>
      </c>
      <c r="F1424" t="inlineStr">
        <is>
          <t>Holmen skog AB</t>
        </is>
      </c>
      <c r="G1424" t="n">
        <v>21.6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3289-2023</t>
        </is>
      </c>
      <c r="B1425" s="1" t="n">
        <v>44949</v>
      </c>
      <c r="C1425" s="1" t="n">
        <v>45811</v>
      </c>
      <c r="D1425" t="inlineStr">
        <is>
          <t>GÄVLEBORGS LÄN</t>
        </is>
      </c>
      <c r="E1425" t="inlineStr">
        <is>
          <t>LJUSDAL</t>
        </is>
      </c>
      <c r="F1425" t="inlineStr">
        <is>
          <t>Holmen skog AB</t>
        </is>
      </c>
      <c r="G1425" t="n">
        <v>1.2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3313-2023</t>
        </is>
      </c>
      <c r="B1426" s="1" t="n">
        <v>44949</v>
      </c>
      <c r="C1426" s="1" t="n">
        <v>45811</v>
      </c>
      <c r="D1426" t="inlineStr">
        <is>
          <t>GÄVLEBORGS LÄN</t>
        </is>
      </c>
      <c r="E1426" t="inlineStr">
        <is>
          <t>LJUSDAL</t>
        </is>
      </c>
      <c r="F1426" t="inlineStr">
        <is>
          <t>Holmen skog AB</t>
        </is>
      </c>
      <c r="G1426" t="n">
        <v>3.4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3370-2023</t>
        </is>
      </c>
      <c r="B1427" s="1" t="n">
        <v>44949</v>
      </c>
      <c r="C1427" s="1" t="n">
        <v>45811</v>
      </c>
      <c r="D1427" t="inlineStr">
        <is>
          <t>GÄVLEBORGS LÄN</t>
        </is>
      </c>
      <c r="E1427" t="inlineStr">
        <is>
          <t>LJUSDAL</t>
        </is>
      </c>
      <c r="G1427" t="n">
        <v>1.8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3464-2023</t>
        </is>
      </c>
      <c r="B1428" s="1" t="n">
        <v>44949</v>
      </c>
      <c r="C1428" s="1" t="n">
        <v>45811</v>
      </c>
      <c r="D1428" t="inlineStr">
        <is>
          <t>GÄVLEBORGS LÄN</t>
        </is>
      </c>
      <c r="E1428" t="inlineStr">
        <is>
          <t>LJUSDAL</t>
        </is>
      </c>
      <c r="G1428" t="n">
        <v>18.6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3532-2023</t>
        </is>
      </c>
      <c r="B1429" s="1" t="n">
        <v>44950</v>
      </c>
      <c r="C1429" s="1" t="n">
        <v>45811</v>
      </c>
      <c r="D1429" t="inlineStr">
        <is>
          <t>GÄVLEBORGS LÄN</t>
        </is>
      </c>
      <c r="E1429" t="inlineStr">
        <is>
          <t>LJUSDAL</t>
        </is>
      </c>
      <c r="G1429" t="n">
        <v>4.6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3635-2023</t>
        </is>
      </c>
      <c r="B1430" s="1" t="n">
        <v>44950</v>
      </c>
      <c r="C1430" s="1" t="n">
        <v>45811</v>
      </c>
      <c r="D1430" t="inlineStr">
        <is>
          <t>GÄVLEBORGS LÄN</t>
        </is>
      </c>
      <c r="E1430" t="inlineStr">
        <is>
          <t>LJUSDAL</t>
        </is>
      </c>
      <c r="G1430" t="n">
        <v>0.8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4039-2023</t>
        </is>
      </c>
      <c r="B1431" s="1" t="n">
        <v>44952</v>
      </c>
      <c r="C1431" s="1" t="n">
        <v>45811</v>
      </c>
      <c r="D1431" t="inlineStr">
        <is>
          <t>GÄVLEBORGS LÄN</t>
        </is>
      </c>
      <c r="E1431" t="inlineStr">
        <is>
          <t>LJUSDAL</t>
        </is>
      </c>
      <c r="F1431" t="inlineStr">
        <is>
          <t>Bergvik skog väst AB</t>
        </is>
      </c>
      <c r="G1431" t="n">
        <v>3.9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4044-2023</t>
        </is>
      </c>
      <c r="B1432" s="1" t="n">
        <v>44952</v>
      </c>
      <c r="C1432" s="1" t="n">
        <v>45811</v>
      </c>
      <c r="D1432" t="inlineStr">
        <is>
          <t>GÄVLEBORGS LÄN</t>
        </is>
      </c>
      <c r="E1432" t="inlineStr">
        <is>
          <t>LJUSDAL</t>
        </is>
      </c>
      <c r="F1432" t="inlineStr">
        <is>
          <t>Bergvik skog väst AB</t>
        </is>
      </c>
      <c r="G1432" t="n">
        <v>1.8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4053-2023</t>
        </is>
      </c>
      <c r="B1433" s="1" t="n">
        <v>44952</v>
      </c>
      <c r="C1433" s="1" t="n">
        <v>45811</v>
      </c>
      <c r="D1433" t="inlineStr">
        <is>
          <t>GÄVLEBORGS LÄN</t>
        </is>
      </c>
      <c r="E1433" t="inlineStr">
        <is>
          <t>LJUSDAL</t>
        </is>
      </c>
      <c r="F1433" t="inlineStr">
        <is>
          <t>Bergvik skog väst AB</t>
        </is>
      </c>
      <c r="G1433" t="n">
        <v>5.6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4034-2023</t>
        </is>
      </c>
      <c r="B1434" s="1" t="n">
        <v>44952</v>
      </c>
      <c r="C1434" s="1" t="n">
        <v>45811</v>
      </c>
      <c r="D1434" t="inlineStr">
        <is>
          <t>GÄVLEBORGS LÄN</t>
        </is>
      </c>
      <c r="E1434" t="inlineStr">
        <is>
          <t>LJUSDAL</t>
        </is>
      </c>
      <c r="G1434" t="n">
        <v>0.6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4197-2023</t>
        </is>
      </c>
      <c r="B1435" s="1" t="n">
        <v>44953</v>
      </c>
      <c r="C1435" s="1" t="n">
        <v>45811</v>
      </c>
      <c r="D1435" t="inlineStr">
        <is>
          <t>GÄVLEBORGS LÄN</t>
        </is>
      </c>
      <c r="E1435" t="inlineStr">
        <is>
          <t>LJUSDAL</t>
        </is>
      </c>
      <c r="F1435" t="inlineStr">
        <is>
          <t>Holmen skog AB</t>
        </is>
      </c>
      <c r="G1435" t="n">
        <v>12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4195-2023</t>
        </is>
      </c>
      <c r="B1436" s="1" t="n">
        <v>44953</v>
      </c>
      <c r="C1436" s="1" t="n">
        <v>45811</v>
      </c>
      <c r="D1436" t="inlineStr">
        <is>
          <t>GÄVLEBORGS LÄN</t>
        </is>
      </c>
      <c r="E1436" t="inlineStr">
        <is>
          <t>LJUSDAL</t>
        </is>
      </c>
      <c r="F1436" t="inlineStr">
        <is>
          <t>Holmen skog AB</t>
        </is>
      </c>
      <c r="G1436" t="n">
        <v>3.3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4148-2023</t>
        </is>
      </c>
      <c r="B1437" s="1" t="n">
        <v>44953</v>
      </c>
      <c r="C1437" s="1" t="n">
        <v>45811</v>
      </c>
      <c r="D1437" t="inlineStr">
        <is>
          <t>GÄVLEBORGS LÄN</t>
        </is>
      </c>
      <c r="E1437" t="inlineStr">
        <is>
          <t>LJUSDAL</t>
        </is>
      </c>
      <c r="F1437" t="inlineStr">
        <is>
          <t>Holmen skog AB</t>
        </is>
      </c>
      <c r="G1437" t="n">
        <v>5.4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4275-2023</t>
        </is>
      </c>
      <c r="B1438" s="1" t="n">
        <v>44953</v>
      </c>
      <c r="C1438" s="1" t="n">
        <v>45811</v>
      </c>
      <c r="D1438" t="inlineStr">
        <is>
          <t>GÄVLEBORGS LÄN</t>
        </is>
      </c>
      <c r="E1438" t="inlineStr">
        <is>
          <t>LJUSDAL</t>
        </is>
      </c>
      <c r="F1438" t="inlineStr">
        <is>
          <t>Holmen skog AB</t>
        </is>
      </c>
      <c r="G1438" t="n">
        <v>16.4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4476-2023</t>
        </is>
      </c>
      <c r="B1439" s="1" t="n">
        <v>44956</v>
      </c>
      <c r="C1439" s="1" t="n">
        <v>45811</v>
      </c>
      <c r="D1439" t="inlineStr">
        <is>
          <t>GÄVLEBORGS LÄN</t>
        </is>
      </c>
      <c r="E1439" t="inlineStr">
        <is>
          <t>LJUSDAL</t>
        </is>
      </c>
      <c r="G1439" t="n">
        <v>0.6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4525-2023</t>
        </is>
      </c>
      <c r="B1440" s="1" t="n">
        <v>44956</v>
      </c>
      <c r="C1440" s="1" t="n">
        <v>45811</v>
      </c>
      <c r="D1440" t="inlineStr">
        <is>
          <t>GÄVLEBORGS LÄN</t>
        </is>
      </c>
      <c r="E1440" t="inlineStr">
        <is>
          <t>LJUSDAL</t>
        </is>
      </c>
      <c r="G1440" t="n">
        <v>1.2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4660-2023</t>
        </is>
      </c>
      <c r="B1441" s="1" t="n">
        <v>44957</v>
      </c>
      <c r="C1441" s="1" t="n">
        <v>45811</v>
      </c>
      <c r="D1441" t="inlineStr">
        <is>
          <t>GÄVLEBORGS LÄN</t>
        </is>
      </c>
      <c r="E1441" t="inlineStr">
        <is>
          <t>LJUSDAL</t>
        </is>
      </c>
      <c r="F1441" t="inlineStr">
        <is>
          <t>Holmen skog AB</t>
        </is>
      </c>
      <c r="G1441" t="n">
        <v>1.5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4818-2023</t>
        </is>
      </c>
      <c r="B1442" s="1" t="n">
        <v>44957</v>
      </c>
      <c r="C1442" s="1" t="n">
        <v>45811</v>
      </c>
      <c r="D1442" t="inlineStr">
        <is>
          <t>GÄVLEBORGS LÄN</t>
        </is>
      </c>
      <c r="E1442" t="inlineStr">
        <is>
          <t>LJUSDAL</t>
        </is>
      </c>
      <c r="F1442" t="inlineStr">
        <is>
          <t>Holmen skog AB</t>
        </is>
      </c>
      <c r="G1442" t="n">
        <v>5.1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4865-2023</t>
        </is>
      </c>
      <c r="B1443" s="1" t="n">
        <v>44957</v>
      </c>
      <c r="C1443" s="1" t="n">
        <v>45811</v>
      </c>
      <c r="D1443" t="inlineStr">
        <is>
          <t>GÄVLEBORGS LÄN</t>
        </is>
      </c>
      <c r="E1443" t="inlineStr">
        <is>
          <t>LJUSDAL</t>
        </is>
      </c>
      <c r="G1443" t="n">
        <v>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4824-2023</t>
        </is>
      </c>
      <c r="B1444" s="1" t="n">
        <v>44957</v>
      </c>
      <c r="C1444" s="1" t="n">
        <v>45811</v>
      </c>
      <c r="D1444" t="inlineStr">
        <is>
          <t>GÄVLEBORGS LÄN</t>
        </is>
      </c>
      <c r="E1444" t="inlineStr">
        <is>
          <t>LJUSDAL</t>
        </is>
      </c>
      <c r="F1444" t="inlineStr">
        <is>
          <t>Holmen skog AB</t>
        </is>
      </c>
      <c r="G1444" t="n">
        <v>4.6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4642-2023</t>
        </is>
      </c>
      <c r="B1445" s="1" t="n">
        <v>44957</v>
      </c>
      <c r="C1445" s="1" t="n">
        <v>45811</v>
      </c>
      <c r="D1445" t="inlineStr">
        <is>
          <t>GÄVLEBORGS LÄN</t>
        </is>
      </c>
      <c r="E1445" t="inlineStr">
        <is>
          <t>LJUSDAL</t>
        </is>
      </c>
      <c r="F1445" t="inlineStr">
        <is>
          <t>Holmen skog AB</t>
        </is>
      </c>
      <c r="G1445" t="n">
        <v>1.5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4686-2023</t>
        </is>
      </c>
      <c r="B1446" s="1" t="n">
        <v>44957</v>
      </c>
      <c r="C1446" s="1" t="n">
        <v>45811</v>
      </c>
      <c r="D1446" t="inlineStr">
        <is>
          <t>GÄVLEBORGS LÄN</t>
        </is>
      </c>
      <c r="E1446" t="inlineStr">
        <is>
          <t>LJUSDAL</t>
        </is>
      </c>
      <c r="F1446" t="inlineStr">
        <is>
          <t>Holmen skog AB</t>
        </is>
      </c>
      <c r="G1446" t="n">
        <v>0.8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4805-2023</t>
        </is>
      </c>
      <c r="B1447" s="1" t="n">
        <v>44957</v>
      </c>
      <c r="C1447" s="1" t="n">
        <v>45811</v>
      </c>
      <c r="D1447" t="inlineStr">
        <is>
          <t>GÄVLEBORGS LÄN</t>
        </is>
      </c>
      <c r="E1447" t="inlineStr">
        <is>
          <t>LJUSDAL</t>
        </is>
      </c>
      <c r="F1447" t="inlineStr">
        <is>
          <t>Holmen skog AB</t>
        </is>
      </c>
      <c r="G1447" t="n">
        <v>6.9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4646-2023</t>
        </is>
      </c>
      <c r="B1448" s="1" t="n">
        <v>44957</v>
      </c>
      <c r="C1448" s="1" t="n">
        <v>45811</v>
      </c>
      <c r="D1448" t="inlineStr">
        <is>
          <t>GÄVLEBORGS LÄN</t>
        </is>
      </c>
      <c r="E1448" t="inlineStr">
        <is>
          <t>LJUSDAL</t>
        </is>
      </c>
      <c r="F1448" t="inlineStr">
        <is>
          <t>Holmen skog AB</t>
        </is>
      </c>
      <c r="G1448" t="n">
        <v>2.5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4667-2023</t>
        </is>
      </c>
      <c r="B1449" s="1" t="n">
        <v>44957</v>
      </c>
      <c r="C1449" s="1" t="n">
        <v>45811</v>
      </c>
      <c r="D1449" t="inlineStr">
        <is>
          <t>GÄVLEBORGS LÄN</t>
        </is>
      </c>
      <c r="E1449" t="inlineStr">
        <is>
          <t>LJUSDAL</t>
        </is>
      </c>
      <c r="G1449" t="n">
        <v>1.3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4862-2023</t>
        </is>
      </c>
      <c r="B1450" s="1" t="n">
        <v>44957</v>
      </c>
      <c r="C1450" s="1" t="n">
        <v>45811</v>
      </c>
      <c r="D1450" t="inlineStr">
        <is>
          <t>GÄVLEBORGS LÄN</t>
        </is>
      </c>
      <c r="E1450" t="inlineStr">
        <is>
          <t>LJUSDAL</t>
        </is>
      </c>
      <c r="G1450" t="n">
        <v>1.9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4823-2023</t>
        </is>
      </c>
      <c r="B1451" s="1" t="n">
        <v>44957</v>
      </c>
      <c r="C1451" s="1" t="n">
        <v>45811</v>
      </c>
      <c r="D1451" t="inlineStr">
        <is>
          <t>GÄVLEBORGS LÄN</t>
        </is>
      </c>
      <c r="E1451" t="inlineStr">
        <is>
          <t>LJUSDAL</t>
        </is>
      </c>
      <c r="F1451" t="inlineStr">
        <is>
          <t>Holmen skog AB</t>
        </is>
      </c>
      <c r="G1451" t="n">
        <v>4.7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4864-2023</t>
        </is>
      </c>
      <c r="B1452" s="1" t="n">
        <v>44957</v>
      </c>
      <c r="C1452" s="1" t="n">
        <v>45811</v>
      </c>
      <c r="D1452" t="inlineStr">
        <is>
          <t>GÄVLEBORGS LÄN</t>
        </is>
      </c>
      <c r="E1452" t="inlineStr">
        <is>
          <t>LJUSDAL</t>
        </is>
      </c>
      <c r="G1452" t="n">
        <v>3.4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5440-2023</t>
        </is>
      </c>
      <c r="B1453" s="1" t="n">
        <v>44959</v>
      </c>
      <c r="C1453" s="1" t="n">
        <v>45811</v>
      </c>
      <c r="D1453" t="inlineStr">
        <is>
          <t>GÄVLEBORGS LÄN</t>
        </is>
      </c>
      <c r="E1453" t="inlineStr">
        <is>
          <t>LJUSDAL</t>
        </is>
      </c>
      <c r="G1453" t="n">
        <v>2.5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5203-2023</t>
        </is>
      </c>
      <c r="B1454" s="1" t="n">
        <v>44959</v>
      </c>
      <c r="C1454" s="1" t="n">
        <v>45811</v>
      </c>
      <c r="D1454" t="inlineStr">
        <is>
          <t>GÄVLEBORGS LÄN</t>
        </is>
      </c>
      <c r="E1454" t="inlineStr">
        <is>
          <t>LJUSDAL</t>
        </is>
      </c>
      <c r="G1454" t="n">
        <v>2.5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5639-2023</t>
        </is>
      </c>
      <c r="B1455" s="1" t="n">
        <v>44960</v>
      </c>
      <c r="C1455" s="1" t="n">
        <v>45811</v>
      </c>
      <c r="D1455" t="inlineStr">
        <is>
          <t>GÄVLEBORGS LÄN</t>
        </is>
      </c>
      <c r="E1455" t="inlineStr">
        <is>
          <t>LJUSDAL</t>
        </is>
      </c>
      <c r="G1455" t="n">
        <v>3.1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5779-2023</t>
        </is>
      </c>
      <c r="B1456" s="1" t="n">
        <v>44963</v>
      </c>
      <c r="C1456" s="1" t="n">
        <v>45811</v>
      </c>
      <c r="D1456" t="inlineStr">
        <is>
          <t>GÄVLEBORGS LÄN</t>
        </is>
      </c>
      <c r="E1456" t="inlineStr">
        <is>
          <t>LJUSDAL</t>
        </is>
      </c>
      <c r="G1456" t="n">
        <v>1.3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5853-2023</t>
        </is>
      </c>
      <c r="B1457" s="1" t="n">
        <v>44963</v>
      </c>
      <c r="C1457" s="1" t="n">
        <v>45811</v>
      </c>
      <c r="D1457" t="inlineStr">
        <is>
          <t>GÄVLEBORGS LÄN</t>
        </is>
      </c>
      <c r="E1457" t="inlineStr">
        <is>
          <t>LJUSDAL</t>
        </is>
      </c>
      <c r="F1457" t="inlineStr">
        <is>
          <t>Allmännings- och besparingsskogar</t>
        </is>
      </c>
      <c r="G1457" t="n">
        <v>4.9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5833-2023</t>
        </is>
      </c>
      <c r="B1458" s="1" t="n">
        <v>44963</v>
      </c>
      <c r="C1458" s="1" t="n">
        <v>45811</v>
      </c>
      <c r="D1458" t="inlineStr">
        <is>
          <t>GÄVLEBORGS LÄN</t>
        </is>
      </c>
      <c r="E1458" t="inlineStr">
        <is>
          <t>LJUSDAL</t>
        </is>
      </c>
      <c r="G1458" t="n">
        <v>8.9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5850-2023</t>
        </is>
      </c>
      <c r="B1459" s="1" t="n">
        <v>44963</v>
      </c>
      <c r="C1459" s="1" t="n">
        <v>45811</v>
      </c>
      <c r="D1459" t="inlineStr">
        <is>
          <t>GÄVLEBORGS LÄN</t>
        </is>
      </c>
      <c r="E1459" t="inlineStr">
        <is>
          <t>LJUSDAL</t>
        </is>
      </c>
      <c r="F1459" t="inlineStr">
        <is>
          <t>Allmännings- och besparingsskogar</t>
        </is>
      </c>
      <c r="G1459" t="n">
        <v>20.5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5856-2023</t>
        </is>
      </c>
      <c r="B1460" s="1" t="n">
        <v>44963</v>
      </c>
      <c r="C1460" s="1" t="n">
        <v>45811</v>
      </c>
      <c r="D1460" t="inlineStr">
        <is>
          <t>GÄVLEBORGS LÄN</t>
        </is>
      </c>
      <c r="E1460" t="inlineStr">
        <is>
          <t>LJUSDAL</t>
        </is>
      </c>
      <c r="F1460" t="inlineStr">
        <is>
          <t>Allmännings- och besparingsskogar</t>
        </is>
      </c>
      <c r="G1460" t="n">
        <v>1.7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5912-2023</t>
        </is>
      </c>
      <c r="B1461" s="1" t="n">
        <v>44963</v>
      </c>
      <c r="C1461" s="1" t="n">
        <v>45811</v>
      </c>
      <c r="D1461" t="inlineStr">
        <is>
          <t>GÄVLEBORGS LÄN</t>
        </is>
      </c>
      <c r="E1461" t="inlineStr">
        <is>
          <t>LJUSDAL</t>
        </is>
      </c>
      <c r="G1461" t="n">
        <v>2.4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5925-2023</t>
        </is>
      </c>
      <c r="B1462" s="1" t="n">
        <v>44963</v>
      </c>
      <c r="C1462" s="1" t="n">
        <v>45811</v>
      </c>
      <c r="D1462" t="inlineStr">
        <is>
          <t>GÄVLEBORGS LÄN</t>
        </is>
      </c>
      <c r="E1462" t="inlineStr">
        <is>
          <t>LJUSDAL</t>
        </is>
      </c>
      <c r="G1462" t="n">
        <v>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5915-2023</t>
        </is>
      </c>
      <c r="B1463" s="1" t="n">
        <v>44963</v>
      </c>
      <c r="C1463" s="1" t="n">
        <v>45811</v>
      </c>
      <c r="D1463" t="inlineStr">
        <is>
          <t>GÄVLEBORGS LÄN</t>
        </is>
      </c>
      <c r="E1463" t="inlineStr">
        <is>
          <t>LJUSDAL</t>
        </is>
      </c>
      <c r="G1463" t="n">
        <v>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6153-2023</t>
        </is>
      </c>
      <c r="B1464" s="1" t="n">
        <v>44964</v>
      </c>
      <c r="C1464" s="1" t="n">
        <v>45811</v>
      </c>
      <c r="D1464" t="inlineStr">
        <is>
          <t>GÄVLEBORGS LÄN</t>
        </is>
      </c>
      <c r="E1464" t="inlineStr">
        <is>
          <t>LJUSDAL</t>
        </is>
      </c>
      <c r="F1464" t="inlineStr">
        <is>
          <t>Holmen skog AB</t>
        </is>
      </c>
      <c r="G1464" t="n">
        <v>3.2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6259-2023</t>
        </is>
      </c>
      <c r="B1465" s="1" t="n">
        <v>44965</v>
      </c>
      <c r="C1465" s="1" t="n">
        <v>45811</v>
      </c>
      <c r="D1465" t="inlineStr">
        <is>
          <t>GÄVLEBORGS LÄN</t>
        </is>
      </c>
      <c r="E1465" t="inlineStr">
        <is>
          <t>LJUSDAL</t>
        </is>
      </c>
      <c r="F1465" t="inlineStr">
        <is>
          <t>Holmen skog AB</t>
        </is>
      </c>
      <c r="G1465" t="n">
        <v>1.9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6342-2023</t>
        </is>
      </c>
      <c r="B1466" s="1" t="n">
        <v>44965</v>
      </c>
      <c r="C1466" s="1" t="n">
        <v>45811</v>
      </c>
      <c r="D1466" t="inlineStr">
        <is>
          <t>GÄVLEBORGS LÄN</t>
        </is>
      </c>
      <c r="E1466" t="inlineStr">
        <is>
          <t>LJUSDAL</t>
        </is>
      </c>
      <c r="F1466" t="inlineStr">
        <is>
          <t>Bergvik skog väst AB</t>
        </is>
      </c>
      <c r="G1466" t="n">
        <v>26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6432-2023</t>
        </is>
      </c>
      <c r="B1467" s="1" t="n">
        <v>44965</v>
      </c>
      <c r="C1467" s="1" t="n">
        <v>45811</v>
      </c>
      <c r="D1467" t="inlineStr">
        <is>
          <t>GÄVLEBORGS LÄN</t>
        </is>
      </c>
      <c r="E1467" t="inlineStr">
        <is>
          <t>LJUSDAL</t>
        </is>
      </c>
      <c r="G1467" t="n">
        <v>1.8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6861-2023</t>
        </is>
      </c>
      <c r="B1468" s="1" t="n">
        <v>44967</v>
      </c>
      <c r="C1468" s="1" t="n">
        <v>45811</v>
      </c>
      <c r="D1468" t="inlineStr">
        <is>
          <t>GÄVLEBORGS LÄN</t>
        </is>
      </c>
      <c r="E1468" t="inlineStr">
        <is>
          <t>LJUSDAL</t>
        </is>
      </c>
      <c r="F1468" t="inlineStr">
        <is>
          <t>Holmen skog AB</t>
        </is>
      </c>
      <c r="G1468" t="n">
        <v>14.2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7012-2023</t>
        </is>
      </c>
      <c r="B1469" s="1" t="n">
        <v>44967</v>
      </c>
      <c r="C1469" s="1" t="n">
        <v>45811</v>
      </c>
      <c r="D1469" t="inlineStr">
        <is>
          <t>GÄVLEBORGS LÄN</t>
        </is>
      </c>
      <c r="E1469" t="inlineStr">
        <is>
          <t>LJUSDAL</t>
        </is>
      </c>
      <c r="G1469" t="n">
        <v>1.6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7182-2023</t>
        </is>
      </c>
      <c r="B1470" s="1" t="n">
        <v>44970</v>
      </c>
      <c r="C1470" s="1" t="n">
        <v>45811</v>
      </c>
      <c r="D1470" t="inlineStr">
        <is>
          <t>GÄVLEBORGS LÄN</t>
        </is>
      </c>
      <c r="E1470" t="inlineStr">
        <is>
          <t>LJUSDAL</t>
        </is>
      </c>
      <c r="G1470" t="n">
        <v>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7177-2023</t>
        </is>
      </c>
      <c r="B1471" s="1" t="n">
        <v>44970</v>
      </c>
      <c r="C1471" s="1" t="n">
        <v>45811</v>
      </c>
      <c r="D1471" t="inlineStr">
        <is>
          <t>GÄVLEBORGS LÄN</t>
        </is>
      </c>
      <c r="E1471" t="inlineStr">
        <is>
          <t>LJUSDAL</t>
        </is>
      </c>
      <c r="G1471" t="n">
        <v>2.9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7192-2023</t>
        </is>
      </c>
      <c r="B1472" s="1" t="n">
        <v>44970</v>
      </c>
      <c r="C1472" s="1" t="n">
        <v>45811</v>
      </c>
      <c r="D1472" t="inlineStr">
        <is>
          <t>GÄVLEBORGS LÄN</t>
        </is>
      </c>
      <c r="E1472" t="inlineStr">
        <is>
          <t>LJUSDAL</t>
        </is>
      </c>
      <c r="G1472" t="n">
        <v>3.6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7578-2023</t>
        </is>
      </c>
      <c r="B1473" s="1" t="n">
        <v>44972</v>
      </c>
      <c r="C1473" s="1" t="n">
        <v>45811</v>
      </c>
      <c r="D1473" t="inlineStr">
        <is>
          <t>GÄVLEBORGS LÄN</t>
        </is>
      </c>
      <c r="E1473" t="inlineStr">
        <is>
          <t>LJUSDAL</t>
        </is>
      </c>
      <c r="F1473" t="inlineStr">
        <is>
          <t>Kommuner</t>
        </is>
      </c>
      <c r="G1473" t="n">
        <v>4.5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7569-2023</t>
        </is>
      </c>
      <c r="B1474" s="1" t="n">
        <v>44972</v>
      </c>
      <c r="C1474" s="1" t="n">
        <v>45811</v>
      </c>
      <c r="D1474" t="inlineStr">
        <is>
          <t>GÄVLEBORGS LÄN</t>
        </is>
      </c>
      <c r="E1474" t="inlineStr">
        <is>
          <t>LJUSDAL</t>
        </is>
      </c>
      <c r="F1474" t="inlineStr">
        <is>
          <t>Kommuner</t>
        </is>
      </c>
      <c r="G1474" t="n">
        <v>6.9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7576-2023</t>
        </is>
      </c>
      <c r="B1475" s="1" t="n">
        <v>44972</v>
      </c>
      <c r="C1475" s="1" t="n">
        <v>45811</v>
      </c>
      <c r="D1475" t="inlineStr">
        <is>
          <t>GÄVLEBORGS LÄN</t>
        </is>
      </c>
      <c r="E1475" t="inlineStr">
        <is>
          <t>LJUSDAL</t>
        </is>
      </c>
      <c r="F1475" t="inlineStr">
        <is>
          <t>Kommuner</t>
        </is>
      </c>
      <c r="G1475" t="n">
        <v>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8300-2023</t>
        </is>
      </c>
      <c r="B1476" s="1" t="n">
        <v>44974</v>
      </c>
      <c r="C1476" s="1" t="n">
        <v>45811</v>
      </c>
      <c r="D1476" t="inlineStr">
        <is>
          <t>GÄVLEBORGS LÄN</t>
        </is>
      </c>
      <c r="E1476" t="inlineStr">
        <is>
          <t>LJUSDAL</t>
        </is>
      </c>
      <c r="G1476" t="n">
        <v>0.9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8659-2023</t>
        </is>
      </c>
      <c r="B1477" s="1" t="n">
        <v>44977</v>
      </c>
      <c r="C1477" s="1" t="n">
        <v>45811</v>
      </c>
      <c r="D1477" t="inlineStr">
        <is>
          <t>GÄVLEBORGS LÄN</t>
        </is>
      </c>
      <c r="E1477" t="inlineStr">
        <is>
          <t>LJUSDAL</t>
        </is>
      </c>
      <c r="F1477" t="inlineStr">
        <is>
          <t>SCA</t>
        </is>
      </c>
      <c r="G1477" t="n">
        <v>8.6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8664-2023</t>
        </is>
      </c>
      <c r="B1478" s="1" t="n">
        <v>44977</v>
      </c>
      <c r="C1478" s="1" t="n">
        <v>45811</v>
      </c>
      <c r="D1478" t="inlineStr">
        <is>
          <t>GÄVLEBORGS LÄN</t>
        </is>
      </c>
      <c r="E1478" t="inlineStr">
        <is>
          <t>LJUSDAL</t>
        </is>
      </c>
      <c r="F1478" t="inlineStr">
        <is>
          <t>SCA</t>
        </is>
      </c>
      <c r="G1478" t="n">
        <v>23.3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8662-2023</t>
        </is>
      </c>
      <c r="B1479" s="1" t="n">
        <v>44977</v>
      </c>
      <c r="C1479" s="1" t="n">
        <v>45811</v>
      </c>
      <c r="D1479" t="inlineStr">
        <is>
          <t>GÄVLEBORGS LÄN</t>
        </is>
      </c>
      <c r="E1479" t="inlineStr">
        <is>
          <t>LJUSDAL</t>
        </is>
      </c>
      <c r="F1479" t="inlineStr">
        <is>
          <t>SCA</t>
        </is>
      </c>
      <c r="G1479" t="n">
        <v>17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8660-2023</t>
        </is>
      </c>
      <c r="B1480" s="1" t="n">
        <v>44977</v>
      </c>
      <c r="C1480" s="1" t="n">
        <v>45811</v>
      </c>
      <c r="D1480" t="inlineStr">
        <is>
          <t>GÄVLEBORGS LÄN</t>
        </is>
      </c>
      <c r="E1480" t="inlineStr">
        <is>
          <t>LJUSDAL</t>
        </is>
      </c>
      <c r="F1480" t="inlineStr">
        <is>
          <t>SCA</t>
        </is>
      </c>
      <c r="G1480" t="n">
        <v>6.7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8661-2023</t>
        </is>
      </c>
      <c r="B1481" s="1" t="n">
        <v>44977</v>
      </c>
      <c r="C1481" s="1" t="n">
        <v>45811</v>
      </c>
      <c r="D1481" t="inlineStr">
        <is>
          <t>GÄVLEBORGS LÄN</t>
        </is>
      </c>
      <c r="E1481" t="inlineStr">
        <is>
          <t>LJUSDAL</t>
        </is>
      </c>
      <c r="F1481" t="inlineStr">
        <is>
          <t>SCA</t>
        </is>
      </c>
      <c r="G1481" t="n">
        <v>41.6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9241-2023</t>
        </is>
      </c>
      <c r="B1482" s="1" t="n">
        <v>44980</v>
      </c>
      <c r="C1482" s="1" t="n">
        <v>45811</v>
      </c>
      <c r="D1482" t="inlineStr">
        <is>
          <t>GÄVLEBORGS LÄN</t>
        </is>
      </c>
      <c r="E1482" t="inlineStr">
        <is>
          <t>LJUSDAL</t>
        </is>
      </c>
      <c r="G1482" t="n">
        <v>5.3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10192-2023</t>
        </is>
      </c>
      <c r="B1483" s="1" t="n">
        <v>44980</v>
      </c>
      <c r="C1483" s="1" t="n">
        <v>45811</v>
      </c>
      <c r="D1483" t="inlineStr">
        <is>
          <t>GÄVLEBORGS LÄN</t>
        </is>
      </c>
      <c r="E1483" t="inlineStr">
        <is>
          <t>LJUSDAL</t>
        </is>
      </c>
      <c r="F1483" t="inlineStr">
        <is>
          <t>Allmännings- och besparingsskogar</t>
        </is>
      </c>
      <c r="G1483" t="n">
        <v>24.3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9946-2023</t>
        </is>
      </c>
      <c r="B1484" s="1" t="n">
        <v>44985</v>
      </c>
      <c r="C1484" s="1" t="n">
        <v>45811</v>
      </c>
      <c r="D1484" t="inlineStr">
        <is>
          <t>GÄVLEBORGS LÄN</t>
        </is>
      </c>
      <c r="E1484" t="inlineStr">
        <is>
          <t>LJUSDAL</t>
        </is>
      </c>
      <c r="F1484" t="inlineStr">
        <is>
          <t>Bergvik skog väst AB</t>
        </is>
      </c>
      <c r="G1484" t="n">
        <v>2.1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9926-2023</t>
        </is>
      </c>
      <c r="B1485" s="1" t="n">
        <v>44985</v>
      </c>
      <c r="C1485" s="1" t="n">
        <v>45811</v>
      </c>
      <c r="D1485" t="inlineStr">
        <is>
          <t>GÄVLEBORGS LÄN</t>
        </is>
      </c>
      <c r="E1485" t="inlineStr">
        <is>
          <t>LJUSDAL</t>
        </is>
      </c>
      <c r="F1485" t="inlineStr">
        <is>
          <t>Bergvik skog väst AB</t>
        </is>
      </c>
      <c r="G1485" t="n">
        <v>17.5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10038-2023</t>
        </is>
      </c>
      <c r="B1486" s="1" t="n">
        <v>44985</v>
      </c>
      <c r="C1486" s="1" t="n">
        <v>45811</v>
      </c>
      <c r="D1486" t="inlineStr">
        <is>
          <t>GÄVLEBORGS LÄN</t>
        </is>
      </c>
      <c r="E1486" t="inlineStr">
        <is>
          <t>LJUSDAL</t>
        </is>
      </c>
      <c r="G1486" t="n">
        <v>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9981-2023</t>
        </is>
      </c>
      <c r="B1487" s="1" t="n">
        <v>44985</v>
      </c>
      <c r="C1487" s="1" t="n">
        <v>45811</v>
      </c>
      <c r="D1487" t="inlineStr">
        <is>
          <t>GÄVLEBORGS LÄN</t>
        </is>
      </c>
      <c r="E1487" t="inlineStr">
        <is>
          <t>LJUSDAL</t>
        </is>
      </c>
      <c r="F1487" t="inlineStr">
        <is>
          <t>Bergvik skog väst AB</t>
        </is>
      </c>
      <c r="G1487" t="n">
        <v>16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10026-2023</t>
        </is>
      </c>
      <c r="B1488" s="1" t="n">
        <v>44985</v>
      </c>
      <c r="C1488" s="1" t="n">
        <v>45811</v>
      </c>
      <c r="D1488" t="inlineStr">
        <is>
          <t>GÄVLEBORGS LÄN</t>
        </is>
      </c>
      <c r="E1488" t="inlineStr">
        <is>
          <t>LJUSDAL</t>
        </is>
      </c>
      <c r="F1488" t="inlineStr">
        <is>
          <t>Holmen skog AB</t>
        </is>
      </c>
      <c r="G1488" t="n">
        <v>6.8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10176-2023</t>
        </is>
      </c>
      <c r="B1489" s="1" t="n">
        <v>44986</v>
      </c>
      <c r="C1489" s="1" t="n">
        <v>45811</v>
      </c>
      <c r="D1489" t="inlineStr">
        <is>
          <t>GÄVLEBORGS LÄN</t>
        </is>
      </c>
      <c r="E1489" t="inlineStr">
        <is>
          <t>LJUSDAL</t>
        </is>
      </c>
      <c r="F1489" t="inlineStr">
        <is>
          <t>Bergvik skog väst AB</t>
        </is>
      </c>
      <c r="G1489" t="n">
        <v>4.5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10197-2023</t>
        </is>
      </c>
      <c r="B1490" s="1" t="n">
        <v>44986</v>
      </c>
      <c r="C1490" s="1" t="n">
        <v>45811</v>
      </c>
      <c r="D1490" t="inlineStr">
        <is>
          <t>GÄVLEBORGS LÄN</t>
        </is>
      </c>
      <c r="E1490" t="inlineStr">
        <is>
          <t>LJUSDAL</t>
        </is>
      </c>
      <c r="F1490" t="inlineStr">
        <is>
          <t>Bergvik skog väst AB</t>
        </is>
      </c>
      <c r="G1490" t="n">
        <v>1.6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10163-2023</t>
        </is>
      </c>
      <c r="B1491" s="1" t="n">
        <v>44986</v>
      </c>
      <c r="C1491" s="1" t="n">
        <v>45811</v>
      </c>
      <c r="D1491" t="inlineStr">
        <is>
          <t>GÄVLEBORGS LÄN</t>
        </is>
      </c>
      <c r="E1491" t="inlineStr">
        <is>
          <t>LJUSDAL</t>
        </is>
      </c>
      <c r="F1491" t="inlineStr">
        <is>
          <t>Bergvik skog väst AB</t>
        </is>
      </c>
      <c r="G1491" t="n">
        <v>9.699999999999999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10186-2023</t>
        </is>
      </c>
      <c r="B1492" s="1" t="n">
        <v>44986</v>
      </c>
      <c r="C1492" s="1" t="n">
        <v>45811</v>
      </c>
      <c r="D1492" t="inlineStr">
        <is>
          <t>GÄVLEBORGS LÄN</t>
        </is>
      </c>
      <c r="E1492" t="inlineStr">
        <is>
          <t>LJUSDAL</t>
        </is>
      </c>
      <c r="G1492" t="n">
        <v>2.4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10213-2023</t>
        </is>
      </c>
      <c r="B1493" s="1" t="n">
        <v>44986</v>
      </c>
      <c r="C1493" s="1" t="n">
        <v>45811</v>
      </c>
      <c r="D1493" t="inlineStr">
        <is>
          <t>GÄVLEBORGS LÄN</t>
        </is>
      </c>
      <c r="E1493" t="inlineStr">
        <is>
          <t>LJUSDAL</t>
        </is>
      </c>
      <c r="F1493" t="inlineStr">
        <is>
          <t>Bergvik skog väst AB</t>
        </is>
      </c>
      <c r="G1493" t="n">
        <v>4.3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10470-2023</t>
        </is>
      </c>
      <c r="B1494" s="1" t="n">
        <v>44987</v>
      </c>
      <c r="C1494" s="1" t="n">
        <v>45811</v>
      </c>
      <c r="D1494" t="inlineStr">
        <is>
          <t>GÄVLEBORGS LÄN</t>
        </is>
      </c>
      <c r="E1494" t="inlineStr">
        <is>
          <t>LJUSDAL</t>
        </is>
      </c>
      <c r="F1494" t="inlineStr">
        <is>
          <t>Sveaskog</t>
        </is>
      </c>
      <c r="G1494" t="n">
        <v>16.2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10853-2023</t>
        </is>
      </c>
      <c r="B1495" s="1" t="n">
        <v>44991</v>
      </c>
      <c r="C1495" s="1" t="n">
        <v>45811</v>
      </c>
      <c r="D1495" t="inlineStr">
        <is>
          <t>GÄVLEBORGS LÄN</t>
        </is>
      </c>
      <c r="E1495" t="inlineStr">
        <is>
          <t>LJUSDAL</t>
        </is>
      </c>
      <c r="F1495" t="inlineStr">
        <is>
          <t>Bergvik skog väst AB</t>
        </is>
      </c>
      <c r="G1495" t="n">
        <v>12.3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10850-2023</t>
        </is>
      </c>
      <c r="B1496" s="1" t="n">
        <v>44991</v>
      </c>
      <c r="C1496" s="1" t="n">
        <v>45811</v>
      </c>
      <c r="D1496" t="inlineStr">
        <is>
          <t>GÄVLEBORGS LÄN</t>
        </is>
      </c>
      <c r="E1496" t="inlineStr">
        <is>
          <t>LJUSDAL</t>
        </is>
      </c>
      <c r="G1496" t="n">
        <v>3.8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11914-2023</t>
        </is>
      </c>
      <c r="B1497" s="1" t="n">
        <v>44995</v>
      </c>
      <c r="C1497" s="1" t="n">
        <v>45811</v>
      </c>
      <c r="D1497" t="inlineStr">
        <is>
          <t>GÄVLEBORGS LÄN</t>
        </is>
      </c>
      <c r="E1497" t="inlineStr">
        <is>
          <t>LJUSDAL</t>
        </is>
      </c>
      <c r="F1497" t="inlineStr">
        <is>
          <t>Holmen skog AB</t>
        </is>
      </c>
      <c r="G1497" t="n">
        <v>1.9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11923-2023</t>
        </is>
      </c>
      <c r="B1498" s="1" t="n">
        <v>44995</v>
      </c>
      <c r="C1498" s="1" t="n">
        <v>45811</v>
      </c>
      <c r="D1498" t="inlineStr">
        <is>
          <t>GÄVLEBORGS LÄN</t>
        </is>
      </c>
      <c r="E1498" t="inlineStr">
        <is>
          <t>LJUSDAL</t>
        </is>
      </c>
      <c r="F1498" t="inlineStr">
        <is>
          <t>Holmen skog AB</t>
        </is>
      </c>
      <c r="G1498" t="n">
        <v>3.9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11964-2023</t>
        </is>
      </c>
      <c r="B1499" s="1" t="n">
        <v>44995</v>
      </c>
      <c r="C1499" s="1" t="n">
        <v>45811</v>
      </c>
      <c r="D1499" t="inlineStr">
        <is>
          <t>GÄVLEBORGS LÄN</t>
        </is>
      </c>
      <c r="E1499" t="inlineStr">
        <is>
          <t>LJUSDAL</t>
        </is>
      </c>
      <c r="G1499" t="n">
        <v>4.8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11979-2023</t>
        </is>
      </c>
      <c r="B1500" s="1" t="n">
        <v>44995</v>
      </c>
      <c r="C1500" s="1" t="n">
        <v>45811</v>
      </c>
      <c r="D1500" t="inlineStr">
        <is>
          <t>GÄVLEBORGS LÄN</t>
        </is>
      </c>
      <c r="E1500" t="inlineStr">
        <is>
          <t>LJUSDAL</t>
        </is>
      </c>
      <c r="G1500" t="n">
        <v>0.8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12004-2023</t>
        </is>
      </c>
      <c r="B1501" s="1" t="n">
        <v>44995</v>
      </c>
      <c r="C1501" s="1" t="n">
        <v>45811</v>
      </c>
      <c r="D1501" t="inlineStr">
        <is>
          <t>GÄVLEBORGS LÄN</t>
        </is>
      </c>
      <c r="E1501" t="inlineStr">
        <is>
          <t>LJUSDAL</t>
        </is>
      </c>
      <c r="F1501" t="inlineStr">
        <is>
          <t>Holmen skog AB</t>
        </is>
      </c>
      <c r="G1501" t="n">
        <v>2.6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12555-2023</t>
        </is>
      </c>
      <c r="B1502" s="1" t="n">
        <v>45000</v>
      </c>
      <c r="C1502" s="1" t="n">
        <v>45811</v>
      </c>
      <c r="D1502" t="inlineStr">
        <is>
          <t>GÄVLEBORGS LÄN</t>
        </is>
      </c>
      <c r="E1502" t="inlineStr">
        <is>
          <t>LJUSDAL</t>
        </is>
      </c>
      <c r="G1502" t="n">
        <v>8.4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13094-2023</t>
        </is>
      </c>
      <c r="B1503" s="1" t="n">
        <v>45002</v>
      </c>
      <c r="C1503" s="1" t="n">
        <v>45811</v>
      </c>
      <c r="D1503" t="inlineStr">
        <is>
          <t>GÄVLEBORGS LÄN</t>
        </is>
      </c>
      <c r="E1503" t="inlineStr">
        <is>
          <t>LJUSDAL</t>
        </is>
      </c>
      <c r="F1503" t="inlineStr">
        <is>
          <t>Holmen skog AB</t>
        </is>
      </c>
      <c r="G1503" t="n">
        <v>3.4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13116-2023</t>
        </is>
      </c>
      <c r="B1504" s="1" t="n">
        <v>45002</v>
      </c>
      <c r="C1504" s="1" t="n">
        <v>45811</v>
      </c>
      <c r="D1504" t="inlineStr">
        <is>
          <t>GÄVLEBORGS LÄN</t>
        </is>
      </c>
      <c r="E1504" t="inlineStr">
        <is>
          <t>LJUSDAL</t>
        </is>
      </c>
      <c r="F1504" t="inlineStr">
        <is>
          <t>Allmännings- och besparingsskogar</t>
        </is>
      </c>
      <c r="G1504" t="n">
        <v>8.800000000000001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13345-2023</t>
        </is>
      </c>
      <c r="B1505" s="1" t="n">
        <v>45005</v>
      </c>
      <c r="C1505" s="1" t="n">
        <v>45811</v>
      </c>
      <c r="D1505" t="inlineStr">
        <is>
          <t>GÄVLEBORGS LÄN</t>
        </is>
      </c>
      <c r="E1505" t="inlineStr">
        <is>
          <t>LJUSDAL</t>
        </is>
      </c>
      <c r="F1505" t="inlineStr">
        <is>
          <t>Holmen skog AB</t>
        </is>
      </c>
      <c r="G1505" t="n">
        <v>17.8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13667-2023</t>
        </is>
      </c>
      <c r="B1506" s="1" t="n">
        <v>45006</v>
      </c>
      <c r="C1506" s="1" t="n">
        <v>45811</v>
      </c>
      <c r="D1506" t="inlineStr">
        <is>
          <t>GÄVLEBORGS LÄN</t>
        </is>
      </c>
      <c r="E1506" t="inlineStr">
        <is>
          <t>LJUSDAL</t>
        </is>
      </c>
      <c r="G1506" t="n">
        <v>1.1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13854-2023</t>
        </is>
      </c>
      <c r="B1507" s="1" t="n">
        <v>45007</v>
      </c>
      <c r="C1507" s="1" t="n">
        <v>45811</v>
      </c>
      <c r="D1507" t="inlineStr">
        <is>
          <t>GÄVLEBORGS LÄN</t>
        </is>
      </c>
      <c r="E1507" t="inlineStr">
        <is>
          <t>LJUSDAL</t>
        </is>
      </c>
      <c r="G1507" t="n">
        <v>4.6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14036-2023</t>
        </is>
      </c>
      <c r="B1508" s="1" t="n">
        <v>45008</v>
      </c>
      <c r="C1508" s="1" t="n">
        <v>45811</v>
      </c>
      <c r="D1508" t="inlineStr">
        <is>
          <t>GÄVLEBORGS LÄN</t>
        </is>
      </c>
      <c r="E1508" t="inlineStr">
        <is>
          <t>LJUSDAL</t>
        </is>
      </c>
      <c r="F1508" t="inlineStr">
        <is>
          <t>Holmen skog AB</t>
        </is>
      </c>
      <c r="G1508" t="n">
        <v>1.2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14473-2023</t>
        </is>
      </c>
      <c r="B1509" s="1" t="n">
        <v>45012</v>
      </c>
      <c r="C1509" s="1" t="n">
        <v>45811</v>
      </c>
      <c r="D1509" t="inlineStr">
        <is>
          <t>GÄVLEBORGS LÄN</t>
        </is>
      </c>
      <c r="E1509" t="inlineStr">
        <is>
          <t>LJUSDAL</t>
        </is>
      </c>
      <c r="F1509" t="inlineStr">
        <is>
          <t>Kyrkan</t>
        </is>
      </c>
      <c r="G1509" t="n">
        <v>5.1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14479-2023</t>
        </is>
      </c>
      <c r="B1510" s="1" t="n">
        <v>45012</v>
      </c>
      <c r="C1510" s="1" t="n">
        <v>45811</v>
      </c>
      <c r="D1510" t="inlineStr">
        <is>
          <t>GÄVLEBORGS LÄN</t>
        </is>
      </c>
      <c r="E1510" t="inlineStr">
        <is>
          <t>LJUSDAL</t>
        </is>
      </c>
      <c r="F1510" t="inlineStr">
        <is>
          <t>Kyrkan</t>
        </is>
      </c>
      <c r="G1510" t="n">
        <v>27.5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14664-2023</t>
        </is>
      </c>
      <c r="B1511" s="1" t="n">
        <v>45014</v>
      </c>
      <c r="C1511" s="1" t="n">
        <v>45811</v>
      </c>
      <c r="D1511" t="inlineStr">
        <is>
          <t>GÄVLEBORGS LÄN</t>
        </is>
      </c>
      <c r="E1511" t="inlineStr">
        <is>
          <t>LJUSDAL</t>
        </is>
      </c>
      <c r="G1511" t="n">
        <v>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15015-2023</t>
        </is>
      </c>
      <c r="B1512" s="1" t="n">
        <v>45015</v>
      </c>
      <c r="C1512" s="1" t="n">
        <v>45811</v>
      </c>
      <c r="D1512" t="inlineStr">
        <is>
          <t>GÄVLEBORGS LÄN</t>
        </is>
      </c>
      <c r="E1512" t="inlineStr">
        <is>
          <t>LJUSDAL</t>
        </is>
      </c>
      <c r="G1512" t="n">
        <v>1.5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15138-2023</t>
        </is>
      </c>
      <c r="B1513" s="1" t="n">
        <v>45016</v>
      </c>
      <c r="C1513" s="1" t="n">
        <v>45811</v>
      </c>
      <c r="D1513" t="inlineStr">
        <is>
          <t>GÄVLEBORGS LÄN</t>
        </is>
      </c>
      <c r="E1513" t="inlineStr">
        <is>
          <t>LJUSDAL</t>
        </is>
      </c>
      <c r="F1513" t="inlineStr">
        <is>
          <t>Holmen skog AB</t>
        </is>
      </c>
      <c r="G1513" t="n">
        <v>3.8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15171-2023</t>
        </is>
      </c>
      <c r="B1514" s="1" t="n">
        <v>45016</v>
      </c>
      <c r="C1514" s="1" t="n">
        <v>45811</v>
      </c>
      <c r="D1514" t="inlineStr">
        <is>
          <t>GÄVLEBORGS LÄN</t>
        </is>
      </c>
      <c r="E1514" t="inlineStr">
        <is>
          <t>LJUSDAL</t>
        </is>
      </c>
      <c r="G1514" t="n">
        <v>1.8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15178-2023</t>
        </is>
      </c>
      <c r="B1515" s="1" t="n">
        <v>45016</v>
      </c>
      <c r="C1515" s="1" t="n">
        <v>45811</v>
      </c>
      <c r="D1515" t="inlineStr">
        <is>
          <t>GÄVLEBORGS LÄN</t>
        </is>
      </c>
      <c r="E1515" t="inlineStr">
        <is>
          <t>LJUSDAL</t>
        </is>
      </c>
      <c r="F1515" t="inlineStr">
        <is>
          <t>Holmen skog AB</t>
        </is>
      </c>
      <c r="G1515" t="n">
        <v>2.9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15285-2023</t>
        </is>
      </c>
      <c r="B1516" s="1" t="n">
        <v>45019</v>
      </c>
      <c r="C1516" s="1" t="n">
        <v>45811</v>
      </c>
      <c r="D1516" t="inlineStr">
        <is>
          <t>GÄVLEBORGS LÄN</t>
        </is>
      </c>
      <c r="E1516" t="inlineStr">
        <is>
          <t>LJUSDAL</t>
        </is>
      </c>
      <c r="F1516" t="inlineStr">
        <is>
          <t>Holmen skog AB</t>
        </is>
      </c>
      <c r="G1516" t="n">
        <v>1.8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15537-2023</t>
        </is>
      </c>
      <c r="B1517" s="1" t="n">
        <v>45020</v>
      </c>
      <c r="C1517" s="1" t="n">
        <v>45811</v>
      </c>
      <c r="D1517" t="inlineStr">
        <is>
          <t>GÄVLEBORGS LÄN</t>
        </is>
      </c>
      <c r="E1517" t="inlineStr">
        <is>
          <t>LJUSDAL</t>
        </is>
      </c>
      <c r="G1517" t="n">
        <v>9.5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16081-2023</t>
        </is>
      </c>
      <c r="B1518" s="1" t="n">
        <v>45027</v>
      </c>
      <c r="C1518" s="1" t="n">
        <v>45811</v>
      </c>
      <c r="D1518" t="inlineStr">
        <is>
          <t>GÄVLEBORGS LÄN</t>
        </is>
      </c>
      <c r="E1518" t="inlineStr">
        <is>
          <t>LJUSDAL</t>
        </is>
      </c>
      <c r="F1518" t="inlineStr">
        <is>
          <t>Bergvik skog väst AB</t>
        </is>
      </c>
      <c r="G1518" t="n">
        <v>46.6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16104-2023</t>
        </is>
      </c>
      <c r="B1519" s="1" t="n">
        <v>45027</v>
      </c>
      <c r="C1519" s="1" t="n">
        <v>45811</v>
      </c>
      <c r="D1519" t="inlineStr">
        <is>
          <t>GÄVLEBORGS LÄN</t>
        </is>
      </c>
      <c r="E1519" t="inlineStr">
        <is>
          <t>LJUSDAL</t>
        </is>
      </c>
      <c r="F1519" t="inlineStr">
        <is>
          <t>Bergvik skog väst AB</t>
        </is>
      </c>
      <c r="G1519" t="n">
        <v>18.5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16111-2023</t>
        </is>
      </c>
      <c r="B1520" s="1" t="n">
        <v>45027</v>
      </c>
      <c r="C1520" s="1" t="n">
        <v>45811</v>
      </c>
      <c r="D1520" t="inlineStr">
        <is>
          <t>GÄVLEBORGS LÄN</t>
        </is>
      </c>
      <c r="E1520" t="inlineStr">
        <is>
          <t>LJUSDAL</t>
        </is>
      </c>
      <c r="F1520" t="inlineStr">
        <is>
          <t>Bergvik skog väst AB</t>
        </is>
      </c>
      <c r="G1520" t="n">
        <v>21.5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16047-2023</t>
        </is>
      </c>
      <c r="B1521" s="1" t="n">
        <v>45027</v>
      </c>
      <c r="C1521" s="1" t="n">
        <v>45811</v>
      </c>
      <c r="D1521" t="inlineStr">
        <is>
          <t>GÄVLEBORGS LÄN</t>
        </is>
      </c>
      <c r="E1521" t="inlineStr">
        <is>
          <t>LJUSDAL</t>
        </is>
      </c>
      <c r="F1521" t="inlineStr">
        <is>
          <t>Holmen skog AB</t>
        </is>
      </c>
      <c r="G1521" t="n">
        <v>8.300000000000001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16100-2023</t>
        </is>
      </c>
      <c r="B1522" s="1" t="n">
        <v>45027</v>
      </c>
      <c r="C1522" s="1" t="n">
        <v>45811</v>
      </c>
      <c r="D1522" t="inlineStr">
        <is>
          <t>GÄVLEBORGS LÄN</t>
        </is>
      </c>
      <c r="E1522" t="inlineStr">
        <is>
          <t>LJUSDAL</t>
        </is>
      </c>
      <c r="F1522" t="inlineStr">
        <is>
          <t>Bergvik skog väst AB</t>
        </is>
      </c>
      <c r="G1522" t="n">
        <v>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16197-2023</t>
        </is>
      </c>
      <c r="B1523" s="1" t="n">
        <v>45028</v>
      </c>
      <c r="C1523" s="1" t="n">
        <v>45811</v>
      </c>
      <c r="D1523" t="inlineStr">
        <is>
          <t>GÄVLEBORGS LÄN</t>
        </is>
      </c>
      <c r="E1523" t="inlineStr">
        <is>
          <t>LJUSDAL</t>
        </is>
      </c>
      <c r="G1523" t="n">
        <v>4.4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16228-2023</t>
        </is>
      </c>
      <c r="B1524" s="1" t="n">
        <v>45028</v>
      </c>
      <c r="C1524" s="1" t="n">
        <v>45811</v>
      </c>
      <c r="D1524" t="inlineStr">
        <is>
          <t>GÄVLEBORGS LÄN</t>
        </is>
      </c>
      <c r="E1524" t="inlineStr">
        <is>
          <t>LJUSDAL</t>
        </is>
      </c>
      <c r="F1524" t="inlineStr">
        <is>
          <t>Bergvik skog väst AB</t>
        </is>
      </c>
      <c r="G1524" t="n">
        <v>3.5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16443-2023</t>
        </is>
      </c>
      <c r="B1525" s="1" t="n">
        <v>45029</v>
      </c>
      <c r="C1525" s="1" t="n">
        <v>45811</v>
      </c>
      <c r="D1525" t="inlineStr">
        <is>
          <t>GÄVLEBORGS LÄN</t>
        </is>
      </c>
      <c r="E1525" t="inlineStr">
        <is>
          <t>LJUSDAL</t>
        </is>
      </c>
      <c r="G1525" t="n">
        <v>15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16575-2023</t>
        </is>
      </c>
      <c r="B1526" s="1" t="n">
        <v>45030</v>
      </c>
      <c r="C1526" s="1" t="n">
        <v>45811</v>
      </c>
      <c r="D1526" t="inlineStr">
        <is>
          <t>GÄVLEBORGS LÄN</t>
        </is>
      </c>
      <c r="E1526" t="inlineStr">
        <is>
          <t>LJUSDAL</t>
        </is>
      </c>
      <c r="F1526" t="inlineStr">
        <is>
          <t>SCA</t>
        </is>
      </c>
      <c r="G1526" t="n">
        <v>4.8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17003-2023</t>
        </is>
      </c>
      <c r="B1527" s="1" t="n">
        <v>45034</v>
      </c>
      <c r="C1527" s="1" t="n">
        <v>45811</v>
      </c>
      <c r="D1527" t="inlineStr">
        <is>
          <t>GÄVLEBORGS LÄN</t>
        </is>
      </c>
      <c r="E1527" t="inlineStr">
        <is>
          <t>LJUSDAL</t>
        </is>
      </c>
      <c r="F1527" t="inlineStr">
        <is>
          <t>SCA</t>
        </is>
      </c>
      <c r="G1527" t="n">
        <v>10.8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17004-2023</t>
        </is>
      </c>
      <c r="B1528" s="1" t="n">
        <v>45033</v>
      </c>
      <c r="C1528" s="1" t="n">
        <v>45811</v>
      </c>
      <c r="D1528" t="inlineStr">
        <is>
          <t>GÄVLEBORGS LÄN</t>
        </is>
      </c>
      <c r="E1528" t="inlineStr">
        <is>
          <t>LJUSDAL</t>
        </is>
      </c>
      <c r="F1528" t="inlineStr">
        <is>
          <t>SCA</t>
        </is>
      </c>
      <c r="G1528" t="n">
        <v>8.5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17005-2023</t>
        </is>
      </c>
      <c r="B1529" s="1" t="n">
        <v>45034</v>
      </c>
      <c r="C1529" s="1" t="n">
        <v>45811</v>
      </c>
      <c r="D1529" t="inlineStr">
        <is>
          <t>GÄVLEBORGS LÄN</t>
        </is>
      </c>
      <c r="E1529" t="inlineStr">
        <is>
          <t>LJUSDAL</t>
        </is>
      </c>
      <c r="F1529" t="inlineStr">
        <is>
          <t>SCA</t>
        </is>
      </c>
      <c r="G1529" t="n">
        <v>7.2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17244-2023</t>
        </is>
      </c>
      <c r="B1530" s="1" t="n">
        <v>45035</v>
      </c>
      <c r="C1530" s="1" t="n">
        <v>45811</v>
      </c>
      <c r="D1530" t="inlineStr">
        <is>
          <t>GÄVLEBORGS LÄN</t>
        </is>
      </c>
      <c r="E1530" t="inlineStr">
        <is>
          <t>LJUSDAL</t>
        </is>
      </c>
      <c r="G1530" t="n">
        <v>4.9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17230-2023</t>
        </is>
      </c>
      <c r="B1531" s="1" t="n">
        <v>45035</v>
      </c>
      <c r="C1531" s="1" t="n">
        <v>45811</v>
      </c>
      <c r="D1531" t="inlineStr">
        <is>
          <t>GÄVLEBORGS LÄN</t>
        </is>
      </c>
      <c r="E1531" t="inlineStr">
        <is>
          <t>LJUSDAL</t>
        </is>
      </c>
      <c r="F1531" t="inlineStr">
        <is>
          <t>Holmen skog AB</t>
        </is>
      </c>
      <c r="G1531" t="n">
        <v>1.6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17228-2023</t>
        </is>
      </c>
      <c r="B1532" s="1" t="n">
        <v>45035</v>
      </c>
      <c r="C1532" s="1" t="n">
        <v>45811</v>
      </c>
      <c r="D1532" t="inlineStr">
        <is>
          <t>GÄVLEBORGS LÄN</t>
        </is>
      </c>
      <c r="E1532" t="inlineStr">
        <is>
          <t>LJUSDAL</t>
        </is>
      </c>
      <c r="F1532" t="inlineStr">
        <is>
          <t>Holmen skog AB</t>
        </is>
      </c>
      <c r="G1532" t="n">
        <v>1.8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  <c r="U1532">
        <f>HYPERLINK("https://klasma.github.io/Logging_2161/knärot/A 17228-2023 karta knärot.png", "A 17228-2023")</f>
        <v/>
      </c>
      <c r="V1532">
        <f>HYPERLINK("https://klasma.github.io/Logging_2161/klagomål/A 17228-2023 FSC-klagomål.docx", "A 17228-2023")</f>
        <v/>
      </c>
      <c r="W1532">
        <f>HYPERLINK("https://klasma.github.io/Logging_2161/klagomålsmail/A 17228-2023 FSC-klagomål mail.docx", "A 17228-2023")</f>
        <v/>
      </c>
      <c r="X1532">
        <f>HYPERLINK("https://klasma.github.io/Logging_2161/tillsyn/A 17228-2023 tillsynsbegäran.docx", "A 17228-2023")</f>
        <v/>
      </c>
      <c r="Y1532">
        <f>HYPERLINK("https://klasma.github.io/Logging_2161/tillsynsmail/A 17228-2023 tillsynsbegäran mail.docx", "A 17228-2023")</f>
        <v/>
      </c>
    </row>
    <row r="1533" ht="15" customHeight="1">
      <c r="A1533" t="inlineStr">
        <is>
          <t>A 17241-2023</t>
        </is>
      </c>
      <c r="B1533" s="1" t="n">
        <v>45035</v>
      </c>
      <c r="C1533" s="1" t="n">
        <v>45811</v>
      </c>
      <c r="D1533" t="inlineStr">
        <is>
          <t>GÄVLEBORGS LÄN</t>
        </is>
      </c>
      <c r="E1533" t="inlineStr">
        <is>
          <t>LJUSDAL</t>
        </is>
      </c>
      <c r="G1533" t="n">
        <v>1.3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17499-2023</t>
        </is>
      </c>
      <c r="B1534" s="1" t="n">
        <v>45036</v>
      </c>
      <c r="C1534" s="1" t="n">
        <v>45811</v>
      </c>
      <c r="D1534" t="inlineStr">
        <is>
          <t>GÄVLEBORGS LÄN</t>
        </is>
      </c>
      <c r="E1534" t="inlineStr">
        <is>
          <t>LJUSDAL</t>
        </is>
      </c>
      <c r="G1534" t="n">
        <v>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17526-2023</t>
        </is>
      </c>
      <c r="B1535" s="1" t="n">
        <v>45036</v>
      </c>
      <c r="C1535" s="1" t="n">
        <v>45811</v>
      </c>
      <c r="D1535" t="inlineStr">
        <is>
          <t>GÄVLEBORGS LÄN</t>
        </is>
      </c>
      <c r="E1535" t="inlineStr">
        <is>
          <t>LJUSDAL</t>
        </is>
      </c>
      <c r="G1535" t="n">
        <v>1.5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17522-2023</t>
        </is>
      </c>
      <c r="B1536" s="1" t="n">
        <v>45036</v>
      </c>
      <c r="C1536" s="1" t="n">
        <v>45811</v>
      </c>
      <c r="D1536" t="inlineStr">
        <is>
          <t>GÄVLEBORGS LÄN</t>
        </is>
      </c>
      <c r="E1536" t="inlineStr">
        <is>
          <t>LJUSDAL</t>
        </is>
      </c>
      <c r="G1536" t="n">
        <v>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17667-2023</t>
        </is>
      </c>
      <c r="B1537" s="1" t="n">
        <v>45037</v>
      </c>
      <c r="C1537" s="1" t="n">
        <v>45811</v>
      </c>
      <c r="D1537" t="inlineStr">
        <is>
          <t>GÄVLEBORGS LÄN</t>
        </is>
      </c>
      <c r="E1537" t="inlineStr">
        <is>
          <t>LJUSDAL</t>
        </is>
      </c>
      <c r="F1537" t="inlineStr">
        <is>
          <t>SCA</t>
        </is>
      </c>
      <c r="G1537" t="n">
        <v>5.4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17699-2023</t>
        </is>
      </c>
      <c r="B1538" s="1" t="n">
        <v>45037</v>
      </c>
      <c r="C1538" s="1" t="n">
        <v>45811</v>
      </c>
      <c r="D1538" t="inlineStr">
        <is>
          <t>GÄVLEBORGS LÄN</t>
        </is>
      </c>
      <c r="E1538" t="inlineStr">
        <is>
          <t>LJUSDAL</t>
        </is>
      </c>
      <c r="G1538" t="n">
        <v>1.1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17681-2023</t>
        </is>
      </c>
      <c r="B1539" s="1" t="n">
        <v>45037</v>
      </c>
      <c r="C1539" s="1" t="n">
        <v>45811</v>
      </c>
      <c r="D1539" t="inlineStr">
        <is>
          <t>GÄVLEBORGS LÄN</t>
        </is>
      </c>
      <c r="E1539" t="inlineStr">
        <is>
          <t>LJUSDAL</t>
        </is>
      </c>
      <c r="G1539" t="n">
        <v>3.8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17696-2023</t>
        </is>
      </c>
      <c r="B1540" s="1" t="n">
        <v>45037</v>
      </c>
      <c r="C1540" s="1" t="n">
        <v>45811</v>
      </c>
      <c r="D1540" t="inlineStr">
        <is>
          <t>GÄVLEBORGS LÄN</t>
        </is>
      </c>
      <c r="E1540" t="inlineStr">
        <is>
          <t>LJUSDAL</t>
        </is>
      </c>
      <c r="G1540" t="n">
        <v>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18043-2023</t>
        </is>
      </c>
      <c r="B1541" s="1" t="n">
        <v>45040</v>
      </c>
      <c r="C1541" s="1" t="n">
        <v>45811</v>
      </c>
      <c r="D1541" t="inlineStr">
        <is>
          <t>GÄVLEBORGS LÄN</t>
        </is>
      </c>
      <c r="E1541" t="inlineStr">
        <is>
          <t>LJUSDAL</t>
        </is>
      </c>
      <c r="F1541" t="inlineStr">
        <is>
          <t>Holmen skog AB</t>
        </is>
      </c>
      <c r="G1541" t="n">
        <v>1.2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18314-2023</t>
        </is>
      </c>
      <c r="B1542" s="1" t="n">
        <v>45041</v>
      </c>
      <c r="C1542" s="1" t="n">
        <v>45811</v>
      </c>
      <c r="D1542" t="inlineStr">
        <is>
          <t>GÄVLEBORGS LÄN</t>
        </is>
      </c>
      <c r="E1542" t="inlineStr">
        <is>
          <t>LJUSDAL</t>
        </is>
      </c>
      <c r="F1542" t="inlineStr">
        <is>
          <t>Holmen skog AB</t>
        </is>
      </c>
      <c r="G1542" t="n">
        <v>3.8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18488-2023</t>
        </is>
      </c>
      <c r="B1543" s="1" t="n">
        <v>45042</v>
      </c>
      <c r="C1543" s="1" t="n">
        <v>45811</v>
      </c>
      <c r="D1543" t="inlineStr">
        <is>
          <t>GÄVLEBORGS LÄN</t>
        </is>
      </c>
      <c r="E1543" t="inlineStr">
        <is>
          <t>LJUSDAL</t>
        </is>
      </c>
      <c r="F1543" t="inlineStr">
        <is>
          <t>Holmen skog AB</t>
        </is>
      </c>
      <c r="G1543" t="n">
        <v>1.7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19033-2023</t>
        </is>
      </c>
      <c r="B1544" s="1" t="n">
        <v>45047</v>
      </c>
      <c r="C1544" s="1" t="n">
        <v>45811</v>
      </c>
      <c r="D1544" t="inlineStr">
        <is>
          <t>GÄVLEBORGS LÄN</t>
        </is>
      </c>
      <c r="E1544" t="inlineStr">
        <is>
          <t>LJUSDAL</t>
        </is>
      </c>
      <c r="G1544" t="n">
        <v>1.2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19022-2023</t>
        </is>
      </c>
      <c r="B1545" s="1" t="n">
        <v>45047</v>
      </c>
      <c r="C1545" s="1" t="n">
        <v>45811</v>
      </c>
      <c r="D1545" t="inlineStr">
        <is>
          <t>GÄVLEBORGS LÄN</t>
        </is>
      </c>
      <c r="E1545" t="inlineStr">
        <is>
          <t>LJUSDAL</t>
        </is>
      </c>
      <c r="G1545" t="n">
        <v>2.8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19035-2023</t>
        </is>
      </c>
      <c r="B1546" s="1" t="n">
        <v>45047</v>
      </c>
      <c r="C1546" s="1" t="n">
        <v>45811</v>
      </c>
      <c r="D1546" t="inlineStr">
        <is>
          <t>GÄVLEBORGS LÄN</t>
        </is>
      </c>
      <c r="E1546" t="inlineStr">
        <is>
          <t>LJUSDAL</t>
        </is>
      </c>
      <c r="G1546" t="n">
        <v>0.7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19034-2023</t>
        </is>
      </c>
      <c r="B1547" s="1" t="n">
        <v>45047</v>
      </c>
      <c r="C1547" s="1" t="n">
        <v>45811</v>
      </c>
      <c r="D1547" t="inlineStr">
        <is>
          <t>GÄVLEBORGS LÄN</t>
        </is>
      </c>
      <c r="E1547" t="inlineStr">
        <is>
          <t>LJUSDAL</t>
        </is>
      </c>
      <c r="G1547" t="n">
        <v>0.3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19078-2023</t>
        </is>
      </c>
      <c r="B1548" s="1" t="n">
        <v>45048</v>
      </c>
      <c r="C1548" s="1" t="n">
        <v>45811</v>
      </c>
      <c r="D1548" t="inlineStr">
        <is>
          <t>GÄVLEBORGS LÄN</t>
        </is>
      </c>
      <c r="E1548" t="inlineStr">
        <is>
          <t>LJUSDAL</t>
        </is>
      </c>
      <c r="G1548" t="n">
        <v>2.8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19693-2023</t>
        </is>
      </c>
      <c r="B1549" s="1" t="n">
        <v>45051</v>
      </c>
      <c r="C1549" s="1" t="n">
        <v>45811</v>
      </c>
      <c r="D1549" t="inlineStr">
        <is>
          <t>GÄVLEBORGS LÄN</t>
        </is>
      </c>
      <c r="E1549" t="inlineStr">
        <is>
          <t>LJUSDAL</t>
        </is>
      </c>
      <c r="F1549" t="inlineStr">
        <is>
          <t>Holmen skog AB</t>
        </is>
      </c>
      <c r="G1549" t="n">
        <v>1.4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19954-2023</t>
        </is>
      </c>
      <c r="B1550" s="1" t="n">
        <v>45054</v>
      </c>
      <c r="C1550" s="1" t="n">
        <v>45811</v>
      </c>
      <c r="D1550" t="inlineStr">
        <is>
          <t>GÄVLEBORGS LÄN</t>
        </is>
      </c>
      <c r="E1550" t="inlineStr">
        <is>
          <t>LJUSDAL</t>
        </is>
      </c>
      <c r="F1550" t="inlineStr">
        <is>
          <t>Holmen skog AB</t>
        </is>
      </c>
      <c r="G1550" t="n">
        <v>6.1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20016-2023</t>
        </is>
      </c>
      <c r="B1551" s="1" t="n">
        <v>45054</v>
      </c>
      <c r="C1551" s="1" t="n">
        <v>45811</v>
      </c>
      <c r="D1551" t="inlineStr">
        <is>
          <t>GÄVLEBORGS LÄN</t>
        </is>
      </c>
      <c r="E1551" t="inlineStr">
        <is>
          <t>LJUSDAL</t>
        </is>
      </c>
      <c r="F1551" t="inlineStr">
        <is>
          <t>Kommuner</t>
        </is>
      </c>
      <c r="G1551" t="n">
        <v>2.1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20219-2023</t>
        </is>
      </c>
      <c r="B1552" s="1" t="n">
        <v>45055</v>
      </c>
      <c r="C1552" s="1" t="n">
        <v>45811</v>
      </c>
      <c r="D1552" t="inlineStr">
        <is>
          <t>GÄVLEBORGS LÄN</t>
        </is>
      </c>
      <c r="E1552" t="inlineStr">
        <is>
          <t>LJUSDAL</t>
        </is>
      </c>
      <c r="F1552" t="inlineStr">
        <is>
          <t>Bergvik skog väst AB</t>
        </is>
      </c>
      <c r="G1552" t="n">
        <v>8.800000000000001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20171-2023</t>
        </is>
      </c>
      <c r="B1553" s="1" t="n">
        <v>45055</v>
      </c>
      <c r="C1553" s="1" t="n">
        <v>45811</v>
      </c>
      <c r="D1553" t="inlineStr">
        <is>
          <t>GÄVLEBORGS LÄN</t>
        </is>
      </c>
      <c r="E1553" t="inlineStr">
        <is>
          <t>LJUSDAL</t>
        </is>
      </c>
      <c r="F1553" t="inlineStr">
        <is>
          <t>Sveaskog</t>
        </is>
      </c>
      <c r="G1553" t="n">
        <v>3.4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20204-2023</t>
        </is>
      </c>
      <c r="B1554" s="1" t="n">
        <v>45055</v>
      </c>
      <c r="C1554" s="1" t="n">
        <v>45811</v>
      </c>
      <c r="D1554" t="inlineStr">
        <is>
          <t>GÄVLEBORGS LÄN</t>
        </is>
      </c>
      <c r="E1554" t="inlineStr">
        <is>
          <t>LJUSDAL</t>
        </is>
      </c>
      <c r="F1554" t="inlineStr">
        <is>
          <t>Allmännings- och besparingsskogar</t>
        </is>
      </c>
      <c r="G1554" t="n">
        <v>18.5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20408-2023</t>
        </is>
      </c>
      <c r="B1555" s="1" t="n">
        <v>45056</v>
      </c>
      <c r="C1555" s="1" t="n">
        <v>45811</v>
      </c>
      <c r="D1555" t="inlineStr">
        <is>
          <t>GÄVLEBORGS LÄN</t>
        </is>
      </c>
      <c r="E1555" t="inlineStr">
        <is>
          <t>LJUSDAL</t>
        </is>
      </c>
      <c r="F1555" t="inlineStr">
        <is>
          <t>Sveaskog</t>
        </is>
      </c>
      <c r="G1555" t="n">
        <v>2.3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20412-2023</t>
        </is>
      </c>
      <c r="B1556" s="1" t="n">
        <v>45056</v>
      </c>
      <c r="C1556" s="1" t="n">
        <v>45811</v>
      </c>
      <c r="D1556" t="inlineStr">
        <is>
          <t>GÄVLEBORGS LÄN</t>
        </is>
      </c>
      <c r="E1556" t="inlineStr">
        <is>
          <t>LJUSDAL</t>
        </is>
      </c>
      <c r="F1556" t="inlineStr">
        <is>
          <t>Bergvik skog väst AB</t>
        </is>
      </c>
      <c r="G1556" t="n">
        <v>3.4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20655-2023</t>
        </is>
      </c>
      <c r="B1557" s="1" t="n">
        <v>45058</v>
      </c>
      <c r="C1557" s="1" t="n">
        <v>45811</v>
      </c>
      <c r="D1557" t="inlineStr">
        <is>
          <t>GÄVLEBORGS LÄN</t>
        </is>
      </c>
      <c r="E1557" t="inlineStr">
        <is>
          <t>LJUSDAL</t>
        </is>
      </c>
      <c r="G1557" t="n">
        <v>6.4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20909-2023</t>
        </is>
      </c>
      <c r="B1558" s="1" t="n">
        <v>45060</v>
      </c>
      <c r="C1558" s="1" t="n">
        <v>45811</v>
      </c>
      <c r="D1558" t="inlineStr">
        <is>
          <t>GÄVLEBORGS LÄN</t>
        </is>
      </c>
      <c r="E1558" t="inlineStr">
        <is>
          <t>LJUSDAL</t>
        </is>
      </c>
      <c r="G1558" t="n">
        <v>5.3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20988-2023</t>
        </is>
      </c>
      <c r="B1559" s="1" t="n">
        <v>45061</v>
      </c>
      <c r="C1559" s="1" t="n">
        <v>45811</v>
      </c>
      <c r="D1559" t="inlineStr">
        <is>
          <t>GÄVLEBORGS LÄN</t>
        </is>
      </c>
      <c r="E1559" t="inlineStr">
        <is>
          <t>LJUSDAL</t>
        </is>
      </c>
      <c r="F1559" t="inlineStr">
        <is>
          <t>Bergvik skog väst AB</t>
        </is>
      </c>
      <c r="G1559" t="n">
        <v>5.3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20912-2023</t>
        </is>
      </c>
      <c r="B1560" s="1" t="n">
        <v>45061</v>
      </c>
      <c r="C1560" s="1" t="n">
        <v>45811</v>
      </c>
      <c r="D1560" t="inlineStr">
        <is>
          <t>GÄVLEBORGS LÄN</t>
        </is>
      </c>
      <c r="E1560" t="inlineStr">
        <is>
          <t>LJUSDAL</t>
        </is>
      </c>
      <c r="F1560" t="inlineStr">
        <is>
          <t>Bergvik skog väst AB</t>
        </is>
      </c>
      <c r="G1560" t="n">
        <v>1.7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20910-2023</t>
        </is>
      </c>
      <c r="B1561" s="1" t="n">
        <v>45061</v>
      </c>
      <c r="C1561" s="1" t="n">
        <v>45811</v>
      </c>
      <c r="D1561" t="inlineStr">
        <is>
          <t>GÄVLEBORGS LÄN</t>
        </is>
      </c>
      <c r="E1561" t="inlineStr">
        <is>
          <t>LJUSDAL</t>
        </is>
      </c>
      <c r="F1561" t="inlineStr">
        <is>
          <t>Bergvik skog väst AB</t>
        </is>
      </c>
      <c r="G1561" t="n">
        <v>0.9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21125-2023</t>
        </is>
      </c>
      <c r="B1562" s="1" t="n">
        <v>45062</v>
      </c>
      <c r="C1562" s="1" t="n">
        <v>45811</v>
      </c>
      <c r="D1562" t="inlineStr">
        <is>
          <t>GÄVLEBORGS LÄN</t>
        </is>
      </c>
      <c r="E1562" t="inlineStr">
        <is>
          <t>LJUSDAL</t>
        </is>
      </c>
      <c r="F1562" t="inlineStr">
        <is>
          <t>Holmen skog AB</t>
        </is>
      </c>
      <c r="G1562" t="n">
        <v>5.9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21475-2023</t>
        </is>
      </c>
      <c r="B1563" s="1" t="n">
        <v>45063</v>
      </c>
      <c r="C1563" s="1" t="n">
        <v>45811</v>
      </c>
      <c r="D1563" t="inlineStr">
        <is>
          <t>GÄVLEBORGS LÄN</t>
        </is>
      </c>
      <c r="E1563" t="inlineStr">
        <is>
          <t>LJUSDAL</t>
        </is>
      </c>
      <c r="F1563" t="inlineStr">
        <is>
          <t>Sveaskog</t>
        </is>
      </c>
      <c r="G1563" t="n">
        <v>9.4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21474-2023</t>
        </is>
      </c>
      <c r="B1564" s="1" t="n">
        <v>45063</v>
      </c>
      <c r="C1564" s="1" t="n">
        <v>45811</v>
      </c>
      <c r="D1564" t="inlineStr">
        <is>
          <t>GÄVLEBORGS LÄN</t>
        </is>
      </c>
      <c r="E1564" t="inlineStr">
        <is>
          <t>LJUSDAL</t>
        </is>
      </c>
      <c r="F1564" t="inlineStr">
        <is>
          <t>Sveaskog</t>
        </is>
      </c>
      <c r="G1564" t="n">
        <v>4.3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21591-2023</t>
        </is>
      </c>
      <c r="B1565" s="1" t="n">
        <v>45063</v>
      </c>
      <c r="C1565" s="1" t="n">
        <v>45811</v>
      </c>
      <c r="D1565" t="inlineStr">
        <is>
          <t>GÄVLEBORGS LÄN</t>
        </is>
      </c>
      <c r="E1565" t="inlineStr">
        <is>
          <t>LJUSDAL</t>
        </is>
      </c>
      <c r="G1565" t="n">
        <v>8.699999999999999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21742-2023</t>
        </is>
      </c>
      <c r="B1566" s="1" t="n">
        <v>45065</v>
      </c>
      <c r="C1566" s="1" t="n">
        <v>45811</v>
      </c>
      <c r="D1566" t="inlineStr">
        <is>
          <t>GÄVLEBORGS LÄN</t>
        </is>
      </c>
      <c r="E1566" t="inlineStr">
        <is>
          <t>LJUSDAL</t>
        </is>
      </c>
      <c r="F1566" t="inlineStr">
        <is>
          <t>Allmännings- och besparingsskogar</t>
        </is>
      </c>
      <c r="G1566" t="n">
        <v>17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21816-2023</t>
        </is>
      </c>
      <c r="B1567" s="1" t="n">
        <v>45068</v>
      </c>
      <c r="C1567" s="1" t="n">
        <v>45811</v>
      </c>
      <c r="D1567" t="inlineStr">
        <is>
          <t>GÄVLEBORGS LÄN</t>
        </is>
      </c>
      <c r="E1567" t="inlineStr">
        <is>
          <t>LJUSDAL</t>
        </is>
      </c>
      <c r="F1567" t="inlineStr">
        <is>
          <t>Bergvik skog väst AB</t>
        </is>
      </c>
      <c r="G1567" t="n">
        <v>4.2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21914-2023</t>
        </is>
      </c>
      <c r="B1568" s="1" t="n">
        <v>45068</v>
      </c>
      <c r="C1568" s="1" t="n">
        <v>45811</v>
      </c>
      <c r="D1568" t="inlineStr">
        <is>
          <t>GÄVLEBORGS LÄN</t>
        </is>
      </c>
      <c r="E1568" t="inlineStr">
        <is>
          <t>LJUSDAL</t>
        </is>
      </c>
      <c r="F1568" t="inlineStr">
        <is>
          <t>Allmännings- och besparingsskogar</t>
        </is>
      </c>
      <c r="G1568" t="n">
        <v>17.3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22066-2023</t>
        </is>
      </c>
      <c r="B1569" s="1" t="n">
        <v>45069</v>
      </c>
      <c r="C1569" s="1" t="n">
        <v>45811</v>
      </c>
      <c r="D1569" t="inlineStr">
        <is>
          <t>GÄVLEBORGS LÄN</t>
        </is>
      </c>
      <c r="E1569" t="inlineStr">
        <is>
          <t>LJUSDAL</t>
        </is>
      </c>
      <c r="F1569" t="inlineStr">
        <is>
          <t>Allmännings- och besparingsskogar</t>
        </is>
      </c>
      <c r="G1569" t="n">
        <v>3.9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22096-2023</t>
        </is>
      </c>
      <c r="B1570" s="1" t="n">
        <v>45069</v>
      </c>
      <c r="C1570" s="1" t="n">
        <v>45811</v>
      </c>
      <c r="D1570" t="inlineStr">
        <is>
          <t>GÄVLEBORGS LÄN</t>
        </is>
      </c>
      <c r="E1570" t="inlineStr">
        <is>
          <t>LJUSDAL</t>
        </is>
      </c>
      <c r="G1570" t="n">
        <v>9.699999999999999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22221-2023</t>
        </is>
      </c>
      <c r="B1571" s="1" t="n">
        <v>45070</v>
      </c>
      <c r="C1571" s="1" t="n">
        <v>45811</v>
      </c>
      <c r="D1571" t="inlineStr">
        <is>
          <t>GÄVLEBORGS LÄN</t>
        </is>
      </c>
      <c r="E1571" t="inlineStr">
        <is>
          <t>LJUSDAL</t>
        </is>
      </c>
      <c r="G1571" t="n">
        <v>3.9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22039-2023</t>
        </is>
      </c>
      <c r="B1572" s="1" t="n">
        <v>45069</v>
      </c>
      <c r="C1572" s="1" t="n">
        <v>45811</v>
      </c>
      <c r="D1572" t="inlineStr">
        <is>
          <t>GÄVLEBORGS LÄN</t>
        </is>
      </c>
      <c r="E1572" t="inlineStr">
        <is>
          <t>LJUSDAL</t>
        </is>
      </c>
      <c r="G1572" t="n">
        <v>2.6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22250-2023</t>
        </is>
      </c>
      <c r="B1573" s="1" t="n">
        <v>45070</v>
      </c>
      <c r="C1573" s="1" t="n">
        <v>45811</v>
      </c>
      <c r="D1573" t="inlineStr">
        <is>
          <t>GÄVLEBORGS LÄN</t>
        </is>
      </c>
      <c r="E1573" t="inlineStr">
        <is>
          <t>LJUSDAL</t>
        </is>
      </c>
      <c r="F1573" t="inlineStr">
        <is>
          <t>Sveaskog</t>
        </is>
      </c>
      <c r="G1573" t="n">
        <v>29.7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22317-2023</t>
        </is>
      </c>
      <c r="B1574" s="1" t="n">
        <v>45070</v>
      </c>
      <c r="C1574" s="1" t="n">
        <v>45811</v>
      </c>
      <c r="D1574" t="inlineStr">
        <is>
          <t>GÄVLEBORGS LÄN</t>
        </is>
      </c>
      <c r="E1574" t="inlineStr">
        <is>
          <t>LJUSDAL</t>
        </is>
      </c>
      <c r="G1574" t="n">
        <v>3.2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22343-2023</t>
        </is>
      </c>
      <c r="B1575" s="1" t="n">
        <v>45070</v>
      </c>
      <c r="C1575" s="1" t="n">
        <v>45811</v>
      </c>
      <c r="D1575" t="inlineStr">
        <is>
          <t>GÄVLEBORGS LÄN</t>
        </is>
      </c>
      <c r="E1575" t="inlineStr">
        <is>
          <t>LJUSDAL</t>
        </is>
      </c>
      <c r="G1575" t="n">
        <v>2.1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22251-2023</t>
        </is>
      </c>
      <c r="B1576" s="1" t="n">
        <v>45070</v>
      </c>
      <c r="C1576" s="1" t="n">
        <v>45811</v>
      </c>
      <c r="D1576" t="inlineStr">
        <is>
          <t>GÄVLEBORGS LÄN</t>
        </is>
      </c>
      <c r="E1576" t="inlineStr">
        <is>
          <t>LJUSDAL</t>
        </is>
      </c>
      <c r="G1576" t="n">
        <v>1.7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22252-2023</t>
        </is>
      </c>
      <c r="B1577" s="1" t="n">
        <v>45070</v>
      </c>
      <c r="C1577" s="1" t="n">
        <v>45811</v>
      </c>
      <c r="D1577" t="inlineStr">
        <is>
          <t>GÄVLEBORGS LÄN</t>
        </is>
      </c>
      <c r="E1577" t="inlineStr">
        <is>
          <t>LJUSDAL</t>
        </is>
      </c>
      <c r="F1577" t="inlineStr">
        <is>
          <t>Sveaskog</t>
        </is>
      </c>
      <c r="G1577" t="n">
        <v>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22276-2023</t>
        </is>
      </c>
      <c r="B1578" s="1" t="n">
        <v>45070</v>
      </c>
      <c r="C1578" s="1" t="n">
        <v>45811</v>
      </c>
      <c r="D1578" t="inlineStr">
        <is>
          <t>GÄVLEBORGS LÄN</t>
        </is>
      </c>
      <c r="E1578" t="inlineStr">
        <is>
          <t>LJUSDAL</t>
        </is>
      </c>
      <c r="G1578" t="n">
        <v>0.9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22338-2023</t>
        </is>
      </c>
      <c r="B1579" s="1" t="n">
        <v>45070</v>
      </c>
      <c r="C1579" s="1" t="n">
        <v>45811</v>
      </c>
      <c r="D1579" t="inlineStr">
        <is>
          <t>GÄVLEBORGS LÄN</t>
        </is>
      </c>
      <c r="E1579" t="inlineStr">
        <is>
          <t>LJUSDAL</t>
        </is>
      </c>
      <c r="G1579" t="n">
        <v>1.6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22440-2023</t>
        </is>
      </c>
      <c r="B1580" s="1" t="n">
        <v>45070</v>
      </c>
      <c r="C1580" s="1" t="n">
        <v>45811</v>
      </c>
      <c r="D1580" t="inlineStr">
        <is>
          <t>GÄVLEBORGS LÄN</t>
        </is>
      </c>
      <c r="E1580" t="inlineStr">
        <is>
          <t>LJUSDAL</t>
        </is>
      </c>
      <c r="F1580" t="inlineStr">
        <is>
          <t>Holmen skog AB</t>
        </is>
      </c>
      <c r="G1580" t="n">
        <v>1.5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22462-2023</t>
        </is>
      </c>
      <c r="B1581" s="1" t="n">
        <v>45070</v>
      </c>
      <c r="C1581" s="1" t="n">
        <v>45811</v>
      </c>
      <c r="D1581" t="inlineStr">
        <is>
          <t>GÄVLEBORGS LÄN</t>
        </is>
      </c>
      <c r="E1581" t="inlineStr">
        <is>
          <t>LJUSDAL</t>
        </is>
      </c>
      <c r="G1581" t="n">
        <v>2.2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22504-2023</t>
        </is>
      </c>
      <c r="B1582" s="1" t="n">
        <v>45071</v>
      </c>
      <c r="C1582" s="1" t="n">
        <v>45811</v>
      </c>
      <c r="D1582" t="inlineStr">
        <is>
          <t>GÄVLEBORGS LÄN</t>
        </is>
      </c>
      <c r="E1582" t="inlineStr">
        <is>
          <t>LJUSDAL</t>
        </is>
      </c>
      <c r="F1582" t="inlineStr">
        <is>
          <t>Holmen skog AB</t>
        </is>
      </c>
      <c r="G1582" t="n">
        <v>5.7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22627-2023</t>
        </is>
      </c>
      <c r="B1583" s="1" t="n">
        <v>45071</v>
      </c>
      <c r="C1583" s="1" t="n">
        <v>45811</v>
      </c>
      <c r="D1583" t="inlineStr">
        <is>
          <t>GÄVLEBORGS LÄN</t>
        </is>
      </c>
      <c r="E1583" t="inlineStr">
        <is>
          <t>LJUSDAL</t>
        </is>
      </c>
      <c r="F1583" t="inlineStr">
        <is>
          <t>Holmen skog AB</t>
        </is>
      </c>
      <c r="G1583" t="n">
        <v>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22531-2023</t>
        </is>
      </c>
      <c r="B1584" s="1" t="n">
        <v>45071</v>
      </c>
      <c r="C1584" s="1" t="n">
        <v>45811</v>
      </c>
      <c r="D1584" t="inlineStr">
        <is>
          <t>GÄVLEBORGS LÄN</t>
        </is>
      </c>
      <c r="E1584" t="inlineStr">
        <is>
          <t>LJUSDAL</t>
        </is>
      </c>
      <c r="F1584" t="inlineStr">
        <is>
          <t>Holmen skog AB</t>
        </is>
      </c>
      <c r="G1584" t="n">
        <v>1.2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22559-2023</t>
        </is>
      </c>
      <c r="B1585" s="1" t="n">
        <v>45071</v>
      </c>
      <c r="C1585" s="1" t="n">
        <v>45811</v>
      </c>
      <c r="D1585" t="inlineStr">
        <is>
          <t>GÄVLEBORGS LÄN</t>
        </is>
      </c>
      <c r="E1585" t="inlineStr">
        <is>
          <t>LJUSDAL</t>
        </is>
      </c>
      <c r="F1585" t="inlineStr">
        <is>
          <t>Holmen skog AB</t>
        </is>
      </c>
      <c r="G1585" t="n">
        <v>4.4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22558-2023</t>
        </is>
      </c>
      <c r="B1586" s="1" t="n">
        <v>45071</v>
      </c>
      <c r="C1586" s="1" t="n">
        <v>45811</v>
      </c>
      <c r="D1586" t="inlineStr">
        <is>
          <t>GÄVLEBORGS LÄN</t>
        </is>
      </c>
      <c r="E1586" t="inlineStr">
        <is>
          <t>LJUSDAL</t>
        </is>
      </c>
      <c r="G1586" t="n">
        <v>0.5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22608-2023</t>
        </is>
      </c>
      <c r="B1587" s="1" t="n">
        <v>45071</v>
      </c>
      <c r="C1587" s="1" t="n">
        <v>45811</v>
      </c>
      <c r="D1587" t="inlineStr">
        <is>
          <t>GÄVLEBORGS LÄN</t>
        </is>
      </c>
      <c r="E1587" t="inlineStr">
        <is>
          <t>LJUSDAL</t>
        </is>
      </c>
      <c r="G1587" t="n">
        <v>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22620-2023</t>
        </is>
      </c>
      <c r="B1588" s="1" t="n">
        <v>45071</v>
      </c>
      <c r="C1588" s="1" t="n">
        <v>45811</v>
      </c>
      <c r="D1588" t="inlineStr">
        <is>
          <t>GÄVLEBORGS LÄN</t>
        </is>
      </c>
      <c r="E1588" t="inlineStr">
        <is>
          <t>LJUSDAL</t>
        </is>
      </c>
      <c r="F1588" t="inlineStr">
        <is>
          <t>Holmen skog AB</t>
        </is>
      </c>
      <c r="G1588" t="n">
        <v>2.1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22678-2023</t>
        </is>
      </c>
      <c r="B1589" s="1" t="n">
        <v>45071</v>
      </c>
      <c r="C1589" s="1" t="n">
        <v>45811</v>
      </c>
      <c r="D1589" t="inlineStr">
        <is>
          <t>GÄVLEBORGS LÄN</t>
        </is>
      </c>
      <c r="E1589" t="inlineStr">
        <is>
          <t>LJUSDAL</t>
        </is>
      </c>
      <c r="G1589" t="n">
        <v>0.1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22727-2023</t>
        </is>
      </c>
      <c r="B1590" s="1" t="n">
        <v>45072</v>
      </c>
      <c r="C1590" s="1" t="n">
        <v>45811</v>
      </c>
      <c r="D1590" t="inlineStr">
        <is>
          <t>GÄVLEBORGS LÄN</t>
        </is>
      </c>
      <c r="E1590" t="inlineStr">
        <is>
          <t>LJUSDAL</t>
        </is>
      </c>
      <c r="G1590" t="n">
        <v>5.9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22801-2023</t>
        </is>
      </c>
      <c r="B1591" s="1" t="n">
        <v>45072</v>
      </c>
      <c r="C1591" s="1" t="n">
        <v>45811</v>
      </c>
      <c r="D1591" t="inlineStr">
        <is>
          <t>GÄVLEBORGS LÄN</t>
        </is>
      </c>
      <c r="E1591" t="inlineStr">
        <is>
          <t>LJUSDAL</t>
        </is>
      </c>
      <c r="F1591" t="inlineStr">
        <is>
          <t>Sveaskog</t>
        </is>
      </c>
      <c r="G1591" t="n">
        <v>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22810-2023</t>
        </is>
      </c>
      <c r="B1592" s="1" t="n">
        <v>45072</v>
      </c>
      <c r="C1592" s="1" t="n">
        <v>45811</v>
      </c>
      <c r="D1592" t="inlineStr">
        <is>
          <t>GÄVLEBORGS LÄN</t>
        </is>
      </c>
      <c r="E1592" t="inlineStr">
        <is>
          <t>LJUSDAL</t>
        </is>
      </c>
      <c r="F1592" t="inlineStr">
        <is>
          <t>Sveaskog</t>
        </is>
      </c>
      <c r="G1592" t="n">
        <v>6.2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22870-2023</t>
        </is>
      </c>
      <c r="B1593" s="1" t="n">
        <v>45072</v>
      </c>
      <c r="C1593" s="1" t="n">
        <v>45811</v>
      </c>
      <c r="D1593" t="inlineStr">
        <is>
          <t>GÄVLEBORGS LÄN</t>
        </is>
      </c>
      <c r="E1593" t="inlineStr">
        <is>
          <t>LJUSDAL</t>
        </is>
      </c>
      <c r="F1593" t="inlineStr">
        <is>
          <t>Sveaskog</t>
        </is>
      </c>
      <c r="G1593" t="n">
        <v>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22959-2023</t>
        </is>
      </c>
      <c r="B1594" s="1" t="n">
        <v>45072</v>
      </c>
      <c r="C1594" s="1" t="n">
        <v>45811</v>
      </c>
      <c r="D1594" t="inlineStr">
        <is>
          <t>GÄVLEBORGS LÄN</t>
        </is>
      </c>
      <c r="E1594" t="inlineStr">
        <is>
          <t>LJUSDAL</t>
        </is>
      </c>
      <c r="G1594" t="n">
        <v>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22979-2023</t>
        </is>
      </c>
      <c r="B1595" s="1" t="n">
        <v>45073</v>
      </c>
      <c r="C1595" s="1" t="n">
        <v>45811</v>
      </c>
      <c r="D1595" t="inlineStr">
        <is>
          <t>GÄVLEBORGS LÄN</t>
        </is>
      </c>
      <c r="E1595" t="inlineStr">
        <is>
          <t>LJUSDAL</t>
        </is>
      </c>
      <c r="G1595" t="n">
        <v>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22867-2023</t>
        </is>
      </c>
      <c r="B1596" s="1" t="n">
        <v>45072</v>
      </c>
      <c r="C1596" s="1" t="n">
        <v>45811</v>
      </c>
      <c r="D1596" t="inlineStr">
        <is>
          <t>GÄVLEBORGS LÄN</t>
        </is>
      </c>
      <c r="E1596" t="inlineStr">
        <is>
          <t>LJUSDAL</t>
        </is>
      </c>
      <c r="F1596" t="inlineStr">
        <is>
          <t>Sveaskog</t>
        </is>
      </c>
      <c r="G1596" t="n">
        <v>18.1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22980-2023</t>
        </is>
      </c>
      <c r="B1597" s="1" t="n">
        <v>45073</v>
      </c>
      <c r="C1597" s="1" t="n">
        <v>45811</v>
      </c>
      <c r="D1597" t="inlineStr">
        <is>
          <t>GÄVLEBORGS LÄN</t>
        </is>
      </c>
      <c r="E1597" t="inlineStr">
        <is>
          <t>LJUSDAL</t>
        </is>
      </c>
      <c r="G1597" t="n">
        <v>12.1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23711-2023</t>
        </is>
      </c>
      <c r="B1598" s="1" t="n">
        <v>45077</v>
      </c>
      <c r="C1598" s="1" t="n">
        <v>45811</v>
      </c>
      <c r="D1598" t="inlineStr">
        <is>
          <t>GÄVLEBORGS LÄN</t>
        </is>
      </c>
      <c r="E1598" t="inlineStr">
        <is>
          <t>LJUSDAL</t>
        </is>
      </c>
      <c r="G1598" t="n">
        <v>34.9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23846-2023</t>
        </is>
      </c>
      <c r="B1599" s="1" t="n">
        <v>45078</v>
      </c>
      <c r="C1599" s="1" t="n">
        <v>45811</v>
      </c>
      <c r="D1599" t="inlineStr">
        <is>
          <t>GÄVLEBORGS LÄN</t>
        </is>
      </c>
      <c r="E1599" t="inlineStr">
        <is>
          <t>LJUSDAL</t>
        </is>
      </c>
      <c r="F1599" t="inlineStr">
        <is>
          <t>Allmännings- och besparingsskogar</t>
        </is>
      </c>
      <c r="G1599" t="n">
        <v>6.8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23848-2023</t>
        </is>
      </c>
      <c r="B1600" s="1" t="n">
        <v>45078</v>
      </c>
      <c r="C1600" s="1" t="n">
        <v>45811</v>
      </c>
      <c r="D1600" t="inlineStr">
        <is>
          <t>GÄVLEBORGS LÄN</t>
        </is>
      </c>
      <c r="E1600" t="inlineStr">
        <is>
          <t>LJUSDAL</t>
        </is>
      </c>
      <c r="F1600" t="inlineStr">
        <is>
          <t>Allmännings- och besparingsskogar</t>
        </is>
      </c>
      <c r="G1600" t="n">
        <v>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23841-2023</t>
        </is>
      </c>
      <c r="B1601" s="1" t="n">
        <v>45078</v>
      </c>
      <c r="C1601" s="1" t="n">
        <v>45811</v>
      </c>
      <c r="D1601" t="inlineStr">
        <is>
          <t>GÄVLEBORGS LÄN</t>
        </is>
      </c>
      <c r="E1601" t="inlineStr">
        <is>
          <t>LJUSDAL</t>
        </is>
      </c>
      <c r="F1601" t="inlineStr">
        <is>
          <t>Allmännings- och besparingsskogar</t>
        </is>
      </c>
      <c r="G1601" t="n">
        <v>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23853-2023</t>
        </is>
      </c>
      <c r="B1602" s="1" t="n">
        <v>45078</v>
      </c>
      <c r="C1602" s="1" t="n">
        <v>45811</v>
      </c>
      <c r="D1602" t="inlineStr">
        <is>
          <t>GÄVLEBORGS LÄN</t>
        </is>
      </c>
      <c r="E1602" t="inlineStr">
        <is>
          <t>LJUSDAL</t>
        </is>
      </c>
      <c r="F1602" t="inlineStr">
        <is>
          <t>Allmännings- och besparingsskogar</t>
        </is>
      </c>
      <c r="G1602" t="n">
        <v>2.2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23930-2023</t>
        </is>
      </c>
      <c r="B1603" s="1" t="n">
        <v>45078</v>
      </c>
      <c r="C1603" s="1" t="n">
        <v>45811</v>
      </c>
      <c r="D1603" t="inlineStr">
        <is>
          <t>GÄVLEBORGS LÄN</t>
        </is>
      </c>
      <c r="E1603" t="inlineStr">
        <is>
          <t>LJUSDAL</t>
        </is>
      </c>
      <c r="G1603" t="n">
        <v>3.8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23961-2023</t>
        </is>
      </c>
      <c r="B1604" s="1" t="n">
        <v>45078</v>
      </c>
      <c r="C1604" s="1" t="n">
        <v>45811</v>
      </c>
      <c r="D1604" t="inlineStr">
        <is>
          <t>GÄVLEBORGS LÄN</t>
        </is>
      </c>
      <c r="E1604" t="inlineStr">
        <is>
          <t>LJUSDAL</t>
        </is>
      </c>
      <c r="G1604" t="n">
        <v>22.5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24221-2023</t>
        </is>
      </c>
      <c r="B1605" s="1" t="n">
        <v>45079</v>
      </c>
      <c r="C1605" s="1" t="n">
        <v>45811</v>
      </c>
      <c r="D1605" t="inlineStr">
        <is>
          <t>GÄVLEBORGS LÄN</t>
        </is>
      </c>
      <c r="E1605" t="inlineStr">
        <is>
          <t>LJUSDAL</t>
        </is>
      </c>
      <c r="F1605" t="inlineStr">
        <is>
          <t>Sveaskog</t>
        </is>
      </c>
      <c r="G1605" t="n">
        <v>3.1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24190-2023</t>
        </is>
      </c>
      <c r="B1606" s="1" t="n">
        <v>45079</v>
      </c>
      <c r="C1606" s="1" t="n">
        <v>45811</v>
      </c>
      <c r="D1606" t="inlineStr">
        <is>
          <t>GÄVLEBORGS LÄN</t>
        </is>
      </c>
      <c r="E1606" t="inlineStr">
        <is>
          <t>LJUSDAL</t>
        </is>
      </c>
      <c r="G1606" t="n">
        <v>5.9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24237-2023</t>
        </is>
      </c>
      <c r="B1607" s="1" t="n">
        <v>45079</v>
      </c>
      <c r="C1607" s="1" t="n">
        <v>45811</v>
      </c>
      <c r="D1607" t="inlineStr">
        <is>
          <t>GÄVLEBORGS LÄN</t>
        </is>
      </c>
      <c r="E1607" t="inlineStr">
        <is>
          <t>LJUSDAL</t>
        </is>
      </c>
      <c r="F1607" t="inlineStr">
        <is>
          <t>Sveaskog</t>
        </is>
      </c>
      <c r="G1607" t="n">
        <v>3.4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24571-2023</t>
        </is>
      </c>
      <c r="B1608" s="1" t="n">
        <v>45083</v>
      </c>
      <c r="C1608" s="1" t="n">
        <v>45811</v>
      </c>
      <c r="D1608" t="inlineStr">
        <is>
          <t>GÄVLEBORGS LÄN</t>
        </is>
      </c>
      <c r="E1608" t="inlineStr">
        <is>
          <t>LJUSDAL</t>
        </is>
      </c>
      <c r="F1608" t="inlineStr">
        <is>
          <t>Allmännings- och besparingsskogar</t>
        </is>
      </c>
      <c r="G1608" t="n">
        <v>8.199999999999999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24654-2023</t>
        </is>
      </c>
      <c r="B1609" s="1" t="n">
        <v>45084</v>
      </c>
      <c r="C1609" s="1" t="n">
        <v>45811</v>
      </c>
      <c r="D1609" t="inlineStr">
        <is>
          <t>GÄVLEBORGS LÄN</t>
        </is>
      </c>
      <c r="E1609" t="inlineStr">
        <is>
          <t>LJUSDAL</t>
        </is>
      </c>
      <c r="F1609" t="inlineStr">
        <is>
          <t>Sveaskog</t>
        </is>
      </c>
      <c r="G1609" t="n">
        <v>28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25089-2023</t>
        </is>
      </c>
      <c r="B1610" s="1" t="n">
        <v>45086</v>
      </c>
      <c r="C1610" s="1" t="n">
        <v>45811</v>
      </c>
      <c r="D1610" t="inlineStr">
        <is>
          <t>GÄVLEBORGS LÄN</t>
        </is>
      </c>
      <c r="E1610" t="inlineStr">
        <is>
          <t>LJUSDAL</t>
        </is>
      </c>
      <c r="F1610" t="inlineStr">
        <is>
          <t>Bergvik skog väst AB</t>
        </is>
      </c>
      <c r="G1610" t="n">
        <v>1.5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25252-2023</t>
        </is>
      </c>
      <c r="B1611" s="1" t="n">
        <v>45086</v>
      </c>
      <c r="C1611" s="1" t="n">
        <v>45811</v>
      </c>
      <c r="D1611" t="inlineStr">
        <is>
          <t>GÄVLEBORGS LÄN</t>
        </is>
      </c>
      <c r="E1611" t="inlineStr">
        <is>
          <t>LJUSDAL</t>
        </is>
      </c>
      <c r="F1611" t="inlineStr">
        <is>
          <t>Sveaskog</t>
        </is>
      </c>
      <c r="G1611" t="n">
        <v>9.699999999999999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25112-2023</t>
        </is>
      </c>
      <c r="B1612" s="1" t="n">
        <v>45086</v>
      </c>
      <c r="C1612" s="1" t="n">
        <v>45811</v>
      </c>
      <c r="D1612" t="inlineStr">
        <is>
          <t>GÄVLEBORGS LÄN</t>
        </is>
      </c>
      <c r="E1612" t="inlineStr">
        <is>
          <t>LJUSDAL</t>
        </is>
      </c>
      <c r="F1612" t="inlineStr">
        <is>
          <t>Bergvik skog väst AB</t>
        </is>
      </c>
      <c r="G1612" t="n">
        <v>1.3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25091-2023</t>
        </is>
      </c>
      <c r="B1613" s="1" t="n">
        <v>45086</v>
      </c>
      <c r="C1613" s="1" t="n">
        <v>45811</v>
      </c>
      <c r="D1613" t="inlineStr">
        <is>
          <t>GÄVLEBORGS LÄN</t>
        </is>
      </c>
      <c r="E1613" t="inlineStr">
        <is>
          <t>LJUSDAL</t>
        </is>
      </c>
      <c r="F1613" t="inlineStr">
        <is>
          <t>Bergvik skog väst AB</t>
        </is>
      </c>
      <c r="G1613" t="n">
        <v>2.4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25353-2023</t>
        </is>
      </c>
      <c r="B1614" s="1" t="n">
        <v>45088</v>
      </c>
      <c r="C1614" s="1" t="n">
        <v>45811</v>
      </c>
      <c r="D1614" t="inlineStr">
        <is>
          <t>GÄVLEBORGS LÄN</t>
        </is>
      </c>
      <c r="E1614" t="inlineStr">
        <is>
          <t>LJUSDAL</t>
        </is>
      </c>
      <c r="F1614" t="inlineStr">
        <is>
          <t>SCA</t>
        </is>
      </c>
      <c r="G1614" t="n">
        <v>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25354-2023</t>
        </is>
      </c>
      <c r="B1615" s="1" t="n">
        <v>45088</v>
      </c>
      <c r="C1615" s="1" t="n">
        <v>45811</v>
      </c>
      <c r="D1615" t="inlineStr">
        <is>
          <t>GÄVLEBORGS LÄN</t>
        </is>
      </c>
      <c r="E1615" t="inlineStr">
        <is>
          <t>LJUSDAL</t>
        </is>
      </c>
      <c r="F1615" t="inlineStr">
        <is>
          <t>SCA</t>
        </is>
      </c>
      <c r="G1615" t="n">
        <v>1.6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25398-2023</t>
        </is>
      </c>
      <c r="B1616" s="1" t="n">
        <v>45089</v>
      </c>
      <c r="C1616" s="1" t="n">
        <v>45811</v>
      </c>
      <c r="D1616" t="inlineStr">
        <is>
          <t>GÄVLEBORGS LÄN</t>
        </is>
      </c>
      <c r="E1616" t="inlineStr">
        <is>
          <t>LJUSDAL</t>
        </is>
      </c>
      <c r="F1616" t="inlineStr">
        <is>
          <t>Allmännings- och besparingsskogar</t>
        </is>
      </c>
      <c r="G1616" t="n">
        <v>24.7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25415-2023</t>
        </is>
      </c>
      <c r="B1617" s="1" t="n">
        <v>45089</v>
      </c>
      <c r="C1617" s="1" t="n">
        <v>45811</v>
      </c>
      <c r="D1617" t="inlineStr">
        <is>
          <t>GÄVLEBORGS LÄN</t>
        </is>
      </c>
      <c r="E1617" t="inlineStr">
        <is>
          <t>LJUSDAL</t>
        </is>
      </c>
      <c r="F1617" t="inlineStr">
        <is>
          <t>Allmännings- och besparingsskogar</t>
        </is>
      </c>
      <c r="G1617" t="n">
        <v>6.8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25564-2023</t>
        </is>
      </c>
      <c r="B1618" s="1" t="n">
        <v>45089</v>
      </c>
      <c r="C1618" s="1" t="n">
        <v>45811</v>
      </c>
      <c r="D1618" t="inlineStr">
        <is>
          <t>GÄVLEBORGS LÄN</t>
        </is>
      </c>
      <c r="E1618" t="inlineStr">
        <is>
          <t>LJUSDAL</t>
        </is>
      </c>
      <c r="G1618" t="n">
        <v>0.7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25668-2023</t>
        </is>
      </c>
      <c r="B1619" s="1" t="n">
        <v>45090</v>
      </c>
      <c r="C1619" s="1" t="n">
        <v>45811</v>
      </c>
      <c r="D1619" t="inlineStr">
        <is>
          <t>GÄVLEBORGS LÄN</t>
        </is>
      </c>
      <c r="E1619" t="inlineStr">
        <is>
          <t>LJUSDAL</t>
        </is>
      </c>
      <c r="G1619" t="n">
        <v>0.7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25822-2023</t>
        </is>
      </c>
      <c r="B1620" s="1" t="n">
        <v>45090</v>
      </c>
      <c r="C1620" s="1" t="n">
        <v>45811</v>
      </c>
      <c r="D1620" t="inlineStr">
        <is>
          <t>GÄVLEBORGS LÄN</t>
        </is>
      </c>
      <c r="E1620" t="inlineStr">
        <is>
          <t>LJUSDAL</t>
        </is>
      </c>
      <c r="F1620" t="inlineStr">
        <is>
          <t>Allmännings- och besparingsskogar</t>
        </is>
      </c>
      <c r="G1620" t="n">
        <v>1.3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25991-2023</t>
        </is>
      </c>
      <c r="B1621" s="1" t="n">
        <v>45091</v>
      </c>
      <c r="C1621" s="1" t="n">
        <v>45811</v>
      </c>
      <c r="D1621" t="inlineStr">
        <is>
          <t>GÄVLEBORGS LÄN</t>
        </is>
      </c>
      <c r="E1621" t="inlineStr">
        <is>
          <t>LJUSDAL</t>
        </is>
      </c>
      <c r="G1621" t="n">
        <v>9.5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25929-2023</t>
        </is>
      </c>
      <c r="B1622" s="1" t="n">
        <v>45090</v>
      </c>
      <c r="C1622" s="1" t="n">
        <v>45811</v>
      </c>
      <c r="D1622" t="inlineStr">
        <is>
          <t>GÄVLEBORGS LÄN</t>
        </is>
      </c>
      <c r="E1622" t="inlineStr">
        <is>
          <t>LJUSDAL</t>
        </is>
      </c>
      <c r="G1622" t="n">
        <v>1.3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26264-2023</t>
        </is>
      </c>
      <c r="B1623" s="1" t="n">
        <v>45091</v>
      </c>
      <c r="C1623" s="1" t="n">
        <v>45811</v>
      </c>
      <c r="D1623" t="inlineStr">
        <is>
          <t>GÄVLEBORGS LÄN</t>
        </is>
      </c>
      <c r="E1623" t="inlineStr">
        <is>
          <t>LJUSDAL</t>
        </is>
      </c>
      <c r="G1623" t="n">
        <v>6.3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26184-2023</t>
        </is>
      </c>
      <c r="B1624" s="1" t="n">
        <v>45091</v>
      </c>
      <c r="C1624" s="1" t="n">
        <v>45811</v>
      </c>
      <c r="D1624" t="inlineStr">
        <is>
          <t>GÄVLEBORGS LÄN</t>
        </is>
      </c>
      <c r="E1624" t="inlineStr">
        <is>
          <t>LJUSDAL</t>
        </is>
      </c>
      <c r="F1624" t="inlineStr">
        <is>
          <t>Sveaskog</t>
        </is>
      </c>
      <c r="G1624" t="n">
        <v>11.8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26186-2023</t>
        </is>
      </c>
      <c r="B1625" s="1" t="n">
        <v>45091</v>
      </c>
      <c r="C1625" s="1" t="n">
        <v>45811</v>
      </c>
      <c r="D1625" t="inlineStr">
        <is>
          <t>GÄVLEBORGS LÄN</t>
        </is>
      </c>
      <c r="E1625" t="inlineStr">
        <is>
          <t>LJUSDAL</t>
        </is>
      </c>
      <c r="F1625" t="inlineStr">
        <is>
          <t>Sveaskog</t>
        </is>
      </c>
      <c r="G1625" t="n">
        <v>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26181-2023</t>
        </is>
      </c>
      <c r="B1626" s="1" t="n">
        <v>45091</v>
      </c>
      <c r="C1626" s="1" t="n">
        <v>45811</v>
      </c>
      <c r="D1626" t="inlineStr">
        <is>
          <t>GÄVLEBORGS LÄN</t>
        </is>
      </c>
      <c r="E1626" t="inlineStr">
        <is>
          <t>LJUSDAL</t>
        </is>
      </c>
      <c r="F1626" t="inlineStr">
        <is>
          <t>Sveaskog</t>
        </is>
      </c>
      <c r="G1626" t="n">
        <v>6.8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26185-2023</t>
        </is>
      </c>
      <c r="B1627" s="1" t="n">
        <v>45091</v>
      </c>
      <c r="C1627" s="1" t="n">
        <v>45811</v>
      </c>
      <c r="D1627" t="inlineStr">
        <is>
          <t>GÄVLEBORGS LÄN</t>
        </is>
      </c>
      <c r="E1627" t="inlineStr">
        <is>
          <t>LJUSDAL</t>
        </is>
      </c>
      <c r="F1627" t="inlineStr">
        <is>
          <t>Sveaskog</t>
        </is>
      </c>
      <c r="G1627" t="n">
        <v>1.9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26180-2023</t>
        </is>
      </c>
      <c r="B1628" s="1" t="n">
        <v>45091</v>
      </c>
      <c r="C1628" s="1" t="n">
        <v>45811</v>
      </c>
      <c r="D1628" t="inlineStr">
        <is>
          <t>GÄVLEBORGS LÄN</t>
        </is>
      </c>
      <c r="E1628" t="inlineStr">
        <is>
          <t>LJUSDAL</t>
        </is>
      </c>
      <c r="F1628" t="inlineStr">
        <is>
          <t>Sveaskog</t>
        </is>
      </c>
      <c r="G1628" t="n">
        <v>3.7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26109-2023</t>
        </is>
      </c>
      <c r="B1629" s="1" t="n">
        <v>45091</v>
      </c>
      <c r="C1629" s="1" t="n">
        <v>45811</v>
      </c>
      <c r="D1629" t="inlineStr">
        <is>
          <t>GÄVLEBORGS LÄN</t>
        </is>
      </c>
      <c r="E1629" t="inlineStr">
        <is>
          <t>LJUSDAL</t>
        </is>
      </c>
      <c r="G1629" t="n">
        <v>9.4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26523-2023</t>
        </is>
      </c>
      <c r="B1630" s="1" t="n">
        <v>45092</v>
      </c>
      <c r="C1630" s="1" t="n">
        <v>45811</v>
      </c>
      <c r="D1630" t="inlineStr">
        <is>
          <t>GÄVLEBORGS LÄN</t>
        </is>
      </c>
      <c r="E1630" t="inlineStr">
        <is>
          <t>LJUSDAL</t>
        </is>
      </c>
      <c r="F1630" t="inlineStr">
        <is>
          <t>Sveaskog</t>
        </is>
      </c>
      <c r="G1630" t="n">
        <v>1.6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26539-2023</t>
        </is>
      </c>
      <c r="B1631" s="1" t="n">
        <v>45092</v>
      </c>
      <c r="C1631" s="1" t="n">
        <v>45811</v>
      </c>
      <c r="D1631" t="inlineStr">
        <is>
          <t>GÄVLEBORGS LÄN</t>
        </is>
      </c>
      <c r="E1631" t="inlineStr">
        <is>
          <t>LJUSDAL</t>
        </is>
      </c>
      <c r="F1631" t="inlineStr">
        <is>
          <t>Sveaskog</t>
        </is>
      </c>
      <c r="G1631" t="n">
        <v>11.4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26619-2023</t>
        </is>
      </c>
      <c r="B1632" s="1" t="n">
        <v>45092</v>
      </c>
      <c r="C1632" s="1" t="n">
        <v>45811</v>
      </c>
      <c r="D1632" t="inlineStr">
        <is>
          <t>GÄVLEBORGS LÄN</t>
        </is>
      </c>
      <c r="E1632" t="inlineStr">
        <is>
          <t>LJUSDAL</t>
        </is>
      </c>
      <c r="F1632" t="inlineStr">
        <is>
          <t>Sveaskog</t>
        </is>
      </c>
      <c r="G1632" t="n">
        <v>11.3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26436-2023</t>
        </is>
      </c>
      <c r="B1633" s="1" t="n">
        <v>45092</v>
      </c>
      <c r="C1633" s="1" t="n">
        <v>45811</v>
      </c>
      <c r="D1633" t="inlineStr">
        <is>
          <t>GÄVLEBORGS LÄN</t>
        </is>
      </c>
      <c r="E1633" t="inlineStr">
        <is>
          <t>LJUSDAL</t>
        </is>
      </c>
      <c r="F1633" t="inlineStr">
        <is>
          <t>Bergvik skog väst AB</t>
        </is>
      </c>
      <c r="G1633" t="n">
        <v>20.2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26491-2023</t>
        </is>
      </c>
      <c r="B1634" s="1" t="n">
        <v>45092</v>
      </c>
      <c r="C1634" s="1" t="n">
        <v>45811</v>
      </c>
      <c r="D1634" t="inlineStr">
        <is>
          <t>GÄVLEBORGS LÄN</t>
        </is>
      </c>
      <c r="E1634" t="inlineStr">
        <is>
          <t>LJUSDAL</t>
        </is>
      </c>
      <c r="F1634" t="inlineStr">
        <is>
          <t>Sveaskog</t>
        </is>
      </c>
      <c r="G1634" t="n">
        <v>1.6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26503-2023</t>
        </is>
      </c>
      <c r="B1635" s="1" t="n">
        <v>45092</v>
      </c>
      <c r="C1635" s="1" t="n">
        <v>45811</v>
      </c>
      <c r="D1635" t="inlineStr">
        <is>
          <t>GÄVLEBORGS LÄN</t>
        </is>
      </c>
      <c r="E1635" t="inlineStr">
        <is>
          <t>LJUSDAL</t>
        </is>
      </c>
      <c r="F1635" t="inlineStr">
        <is>
          <t>Sveaskog</t>
        </is>
      </c>
      <c r="G1635" t="n">
        <v>8.199999999999999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26479-2023</t>
        </is>
      </c>
      <c r="B1636" s="1" t="n">
        <v>45092</v>
      </c>
      <c r="C1636" s="1" t="n">
        <v>45811</v>
      </c>
      <c r="D1636" t="inlineStr">
        <is>
          <t>GÄVLEBORGS LÄN</t>
        </is>
      </c>
      <c r="E1636" t="inlineStr">
        <is>
          <t>LJUSDAL</t>
        </is>
      </c>
      <c r="F1636" t="inlineStr">
        <is>
          <t>Sveaskog</t>
        </is>
      </c>
      <c r="G1636" t="n">
        <v>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26484-2023</t>
        </is>
      </c>
      <c r="B1637" s="1" t="n">
        <v>45092</v>
      </c>
      <c r="C1637" s="1" t="n">
        <v>45811</v>
      </c>
      <c r="D1637" t="inlineStr">
        <is>
          <t>GÄVLEBORGS LÄN</t>
        </is>
      </c>
      <c r="E1637" t="inlineStr">
        <is>
          <t>LJUSDAL</t>
        </is>
      </c>
      <c r="F1637" t="inlineStr">
        <is>
          <t>Sveaskog</t>
        </is>
      </c>
      <c r="G1637" t="n">
        <v>0.8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26525-2023</t>
        </is>
      </c>
      <c r="B1638" s="1" t="n">
        <v>45092</v>
      </c>
      <c r="C1638" s="1" t="n">
        <v>45811</v>
      </c>
      <c r="D1638" t="inlineStr">
        <is>
          <t>GÄVLEBORGS LÄN</t>
        </is>
      </c>
      <c r="E1638" t="inlineStr">
        <is>
          <t>LJUSDAL</t>
        </is>
      </c>
      <c r="F1638" t="inlineStr">
        <is>
          <t>Sveaskog</t>
        </is>
      </c>
      <c r="G1638" t="n">
        <v>1.8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26502-2023</t>
        </is>
      </c>
      <c r="B1639" s="1" t="n">
        <v>45092</v>
      </c>
      <c r="C1639" s="1" t="n">
        <v>45811</v>
      </c>
      <c r="D1639" t="inlineStr">
        <is>
          <t>GÄVLEBORGS LÄN</t>
        </is>
      </c>
      <c r="E1639" t="inlineStr">
        <is>
          <t>LJUSDAL</t>
        </is>
      </c>
      <c r="F1639" t="inlineStr">
        <is>
          <t>Sveaskog</t>
        </is>
      </c>
      <c r="G1639" t="n">
        <v>1.7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26506-2023</t>
        </is>
      </c>
      <c r="B1640" s="1" t="n">
        <v>45092</v>
      </c>
      <c r="C1640" s="1" t="n">
        <v>45811</v>
      </c>
      <c r="D1640" t="inlineStr">
        <is>
          <t>GÄVLEBORGS LÄN</t>
        </is>
      </c>
      <c r="E1640" t="inlineStr">
        <is>
          <t>LJUSDAL</t>
        </is>
      </c>
      <c r="F1640" t="inlineStr">
        <is>
          <t>Sveaskog</t>
        </is>
      </c>
      <c r="G1640" t="n">
        <v>3.4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26510-2023</t>
        </is>
      </c>
      <c r="B1641" s="1" t="n">
        <v>45092</v>
      </c>
      <c r="C1641" s="1" t="n">
        <v>45811</v>
      </c>
      <c r="D1641" t="inlineStr">
        <is>
          <t>GÄVLEBORGS LÄN</t>
        </is>
      </c>
      <c r="E1641" t="inlineStr">
        <is>
          <t>LJUSDAL</t>
        </is>
      </c>
      <c r="F1641" t="inlineStr">
        <is>
          <t>Sveaskog</t>
        </is>
      </c>
      <c r="G1641" t="n">
        <v>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26524-2023</t>
        </is>
      </c>
      <c r="B1642" s="1" t="n">
        <v>45092</v>
      </c>
      <c r="C1642" s="1" t="n">
        <v>45811</v>
      </c>
      <c r="D1642" t="inlineStr">
        <is>
          <t>GÄVLEBORGS LÄN</t>
        </is>
      </c>
      <c r="E1642" t="inlineStr">
        <is>
          <t>LJUSDAL</t>
        </is>
      </c>
      <c r="F1642" t="inlineStr">
        <is>
          <t>Sveaskog</t>
        </is>
      </c>
      <c r="G1642" t="n">
        <v>4.5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26611-2023</t>
        </is>
      </c>
      <c r="B1643" s="1" t="n">
        <v>45092</v>
      </c>
      <c r="C1643" s="1" t="n">
        <v>45811</v>
      </c>
      <c r="D1643" t="inlineStr">
        <is>
          <t>GÄVLEBORGS LÄN</t>
        </is>
      </c>
      <c r="E1643" t="inlineStr">
        <is>
          <t>LJUSDAL</t>
        </is>
      </c>
      <c r="G1643" t="n">
        <v>1.5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26621-2023</t>
        </is>
      </c>
      <c r="B1644" s="1" t="n">
        <v>45092</v>
      </c>
      <c r="C1644" s="1" t="n">
        <v>45811</v>
      </c>
      <c r="D1644" t="inlineStr">
        <is>
          <t>GÄVLEBORGS LÄN</t>
        </is>
      </c>
      <c r="E1644" t="inlineStr">
        <is>
          <t>LJUSDAL</t>
        </is>
      </c>
      <c r="F1644" t="inlineStr">
        <is>
          <t>Sveaskog</t>
        </is>
      </c>
      <c r="G1644" t="n">
        <v>2.3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26625-2023</t>
        </is>
      </c>
      <c r="B1645" s="1" t="n">
        <v>45092</v>
      </c>
      <c r="C1645" s="1" t="n">
        <v>45811</v>
      </c>
      <c r="D1645" t="inlineStr">
        <is>
          <t>GÄVLEBORGS LÄN</t>
        </is>
      </c>
      <c r="E1645" t="inlineStr">
        <is>
          <t>LJUSDAL</t>
        </is>
      </c>
      <c r="G1645" t="n">
        <v>3.1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26653-2023</t>
        </is>
      </c>
      <c r="B1646" s="1" t="n">
        <v>45093</v>
      </c>
      <c r="C1646" s="1" t="n">
        <v>45811</v>
      </c>
      <c r="D1646" t="inlineStr">
        <is>
          <t>GÄVLEBORGS LÄN</t>
        </is>
      </c>
      <c r="E1646" t="inlineStr">
        <is>
          <t>LJUSDAL</t>
        </is>
      </c>
      <c r="F1646" t="inlineStr">
        <is>
          <t>SCA</t>
        </is>
      </c>
      <c r="G1646" t="n">
        <v>1.6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26669-2023</t>
        </is>
      </c>
      <c r="B1647" s="1" t="n">
        <v>45093</v>
      </c>
      <c r="C1647" s="1" t="n">
        <v>45811</v>
      </c>
      <c r="D1647" t="inlineStr">
        <is>
          <t>GÄVLEBORGS LÄN</t>
        </is>
      </c>
      <c r="E1647" t="inlineStr">
        <is>
          <t>LJUSDAL</t>
        </is>
      </c>
      <c r="F1647" t="inlineStr">
        <is>
          <t>Bergvik skog väst AB</t>
        </is>
      </c>
      <c r="G1647" t="n">
        <v>22.6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26667-2023</t>
        </is>
      </c>
      <c r="B1648" s="1" t="n">
        <v>45093</v>
      </c>
      <c r="C1648" s="1" t="n">
        <v>45811</v>
      </c>
      <c r="D1648" t="inlineStr">
        <is>
          <t>GÄVLEBORGS LÄN</t>
        </is>
      </c>
      <c r="E1648" t="inlineStr">
        <is>
          <t>LJUSDAL</t>
        </is>
      </c>
      <c r="F1648" t="inlineStr">
        <is>
          <t>Bergvik skog väst AB</t>
        </is>
      </c>
      <c r="G1648" t="n">
        <v>3.7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26668-2023</t>
        </is>
      </c>
      <c r="B1649" s="1" t="n">
        <v>45093</v>
      </c>
      <c r="C1649" s="1" t="n">
        <v>45811</v>
      </c>
      <c r="D1649" t="inlineStr">
        <is>
          <t>GÄVLEBORGS LÄN</t>
        </is>
      </c>
      <c r="E1649" t="inlineStr">
        <is>
          <t>LJUSDAL</t>
        </is>
      </c>
      <c r="F1649" t="inlineStr">
        <is>
          <t>Bergvik skog väst AB</t>
        </is>
      </c>
      <c r="G1649" t="n">
        <v>19.4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26654-2023</t>
        </is>
      </c>
      <c r="B1650" s="1" t="n">
        <v>45093</v>
      </c>
      <c r="C1650" s="1" t="n">
        <v>45811</v>
      </c>
      <c r="D1650" t="inlineStr">
        <is>
          <t>GÄVLEBORGS LÄN</t>
        </is>
      </c>
      <c r="E1650" t="inlineStr">
        <is>
          <t>LJUSDAL</t>
        </is>
      </c>
      <c r="F1650" t="inlineStr">
        <is>
          <t>SCA</t>
        </is>
      </c>
      <c r="G1650" t="n">
        <v>1.8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26781-2023</t>
        </is>
      </c>
      <c r="B1651" s="1" t="n">
        <v>45093</v>
      </c>
      <c r="C1651" s="1" t="n">
        <v>45811</v>
      </c>
      <c r="D1651" t="inlineStr">
        <is>
          <t>GÄVLEBORGS LÄN</t>
        </is>
      </c>
      <c r="E1651" t="inlineStr">
        <is>
          <t>LJUSDAL</t>
        </is>
      </c>
      <c r="F1651" t="inlineStr">
        <is>
          <t>Sveaskog</t>
        </is>
      </c>
      <c r="G1651" t="n">
        <v>3.1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26894-2023</t>
        </is>
      </c>
      <c r="B1652" s="1" t="n">
        <v>45093</v>
      </c>
      <c r="C1652" s="1" t="n">
        <v>45811</v>
      </c>
      <c r="D1652" t="inlineStr">
        <is>
          <t>GÄVLEBORGS LÄN</t>
        </is>
      </c>
      <c r="E1652" t="inlineStr">
        <is>
          <t>LJUSDAL</t>
        </is>
      </c>
      <c r="F1652" t="inlineStr">
        <is>
          <t>Holmen skog AB</t>
        </is>
      </c>
      <c r="G1652" t="n">
        <v>10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26785-2023</t>
        </is>
      </c>
      <c r="B1653" s="1" t="n">
        <v>45093</v>
      </c>
      <c r="C1653" s="1" t="n">
        <v>45811</v>
      </c>
      <c r="D1653" t="inlineStr">
        <is>
          <t>GÄVLEBORGS LÄN</t>
        </is>
      </c>
      <c r="E1653" t="inlineStr">
        <is>
          <t>LJUSDAL</t>
        </is>
      </c>
      <c r="F1653" t="inlineStr">
        <is>
          <t>Sveaskog</t>
        </is>
      </c>
      <c r="G1653" t="n">
        <v>18.6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26861-2023</t>
        </is>
      </c>
      <c r="B1654" s="1" t="n">
        <v>45093</v>
      </c>
      <c r="C1654" s="1" t="n">
        <v>45811</v>
      </c>
      <c r="D1654" t="inlineStr">
        <is>
          <t>GÄVLEBORGS LÄN</t>
        </is>
      </c>
      <c r="E1654" t="inlineStr">
        <is>
          <t>LJUSDAL</t>
        </is>
      </c>
      <c r="F1654" t="inlineStr">
        <is>
          <t>Sveaskog</t>
        </is>
      </c>
      <c r="G1654" t="n">
        <v>0.7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26860-2023</t>
        </is>
      </c>
      <c r="B1655" s="1" t="n">
        <v>45093</v>
      </c>
      <c r="C1655" s="1" t="n">
        <v>45811</v>
      </c>
      <c r="D1655" t="inlineStr">
        <is>
          <t>GÄVLEBORGS LÄN</t>
        </is>
      </c>
      <c r="E1655" t="inlineStr">
        <is>
          <t>LJUSDAL</t>
        </is>
      </c>
      <c r="F1655" t="inlineStr">
        <is>
          <t>Sveaskog</t>
        </is>
      </c>
      <c r="G1655" t="n">
        <v>5.8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26827-2023</t>
        </is>
      </c>
      <c r="B1656" s="1" t="n">
        <v>45093</v>
      </c>
      <c r="C1656" s="1" t="n">
        <v>45811</v>
      </c>
      <c r="D1656" t="inlineStr">
        <is>
          <t>GÄVLEBORGS LÄN</t>
        </is>
      </c>
      <c r="E1656" t="inlineStr">
        <is>
          <t>LJUSDAL</t>
        </is>
      </c>
      <c r="F1656" t="inlineStr">
        <is>
          <t>Sveaskog</t>
        </is>
      </c>
      <c r="G1656" t="n">
        <v>11.1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27012-2023</t>
        </is>
      </c>
      <c r="B1657" s="1" t="n">
        <v>45094</v>
      </c>
      <c r="C1657" s="1" t="n">
        <v>45811</v>
      </c>
      <c r="D1657" t="inlineStr">
        <is>
          <t>GÄVLEBORGS LÄN</t>
        </is>
      </c>
      <c r="E1657" t="inlineStr">
        <is>
          <t>LJUSDAL</t>
        </is>
      </c>
      <c r="G1657" t="n">
        <v>7.6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27460-2023</t>
        </is>
      </c>
      <c r="B1658" s="1" t="n">
        <v>45097</v>
      </c>
      <c r="C1658" s="1" t="n">
        <v>45811</v>
      </c>
      <c r="D1658" t="inlineStr">
        <is>
          <t>GÄVLEBORGS LÄN</t>
        </is>
      </c>
      <c r="E1658" t="inlineStr">
        <is>
          <t>LJUSDAL</t>
        </is>
      </c>
      <c r="G1658" t="n">
        <v>3.7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27497-2023</t>
        </is>
      </c>
      <c r="B1659" s="1" t="n">
        <v>45097</v>
      </c>
      <c r="C1659" s="1" t="n">
        <v>45811</v>
      </c>
      <c r="D1659" t="inlineStr">
        <is>
          <t>GÄVLEBORGS LÄN</t>
        </is>
      </c>
      <c r="E1659" t="inlineStr">
        <is>
          <t>LJUSDAL</t>
        </is>
      </c>
      <c r="F1659" t="inlineStr">
        <is>
          <t>Bergvik skog väst AB</t>
        </is>
      </c>
      <c r="G1659" t="n">
        <v>1.8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27564-2023</t>
        </is>
      </c>
      <c r="B1660" s="1" t="n">
        <v>45097</v>
      </c>
      <c r="C1660" s="1" t="n">
        <v>45811</v>
      </c>
      <c r="D1660" t="inlineStr">
        <is>
          <t>GÄVLEBORGS LÄN</t>
        </is>
      </c>
      <c r="E1660" t="inlineStr">
        <is>
          <t>LJUSDAL</t>
        </is>
      </c>
      <c r="F1660" t="inlineStr">
        <is>
          <t>Holmen skog AB</t>
        </is>
      </c>
      <c r="G1660" t="n">
        <v>9.4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27490-2023</t>
        </is>
      </c>
      <c r="B1661" s="1" t="n">
        <v>45097</v>
      </c>
      <c r="C1661" s="1" t="n">
        <v>45811</v>
      </c>
      <c r="D1661" t="inlineStr">
        <is>
          <t>GÄVLEBORGS LÄN</t>
        </is>
      </c>
      <c r="E1661" t="inlineStr">
        <is>
          <t>LJUSDAL</t>
        </is>
      </c>
      <c r="G1661" t="n">
        <v>3.7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27512-2023</t>
        </is>
      </c>
      <c r="B1662" s="1" t="n">
        <v>45097</v>
      </c>
      <c r="C1662" s="1" t="n">
        <v>45811</v>
      </c>
      <c r="D1662" t="inlineStr">
        <is>
          <t>GÄVLEBORGS LÄN</t>
        </is>
      </c>
      <c r="E1662" t="inlineStr">
        <is>
          <t>LJUSDAL</t>
        </is>
      </c>
      <c r="F1662" t="inlineStr">
        <is>
          <t>Holmen skog AB</t>
        </is>
      </c>
      <c r="G1662" t="n">
        <v>1.1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27718-2023</t>
        </is>
      </c>
      <c r="B1663" s="1" t="n">
        <v>45098</v>
      </c>
      <c r="C1663" s="1" t="n">
        <v>45811</v>
      </c>
      <c r="D1663" t="inlineStr">
        <is>
          <t>GÄVLEBORGS LÄN</t>
        </is>
      </c>
      <c r="E1663" t="inlineStr">
        <is>
          <t>LJUSDAL</t>
        </is>
      </c>
      <c r="F1663" t="inlineStr">
        <is>
          <t>Holmen skog AB</t>
        </is>
      </c>
      <c r="G1663" t="n">
        <v>23.3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28114-2023</t>
        </is>
      </c>
      <c r="B1664" s="1" t="n">
        <v>45099</v>
      </c>
      <c r="C1664" s="1" t="n">
        <v>45811</v>
      </c>
      <c r="D1664" t="inlineStr">
        <is>
          <t>GÄVLEBORGS LÄN</t>
        </is>
      </c>
      <c r="E1664" t="inlineStr">
        <is>
          <t>LJUSDAL</t>
        </is>
      </c>
      <c r="G1664" t="n">
        <v>2.6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28240-2023</t>
        </is>
      </c>
      <c r="B1665" s="1" t="n">
        <v>45099</v>
      </c>
      <c r="C1665" s="1" t="n">
        <v>45811</v>
      </c>
      <c r="D1665" t="inlineStr">
        <is>
          <t>GÄVLEBORGS LÄN</t>
        </is>
      </c>
      <c r="E1665" t="inlineStr">
        <is>
          <t>LJUSDAL</t>
        </is>
      </c>
      <c r="F1665" t="inlineStr">
        <is>
          <t>Holmen skog AB</t>
        </is>
      </c>
      <c r="G1665" t="n">
        <v>5.8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28248-2023</t>
        </is>
      </c>
      <c r="B1666" s="1" t="n">
        <v>45099</v>
      </c>
      <c r="C1666" s="1" t="n">
        <v>45811</v>
      </c>
      <c r="D1666" t="inlineStr">
        <is>
          <t>GÄVLEBORGS LÄN</t>
        </is>
      </c>
      <c r="E1666" t="inlineStr">
        <is>
          <t>LJUSDAL</t>
        </is>
      </c>
      <c r="G1666" t="n">
        <v>1.3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28246-2023</t>
        </is>
      </c>
      <c r="B1667" s="1" t="n">
        <v>45099</v>
      </c>
      <c r="C1667" s="1" t="n">
        <v>45811</v>
      </c>
      <c r="D1667" t="inlineStr">
        <is>
          <t>GÄVLEBORGS LÄN</t>
        </is>
      </c>
      <c r="E1667" t="inlineStr">
        <is>
          <t>LJUSDAL</t>
        </is>
      </c>
      <c r="G1667" t="n">
        <v>8.4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28272-2023</t>
        </is>
      </c>
      <c r="B1668" s="1" t="n">
        <v>45099</v>
      </c>
      <c r="C1668" s="1" t="n">
        <v>45811</v>
      </c>
      <c r="D1668" t="inlineStr">
        <is>
          <t>GÄVLEBORGS LÄN</t>
        </is>
      </c>
      <c r="E1668" t="inlineStr">
        <is>
          <t>LJUSDAL</t>
        </is>
      </c>
      <c r="G1668" t="n">
        <v>1.4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28303-2023</t>
        </is>
      </c>
      <c r="B1669" s="1" t="n">
        <v>45099</v>
      </c>
      <c r="C1669" s="1" t="n">
        <v>45811</v>
      </c>
      <c r="D1669" t="inlineStr">
        <is>
          <t>GÄVLEBORGS LÄN</t>
        </is>
      </c>
      <c r="E1669" t="inlineStr">
        <is>
          <t>LJUSDAL</t>
        </is>
      </c>
      <c r="G1669" t="n">
        <v>2.4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28293-2023</t>
        </is>
      </c>
      <c r="B1670" s="1" t="n">
        <v>45099</v>
      </c>
      <c r="C1670" s="1" t="n">
        <v>45811</v>
      </c>
      <c r="D1670" t="inlineStr">
        <is>
          <t>GÄVLEBORGS LÄN</t>
        </is>
      </c>
      <c r="E1670" t="inlineStr">
        <is>
          <t>LJUSDAL</t>
        </is>
      </c>
      <c r="G1670" t="n">
        <v>1.5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28298-2023</t>
        </is>
      </c>
      <c r="B1671" s="1" t="n">
        <v>45099</v>
      </c>
      <c r="C1671" s="1" t="n">
        <v>45811</v>
      </c>
      <c r="D1671" t="inlineStr">
        <is>
          <t>GÄVLEBORGS LÄN</t>
        </is>
      </c>
      <c r="E1671" t="inlineStr">
        <is>
          <t>LJUSDAL</t>
        </is>
      </c>
      <c r="G1671" t="n">
        <v>3.7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28302-2023</t>
        </is>
      </c>
      <c r="B1672" s="1" t="n">
        <v>45099</v>
      </c>
      <c r="C1672" s="1" t="n">
        <v>45811</v>
      </c>
      <c r="D1672" t="inlineStr">
        <is>
          <t>GÄVLEBORGS LÄN</t>
        </is>
      </c>
      <c r="E1672" t="inlineStr">
        <is>
          <t>LJUSDAL</t>
        </is>
      </c>
      <c r="G1672" t="n">
        <v>1.8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28306-2023</t>
        </is>
      </c>
      <c r="B1673" s="1" t="n">
        <v>45099</v>
      </c>
      <c r="C1673" s="1" t="n">
        <v>45811</v>
      </c>
      <c r="D1673" t="inlineStr">
        <is>
          <t>GÄVLEBORGS LÄN</t>
        </is>
      </c>
      <c r="E1673" t="inlineStr">
        <is>
          <t>LJUSDAL</t>
        </is>
      </c>
      <c r="G1673" t="n">
        <v>2.1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28301-2023</t>
        </is>
      </c>
      <c r="B1674" s="1" t="n">
        <v>45099</v>
      </c>
      <c r="C1674" s="1" t="n">
        <v>45811</v>
      </c>
      <c r="D1674" t="inlineStr">
        <is>
          <t>GÄVLEBORGS LÄN</t>
        </is>
      </c>
      <c r="E1674" t="inlineStr">
        <is>
          <t>LJUSDAL</t>
        </is>
      </c>
      <c r="G1674" t="n">
        <v>2.5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28305-2023</t>
        </is>
      </c>
      <c r="B1675" s="1" t="n">
        <v>45099</v>
      </c>
      <c r="C1675" s="1" t="n">
        <v>45811</v>
      </c>
      <c r="D1675" t="inlineStr">
        <is>
          <t>GÄVLEBORGS LÄN</t>
        </is>
      </c>
      <c r="E1675" t="inlineStr">
        <is>
          <t>LJUSDAL</t>
        </is>
      </c>
      <c r="G1675" t="n">
        <v>1.8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28339-2023</t>
        </is>
      </c>
      <c r="B1676" s="1" t="n">
        <v>45099</v>
      </c>
      <c r="C1676" s="1" t="n">
        <v>45811</v>
      </c>
      <c r="D1676" t="inlineStr">
        <is>
          <t>GÄVLEBORGS LÄN</t>
        </is>
      </c>
      <c r="E1676" t="inlineStr">
        <is>
          <t>LJUSDAL</t>
        </is>
      </c>
      <c r="G1676" t="n">
        <v>2.6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28347-2023</t>
        </is>
      </c>
      <c r="B1677" s="1" t="n">
        <v>45099</v>
      </c>
      <c r="C1677" s="1" t="n">
        <v>45811</v>
      </c>
      <c r="D1677" t="inlineStr">
        <is>
          <t>GÄVLEBORGS LÄN</t>
        </is>
      </c>
      <c r="E1677" t="inlineStr">
        <is>
          <t>LJUSDAL</t>
        </is>
      </c>
      <c r="G1677" t="n">
        <v>0.8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29807-2023</t>
        </is>
      </c>
      <c r="B1678" s="1" t="n">
        <v>45099</v>
      </c>
      <c r="C1678" s="1" t="n">
        <v>45811</v>
      </c>
      <c r="D1678" t="inlineStr">
        <is>
          <t>GÄVLEBORGS LÄN</t>
        </is>
      </c>
      <c r="E1678" t="inlineStr">
        <is>
          <t>LJUSDAL</t>
        </is>
      </c>
      <c r="G1678" t="n">
        <v>0.8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28300-2023</t>
        </is>
      </c>
      <c r="B1679" s="1" t="n">
        <v>45099</v>
      </c>
      <c r="C1679" s="1" t="n">
        <v>45811</v>
      </c>
      <c r="D1679" t="inlineStr">
        <is>
          <t>GÄVLEBORGS LÄN</t>
        </is>
      </c>
      <c r="E1679" t="inlineStr">
        <is>
          <t>LJUSDAL</t>
        </is>
      </c>
      <c r="G1679" t="n">
        <v>1.6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28304-2023</t>
        </is>
      </c>
      <c r="B1680" s="1" t="n">
        <v>45099</v>
      </c>
      <c r="C1680" s="1" t="n">
        <v>45811</v>
      </c>
      <c r="D1680" t="inlineStr">
        <is>
          <t>GÄVLEBORGS LÄN</t>
        </is>
      </c>
      <c r="E1680" t="inlineStr">
        <is>
          <t>LJUSDAL</t>
        </is>
      </c>
      <c r="G1680" t="n">
        <v>4.7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28346-2023</t>
        </is>
      </c>
      <c r="B1681" s="1" t="n">
        <v>45099</v>
      </c>
      <c r="C1681" s="1" t="n">
        <v>45811</v>
      </c>
      <c r="D1681" t="inlineStr">
        <is>
          <t>GÄVLEBORGS LÄN</t>
        </is>
      </c>
      <c r="E1681" t="inlineStr">
        <is>
          <t>LJUSDAL</t>
        </is>
      </c>
      <c r="G1681" t="n">
        <v>0.8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29841-2023</t>
        </is>
      </c>
      <c r="B1682" s="1" t="n">
        <v>45099</v>
      </c>
      <c r="C1682" s="1" t="n">
        <v>45811</v>
      </c>
      <c r="D1682" t="inlineStr">
        <is>
          <t>GÄVLEBORGS LÄN</t>
        </is>
      </c>
      <c r="E1682" t="inlineStr">
        <is>
          <t>LJUSDAL</t>
        </is>
      </c>
      <c r="G1682" t="n">
        <v>0.8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29831-2023</t>
        </is>
      </c>
      <c r="B1683" s="1" t="n">
        <v>45099</v>
      </c>
      <c r="C1683" s="1" t="n">
        <v>45811</v>
      </c>
      <c r="D1683" t="inlineStr">
        <is>
          <t>GÄVLEBORGS LÄN</t>
        </is>
      </c>
      <c r="E1683" t="inlineStr">
        <is>
          <t>LJUSDAL</t>
        </is>
      </c>
      <c r="G1683" t="n">
        <v>0.8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29845-2023</t>
        </is>
      </c>
      <c r="B1684" s="1" t="n">
        <v>45099</v>
      </c>
      <c r="C1684" s="1" t="n">
        <v>45811</v>
      </c>
      <c r="D1684" t="inlineStr">
        <is>
          <t>GÄVLEBORGS LÄN</t>
        </is>
      </c>
      <c r="E1684" t="inlineStr">
        <is>
          <t>LJUSDAL</t>
        </is>
      </c>
      <c r="G1684" t="n">
        <v>1.4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28631-2023</t>
        </is>
      </c>
      <c r="B1685" s="1" t="n">
        <v>45103</v>
      </c>
      <c r="C1685" s="1" t="n">
        <v>45811</v>
      </c>
      <c r="D1685" t="inlineStr">
        <is>
          <t>GÄVLEBORGS LÄN</t>
        </is>
      </c>
      <c r="E1685" t="inlineStr">
        <is>
          <t>LJUSDAL</t>
        </is>
      </c>
      <c r="G1685" t="n">
        <v>2.5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28712-2023</t>
        </is>
      </c>
      <c r="B1686" s="1" t="n">
        <v>45103</v>
      </c>
      <c r="C1686" s="1" t="n">
        <v>45811</v>
      </c>
      <c r="D1686" t="inlineStr">
        <is>
          <t>GÄVLEBORGS LÄN</t>
        </is>
      </c>
      <c r="E1686" t="inlineStr">
        <is>
          <t>LJUSDAL</t>
        </is>
      </c>
      <c r="F1686" t="inlineStr">
        <is>
          <t>Holmen skog AB</t>
        </is>
      </c>
      <c r="G1686" t="n">
        <v>5.4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28865-2023</t>
        </is>
      </c>
      <c r="B1687" s="1" t="n">
        <v>45104</v>
      </c>
      <c r="C1687" s="1" t="n">
        <v>45811</v>
      </c>
      <c r="D1687" t="inlineStr">
        <is>
          <t>GÄVLEBORGS LÄN</t>
        </is>
      </c>
      <c r="E1687" t="inlineStr">
        <is>
          <t>LJUSDAL</t>
        </is>
      </c>
      <c r="G1687" t="n">
        <v>3.1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28891-2023</t>
        </is>
      </c>
      <c r="B1688" s="1" t="n">
        <v>45104</v>
      </c>
      <c r="C1688" s="1" t="n">
        <v>45811</v>
      </c>
      <c r="D1688" t="inlineStr">
        <is>
          <t>GÄVLEBORGS LÄN</t>
        </is>
      </c>
      <c r="E1688" t="inlineStr">
        <is>
          <t>LJUSDAL</t>
        </is>
      </c>
      <c r="G1688" t="n">
        <v>8.300000000000001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28944-2023</t>
        </is>
      </c>
      <c r="B1689" s="1" t="n">
        <v>45104</v>
      </c>
      <c r="C1689" s="1" t="n">
        <v>45811</v>
      </c>
      <c r="D1689" t="inlineStr">
        <is>
          <t>GÄVLEBORGS LÄN</t>
        </is>
      </c>
      <c r="E1689" t="inlineStr">
        <is>
          <t>LJUSDAL</t>
        </is>
      </c>
      <c r="G1689" t="n">
        <v>2.2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28927-2023</t>
        </is>
      </c>
      <c r="B1690" s="1" t="n">
        <v>45104</v>
      </c>
      <c r="C1690" s="1" t="n">
        <v>45811</v>
      </c>
      <c r="D1690" t="inlineStr">
        <is>
          <t>GÄVLEBORGS LÄN</t>
        </is>
      </c>
      <c r="E1690" t="inlineStr">
        <is>
          <t>LJUSDAL</t>
        </is>
      </c>
      <c r="F1690" t="inlineStr">
        <is>
          <t>Holmen skog AB</t>
        </is>
      </c>
      <c r="G1690" t="n">
        <v>2.2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28853-2023</t>
        </is>
      </c>
      <c r="B1691" s="1" t="n">
        <v>45104</v>
      </c>
      <c r="C1691" s="1" t="n">
        <v>45811</v>
      </c>
      <c r="D1691" t="inlineStr">
        <is>
          <t>GÄVLEBORGS LÄN</t>
        </is>
      </c>
      <c r="E1691" t="inlineStr">
        <is>
          <t>LJUSDAL</t>
        </is>
      </c>
      <c r="G1691" t="n">
        <v>2.1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28892-2023</t>
        </is>
      </c>
      <c r="B1692" s="1" t="n">
        <v>45104</v>
      </c>
      <c r="C1692" s="1" t="n">
        <v>45811</v>
      </c>
      <c r="D1692" t="inlineStr">
        <is>
          <t>GÄVLEBORGS LÄN</t>
        </is>
      </c>
      <c r="E1692" t="inlineStr">
        <is>
          <t>LJUSDAL</t>
        </is>
      </c>
      <c r="G1692" t="n">
        <v>2.3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29205-2023</t>
        </is>
      </c>
      <c r="B1693" s="1" t="n">
        <v>45105</v>
      </c>
      <c r="C1693" s="1" t="n">
        <v>45811</v>
      </c>
      <c r="D1693" t="inlineStr">
        <is>
          <t>GÄVLEBORGS LÄN</t>
        </is>
      </c>
      <c r="E1693" t="inlineStr">
        <is>
          <t>LJUSDAL</t>
        </is>
      </c>
      <c r="G1693" t="n">
        <v>0.9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29239-2023</t>
        </is>
      </c>
      <c r="B1694" s="1" t="n">
        <v>45105</v>
      </c>
      <c r="C1694" s="1" t="n">
        <v>45811</v>
      </c>
      <c r="D1694" t="inlineStr">
        <is>
          <t>GÄVLEBORGS LÄN</t>
        </is>
      </c>
      <c r="E1694" t="inlineStr">
        <is>
          <t>LJUSDAL</t>
        </is>
      </c>
      <c r="F1694" t="inlineStr">
        <is>
          <t>Sveaskog</t>
        </is>
      </c>
      <c r="G1694" t="n">
        <v>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29238-2023</t>
        </is>
      </c>
      <c r="B1695" s="1" t="n">
        <v>45105</v>
      </c>
      <c r="C1695" s="1" t="n">
        <v>45811</v>
      </c>
      <c r="D1695" t="inlineStr">
        <is>
          <t>GÄVLEBORGS LÄN</t>
        </is>
      </c>
      <c r="E1695" t="inlineStr">
        <is>
          <t>LJUSDAL</t>
        </is>
      </c>
      <c r="G1695" t="n">
        <v>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29260-2023</t>
        </is>
      </c>
      <c r="B1696" s="1" t="n">
        <v>45105</v>
      </c>
      <c r="C1696" s="1" t="n">
        <v>45811</v>
      </c>
      <c r="D1696" t="inlineStr">
        <is>
          <t>GÄVLEBORGS LÄN</t>
        </is>
      </c>
      <c r="E1696" t="inlineStr">
        <is>
          <t>LJUSDAL</t>
        </is>
      </c>
      <c r="G1696" t="n">
        <v>0.9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29494-2023</t>
        </is>
      </c>
      <c r="B1697" s="1" t="n">
        <v>45106</v>
      </c>
      <c r="C1697" s="1" t="n">
        <v>45811</v>
      </c>
      <c r="D1697" t="inlineStr">
        <is>
          <t>GÄVLEBORGS LÄN</t>
        </is>
      </c>
      <c r="E1697" t="inlineStr">
        <is>
          <t>LJUSDAL</t>
        </is>
      </c>
      <c r="G1697" t="n">
        <v>7.1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29439-2023</t>
        </is>
      </c>
      <c r="B1698" s="1" t="n">
        <v>45106</v>
      </c>
      <c r="C1698" s="1" t="n">
        <v>45811</v>
      </c>
      <c r="D1698" t="inlineStr">
        <is>
          <t>GÄVLEBORGS LÄN</t>
        </is>
      </c>
      <c r="E1698" t="inlineStr">
        <is>
          <t>LJUSDAL</t>
        </is>
      </c>
      <c r="G1698" t="n">
        <v>2.8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29505-2023</t>
        </is>
      </c>
      <c r="B1699" s="1" t="n">
        <v>45106</v>
      </c>
      <c r="C1699" s="1" t="n">
        <v>45811</v>
      </c>
      <c r="D1699" t="inlineStr">
        <is>
          <t>GÄVLEBORGS LÄN</t>
        </is>
      </c>
      <c r="E1699" t="inlineStr">
        <is>
          <t>LJUSDAL</t>
        </is>
      </c>
      <c r="G1699" t="n">
        <v>1.9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29725-2023</t>
        </is>
      </c>
      <c r="B1700" s="1" t="n">
        <v>45107</v>
      </c>
      <c r="C1700" s="1" t="n">
        <v>45811</v>
      </c>
      <c r="D1700" t="inlineStr">
        <is>
          <t>GÄVLEBORGS LÄN</t>
        </is>
      </c>
      <c r="E1700" t="inlineStr">
        <is>
          <t>LJUSDAL</t>
        </is>
      </c>
      <c r="F1700" t="inlineStr">
        <is>
          <t>Holmen skog AB</t>
        </is>
      </c>
      <c r="G1700" t="n">
        <v>0.8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29790-2023</t>
        </is>
      </c>
      <c r="B1701" s="1" t="n">
        <v>45107</v>
      </c>
      <c r="C1701" s="1" t="n">
        <v>45811</v>
      </c>
      <c r="D1701" t="inlineStr">
        <is>
          <t>GÄVLEBORGS LÄN</t>
        </is>
      </c>
      <c r="E1701" t="inlineStr">
        <is>
          <t>LJUSDAL</t>
        </is>
      </c>
      <c r="G1701" t="n">
        <v>4.8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29910-2023</t>
        </is>
      </c>
      <c r="B1702" s="1" t="n">
        <v>45107</v>
      </c>
      <c r="C1702" s="1" t="n">
        <v>45811</v>
      </c>
      <c r="D1702" t="inlineStr">
        <is>
          <t>GÄVLEBORGS LÄN</t>
        </is>
      </c>
      <c r="E1702" t="inlineStr">
        <is>
          <t>LJUSDAL</t>
        </is>
      </c>
      <c r="G1702" t="n">
        <v>2.4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29686-2023</t>
        </is>
      </c>
      <c r="B1703" s="1" t="n">
        <v>45107</v>
      </c>
      <c r="C1703" s="1" t="n">
        <v>45811</v>
      </c>
      <c r="D1703" t="inlineStr">
        <is>
          <t>GÄVLEBORGS LÄN</t>
        </is>
      </c>
      <c r="E1703" t="inlineStr">
        <is>
          <t>LJUSDAL</t>
        </is>
      </c>
      <c r="G1703" t="n">
        <v>1.6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29801-2023</t>
        </is>
      </c>
      <c r="B1704" s="1" t="n">
        <v>45107</v>
      </c>
      <c r="C1704" s="1" t="n">
        <v>45811</v>
      </c>
      <c r="D1704" t="inlineStr">
        <is>
          <t>GÄVLEBORGS LÄN</t>
        </is>
      </c>
      <c r="E1704" t="inlineStr">
        <is>
          <t>LJUSDAL</t>
        </is>
      </c>
      <c r="F1704" t="inlineStr">
        <is>
          <t>Holmen skog AB</t>
        </is>
      </c>
      <c r="G1704" t="n">
        <v>4.8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29837-2023</t>
        </is>
      </c>
      <c r="B1705" s="1" t="n">
        <v>45107</v>
      </c>
      <c r="C1705" s="1" t="n">
        <v>45811</v>
      </c>
      <c r="D1705" t="inlineStr">
        <is>
          <t>GÄVLEBORGS LÄN</t>
        </is>
      </c>
      <c r="E1705" t="inlineStr">
        <is>
          <t>LJUSDAL</t>
        </is>
      </c>
      <c r="G1705" t="n">
        <v>1.7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29928-2023</t>
        </is>
      </c>
      <c r="B1706" s="1" t="n">
        <v>45107</v>
      </c>
      <c r="C1706" s="1" t="n">
        <v>45811</v>
      </c>
      <c r="D1706" t="inlineStr">
        <is>
          <t>GÄVLEBORGS LÄN</t>
        </is>
      </c>
      <c r="E1706" t="inlineStr">
        <is>
          <t>LJUSDAL</t>
        </is>
      </c>
      <c r="F1706" t="inlineStr">
        <is>
          <t>Sveaskog</t>
        </is>
      </c>
      <c r="G1706" t="n">
        <v>24.2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29931-2023</t>
        </is>
      </c>
      <c r="B1707" s="1" t="n">
        <v>45107</v>
      </c>
      <c r="C1707" s="1" t="n">
        <v>45811</v>
      </c>
      <c r="D1707" t="inlineStr">
        <is>
          <t>GÄVLEBORGS LÄN</t>
        </is>
      </c>
      <c r="E1707" t="inlineStr">
        <is>
          <t>LJUSDAL</t>
        </is>
      </c>
      <c r="G1707" t="n">
        <v>4.9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32287-2023</t>
        </is>
      </c>
      <c r="B1708" s="1" t="n">
        <v>45107</v>
      </c>
      <c r="C1708" s="1" t="n">
        <v>45811</v>
      </c>
      <c r="D1708" t="inlineStr">
        <is>
          <t>GÄVLEBORGS LÄN</t>
        </is>
      </c>
      <c r="E1708" t="inlineStr">
        <is>
          <t>LJUSDAL</t>
        </is>
      </c>
      <c r="G1708" t="n">
        <v>0.7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32293-2023</t>
        </is>
      </c>
      <c r="B1709" s="1" t="n">
        <v>45107</v>
      </c>
      <c r="C1709" s="1" t="n">
        <v>45811</v>
      </c>
      <c r="D1709" t="inlineStr">
        <is>
          <t>GÄVLEBORGS LÄN</t>
        </is>
      </c>
      <c r="E1709" t="inlineStr">
        <is>
          <t>LJUSDAL</t>
        </is>
      </c>
      <c r="G1709" t="n">
        <v>1.4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32289-2023</t>
        </is>
      </c>
      <c r="B1710" s="1" t="n">
        <v>45107</v>
      </c>
      <c r="C1710" s="1" t="n">
        <v>45811</v>
      </c>
      <c r="D1710" t="inlineStr">
        <is>
          <t>GÄVLEBORGS LÄN</t>
        </is>
      </c>
      <c r="E1710" t="inlineStr">
        <is>
          <t>LJUSDAL</t>
        </is>
      </c>
      <c r="G1710" t="n">
        <v>0.7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32294-2023</t>
        </is>
      </c>
      <c r="B1711" s="1" t="n">
        <v>45107</v>
      </c>
      <c r="C1711" s="1" t="n">
        <v>45811</v>
      </c>
      <c r="D1711" t="inlineStr">
        <is>
          <t>GÄVLEBORGS LÄN</t>
        </is>
      </c>
      <c r="E1711" t="inlineStr">
        <is>
          <t>LJUSDAL</t>
        </is>
      </c>
      <c r="G1711" t="n">
        <v>0.8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30061-2023</t>
        </is>
      </c>
      <c r="B1712" s="1" t="n">
        <v>45110</v>
      </c>
      <c r="C1712" s="1" t="n">
        <v>45811</v>
      </c>
      <c r="D1712" t="inlineStr">
        <is>
          <t>GÄVLEBORGS LÄN</t>
        </is>
      </c>
      <c r="E1712" t="inlineStr">
        <is>
          <t>LJUSDAL</t>
        </is>
      </c>
      <c r="G1712" t="n">
        <v>2.8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30240-2023</t>
        </is>
      </c>
      <c r="B1713" s="1" t="n">
        <v>45110</v>
      </c>
      <c r="C1713" s="1" t="n">
        <v>45811</v>
      </c>
      <c r="D1713" t="inlineStr">
        <is>
          <t>GÄVLEBORGS LÄN</t>
        </is>
      </c>
      <c r="E1713" t="inlineStr">
        <is>
          <t>LJUSDAL</t>
        </is>
      </c>
      <c r="F1713" t="inlineStr">
        <is>
          <t>Sveaskog</t>
        </is>
      </c>
      <c r="G1713" t="n">
        <v>0.5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30476-2023</t>
        </is>
      </c>
      <c r="B1714" s="1" t="n">
        <v>45111</v>
      </c>
      <c r="C1714" s="1" t="n">
        <v>45811</v>
      </c>
      <c r="D1714" t="inlineStr">
        <is>
          <t>GÄVLEBORGS LÄN</t>
        </is>
      </c>
      <c r="E1714" t="inlineStr">
        <is>
          <t>LJUSDAL</t>
        </is>
      </c>
      <c r="G1714" t="n">
        <v>2.5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30454-2023</t>
        </is>
      </c>
      <c r="B1715" s="1" t="n">
        <v>45111</v>
      </c>
      <c r="C1715" s="1" t="n">
        <v>45811</v>
      </c>
      <c r="D1715" t="inlineStr">
        <is>
          <t>GÄVLEBORGS LÄN</t>
        </is>
      </c>
      <c r="E1715" t="inlineStr">
        <is>
          <t>LJUSDAL</t>
        </is>
      </c>
      <c r="G1715" t="n">
        <v>3.6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30416-2023</t>
        </is>
      </c>
      <c r="B1716" s="1" t="n">
        <v>45111</v>
      </c>
      <c r="C1716" s="1" t="n">
        <v>45811</v>
      </c>
      <c r="D1716" t="inlineStr">
        <is>
          <t>GÄVLEBORGS LÄN</t>
        </is>
      </c>
      <c r="E1716" t="inlineStr">
        <is>
          <t>LJUSDAL</t>
        </is>
      </c>
      <c r="G1716" t="n">
        <v>1.1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30619-2023</t>
        </is>
      </c>
      <c r="B1717" s="1" t="n">
        <v>45112</v>
      </c>
      <c r="C1717" s="1" t="n">
        <v>45811</v>
      </c>
      <c r="D1717" t="inlineStr">
        <is>
          <t>GÄVLEBORGS LÄN</t>
        </is>
      </c>
      <c r="E1717" t="inlineStr">
        <is>
          <t>LJUSDAL</t>
        </is>
      </c>
      <c r="G1717" t="n">
        <v>1.7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30609-2023</t>
        </is>
      </c>
      <c r="B1718" s="1" t="n">
        <v>45112</v>
      </c>
      <c r="C1718" s="1" t="n">
        <v>45811</v>
      </c>
      <c r="D1718" t="inlineStr">
        <is>
          <t>GÄVLEBORGS LÄN</t>
        </is>
      </c>
      <c r="E1718" t="inlineStr">
        <is>
          <t>LJUSDAL</t>
        </is>
      </c>
      <c r="F1718" t="inlineStr">
        <is>
          <t>Sveaskog</t>
        </is>
      </c>
      <c r="G1718" t="n">
        <v>2.8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30622-2023</t>
        </is>
      </c>
      <c r="B1719" s="1" t="n">
        <v>45112</v>
      </c>
      <c r="C1719" s="1" t="n">
        <v>45811</v>
      </c>
      <c r="D1719" t="inlineStr">
        <is>
          <t>GÄVLEBORGS LÄN</t>
        </is>
      </c>
      <c r="E1719" t="inlineStr">
        <is>
          <t>LJUSDAL</t>
        </is>
      </c>
      <c r="G1719" t="n">
        <v>4.4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30669-2023</t>
        </is>
      </c>
      <c r="B1720" s="1" t="n">
        <v>45112</v>
      </c>
      <c r="C1720" s="1" t="n">
        <v>45811</v>
      </c>
      <c r="D1720" t="inlineStr">
        <is>
          <t>GÄVLEBORGS LÄN</t>
        </is>
      </c>
      <c r="E1720" t="inlineStr">
        <is>
          <t>LJUSDAL</t>
        </is>
      </c>
      <c r="F1720" t="inlineStr">
        <is>
          <t>Allmännings- och besparingsskogar</t>
        </is>
      </c>
      <c r="G1720" t="n">
        <v>35.5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30968-2023</t>
        </is>
      </c>
      <c r="B1721" s="1" t="n">
        <v>45113</v>
      </c>
      <c r="C1721" s="1" t="n">
        <v>45811</v>
      </c>
      <c r="D1721" t="inlineStr">
        <is>
          <t>GÄVLEBORGS LÄN</t>
        </is>
      </c>
      <c r="E1721" t="inlineStr">
        <is>
          <t>LJUSDAL</t>
        </is>
      </c>
      <c r="G1721" t="n">
        <v>0.7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30997-2023</t>
        </is>
      </c>
      <c r="B1722" s="1" t="n">
        <v>45113</v>
      </c>
      <c r="C1722" s="1" t="n">
        <v>45811</v>
      </c>
      <c r="D1722" t="inlineStr">
        <is>
          <t>GÄVLEBORGS LÄN</t>
        </is>
      </c>
      <c r="E1722" t="inlineStr">
        <is>
          <t>LJUSDAL</t>
        </is>
      </c>
      <c r="F1722" t="inlineStr">
        <is>
          <t>Holmen skog AB</t>
        </is>
      </c>
      <c r="G1722" t="n">
        <v>3.2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30973-2023</t>
        </is>
      </c>
      <c r="B1723" s="1" t="n">
        <v>45113</v>
      </c>
      <c r="C1723" s="1" t="n">
        <v>45811</v>
      </c>
      <c r="D1723" t="inlineStr">
        <is>
          <t>GÄVLEBORGS LÄN</t>
        </is>
      </c>
      <c r="E1723" t="inlineStr">
        <is>
          <t>LJUSDAL</t>
        </is>
      </c>
      <c r="G1723" t="n">
        <v>2.1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31129-2023</t>
        </is>
      </c>
      <c r="B1724" s="1" t="n">
        <v>45113</v>
      </c>
      <c r="C1724" s="1" t="n">
        <v>45811</v>
      </c>
      <c r="D1724" t="inlineStr">
        <is>
          <t>GÄVLEBORGS LÄN</t>
        </is>
      </c>
      <c r="E1724" t="inlineStr">
        <is>
          <t>LJUSDAL</t>
        </is>
      </c>
      <c r="F1724" t="inlineStr">
        <is>
          <t>Sveaskog</t>
        </is>
      </c>
      <c r="G1724" t="n">
        <v>3.7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30913-2023</t>
        </is>
      </c>
      <c r="B1725" s="1" t="n">
        <v>45113</v>
      </c>
      <c r="C1725" s="1" t="n">
        <v>45811</v>
      </c>
      <c r="D1725" t="inlineStr">
        <is>
          <t>GÄVLEBORGS LÄN</t>
        </is>
      </c>
      <c r="E1725" t="inlineStr">
        <is>
          <t>LJUSDAL</t>
        </is>
      </c>
      <c r="G1725" t="n">
        <v>1.5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30962-2023</t>
        </is>
      </c>
      <c r="B1726" s="1" t="n">
        <v>45113</v>
      </c>
      <c r="C1726" s="1" t="n">
        <v>45811</v>
      </c>
      <c r="D1726" t="inlineStr">
        <is>
          <t>GÄVLEBORGS LÄN</t>
        </is>
      </c>
      <c r="E1726" t="inlineStr">
        <is>
          <t>LJUSDAL</t>
        </is>
      </c>
      <c r="G1726" t="n">
        <v>1.6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31248-2023</t>
        </is>
      </c>
      <c r="B1727" s="1" t="n">
        <v>45114</v>
      </c>
      <c r="C1727" s="1" t="n">
        <v>45811</v>
      </c>
      <c r="D1727" t="inlineStr">
        <is>
          <t>GÄVLEBORGS LÄN</t>
        </is>
      </c>
      <c r="E1727" t="inlineStr">
        <is>
          <t>LJUSDAL</t>
        </is>
      </c>
      <c r="F1727" t="inlineStr">
        <is>
          <t>Sveaskog</t>
        </is>
      </c>
      <c r="G1727" t="n">
        <v>6.9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31892-2023</t>
        </is>
      </c>
      <c r="B1728" s="1" t="n">
        <v>45118</v>
      </c>
      <c r="C1728" s="1" t="n">
        <v>45811</v>
      </c>
      <c r="D1728" t="inlineStr">
        <is>
          <t>GÄVLEBORGS LÄN</t>
        </is>
      </c>
      <c r="E1728" t="inlineStr">
        <is>
          <t>LJUSDAL</t>
        </is>
      </c>
      <c r="G1728" t="n">
        <v>1.5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31890-2023</t>
        </is>
      </c>
      <c r="B1729" s="1" t="n">
        <v>45118</v>
      </c>
      <c r="C1729" s="1" t="n">
        <v>45811</v>
      </c>
      <c r="D1729" t="inlineStr">
        <is>
          <t>GÄVLEBORGS LÄN</t>
        </is>
      </c>
      <c r="E1729" t="inlineStr">
        <is>
          <t>LJUSDAL</t>
        </is>
      </c>
      <c r="G1729" t="n">
        <v>0.8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31992-2023</t>
        </is>
      </c>
      <c r="B1730" s="1" t="n">
        <v>45119</v>
      </c>
      <c r="C1730" s="1" t="n">
        <v>45811</v>
      </c>
      <c r="D1730" t="inlineStr">
        <is>
          <t>GÄVLEBORGS LÄN</t>
        </is>
      </c>
      <c r="E1730" t="inlineStr">
        <is>
          <t>LJUSDAL</t>
        </is>
      </c>
      <c r="F1730" t="inlineStr">
        <is>
          <t>Bergvik skog väst AB</t>
        </is>
      </c>
      <c r="G1730" t="n">
        <v>14.2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31976-2023</t>
        </is>
      </c>
      <c r="B1731" s="1" t="n">
        <v>45119</v>
      </c>
      <c r="C1731" s="1" t="n">
        <v>45811</v>
      </c>
      <c r="D1731" t="inlineStr">
        <is>
          <t>GÄVLEBORGS LÄN</t>
        </is>
      </c>
      <c r="E1731" t="inlineStr">
        <is>
          <t>LJUSDAL</t>
        </is>
      </c>
      <c r="F1731" t="inlineStr">
        <is>
          <t>Bergvik skog väst AB</t>
        </is>
      </c>
      <c r="G1731" t="n">
        <v>2.5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32098-2023</t>
        </is>
      </c>
      <c r="B1732" s="1" t="n">
        <v>45119</v>
      </c>
      <c r="C1732" s="1" t="n">
        <v>45811</v>
      </c>
      <c r="D1732" t="inlineStr">
        <is>
          <t>GÄVLEBORGS LÄN</t>
        </is>
      </c>
      <c r="E1732" t="inlineStr">
        <is>
          <t>LJUSDAL</t>
        </is>
      </c>
      <c r="G1732" t="n">
        <v>1.5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32148-2023</t>
        </is>
      </c>
      <c r="B1733" s="1" t="n">
        <v>45119</v>
      </c>
      <c r="C1733" s="1" t="n">
        <v>45811</v>
      </c>
      <c r="D1733" t="inlineStr">
        <is>
          <t>GÄVLEBORGS LÄN</t>
        </is>
      </c>
      <c r="E1733" t="inlineStr">
        <is>
          <t>LJUSDAL</t>
        </is>
      </c>
      <c r="F1733" t="inlineStr">
        <is>
          <t>Bergvik skog väst AB</t>
        </is>
      </c>
      <c r="G1733" t="n">
        <v>3.4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32005-2023</t>
        </is>
      </c>
      <c r="B1734" s="1" t="n">
        <v>45119</v>
      </c>
      <c r="C1734" s="1" t="n">
        <v>45811</v>
      </c>
      <c r="D1734" t="inlineStr">
        <is>
          <t>GÄVLEBORGS LÄN</t>
        </is>
      </c>
      <c r="E1734" t="inlineStr">
        <is>
          <t>LJUSDAL</t>
        </is>
      </c>
      <c r="F1734" t="inlineStr">
        <is>
          <t>Bergvik skog väst AB</t>
        </is>
      </c>
      <c r="G1734" t="n">
        <v>17.7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32151-2023</t>
        </is>
      </c>
      <c r="B1735" s="1" t="n">
        <v>45119</v>
      </c>
      <c r="C1735" s="1" t="n">
        <v>45811</v>
      </c>
      <c r="D1735" t="inlineStr">
        <is>
          <t>GÄVLEBORGS LÄN</t>
        </is>
      </c>
      <c r="E1735" t="inlineStr">
        <is>
          <t>LJUSDAL</t>
        </is>
      </c>
      <c r="F1735" t="inlineStr">
        <is>
          <t>Bergvik skog väst AB</t>
        </is>
      </c>
      <c r="G1735" t="n">
        <v>1.9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32017-2023</t>
        </is>
      </c>
      <c r="B1736" s="1" t="n">
        <v>45119</v>
      </c>
      <c r="C1736" s="1" t="n">
        <v>45811</v>
      </c>
      <c r="D1736" t="inlineStr">
        <is>
          <t>GÄVLEBORGS LÄN</t>
        </is>
      </c>
      <c r="E1736" t="inlineStr">
        <is>
          <t>LJUSDAL</t>
        </is>
      </c>
      <c r="F1736" t="inlineStr">
        <is>
          <t>Bergvik skog väst AB</t>
        </is>
      </c>
      <c r="G1736" t="n">
        <v>3.5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32130-2023</t>
        </is>
      </c>
      <c r="B1737" s="1" t="n">
        <v>45119</v>
      </c>
      <c r="C1737" s="1" t="n">
        <v>45811</v>
      </c>
      <c r="D1737" t="inlineStr">
        <is>
          <t>GÄVLEBORGS LÄN</t>
        </is>
      </c>
      <c r="E1737" t="inlineStr">
        <is>
          <t>LJUSDAL</t>
        </is>
      </c>
      <c r="G1737" t="n">
        <v>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32365-2023</t>
        </is>
      </c>
      <c r="B1738" s="1" t="n">
        <v>45120</v>
      </c>
      <c r="C1738" s="1" t="n">
        <v>45811</v>
      </c>
      <c r="D1738" t="inlineStr">
        <is>
          <t>GÄVLEBORGS LÄN</t>
        </is>
      </c>
      <c r="E1738" t="inlineStr">
        <is>
          <t>LJUSDAL</t>
        </is>
      </c>
      <c r="F1738" t="inlineStr">
        <is>
          <t>Holmen skog AB</t>
        </is>
      </c>
      <c r="G1738" t="n">
        <v>2.5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32335-2023</t>
        </is>
      </c>
      <c r="B1739" s="1" t="n">
        <v>45120</v>
      </c>
      <c r="C1739" s="1" t="n">
        <v>45811</v>
      </c>
      <c r="D1739" t="inlineStr">
        <is>
          <t>GÄVLEBORGS LÄN</t>
        </is>
      </c>
      <c r="E1739" t="inlineStr">
        <is>
          <t>LJUSDAL</t>
        </is>
      </c>
      <c r="F1739" t="inlineStr">
        <is>
          <t>Holmen skog AB</t>
        </is>
      </c>
      <c r="G1739" t="n">
        <v>2.6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32581-2023</t>
        </is>
      </c>
      <c r="B1740" s="1" t="n">
        <v>45121</v>
      </c>
      <c r="C1740" s="1" t="n">
        <v>45811</v>
      </c>
      <c r="D1740" t="inlineStr">
        <is>
          <t>GÄVLEBORGS LÄN</t>
        </is>
      </c>
      <c r="E1740" t="inlineStr">
        <is>
          <t>LJUSDAL</t>
        </is>
      </c>
      <c r="G1740" t="n">
        <v>3.1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32597-2023</t>
        </is>
      </c>
      <c r="B1741" s="1" t="n">
        <v>45121</v>
      </c>
      <c r="C1741" s="1" t="n">
        <v>45811</v>
      </c>
      <c r="D1741" t="inlineStr">
        <is>
          <t>GÄVLEBORGS LÄN</t>
        </is>
      </c>
      <c r="E1741" t="inlineStr">
        <is>
          <t>LJUSDAL</t>
        </is>
      </c>
      <c r="F1741" t="inlineStr">
        <is>
          <t>Allmännings- och besparingsskogar</t>
        </is>
      </c>
      <c r="G1741" t="n">
        <v>5.9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34040-2023</t>
        </is>
      </c>
      <c r="B1742" s="1" t="n">
        <v>45124</v>
      </c>
      <c r="C1742" s="1" t="n">
        <v>45811</v>
      </c>
      <c r="D1742" t="inlineStr">
        <is>
          <t>GÄVLEBORGS LÄN</t>
        </is>
      </c>
      <c r="E1742" t="inlineStr">
        <is>
          <t>LJUSDAL</t>
        </is>
      </c>
      <c r="F1742" t="inlineStr">
        <is>
          <t>SCA</t>
        </is>
      </c>
      <c r="G1742" t="n">
        <v>18.4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32943-2023</t>
        </is>
      </c>
      <c r="B1743" s="1" t="n">
        <v>45125</v>
      </c>
      <c r="C1743" s="1" t="n">
        <v>45811</v>
      </c>
      <c r="D1743" t="inlineStr">
        <is>
          <t>GÄVLEBORGS LÄN</t>
        </is>
      </c>
      <c r="E1743" t="inlineStr">
        <is>
          <t>LJUSDAL</t>
        </is>
      </c>
      <c r="G1743" t="n">
        <v>0.5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32920-2023</t>
        </is>
      </c>
      <c r="B1744" s="1" t="n">
        <v>45125</v>
      </c>
      <c r="C1744" s="1" t="n">
        <v>45811</v>
      </c>
      <c r="D1744" t="inlineStr">
        <is>
          <t>GÄVLEBORGS LÄN</t>
        </is>
      </c>
      <c r="E1744" t="inlineStr">
        <is>
          <t>LJUSDAL</t>
        </is>
      </c>
      <c r="G1744" t="n">
        <v>1.7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32924-2023</t>
        </is>
      </c>
      <c r="B1745" s="1" t="n">
        <v>45125</v>
      </c>
      <c r="C1745" s="1" t="n">
        <v>45811</v>
      </c>
      <c r="D1745" t="inlineStr">
        <is>
          <t>GÄVLEBORGS LÄN</t>
        </is>
      </c>
      <c r="E1745" t="inlineStr">
        <is>
          <t>LJUSDAL</t>
        </is>
      </c>
      <c r="F1745" t="inlineStr">
        <is>
          <t>Holmen skog AB</t>
        </is>
      </c>
      <c r="G1745" t="n">
        <v>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32986-2023</t>
        </is>
      </c>
      <c r="B1746" s="1" t="n">
        <v>45125</v>
      </c>
      <c r="C1746" s="1" t="n">
        <v>45811</v>
      </c>
      <c r="D1746" t="inlineStr">
        <is>
          <t>GÄVLEBORGS LÄN</t>
        </is>
      </c>
      <c r="E1746" t="inlineStr">
        <is>
          <t>LJUSDAL</t>
        </is>
      </c>
      <c r="F1746" t="inlineStr">
        <is>
          <t>Allmännings- och besparingsskogar</t>
        </is>
      </c>
      <c r="G1746" t="n">
        <v>15.1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32941-2023</t>
        </is>
      </c>
      <c r="B1747" s="1" t="n">
        <v>45125</v>
      </c>
      <c r="C1747" s="1" t="n">
        <v>45811</v>
      </c>
      <c r="D1747" t="inlineStr">
        <is>
          <t>GÄVLEBORGS LÄN</t>
        </is>
      </c>
      <c r="E1747" t="inlineStr">
        <is>
          <t>LJUSDAL</t>
        </is>
      </c>
      <c r="G1747" t="n">
        <v>1.4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32918-2023</t>
        </is>
      </c>
      <c r="B1748" s="1" t="n">
        <v>45125</v>
      </c>
      <c r="C1748" s="1" t="n">
        <v>45811</v>
      </c>
      <c r="D1748" t="inlineStr">
        <is>
          <t>GÄVLEBORGS LÄN</t>
        </is>
      </c>
      <c r="E1748" t="inlineStr">
        <is>
          <t>LJUSDAL</t>
        </is>
      </c>
      <c r="F1748" t="inlineStr">
        <is>
          <t>Holmen skog AB</t>
        </is>
      </c>
      <c r="G1748" t="n">
        <v>4.1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32922-2023</t>
        </is>
      </c>
      <c r="B1749" s="1" t="n">
        <v>45125</v>
      </c>
      <c r="C1749" s="1" t="n">
        <v>45811</v>
      </c>
      <c r="D1749" t="inlineStr">
        <is>
          <t>GÄVLEBORGS LÄN</t>
        </is>
      </c>
      <c r="E1749" t="inlineStr">
        <is>
          <t>LJUSDAL</t>
        </is>
      </c>
      <c r="G1749" t="n">
        <v>0.7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32947-2023</t>
        </is>
      </c>
      <c r="B1750" s="1" t="n">
        <v>45125</v>
      </c>
      <c r="C1750" s="1" t="n">
        <v>45811</v>
      </c>
      <c r="D1750" t="inlineStr">
        <is>
          <t>GÄVLEBORGS LÄN</t>
        </is>
      </c>
      <c r="E1750" t="inlineStr">
        <is>
          <t>LJUSDAL</t>
        </is>
      </c>
      <c r="G1750" t="n">
        <v>11.5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33193-2023</t>
        </is>
      </c>
      <c r="B1751" s="1" t="n">
        <v>45127</v>
      </c>
      <c r="C1751" s="1" t="n">
        <v>45811</v>
      </c>
      <c r="D1751" t="inlineStr">
        <is>
          <t>GÄVLEBORGS LÄN</t>
        </is>
      </c>
      <c r="E1751" t="inlineStr">
        <is>
          <t>LJUSDAL</t>
        </is>
      </c>
      <c r="F1751" t="inlineStr">
        <is>
          <t>Bergvik skog väst AB</t>
        </is>
      </c>
      <c r="G1751" t="n">
        <v>1.9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34228-2023</t>
        </is>
      </c>
      <c r="B1752" s="1" t="n">
        <v>45127</v>
      </c>
      <c r="C1752" s="1" t="n">
        <v>45811</v>
      </c>
      <c r="D1752" t="inlineStr">
        <is>
          <t>GÄVLEBORGS LÄN</t>
        </is>
      </c>
      <c r="E1752" t="inlineStr">
        <is>
          <t>LJUSDAL</t>
        </is>
      </c>
      <c r="G1752" t="n">
        <v>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33493-2023</t>
        </is>
      </c>
      <c r="B1753" s="1" t="n">
        <v>45131</v>
      </c>
      <c r="C1753" s="1" t="n">
        <v>45811</v>
      </c>
      <c r="D1753" t="inlineStr">
        <is>
          <t>GÄVLEBORGS LÄN</t>
        </is>
      </c>
      <c r="E1753" t="inlineStr">
        <is>
          <t>LJUSDAL</t>
        </is>
      </c>
      <c r="G1753" t="n">
        <v>1.8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33688-2023</t>
        </is>
      </c>
      <c r="B1754" s="1" t="n">
        <v>45132</v>
      </c>
      <c r="C1754" s="1" t="n">
        <v>45811</v>
      </c>
      <c r="D1754" t="inlineStr">
        <is>
          <t>GÄVLEBORGS LÄN</t>
        </is>
      </c>
      <c r="E1754" t="inlineStr">
        <is>
          <t>LJUSDAL</t>
        </is>
      </c>
      <c r="G1754" t="n">
        <v>0.5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33802-2023</t>
        </is>
      </c>
      <c r="B1755" s="1" t="n">
        <v>45133</v>
      </c>
      <c r="C1755" s="1" t="n">
        <v>45811</v>
      </c>
      <c r="D1755" t="inlineStr">
        <is>
          <t>GÄVLEBORGS LÄN</t>
        </is>
      </c>
      <c r="E1755" t="inlineStr">
        <is>
          <t>LJUSDAL</t>
        </is>
      </c>
      <c r="F1755" t="inlineStr">
        <is>
          <t>Bergvik skog väst AB</t>
        </is>
      </c>
      <c r="G1755" t="n">
        <v>0.5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33766-2023</t>
        </is>
      </c>
      <c r="B1756" s="1" t="n">
        <v>45133</v>
      </c>
      <c r="C1756" s="1" t="n">
        <v>45811</v>
      </c>
      <c r="D1756" t="inlineStr">
        <is>
          <t>GÄVLEBORGS LÄN</t>
        </is>
      </c>
      <c r="E1756" t="inlineStr">
        <is>
          <t>LJUSDAL</t>
        </is>
      </c>
      <c r="G1756" t="n">
        <v>0.8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33819-2023</t>
        </is>
      </c>
      <c r="B1757" s="1" t="n">
        <v>45133</v>
      </c>
      <c r="C1757" s="1" t="n">
        <v>45811</v>
      </c>
      <c r="D1757" t="inlineStr">
        <is>
          <t>GÄVLEBORGS LÄN</t>
        </is>
      </c>
      <c r="E1757" t="inlineStr">
        <is>
          <t>LJUSDAL</t>
        </is>
      </c>
      <c r="F1757" t="inlineStr">
        <is>
          <t>Holmen skog AB</t>
        </is>
      </c>
      <c r="G1757" t="n">
        <v>8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33850-2023</t>
        </is>
      </c>
      <c r="B1758" s="1" t="n">
        <v>45133</v>
      </c>
      <c r="C1758" s="1" t="n">
        <v>45811</v>
      </c>
      <c r="D1758" t="inlineStr">
        <is>
          <t>GÄVLEBORGS LÄN</t>
        </is>
      </c>
      <c r="E1758" t="inlineStr">
        <is>
          <t>LJUSDAL</t>
        </is>
      </c>
      <c r="F1758" t="inlineStr">
        <is>
          <t>Holmen skog AB</t>
        </is>
      </c>
      <c r="G1758" t="n">
        <v>5.4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33795-2023</t>
        </is>
      </c>
      <c r="B1759" s="1" t="n">
        <v>45133</v>
      </c>
      <c r="C1759" s="1" t="n">
        <v>45811</v>
      </c>
      <c r="D1759" t="inlineStr">
        <is>
          <t>GÄVLEBORGS LÄN</t>
        </is>
      </c>
      <c r="E1759" t="inlineStr">
        <is>
          <t>LJUSDAL</t>
        </is>
      </c>
      <c r="F1759" t="inlineStr">
        <is>
          <t>Bergvik skog väst AB</t>
        </is>
      </c>
      <c r="G1759" t="n">
        <v>2.5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34088-2023</t>
        </is>
      </c>
      <c r="B1760" s="1" t="n">
        <v>45135</v>
      </c>
      <c r="C1760" s="1" t="n">
        <v>45811</v>
      </c>
      <c r="D1760" t="inlineStr">
        <is>
          <t>GÄVLEBORGS LÄN</t>
        </is>
      </c>
      <c r="E1760" t="inlineStr">
        <is>
          <t>LJUSDAL</t>
        </is>
      </c>
      <c r="F1760" t="inlineStr">
        <is>
          <t>Holmen skog AB</t>
        </is>
      </c>
      <c r="G1760" t="n">
        <v>1.4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34094-2023</t>
        </is>
      </c>
      <c r="B1761" s="1" t="n">
        <v>45135</v>
      </c>
      <c r="C1761" s="1" t="n">
        <v>45811</v>
      </c>
      <c r="D1761" t="inlineStr">
        <is>
          <t>GÄVLEBORGS LÄN</t>
        </is>
      </c>
      <c r="E1761" t="inlineStr">
        <is>
          <t>LJUSDAL</t>
        </is>
      </c>
      <c r="F1761" t="inlineStr">
        <is>
          <t>Holmen skog AB</t>
        </is>
      </c>
      <c r="G1761" t="n">
        <v>1.7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34103-2023</t>
        </is>
      </c>
      <c r="B1762" s="1" t="n">
        <v>45135</v>
      </c>
      <c r="C1762" s="1" t="n">
        <v>45811</v>
      </c>
      <c r="D1762" t="inlineStr">
        <is>
          <t>GÄVLEBORGS LÄN</t>
        </is>
      </c>
      <c r="E1762" t="inlineStr">
        <is>
          <t>LJUSDAL</t>
        </is>
      </c>
      <c r="F1762" t="inlineStr">
        <is>
          <t>Holmen skog AB</t>
        </is>
      </c>
      <c r="G1762" t="n">
        <v>4.4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34113-2023</t>
        </is>
      </c>
      <c r="B1763" s="1" t="n">
        <v>45135</v>
      </c>
      <c r="C1763" s="1" t="n">
        <v>45811</v>
      </c>
      <c r="D1763" t="inlineStr">
        <is>
          <t>GÄVLEBORGS LÄN</t>
        </is>
      </c>
      <c r="E1763" t="inlineStr">
        <is>
          <t>LJUSDAL</t>
        </is>
      </c>
      <c r="F1763" t="inlineStr">
        <is>
          <t>Holmen skog AB</t>
        </is>
      </c>
      <c r="G1763" t="n">
        <v>6.6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34168-2023</t>
        </is>
      </c>
      <c r="B1764" s="1" t="n">
        <v>45138</v>
      </c>
      <c r="C1764" s="1" t="n">
        <v>45811</v>
      </c>
      <c r="D1764" t="inlineStr">
        <is>
          <t>GÄVLEBORGS LÄN</t>
        </is>
      </c>
      <c r="E1764" t="inlineStr">
        <is>
          <t>LJUSDAL</t>
        </is>
      </c>
      <c r="F1764" t="inlineStr">
        <is>
          <t>Allmännings- och besparingsskogar</t>
        </is>
      </c>
      <c r="G1764" t="n">
        <v>3.2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34363-2023</t>
        </is>
      </c>
      <c r="B1765" s="1" t="n">
        <v>45139</v>
      </c>
      <c r="C1765" s="1" t="n">
        <v>45811</v>
      </c>
      <c r="D1765" t="inlineStr">
        <is>
          <t>GÄVLEBORGS LÄN</t>
        </is>
      </c>
      <c r="E1765" t="inlineStr">
        <is>
          <t>LJUSDAL</t>
        </is>
      </c>
      <c r="G1765" t="n">
        <v>3.6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34814-2023</t>
        </is>
      </c>
      <c r="B1766" s="1" t="n">
        <v>45141</v>
      </c>
      <c r="C1766" s="1" t="n">
        <v>45811</v>
      </c>
      <c r="D1766" t="inlineStr">
        <is>
          <t>GÄVLEBORGS LÄN</t>
        </is>
      </c>
      <c r="E1766" t="inlineStr">
        <is>
          <t>LJUSDAL</t>
        </is>
      </c>
      <c r="G1766" t="n">
        <v>5.8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34974-2023</t>
        </is>
      </c>
      <c r="B1767" s="1" t="n">
        <v>45142</v>
      </c>
      <c r="C1767" s="1" t="n">
        <v>45811</v>
      </c>
      <c r="D1767" t="inlineStr">
        <is>
          <t>GÄVLEBORGS LÄN</t>
        </is>
      </c>
      <c r="E1767" t="inlineStr">
        <is>
          <t>LJUSDAL</t>
        </is>
      </c>
      <c r="G1767" t="n">
        <v>7.2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35154-2023</t>
        </is>
      </c>
      <c r="B1768" s="1" t="n">
        <v>45145</v>
      </c>
      <c r="C1768" s="1" t="n">
        <v>45811</v>
      </c>
      <c r="D1768" t="inlineStr">
        <is>
          <t>GÄVLEBORGS LÄN</t>
        </is>
      </c>
      <c r="E1768" t="inlineStr">
        <is>
          <t>LJUSDAL</t>
        </is>
      </c>
      <c r="G1768" t="n">
        <v>2.3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35037-2023</t>
        </is>
      </c>
      <c r="B1769" s="1" t="n">
        <v>45145</v>
      </c>
      <c r="C1769" s="1" t="n">
        <v>45811</v>
      </c>
      <c r="D1769" t="inlineStr">
        <is>
          <t>GÄVLEBORGS LÄN</t>
        </is>
      </c>
      <c r="E1769" t="inlineStr">
        <is>
          <t>LJUSDAL</t>
        </is>
      </c>
      <c r="F1769" t="inlineStr">
        <is>
          <t>Holmen skog AB</t>
        </is>
      </c>
      <c r="G1769" t="n">
        <v>6.6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35373-2023</t>
        </is>
      </c>
      <c r="B1770" s="1" t="n">
        <v>45145</v>
      </c>
      <c r="C1770" s="1" t="n">
        <v>45811</v>
      </c>
      <c r="D1770" t="inlineStr">
        <is>
          <t>GÄVLEBORGS LÄN</t>
        </is>
      </c>
      <c r="E1770" t="inlineStr">
        <is>
          <t>LJUSDAL</t>
        </is>
      </c>
      <c r="G1770" t="n">
        <v>1.6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35387-2023</t>
        </is>
      </c>
      <c r="B1771" s="1" t="n">
        <v>45146</v>
      </c>
      <c r="C1771" s="1" t="n">
        <v>45811</v>
      </c>
      <c r="D1771" t="inlineStr">
        <is>
          <t>GÄVLEBORGS LÄN</t>
        </is>
      </c>
      <c r="E1771" t="inlineStr">
        <is>
          <t>LJUSDAL</t>
        </is>
      </c>
      <c r="G1771" t="n">
        <v>0.7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35448-2023</t>
        </is>
      </c>
      <c r="B1772" s="1" t="n">
        <v>45146</v>
      </c>
      <c r="C1772" s="1" t="n">
        <v>45811</v>
      </c>
      <c r="D1772" t="inlineStr">
        <is>
          <t>GÄVLEBORGS LÄN</t>
        </is>
      </c>
      <c r="E1772" t="inlineStr">
        <is>
          <t>LJUSDAL</t>
        </is>
      </c>
      <c r="F1772" t="inlineStr">
        <is>
          <t>Sveaskog</t>
        </is>
      </c>
      <c r="G1772" t="n">
        <v>7.9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35714-2023</t>
        </is>
      </c>
      <c r="B1773" s="1" t="n">
        <v>45147</v>
      </c>
      <c r="C1773" s="1" t="n">
        <v>45811</v>
      </c>
      <c r="D1773" t="inlineStr">
        <is>
          <t>GÄVLEBORGS LÄN</t>
        </is>
      </c>
      <c r="E1773" t="inlineStr">
        <is>
          <t>LJUSDAL</t>
        </is>
      </c>
      <c r="G1773" t="n">
        <v>1.8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35718-2023</t>
        </is>
      </c>
      <c r="B1774" s="1" t="n">
        <v>45147</v>
      </c>
      <c r="C1774" s="1" t="n">
        <v>45811</v>
      </c>
      <c r="D1774" t="inlineStr">
        <is>
          <t>GÄVLEBORGS LÄN</t>
        </is>
      </c>
      <c r="E1774" t="inlineStr">
        <is>
          <t>LJUSDAL</t>
        </is>
      </c>
      <c r="G1774" t="n">
        <v>3.5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35683-2023</t>
        </is>
      </c>
      <c r="B1775" s="1" t="n">
        <v>45147</v>
      </c>
      <c r="C1775" s="1" t="n">
        <v>45811</v>
      </c>
      <c r="D1775" t="inlineStr">
        <is>
          <t>GÄVLEBORGS LÄN</t>
        </is>
      </c>
      <c r="E1775" t="inlineStr">
        <is>
          <t>LJUSDAL</t>
        </is>
      </c>
      <c r="G1775" t="n">
        <v>2.9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35826-2023</t>
        </is>
      </c>
      <c r="B1776" s="1" t="n">
        <v>45148</v>
      </c>
      <c r="C1776" s="1" t="n">
        <v>45811</v>
      </c>
      <c r="D1776" t="inlineStr">
        <is>
          <t>GÄVLEBORGS LÄN</t>
        </is>
      </c>
      <c r="E1776" t="inlineStr">
        <is>
          <t>LJUSDAL</t>
        </is>
      </c>
      <c r="F1776" t="inlineStr">
        <is>
          <t>Kommuner</t>
        </is>
      </c>
      <c r="G1776" t="n">
        <v>4.2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35877-2023</t>
        </is>
      </c>
      <c r="B1777" s="1" t="n">
        <v>45148</v>
      </c>
      <c r="C1777" s="1" t="n">
        <v>45811</v>
      </c>
      <c r="D1777" t="inlineStr">
        <is>
          <t>GÄVLEBORGS LÄN</t>
        </is>
      </c>
      <c r="E1777" t="inlineStr">
        <is>
          <t>LJUSDAL</t>
        </is>
      </c>
      <c r="G1777" t="n">
        <v>1.1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35782-2023</t>
        </is>
      </c>
      <c r="B1778" s="1" t="n">
        <v>45148</v>
      </c>
      <c r="C1778" s="1" t="n">
        <v>45811</v>
      </c>
      <c r="D1778" t="inlineStr">
        <is>
          <t>GÄVLEBORGS LÄN</t>
        </is>
      </c>
      <c r="E1778" t="inlineStr">
        <is>
          <t>LJUSDAL</t>
        </is>
      </c>
      <c r="G1778" t="n">
        <v>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35958-2023</t>
        </is>
      </c>
      <c r="B1779" s="1" t="n">
        <v>45148</v>
      </c>
      <c r="C1779" s="1" t="n">
        <v>45811</v>
      </c>
      <c r="D1779" t="inlineStr">
        <is>
          <t>GÄVLEBORGS LÄN</t>
        </is>
      </c>
      <c r="E1779" t="inlineStr">
        <is>
          <t>LJUSDAL</t>
        </is>
      </c>
      <c r="G1779" t="n">
        <v>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35997-2023</t>
        </is>
      </c>
      <c r="B1780" s="1" t="n">
        <v>45149</v>
      </c>
      <c r="C1780" s="1" t="n">
        <v>45811</v>
      </c>
      <c r="D1780" t="inlineStr">
        <is>
          <t>GÄVLEBORGS LÄN</t>
        </is>
      </c>
      <c r="E1780" t="inlineStr">
        <is>
          <t>LJUSDAL</t>
        </is>
      </c>
      <c r="F1780" t="inlineStr">
        <is>
          <t>Holmen skog AB</t>
        </is>
      </c>
      <c r="G1780" t="n">
        <v>1.5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36105-2023</t>
        </is>
      </c>
      <c r="B1781" s="1" t="n">
        <v>45149</v>
      </c>
      <c r="C1781" s="1" t="n">
        <v>45811</v>
      </c>
      <c r="D1781" t="inlineStr">
        <is>
          <t>GÄVLEBORGS LÄN</t>
        </is>
      </c>
      <c r="E1781" t="inlineStr">
        <is>
          <t>LJUSDAL</t>
        </is>
      </c>
      <c r="F1781" t="inlineStr">
        <is>
          <t>Sveaskog</t>
        </is>
      </c>
      <c r="G1781" t="n">
        <v>3.9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36170-2023</t>
        </is>
      </c>
      <c r="B1782" s="1" t="n">
        <v>45149</v>
      </c>
      <c r="C1782" s="1" t="n">
        <v>45811</v>
      </c>
      <c r="D1782" t="inlineStr">
        <is>
          <t>GÄVLEBORGS LÄN</t>
        </is>
      </c>
      <c r="E1782" t="inlineStr">
        <is>
          <t>LJUSDAL</t>
        </is>
      </c>
      <c r="F1782" t="inlineStr">
        <is>
          <t>Sveaskog</t>
        </is>
      </c>
      <c r="G1782" t="n">
        <v>9.4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36171-2023</t>
        </is>
      </c>
      <c r="B1783" s="1" t="n">
        <v>45149</v>
      </c>
      <c r="C1783" s="1" t="n">
        <v>45811</v>
      </c>
      <c r="D1783" t="inlineStr">
        <is>
          <t>GÄVLEBORGS LÄN</t>
        </is>
      </c>
      <c r="E1783" t="inlineStr">
        <is>
          <t>LJUSDAL</t>
        </is>
      </c>
      <c r="F1783" t="inlineStr">
        <is>
          <t>Sveaskog</t>
        </is>
      </c>
      <c r="G1783" t="n">
        <v>1.5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36321-2023</t>
        </is>
      </c>
      <c r="B1784" s="1" t="n">
        <v>45152</v>
      </c>
      <c r="C1784" s="1" t="n">
        <v>45811</v>
      </c>
      <c r="D1784" t="inlineStr">
        <is>
          <t>GÄVLEBORGS LÄN</t>
        </is>
      </c>
      <c r="E1784" t="inlineStr">
        <is>
          <t>LJUSDAL</t>
        </is>
      </c>
      <c r="G1784" t="n">
        <v>2.6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36458-2023</t>
        </is>
      </c>
      <c r="B1785" s="1" t="n">
        <v>45152</v>
      </c>
      <c r="C1785" s="1" t="n">
        <v>45811</v>
      </c>
      <c r="D1785" t="inlineStr">
        <is>
          <t>GÄVLEBORGS LÄN</t>
        </is>
      </c>
      <c r="E1785" t="inlineStr">
        <is>
          <t>LJUSDAL</t>
        </is>
      </c>
      <c r="G1785" t="n">
        <v>2.1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36378-2023</t>
        </is>
      </c>
      <c r="B1786" s="1" t="n">
        <v>45152</v>
      </c>
      <c r="C1786" s="1" t="n">
        <v>45811</v>
      </c>
      <c r="D1786" t="inlineStr">
        <is>
          <t>GÄVLEBORGS LÄN</t>
        </is>
      </c>
      <c r="E1786" t="inlineStr">
        <is>
          <t>LJUSDAL</t>
        </is>
      </c>
      <c r="G1786" t="n">
        <v>1.4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36448-2023</t>
        </is>
      </c>
      <c r="B1787" s="1" t="n">
        <v>45152</v>
      </c>
      <c r="C1787" s="1" t="n">
        <v>45811</v>
      </c>
      <c r="D1787" t="inlineStr">
        <is>
          <t>GÄVLEBORGS LÄN</t>
        </is>
      </c>
      <c r="E1787" t="inlineStr">
        <is>
          <t>LJUSDAL</t>
        </is>
      </c>
      <c r="G1787" t="n">
        <v>2.1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36566-2023</t>
        </is>
      </c>
      <c r="B1788" s="1" t="n">
        <v>45153</v>
      </c>
      <c r="C1788" s="1" t="n">
        <v>45811</v>
      </c>
      <c r="D1788" t="inlineStr">
        <is>
          <t>GÄVLEBORGS LÄN</t>
        </is>
      </c>
      <c r="E1788" t="inlineStr">
        <is>
          <t>LJUSDAL</t>
        </is>
      </c>
      <c r="F1788" t="inlineStr">
        <is>
          <t>Bergvik skog väst AB</t>
        </is>
      </c>
      <c r="G1788" t="n">
        <v>18.2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36558-2023</t>
        </is>
      </c>
      <c r="B1789" s="1" t="n">
        <v>45153</v>
      </c>
      <c r="C1789" s="1" t="n">
        <v>45811</v>
      </c>
      <c r="D1789" t="inlineStr">
        <is>
          <t>GÄVLEBORGS LÄN</t>
        </is>
      </c>
      <c r="E1789" t="inlineStr">
        <is>
          <t>LJUSDAL</t>
        </is>
      </c>
      <c r="F1789" t="inlineStr">
        <is>
          <t>Bergvik skog väst AB</t>
        </is>
      </c>
      <c r="G1789" t="n">
        <v>15.9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36668-2023</t>
        </is>
      </c>
      <c r="B1790" s="1" t="n">
        <v>45153</v>
      </c>
      <c r="C1790" s="1" t="n">
        <v>45811</v>
      </c>
      <c r="D1790" t="inlineStr">
        <is>
          <t>GÄVLEBORGS LÄN</t>
        </is>
      </c>
      <c r="E1790" t="inlineStr">
        <is>
          <t>LJUSDAL</t>
        </is>
      </c>
      <c r="G1790" t="n">
        <v>1.2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36700-2023</t>
        </is>
      </c>
      <c r="B1791" s="1" t="n">
        <v>45153</v>
      </c>
      <c r="C1791" s="1" t="n">
        <v>45811</v>
      </c>
      <c r="D1791" t="inlineStr">
        <is>
          <t>GÄVLEBORGS LÄN</t>
        </is>
      </c>
      <c r="E1791" t="inlineStr">
        <is>
          <t>LJUSDAL</t>
        </is>
      </c>
      <c r="G1791" t="n">
        <v>1.8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37064-2023</t>
        </is>
      </c>
      <c r="B1792" s="1" t="n">
        <v>45155</v>
      </c>
      <c r="C1792" s="1" t="n">
        <v>45811</v>
      </c>
      <c r="D1792" t="inlineStr">
        <is>
          <t>GÄVLEBORGS LÄN</t>
        </is>
      </c>
      <c r="E1792" t="inlineStr">
        <is>
          <t>LJUSDAL</t>
        </is>
      </c>
      <c r="F1792" t="inlineStr">
        <is>
          <t>Övriga Aktiebolag</t>
        </is>
      </c>
      <c r="G1792" t="n">
        <v>9.699999999999999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37202-2023</t>
        </is>
      </c>
      <c r="B1793" s="1" t="n">
        <v>45155</v>
      </c>
      <c r="C1793" s="1" t="n">
        <v>45811</v>
      </c>
      <c r="D1793" t="inlineStr">
        <is>
          <t>GÄVLEBORGS LÄN</t>
        </is>
      </c>
      <c r="E1793" t="inlineStr">
        <is>
          <t>LJUSDAL</t>
        </is>
      </c>
      <c r="F1793" t="inlineStr">
        <is>
          <t>Sveaskog</t>
        </is>
      </c>
      <c r="G1793" t="n">
        <v>7.1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37203-2023</t>
        </is>
      </c>
      <c r="B1794" s="1" t="n">
        <v>45155</v>
      </c>
      <c r="C1794" s="1" t="n">
        <v>45811</v>
      </c>
      <c r="D1794" t="inlineStr">
        <is>
          <t>GÄVLEBORGS LÄN</t>
        </is>
      </c>
      <c r="E1794" t="inlineStr">
        <is>
          <t>LJUSDAL</t>
        </is>
      </c>
      <c r="F1794" t="inlineStr">
        <is>
          <t>Sveaskog</t>
        </is>
      </c>
      <c r="G1794" t="n">
        <v>3.7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37227-2023</t>
        </is>
      </c>
      <c r="B1795" s="1" t="n">
        <v>45155</v>
      </c>
      <c r="C1795" s="1" t="n">
        <v>45811</v>
      </c>
      <c r="D1795" t="inlineStr">
        <is>
          <t>GÄVLEBORGS LÄN</t>
        </is>
      </c>
      <c r="E1795" t="inlineStr">
        <is>
          <t>LJUSDAL</t>
        </is>
      </c>
      <c r="G1795" t="n">
        <v>2.9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37274-2023</t>
        </is>
      </c>
      <c r="B1796" s="1" t="n">
        <v>45156</v>
      </c>
      <c r="C1796" s="1" t="n">
        <v>45811</v>
      </c>
      <c r="D1796" t="inlineStr">
        <is>
          <t>GÄVLEBORGS LÄN</t>
        </is>
      </c>
      <c r="E1796" t="inlineStr">
        <is>
          <t>LJUSDAL</t>
        </is>
      </c>
      <c r="G1796" t="n">
        <v>7.8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37291-2023</t>
        </is>
      </c>
      <c r="B1797" s="1" t="n">
        <v>45156</v>
      </c>
      <c r="C1797" s="1" t="n">
        <v>45811</v>
      </c>
      <c r="D1797" t="inlineStr">
        <is>
          <t>GÄVLEBORGS LÄN</t>
        </is>
      </c>
      <c r="E1797" t="inlineStr">
        <is>
          <t>LJUSDAL</t>
        </is>
      </c>
      <c r="F1797" t="inlineStr">
        <is>
          <t>Bergvik skog väst AB</t>
        </is>
      </c>
      <c r="G1797" t="n">
        <v>29.4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37275-2023</t>
        </is>
      </c>
      <c r="B1798" s="1" t="n">
        <v>45156</v>
      </c>
      <c r="C1798" s="1" t="n">
        <v>45811</v>
      </c>
      <c r="D1798" t="inlineStr">
        <is>
          <t>GÄVLEBORGS LÄN</t>
        </is>
      </c>
      <c r="E1798" t="inlineStr">
        <is>
          <t>LJUSDAL</t>
        </is>
      </c>
      <c r="G1798" t="n">
        <v>5.3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37663-2023</t>
        </is>
      </c>
      <c r="B1799" s="1" t="n">
        <v>45159</v>
      </c>
      <c r="C1799" s="1" t="n">
        <v>45811</v>
      </c>
      <c r="D1799" t="inlineStr">
        <is>
          <t>GÄVLEBORGS LÄN</t>
        </is>
      </c>
      <c r="E1799" t="inlineStr">
        <is>
          <t>LJUSDAL</t>
        </is>
      </c>
      <c r="F1799" t="inlineStr">
        <is>
          <t>Sveaskog</t>
        </is>
      </c>
      <c r="G1799" t="n">
        <v>4.8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37599-2023</t>
        </is>
      </c>
      <c r="B1800" s="1" t="n">
        <v>45159</v>
      </c>
      <c r="C1800" s="1" t="n">
        <v>45811</v>
      </c>
      <c r="D1800" t="inlineStr">
        <is>
          <t>GÄVLEBORGS LÄN</t>
        </is>
      </c>
      <c r="E1800" t="inlineStr">
        <is>
          <t>LJUSDAL</t>
        </is>
      </c>
      <c r="F1800" t="inlineStr">
        <is>
          <t>Holmen skog AB</t>
        </is>
      </c>
      <c r="G1800" t="n">
        <v>5.9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37724-2023</t>
        </is>
      </c>
      <c r="B1801" s="1" t="n">
        <v>45159</v>
      </c>
      <c r="C1801" s="1" t="n">
        <v>45811</v>
      </c>
      <c r="D1801" t="inlineStr">
        <is>
          <t>GÄVLEBORGS LÄN</t>
        </is>
      </c>
      <c r="E1801" t="inlineStr">
        <is>
          <t>LJUSDAL</t>
        </is>
      </c>
      <c r="F1801" t="inlineStr">
        <is>
          <t>Holmen skog AB</t>
        </is>
      </c>
      <c r="G1801" t="n">
        <v>12.4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37633-2023</t>
        </is>
      </c>
      <c r="B1802" s="1" t="n">
        <v>45159</v>
      </c>
      <c r="C1802" s="1" t="n">
        <v>45811</v>
      </c>
      <c r="D1802" t="inlineStr">
        <is>
          <t>GÄVLEBORGS LÄN</t>
        </is>
      </c>
      <c r="E1802" t="inlineStr">
        <is>
          <t>LJUSDAL</t>
        </is>
      </c>
      <c r="F1802" t="inlineStr">
        <is>
          <t>Holmen skog AB</t>
        </is>
      </c>
      <c r="G1802" t="n">
        <v>13.6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37892-2023</t>
        </is>
      </c>
      <c r="B1803" s="1" t="n">
        <v>45160</v>
      </c>
      <c r="C1803" s="1" t="n">
        <v>45811</v>
      </c>
      <c r="D1803" t="inlineStr">
        <is>
          <t>GÄVLEBORGS LÄN</t>
        </is>
      </c>
      <c r="E1803" t="inlineStr">
        <is>
          <t>LJUSDAL</t>
        </is>
      </c>
      <c r="F1803" t="inlineStr">
        <is>
          <t>Sveaskog</t>
        </is>
      </c>
      <c r="G1803" t="n">
        <v>1.6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38014-2023</t>
        </is>
      </c>
      <c r="B1804" s="1" t="n">
        <v>45160</v>
      </c>
      <c r="C1804" s="1" t="n">
        <v>45811</v>
      </c>
      <c r="D1804" t="inlineStr">
        <is>
          <t>GÄVLEBORGS LÄN</t>
        </is>
      </c>
      <c r="E1804" t="inlineStr">
        <is>
          <t>LJUSDAL</t>
        </is>
      </c>
      <c r="F1804" t="inlineStr">
        <is>
          <t>Holmen skog AB</t>
        </is>
      </c>
      <c r="G1804" t="n">
        <v>2.4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38004-2023</t>
        </is>
      </c>
      <c r="B1805" s="1" t="n">
        <v>45160</v>
      </c>
      <c r="C1805" s="1" t="n">
        <v>45811</v>
      </c>
      <c r="D1805" t="inlineStr">
        <is>
          <t>GÄVLEBORGS LÄN</t>
        </is>
      </c>
      <c r="E1805" t="inlineStr">
        <is>
          <t>LJUSDAL</t>
        </is>
      </c>
      <c r="F1805" t="inlineStr">
        <is>
          <t>Holmen skog AB</t>
        </is>
      </c>
      <c r="G1805" t="n">
        <v>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38027-2023</t>
        </is>
      </c>
      <c r="B1806" s="1" t="n">
        <v>45160</v>
      </c>
      <c r="C1806" s="1" t="n">
        <v>45811</v>
      </c>
      <c r="D1806" t="inlineStr">
        <is>
          <t>GÄVLEBORGS LÄN</t>
        </is>
      </c>
      <c r="E1806" t="inlineStr">
        <is>
          <t>LJUSDAL</t>
        </is>
      </c>
      <c r="F1806" t="inlineStr">
        <is>
          <t>Holmen skog AB</t>
        </is>
      </c>
      <c r="G1806" t="n">
        <v>5.8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38282-2023</t>
        </is>
      </c>
      <c r="B1807" s="1" t="n">
        <v>45161</v>
      </c>
      <c r="C1807" s="1" t="n">
        <v>45811</v>
      </c>
      <c r="D1807" t="inlineStr">
        <is>
          <t>GÄVLEBORGS LÄN</t>
        </is>
      </c>
      <c r="E1807" t="inlineStr">
        <is>
          <t>LJUSDAL</t>
        </is>
      </c>
      <c r="F1807" t="inlineStr">
        <is>
          <t>Allmännings- och besparingsskogar</t>
        </is>
      </c>
      <c r="G1807" t="n">
        <v>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38425-2023</t>
        </is>
      </c>
      <c r="B1808" s="1" t="n">
        <v>45162</v>
      </c>
      <c r="C1808" s="1" t="n">
        <v>45811</v>
      </c>
      <c r="D1808" t="inlineStr">
        <is>
          <t>GÄVLEBORGS LÄN</t>
        </is>
      </c>
      <c r="E1808" t="inlineStr">
        <is>
          <t>LJUSDAL</t>
        </is>
      </c>
      <c r="G1808" t="n">
        <v>3.6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38518-2023</t>
        </is>
      </c>
      <c r="B1809" s="1" t="n">
        <v>45162</v>
      </c>
      <c r="C1809" s="1" t="n">
        <v>45811</v>
      </c>
      <c r="D1809" t="inlineStr">
        <is>
          <t>GÄVLEBORGS LÄN</t>
        </is>
      </c>
      <c r="E1809" t="inlineStr">
        <is>
          <t>LJUSDAL</t>
        </is>
      </c>
      <c r="G1809" t="n">
        <v>4.7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38634-2023</t>
        </is>
      </c>
      <c r="B1810" s="1" t="n">
        <v>45162</v>
      </c>
      <c r="C1810" s="1" t="n">
        <v>45811</v>
      </c>
      <c r="D1810" t="inlineStr">
        <is>
          <t>GÄVLEBORGS LÄN</t>
        </is>
      </c>
      <c r="E1810" t="inlineStr">
        <is>
          <t>LJUSDAL</t>
        </is>
      </c>
      <c r="G1810" t="n">
        <v>1.2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39012-2023</t>
        </is>
      </c>
      <c r="B1811" s="1" t="n">
        <v>45163</v>
      </c>
      <c r="C1811" s="1" t="n">
        <v>45811</v>
      </c>
      <c r="D1811" t="inlineStr">
        <is>
          <t>GÄVLEBORGS LÄN</t>
        </is>
      </c>
      <c r="E1811" t="inlineStr">
        <is>
          <t>LJUSDAL</t>
        </is>
      </c>
      <c r="G1811" t="n">
        <v>16.3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38778-2023</t>
        </is>
      </c>
      <c r="B1812" s="1" t="n">
        <v>45163</v>
      </c>
      <c r="C1812" s="1" t="n">
        <v>45811</v>
      </c>
      <c r="D1812" t="inlineStr">
        <is>
          <t>GÄVLEBORGS LÄN</t>
        </is>
      </c>
      <c r="E1812" t="inlineStr">
        <is>
          <t>LJUSDAL</t>
        </is>
      </c>
      <c r="G1812" t="n">
        <v>2.5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39413-2023</t>
        </is>
      </c>
      <c r="B1813" s="1" t="n">
        <v>45166</v>
      </c>
      <c r="C1813" s="1" t="n">
        <v>45811</v>
      </c>
      <c r="D1813" t="inlineStr">
        <is>
          <t>GÄVLEBORGS LÄN</t>
        </is>
      </c>
      <c r="E1813" t="inlineStr">
        <is>
          <t>LJUSDAL</t>
        </is>
      </c>
      <c r="G1813" t="n">
        <v>2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39738-2023</t>
        </is>
      </c>
      <c r="B1814" s="1" t="n">
        <v>45167</v>
      </c>
      <c r="C1814" s="1" t="n">
        <v>45811</v>
      </c>
      <c r="D1814" t="inlineStr">
        <is>
          <t>GÄVLEBORGS LÄN</t>
        </is>
      </c>
      <c r="E1814" t="inlineStr">
        <is>
          <t>LJUSDAL</t>
        </is>
      </c>
      <c r="G1814" t="n">
        <v>3.1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39742-2023</t>
        </is>
      </c>
      <c r="B1815" s="1" t="n">
        <v>45167</v>
      </c>
      <c r="C1815" s="1" t="n">
        <v>45811</v>
      </c>
      <c r="D1815" t="inlineStr">
        <is>
          <t>GÄVLEBORGS LÄN</t>
        </is>
      </c>
      <c r="E1815" t="inlineStr">
        <is>
          <t>LJUSDAL</t>
        </is>
      </c>
      <c r="G1815" t="n">
        <v>4.1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39526-2023</t>
        </is>
      </c>
      <c r="B1816" s="1" t="n">
        <v>45167</v>
      </c>
      <c r="C1816" s="1" t="n">
        <v>45811</v>
      </c>
      <c r="D1816" t="inlineStr">
        <is>
          <t>GÄVLEBORGS LÄN</t>
        </is>
      </c>
      <c r="E1816" t="inlineStr">
        <is>
          <t>LJUSDAL</t>
        </is>
      </c>
      <c r="G1816" t="n">
        <v>6.1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39883-2023</t>
        </is>
      </c>
      <c r="B1817" s="1" t="n">
        <v>45168</v>
      </c>
      <c r="C1817" s="1" t="n">
        <v>45811</v>
      </c>
      <c r="D1817" t="inlineStr">
        <is>
          <t>GÄVLEBORGS LÄN</t>
        </is>
      </c>
      <c r="E1817" t="inlineStr">
        <is>
          <t>LJUSDAL</t>
        </is>
      </c>
      <c r="F1817" t="inlineStr">
        <is>
          <t>Holmen skog AB</t>
        </is>
      </c>
      <c r="G1817" t="n">
        <v>13.9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39923-2023</t>
        </is>
      </c>
      <c r="B1818" s="1" t="n">
        <v>45168</v>
      </c>
      <c r="C1818" s="1" t="n">
        <v>45811</v>
      </c>
      <c r="D1818" t="inlineStr">
        <is>
          <t>GÄVLEBORGS LÄN</t>
        </is>
      </c>
      <c r="E1818" t="inlineStr">
        <is>
          <t>LJUSDAL</t>
        </is>
      </c>
      <c r="F1818" t="inlineStr">
        <is>
          <t>Allmännings- och besparingsskogar</t>
        </is>
      </c>
      <c r="G1818" t="n">
        <v>3.7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39932-2023</t>
        </is>
      </c>
      <c r="B1819" s="1" t="n">
        <v>45168</v>
      </c>
      <c r="C1819" s="1" t="n">
        <v>45811</v>
      </c>
      <c r="D1819" t="inlineStr">
        <is>
          <t>GÄVLEBORGS LÄN</t>
        </is>
      </c>
      <c r="E1819" t="inlineStr">
        <is>
          <t>LJUSDAL</t>
        </is>
      </c>
      <c r="F1819" t="inlineStr">
        <is>
          <t>Bergvik skog väst AB</t>
        </is>
      </c>
      <c r="G1819" t="n">
        <v>1.9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40253-2023</t>
        </is>
      </c>
      <c r="B1820" s="1" t="n">
        <v>45169</v>
      </c>
      <c r="C1820" s="1" t="n">
        <v>45811</v>
      </c>
      <c r="D1820" t="inlineStr">
        <is>
          <t>GÄVLEBORGS LÄN</t>
        </is>
      </c>
      <c r="E1820" t="inlineStr">
        <is>
          <t>LJUSDAL</t>
        </is>
      </c>
      <c r="G1820" t="n">
        <v>9.300000000000001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40281-2023</t>
        </is>
      </c>
      <c r="B1821" s="1" t="n">
        <v>45169</v>
      </c>
      <c r="C1821" s="1" t="n">
        <v>45811</v>
      </c>
      <c r="D1821" t="inlineStr">
        <is>
          <t>GÄVLEBORGS LÄN</t>
        </is>
      </c>
      <c r="E1821" t="inlineStr">
        <is>
          <t>LJUSDAL</t>
        </is>
      </c>
      <c r="F1821" t="inlineStr">
        <is>
          <t>Sveaskog</t>
        </is>
      </c>
      <c r="G1821" t="n">
        <v>0.9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40260-2023</t>
        </is>
      </c>
      <c r="B1822" s="1" t="n">
        <v>45169</v>
      </c>
      <c r="C1822" s="1" t="n">
        <v>45811</v>
      </c>
      <c r="D1822" t="inlineStr">
        <is>
          <t>GÄVLEBORGS LÄN</t>
        </is>
      </c>
      <c r="E1822" t="inlineStr">
        <is>
          <t>LJUSDAL</t>
        </is>
      </c>
      <c r="G1822" t="n">
        <v>2.2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40276-2023</t>
        </is>
      </c>
      <c r="B1823" s="1" t="n">
        <v>45169</v>
      </c>
      <c r="C1823" s="1" t="n">
        <v>45811</v>
      </c>
      <c r="D1823" t="inlineStr">
        <is>
          <t>GÄVLEBORGS LÄN</t>
        </is>
      </c>
      <c r="E1823" t="inlineStr">
        <is>
          <t>LJUSDAL</t>
        </is>
      </c>
      <c r="F1823" t="inlineStr">
        <is>
          <t>Sveaskog</t>
        </is>
      </c>
      <c r="G1823" t="n">
        <v>2.6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40280-2023</t>
        </is>
      </c>
      <c r="B1824" s="1" t="n">
        <v>45169</v>
      </c>
      <c r="C1824" s="1" t="n">
        <v>45811</v>
      </c>
      <c r="D1824" t="inlineStr">
        <is>
          <t>GÄVLEBORGS LÄN</t>
        </is>
      </c>
      <c r="E1824" t="inlineStr">
        <is>
          <t>LJUSDAL</t>
        </is>
      </c>
      <c r="F1824" t="inlineStr">
        <is>
          <t>Sveaskog</t>
        </is>
      </c>
      <c r="G1824" t="n">
        <v>0.7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40146-2023</t>
        </is>
      </c>
      <c r="B1825" s="1" t="n">
        <v>45169</v>
      </c>
      <c r="C1825" s="1" t="n">
        <v>45811</v>
      </c>
      <c r="D1825" t="inlineStr">
        <is>
          <t>GÄVLEBORGS LÄN</t>
        </is>
      </c>
      <c r="E1825" t="inlineStr">
        <is>
          <t>LJUSDAL</t>
        </is>
      </c>
      <c r="G1825" t="n">
        <v>2.9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40191-2023</t>
        </is>
      </c>
      <c r="B1826" s="1" t="n">
        <v>45169</v>
      </c>
      <c r="C1826" s="1" t="n">
        <v>45811</v>
      </c>
      <c r="D1826" t="inlineStr">
        <is>
          <t>GÄVLEBORGS LÄN</t>
        </is>
      </c>
      <c r="E1826" t="inlineStr">
        <is>
          <t>LJUSDAL</t>
        </is>
      </c>
      <c r="F1826" t="inlineStr">
        <is>
          <t>Sveaskog</t>
        </is>
      </c>
      <c r="G1826" t="n">
        <v>3.1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40384-2023</t>
        </is>
      </c>
      <c r="B1827" s="1" t="n">
        <v>45169</v>
      </c>
      <c r="C1827" s="1" t="n">
        <v>45811</v>
      </c>
      <c r="D1827" t="inlineStr">
        <is>
          <t>GÄVLEBORGS LÄN</t>
        </is>
      </c>
      <c r="E1827" t="inlineStr">
        <is>
          <t>LJUSDAL</t>
        </is>
      </c>
      <c r="G1827" t="n">
        <v>4.5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40695-2023</t>
        </is>
      </c>
      <c r="B1828" s="1" t="n">
        <v>45170</v>
      </c>
      <c r="C1828" s="1" t="n">
        <v>45811</v>
      </c>
      <c r="D1828" t="inlineStr">
        <is>
          <t>GÄVLEBORGS LÄN</t>
        </is>
      </c>
      <c r="E1828" t="inlineStr">
        <is>
          <t>LJUSDAL</t>
        </is>
      </c>
      <c r="F1828" t="inlineStr">
        <is>
          <t>Holmen skog AB</t>
        </is>
      </c>
      <c r="G1828" t="n">
        <v>1.8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40744-2023</t>
        </is>
      </c>
      <c r="B1829" s="1" t="n">
        <v>45170</v>
      </c>
      <c r="C1829" s="1" t="n">
        <v>45811</v>
      </c>
      <c r="D1829" t="inlineStr">
        <is>
          <t>GÄVLEBORGS LÄN</t>
        </is>
      </c>
      <c r="E1829" t="inlineStr">
        <is>
          <t>LJUSDAL</t>
        </is>
      </c>
      <c r="F1829" t="inlineStr">
        <is>
          <t>Sveaskog</t>
        </is>
      </c>
      <c r="G1829" t="n">
        <v>14.1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41048-2023</t>
        </is>
      </c>
      <c r="B1830" s="1" t="n">
        <v>45173</v>
      </c>
      <c r="C1830" s="1" t="n">
        <v>45811</v>
      </c>
      <c r="D1830" t="inlineStr">
        <is>
          <t>GÄVLEBORGS LÄN</t>
        </is>
      </c>
      <c r="E1830" t="inlineStr">
        <is>
          <t>LJUSDAL</t>
        </is>
      </c>
      <c r="G1830" t="n">
        <v>6.4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41123-2023</t>
        </is>
      </c>
      <c r="B1831" s="1" t="n">
        <v>45173</v>
      </c>
      <c r="C1831" s="1" t="n">
        <v>45811</v>
      </c>
      <c r="D1831" t="inlineStr">
        <is>
          <t>GÄVLEBORGS LÄN</t>
        </is>
      </c>
      <c r="E1831" t="inlineStr">
        <is>
          <t>LJUSDAL</t>
        </is>
      </c>
      <c r="G1831" t="n">
        <v>3.2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41124-2023</t>
        </is>
      </c>
      <c r="B1832" s="1" t="n">
        <v>45173</v>
      </c>
      <c r="C1832" s="1" t="n">
        <v>45811</v>
      </c>
      <c r="D1832" t="inlineStr">
        <is>
          <t>GÄVLEBORGS LÄN</t>
        </is>
      </c>
      <c r="E1832" t="inlineStr">
        <is>
          <t>LJUSDAL</t>
        </is>
      </c>
      <c r="G1832" t="n">
        <v>5.8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41292-2023</t>
        </is>
      </c>
      <c r="B1833" s="1" t="n">
        <v>45174</v>
      </c>
      <c r="C1833" s="1" t="n">
        <v>45811</v>
      </c>
      <c r="D1833" t="inlineStr">
        <is>
          <t>GÄVLEBORGS LÄN</t>
        </is>
      </c>
      <c r="E1833" t="inlineStr">
        <is>
          <t>LJUSDAL</t>
        </is>
      </c>
      <c r="F1833" t="inlineStr">
        <is>
          <t>Sveaskog</t>
        </is>
      </c>
      <c r="G1833" t="n">
        <v>6.4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41293-2023</t>
        </is>
      </c>
      <c r="B1834" s="1" t="n">
        <v>45174</v>
      </c>
      <c r="C1834" s="1" t="n">
        <v>45811</v>
      </c>
      <c r="D1834" t="inlineStr">
        <is>
          <t>GÄVLEBORGS LÄN</t>
        </is>
      </c>
      <c r="E1834" t="inlineStr">
        <is>
          <t>LJUSDAL</t>
        </is>
      </c>
      <c r="F1834" t="inlineStr">
        <is>
          <t>Sveaskog</t>
        </is>
      </c>
      <c r="G1834" t="n">
        <v>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41476-2023</t>
        </is>
      </c>
      <c r="B1835" s="1" t="n">
        <v>45175</v>
      </c>
      <c r="C1835" s="1" t="n">
        <v>45811</v>
      </c>
      <c r="D1835" t="inlineStr">
        <is>
          <t>GÄVLEBORGS LÄN</t>
        </is>
      </c>
      <c r="E1835" t="inlineStr">
        <is>
          <t>LJUSDAL</t>
        </is>
      </c>
      <c r="F1835" t="inlineStr">
        <is>
          <t>Allmännings- och besparingsskogar</t>
        </is>
      </c>
      <c r="G1835" t="n">
        <v>3.1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41658-2023</t>
        </is>
      </c>
      <c r="B1836" s="1" t="n">
        <v>45176</v>
      </c>
      <c r="C1836" s="1" t="n">
        <v>45811</v>
      </c>
      <c r="D1836" t="inlineStr">
        <is>
          <t>GÄVLEBORGS LÄN</t>
        </is>
      </c>
      <c r="E1836" t="inlineStr">
        <is>
          <t>LJUSDAL</t>
        </is>
      </c>
      <c r="F1836" t="inlineStr">
        <is>
          <t>SCA</t>
        </is>
      </c>
      <c r="G1836" t="n">
        <v>16.5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41463-2023</t>
        </is>
      </c>
      <c r="B1837" s="1" t="n">
        <v>45175</v>
      </c>
      <c r="C1837" s="1" t="n">
        <v>45811</v>
      </c>
      <c r="D1837" t="inlineStr">
        <is>
          <t>GÄVLEBORGS LÄN</t>
        </is>
      </c>
      <c r="E1837" t="inlineStr">
        <is>
          <t>LJUSDAL</t>
        </is>
      </c>
      <c r="F1837" t="inlineStr">
        <is>
          <t>Övriga Aktiebolag</t>
        </is>
      </c>
      <c r="G1837" t="n">
        <v>2.3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41513-2023</t>
        </is>
      </c>
      <c r="B1838" s="1" t="n">
        <v>45175</v>
      </c>
      <c r="C1838" s="1" t="n">
        <v>45811</v>
      </c>
      <c r="D1838" t="inlineStr">
        <is>
          <t>GÄVLEBORGS LÄN</t>
        </is>
      </c>
      <c r="E1838" t="inlineStr">
        <is>
          <t>LJUSDAL</t>
        </is>
      </c>
      <c r="F1838" t="inlineStr">
        <is>
          <t>Bergvik skog väst AB</t>
        </is>
      </c>
      <c r="G1838" t="n">
        <v>1.8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41657-2023</t>
        </is>
      </c>
      <c r="B1839" s="1" t="n">
        <v>45176</v>
      </c>
      <c r="C1839" s="1" t="n">
        <v>45811</v>
      </c>
      <c r="D1839" t="inlineStr">
        <is>
          <t>GÄVLEBORGS LÄN</t>
        </is>
      </c>
      <c r="E1839" t="inlineStr">
        <is>
          <t>LJUSDAL</t>
        </is>
      </c>
      <c r="F1839" t="inlineStr">
        <is>
          <t>SCA</t>
        </is>
      </c>
      <c r="G1839" t="n">
        <v>2.7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41614-2023</t>
        </is>
      </c>
      <c r="B1840" s="1" t="n">
        <v>45175</v>
      </c>
      <c r="C1840" s="1" t="n">
        <v>45811</v>
      </c>
      <c r="D1840" t="inlineStr">
        <is>
          <t>GÄVLEBORGS LÄN</t>
        </is>
      </c>
      <c r="E1840" t="inlineStr">
        <is>
          <t>LJUSDAL</t>
        </is>
      </c>
      <c r="G1840" t="n">
        <v>1.8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41773-2023</t>
        </is>
      </c>
      <c r="B1841" s="1" t="n">
        <v>45176</v>
      </c>
      <c r="C1841" s="1" t="n">
        <v>45811</v>
      </c>
      <c r="D1841" t="inlineStr">
        <is>
          <t>GÄVLEBORGS LÄN</t>
        </is>
      </c>
      <c r="E1841" t="inlineStr">
        <is>
          <t>LJUSDAL</t>
        </is>
      </c>
      <c r="F1841" t="inlineStr">
        <is>
          <t>Holmen skog AB</t>
        </is>
      </c>
      <c r="G1841" t="n">
        <v>7.4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42145-2023</t>
        </is>
      </c>
      <c r="B1842" s="1" t="n">
        <v>45178</v>
      </c>
      <c r="C1842" s="1" t="n">
        <v>45811</v>
      </c>
      <c r="D1842" t="inlineStr">
        <is>
          <t>GÄVLEBORGS LÄN</t>
        </is>
      </c>
      <c r="E1842" t="inlineStr">
        <is>
          <t>LJUSDAL</t>
        </is>
      </c>
      <c r="G1842" t="n">
        <v>16.2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42276-2023</t>
        </is>
      </c>
      <c r="B1843" s="1" t="n">
        <v>45180</v>
      </c>
      <c r="C1843" s="1" t="n">
        <v>45811</v>
      </c>
      <c r="D1843" t="inlineStr">
        <is>
          <t>GÄVLEBORGS LÄN</t>
        </is>
      </c>
      <c r="E1843" t="inlineStr">
        <is>
          <t>LJUSDAL</t>
        </is>
      </c>
      <c r="G1843" t="n">
        <v>6.9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42419-2023</t>
        </is>
      </c>
      <c r="B1844" s="1" t="n">
        <v>45180</v>
      </c>
      <c r="C1844" s="1" t="n">
        <v>45811</v>
      </c>
      <c r="D1844" t="inlineStr">
        <is>
          <t>GÄVLEBORGS LÄN</t>
        </is>
      </c>
      <c r="E1844" t="inlineStr">
        <is>
          <t>LJUSDAL</t>
        </is>
      </c>
      <c r="G1844" t="n">
        <v>2.4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42580-2023</t>
        </is>
      </c>
      <c r="B1845" s="1" t="n">
        <v>45181</v>
      </c>
      <c r="C1845" s="1" t="n">
        <v>45811</v>
      </c>
      <c r="D1845" t="inlineStr">
        <is>
          <t>GÄVLEBORGS LÄN</t>
        </is>
      </c>
      <c r="E1845" t="inlineStr">
        <is>
          <t>LJUSDAL</t>
        </is>
      </c>
      <c r="F1845" t="inlineStr">
        <is>
          <t>Bergvik skog väst AB</t>
        </is>
      </c>
      <c r="G1845" t="n">
        <v>14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42732-2023</t>
        </is>
      </c>
      <c r="B1846" s="1" t="n">
        <v>45181</v>
      </c>
      <c r="C1846" s="1" t="n">
        <v>45811</v>
      </c>
      <c r="D1846" t="inlineStr">
        <is>
          <t>GÄVLEBORGS LÄN</t>
        </is>
      </c>
      <c r="E1846" t="inlineStr">
        <is>
          <t>LJUSDAL</t>
        </is>
      </c>
      <c r="F1846" t="inlineStr">
        <is>
          <t>Kommuner</t>
        </is>
      </c>
      <c r="G1846" t="n">
        <v>1.8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42572-2023</t>
        </is>
      </c>
      <c r="B1847" s="1" t="n">
        <v>45181</v>
      </c>
      <c r="C1847" s="1" t="n">
        <v>45811</v>
      </c>
      <c r="D1847" t="inlineStr">
        <is>
          <t>GÄVLEBORGS LÄN</t>
        </is>
      </c>
      <c r="E1847" t="inlineStr">
        <is>
          <t>LJUSDAL</t>
        </is>
      </c>
      <c r="F1847" t="inlineStr">
        <is>
          <t>Bergvik skog väst AB</t>
        </is>
      </c>
      <c r="G1847" t="n">
        <v>0.7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42596-2023</t>
        </is>
      </c>
      <c r="B1848" s="1" t="n">
        <v>45181</v>
      </c>
      <c r="C1848" s="1" t="n">
        <v>45811</v>
      </c>
      <c r="D1848" t="inlineStr">
        <is>
          <t>GÄVLEBORGS LÄN</t>
        </is>
      </c>
      <c r="E1848" t="inlineStr">
        <is>
          <t>LJUSDAL</t>
        </is>
      </c>
      <c r="F1848" t="inlineStr">
        <is>
          <t>Holmen skog AB</t>
        </is>
      </c>
      <c r="G1848" t="n">
        <v>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42685-2023</t>
        </is>
      </c>
      <c r="B1849" s="1" t="n">
        <v>45181</v>
      </c>
      <c r="C1849" s="1" t="n">
        <v>45811</v>
      </c>
      <c r="D1849" t="inlineStr">
        <is>
          <t>GÄVLEBORGS LÄN</t>
        </is>
      </c>
      <c r="E1849" t="inlineStr">
        <is>
          <t>LJUSDAL</t>
        </is>
      </c>
      <c r="F1849" t="inlineStr">
        <is>
          <t>Holmen skog AB</t>
        </is>
      </c>
      <c r="G1849" t="n">
        <v>0.8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42979-2023</t>
        </is>
      </c>
      <c r="B1850" s="1" t="n">
        <v>45182</v>
      </c>
      <c r="C1850" s="1" t="n">
        <v>45811</v>
      </c>
      <c r="D1850" t="inlineStr">
        <is>
          <t>GÄVLEBORGS LÄN</t>
        </is>
      </c>
      <c r="E1850" t="inlineStr">
        <is>
          <t>LJUSDAL</t>
        </is>
      </c>
      <c r="G1850" t="n">
        <v>13.2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42841-2023</t>
        </is>
      </c>
      <c r="B1851" s="1" t="n">
        <v>45182</v>
      </c>
      <c r="C1851" s="1" t="n">
        <v>45811</v>
      </c>
      <c r="D1851" t="inlineStr">
        <is>
          <t>GÄVLEBORGS LÄN</t>
        </is>
      </c>
      <c r="E1851" t="inlineStr">
        <is>
          <t>LJUSDAL</t>
        </is>
      </c>
      <c r="F1851" t="inlineStr">
        <is>
          <t>Allmännings- och besparingsskogar</t>
        </is>
      </c>
      <c r="G1851" t="n">
        <v>28.8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42949-2023</t>
        </is>
      </c>
      <c r="B1852" s="1" t="n">
        <v>45182</v>
      </c>
      <c r="C1852" s="1" t="n">
        <v>45811</v>
      </c>
      <c r="D1852" t="inlineStr">
        <is>
          <t>GÄVLEBORGS LÄN</t>
        </is>
      </c>
      <c r="E1852" t="inlineStr">
        <is>
          <t>LJUSDAL</t>
        </is>
      </c>
      <c r="G1852" t="n">
        <v>10.4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43018-2023</t>
        </is>
      </c>
      <c r="B1853" s="1" t="n">
        <v>45182</v>
      </c>
      <c r="C1853" s="1" t="n">
        <v>45811</v>
      </c>
      <c r="D1853" t="inlineStr">
        <is>
          <t>GÄVLEBORGS LÄN</t>
        </is>
      </c>
      <c r="E1853" t="inlineStr">
        <is>
          <t>LJUSDAL</t>
        </is>
      </c>
      <c r="G1853" t="n">
        <v>8.199999999999999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43121-2023</t>
        </is>
      </c>
      <c r="B1854" s="1" t="n">
        <v>45183</v>
      </c>
      <c r="C1854" s="1" t="n">
        <v>45811</v>
      </c>
      <c r="D1854" t="inlineStr">
        <is>
          <t>GÄVLEBORGS LÄN</t>
        </is>
      </c>
      <c r="E1854" t="inlineStr">
        <is>
          <t>LJUSDAL</t>
        </is>
      </c>
      <c r="F1854" t="inlineStr">
        <is>
          <t>SCA</t>
        </is>
      </c>
      <c r="G1854" t="n">
        <v>7.6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43490-2023</t>
        </is>
      </c>
      <c r="B1855" s="1" t="n">
        <v>45184</v>
      </c>
      <c r="C1855" s="1" t="n">
        <v>45811</v>
      </c>
      <c r="D1855" t="inlineStr">
        <is>
          <t>GÄVLEBORGS LÄN</t>
        </is>
      </c>
      <c r="E1855" t="inlineStr">
        <is>
          <t>LJUSDAL</t>
        </is>
      </c>
      <c r="F1855" t="inlineStr">
        <is>
          <t>Allmännings- och besparingsskogar</t>
        </is>
      </c>
      <c r="G1855" t="n">
        <v>2.7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43517-2023</t>
        </is>
      </c>
      <c r="B1856" s="1" t="n">
        <v>45184</v>
      </c>
      <c r="C1856" s="1" t="n">
        <v>45811</v>
      </c>
      <c r="D1856" t="inlineStr">
        <is>
          <t>GÄVLEBORGS LÄN</t>
        </is>
      </c>
      <c r="E1856" t="inlineStr">
        <is>
          <t>LJUSDAL</t>
        </is>
      </c>
      <c r="G1856" t="n">
        <v>23.5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43669-2023</t>
        </is>
      </c>
      <c r="B1857" s="1" t="n">
        <v>45187</v>
      </c>
      <c r="C1857" s="1" t="n">
        <v>45811</v>
      </c>
      <c r="D1857" t="inlineStr">
        <is>
          <t>GÄVLEBORGS LÄN</t>
        </is>
      </c>
      <c r="E1857" t="inlineStr">
        <is>
          <t>LJUSDAL</t>
        </is>
      </c>
      <c r="F1857" t="inlineStr">
        <is>
          <t>Bergvik skog väst AB</t>
        </is>
      </c>
      <c r="G1857" t="n">
        <v>1.8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43673-2023</t>
        </is>
      </c>
      <c r="B1858" s="1" t="n">
        <v>45187</v>
      </c>
      <c r="C1858" s="1" t="n">
        <v>45811</v>
      </c>
      <c r="D1858" t="inlineStr">
        <is>
          <t>GÄVLEBORGS LÄN</t>
        </is>
      </c>
      <c r="E1858" t="inlineStr">
        <is>
          <t>LJUSDAL</t>
        </is>
      </c>
      <c r="F1858" t="inlineStr">
        <is>
          <t>Bergvik skog väst AB</t>
        </is>
      </c>
      <c r="G1858" t="n">
        <v>2.1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43682-2023</t>
        </is>
      </c>
      <c r="B1859" s="1" t="n">
        <v>45187</v>
      </c>
      <c r="C1859" s="1" t="n">
        <v>45811</v>
      </c>
      <c r="D1859" t="inlineStr">
        <is>
          <t>GÄVLEBORGS LÄN</t>
        </is>
      </c>
      <c r="E1859" t="inlineStr">
        <is>
          <t>LJUSDAL</t>
        </is>
      </c>
      <c r="F1859" t="inlineStr">
        <is>
          <t>Bergvik skog väst AB</t>
        </is>
      </c>
      <c r="G1859" t="n">
        <v>2.1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43800-2023</t>
        </is>
      </c>
      <c r="B1860" s="1" t="n">
        <v>45187</v>
      </c>
      <c r="C1860" s="1" t="n">
        <v>45811</v>
      </c>
      <c r="D1860" t="inlineStr">
        <is>
          <t>GÄVLEBORGS LÄN</t>
        </is>
      </c>
      <c r="E1860" t="inlineStr">
        <is>
          <t>LJUSDAL</t>
        </is>
      </c>
      <c r="F1860" t="inlineStr">
        <is>
          <t>Bergvik skog väst AB</t>
        </is>
      </c>
      <c r="G1860" t="n">
        <v>6.9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43718-2023</t>
        </is>
      </c>
      <c r="B1861" s="1" t="n">
        <v>45187</v>
      </c>
      <c r="C1861" s="1" t="n">
        <v>45811</v>
      </c>
      <c r="D1861" t="inlineStr">
        <is>
          <t>GÄVLEBORGS LÄN</t>
        </is>
      </c>
      <c r="E1861" t="inlineStr">
        <is>
          <t>LJUSDAL</t>
        </is>
      </c>
      <c r="F1861" t="inlineStr">
        <is>
          <t>Sveaskog</t>
        </is>
      </c>
      <c r="G1861" t="n">
        <v>4.4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43799-2023</t>
        </is>
      </c>
      <c r="B1862" s="1" t="n">
        <v>45187</v>
      </c>
      <c r="C1862" s="1" t="n">
        <v>45811</v>
      </c>
      <c r="D1862" t="inlineStr">
        <is>
          <t>GÄVLEBORGS LÄN</t>
        </is>
      </c>
      <c r="E1862" t="inlineStr">
        <is>
          <t>LJUSDAL</t>
        </is>
      </c>
      <c r="F1862" t="inlineStr">
        <is>
          <t>Bergvik skog väst AB</t>
        </is>
      </c>
      <c r="G1862" t="n">
        <v>16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44020-2023</t>
        </is>
      </c>
      <c r="B1863" s="1" t="n">
        <v>45188</v>
      </c>
      <c r="C1863" s="1" t="n">
        <v>45811</v>
      </c>
      <c r="D1863" t="inlineStr">
        <is>
          <t>GÄVLEBORGS LÄN</t>
        </is>
      </c>
      <c r="E1863" t="inlineStr">
        <is>
          <t>LJUSDAL</t>
        </is>
      </c>
      <c r="F1863" t="inlineStr">
        <is>
          <t>Sveaskog</t>
        </is>
      </c>
      <c r="G1863" t="n">
        <v>3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44204-2023</t>
        </is>
      </c>
      <c r="B1864" s="1" t="n">
        <v>45188</v>
      </c>
      <c r="C1864" s="1" t="n">
        <v>45811</v>
      </c>
      <c r="D1864" t="inlineStr">
        <is>
          <t>GÄVLEBORGS LÄN</t>
        </is>
      </c>
      <c r="E1864" t="inlineStr">
        <is>
          <t>LJUSDAL</t>
        </is>
      </c>
      <c r="F1864" t="inlineStr">
        <is>
          <t>Bergvik skog väst AB</t>
        </is>
      </c>
      <c r="G1864" t="n">
        <v>9.800000000000001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44291-2023</t>
        </is>
      </c>
      <c r="B1865" s="1" t="n">
        <v>45188</v>
      </c>
      <c r="C1865" s="1" t="n">
        <v>45811</v>
      </c>
      <c r="D1865" t="inlineStr">
        <is>
          <t>GÄVLEBORGS LÄN</t>
        </is>
      </c>
      <c r="E1865" t="inlineStr">
        <is>
          <t>LJUSDAL</t>
        </is>
      </c>
      <c r="G1865" t="n">
        <v>2.8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44188-2023</t>
        </is>
      </c>
      <c r="B1866" s="1" t="n">
        <v>45188</v>
      </c>
      <c r="C1866" s="1" t="n">
        <v>45811</v>
      </c>
      <c r="D1866" t="inlineStr">
        <is>
          <t>GÄVLEBORGS LÄN</t>
        </is>
      </c>
      <c r="E1866" t="inlineStr">
        <is>
          <t>LJUSDAL</t>
        </is>
      </c>
      <c r="F1866" t="inlineStr">
        <is>
          <t>Bergvik skog väst AB</t>
        </is>
      </c>
      <c r="G1866" t="n">
        <v>29.6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44192-2023</t>
        </is>
      </c>
      <c r="B1867" s="1" t="n">
        <v>45188</v>
      </c>
      <c r="C1867" s="1" t="n">
        <v>45811</v>
      </c>
      <c r="D1867" t="inlineStr">
        <is>
          <t>GÄVLEBORGS LÄN</t>
        </is>
      </c>
      <c r="E1867" t="inlineStr">
        <is>
          <t>LJUSDAL</t>
        </is>
      </c>
      <c r="G1867" t="n">
        <v>1.6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44665-2023</t>
        </is>
      </c>
      <c r="B1868" s="1" t="n">
        <v>45189</v>
      </c>
      <c r="C1868" s="1" t="n">
        <v>45811</v>
      </c>
      <c r="D1868" t="inlineStr">
        <is>
          <t>GÄVLEBORGS LÄN</t>
        </is>
      </c>
      <c r="E1868" t="inlineStr">
        <is>
          <t>LJUSDAL</t>
        </is>
      </c>
      <c r="F1868" t="inlineStr">
        <is>
          <t>Sveaskog</t>
        </is>
      </c>
      <c r="G1868" t="n">
        <v>25.1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44699-2023</t>
        </is>
      </c>
      <c r="B1869" s="1" t="n">
        <v>45190</v>
      </c>
      <c r="C1869" s="1" t="n">
        <v>45811</v>
      </c>
      <c r="D1869" t="inlineStr">
        <is>
          <t>GÄVLEBORGS LÄN</t>
        </is>
      </c>
      <c r="E1869" t="inlineStr">
        <is>
          <t>LJUSDAL</t>
        </is>
      </c>
      <c r="G1869" t="n">
        <v>4.8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44967-2023</t>
        </is>
      </c>
      <c r="B1870" s="1" t="n">
        <v>45191</v>
      </c>
      <c r="C1870" s="1" t="n">
        <v>45811</v>
      </c>
      <c r="D1870" t="inlineStr">
        <is>
          <t>GÄVLEBORGS LÄN</t>
        </is>
      </c>
      <c r="E1870" t="inlineStr">
        <is>
          <t>LJUSDAL</t>
        </is>
      </c>
      <c r="G1870" t="n">
        <v>1.1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45175-2023</t>
        </is>
      </c>
      <c r="B1871" s="1" t="n">
        <v>45191</v>
      </c>
      <c r="C1871" s="1" t="n">
        <v>45811</v>
      </c>
      <c r="D1871" t="inlineStr">
        <is>
          <t>GÄVLEBORGS LÄN</t>
        </is>
      </c>
      <c r="E1871" t="inlineStr">
        <is>
          <t>LJUSDAL</t>
        </is>
      </c>
      <c r="F1871" t="inlineStr">
        <is>
          <t>Sveaskog</t>
        </is>
      </c>
      <c r="G1871" t="n">
        <v>0.8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45110-2023</t>
        </is>
      </c>
      <c r="B1872" s="1" t="n">
        <v>45191</v>
      </c>
      <c r="C1872" s="1" t="n">
        <v>45811</v>
      </c>
      <c r="D1872" t="inlineStr">
        <is>
          <t>GÄVLEBORGS LÄN</t>
        </is>
      </c>
      <c r="E1872" t="inlineStr">
        <is>
          <t>LJUSDAL</t>
        </is>
      </c>
      <c r="F1872" t="inlineStr">
        <is>
          <t>Bergvik skog väst AB</t>
        </is>
      </c>
      <c r="G1872" t="n">
        <v>3.1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45243-2023</t>
        </is>
      </c>
      <c r="B1873" s="1" t="n">
        <v>45191</v>
      </c>
      <c r="C1873" s="1" t="n">
        <v>45811</v>
      </c>
      <c r="D1873" t="inlineStr">
        <is>
          <t>GÄVLEBORGS LÄN</t>
        </is>
      </c>
      <c r="E1873" t="inlineStr">
        <is>
          <t>LJUSDAL</t>
        </is>
      </c>
      <c r="G1873" t="n">
        <v>9.6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45251-2023</t>
        </is>
      </c>
      <c r="B1874" s="1" t="n">
        <v>45191</v>
      </c>
      <c r="C1874" s="1" t="n">
        <v>45811</v>
      </c>
      <c r="D1874" t="inlineStr">
        <is>
          <t>GÄVLEBORGS LÄN</t>
        </is>
      </c>
      <c r="E1874" t="inlineStr">
        <is>
          <t>LJUSDAL</t>
        </is>
      </c>
      <c r="G1874" t="n">
        <v>2.8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45289-2023</t>
        </is>
      </c>
      <c r="B1875" s="1" t="n">
        <v>45191</v>
      </c>
      <c r="C1875" s="1" t="n">
        <v>45811</v>
      </c>
      <c r="D1875" t="inlineStr">
        <is>
          <t>GÄVLEBORGS LÄN</t>
        </is>
      </c>
      <c r="E1875" t="inlineStr">
        <is>
          <t>LJUSDAL</t>
        </is>
      </c>
      <c r="G1875" t="n">
        <v>2.2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45089-2023</t>
        </is>
      </c>
      <c r="B1876" s="1" t="n">
        <v>45191</v>
      </c>
      <c r="C1876" s="1" t="n">
        <v>45811</v>
      </c>
      <c r="D1876" t="inlineStr">
        <is>
          <t>GÄVLEBORGS LÄN</t>
        </is>
      </c>
      <c r="E1876" t="inlineStr">
        <is>
          <t>LJUSDAL</t>
        </is>
      </c>
      <c r="G1876" t="n">
        <v>1.9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45250-2023</t>
        </is>
      </c>
      <c r="B1877" s="1" t="n">
        <v>45191</v>
      </c>
      <c r="C1877" s="1" t="n">
        <v>45811</v>
      </c>
      <c r="D1877" t="inlineStr">
        <is>
          <t>GÄVLEBORGS LÄN</t>
        </is>
      </c>
      <c r="E1877" t="inlineStr">
        <is>
          <t>LJUSDAL</t>
        </is>
      </c>
      <c r="G1877" t="n">
        <v>5.5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45255-2023</t>
        </is>
      </c>
      <c r="B1878" s="1" t="n">
        <v>45191</v>
      </c>
      <c r="C1878" s="1" t="n">
        <v>45811</v>
      </c>
      <c r="D1878" t="inlineStr">
        <is>
          <t>GÄVLEBORGS LÄN</t>
        </is>
      </c>
      <c r="E1878" t="inlineStr">
        <is>
          <t>LJUSDAL</t>
        </is>
      </c>
      <c r="G1878" t="n">
        <v>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45260-2023</t>
        </is>
      </c>
      <c r="B1879" s="1" t="n">
        <v>45191</v>
      </c>
      <c r="C1879" s="1" t="n">
        <v>45811</v>
      </c>
      <c r="D1879" t="inlineStr">
        <is>
          <t>GÄVLEBORGS LÄN</t>
        </is>
      </c>
      <c r="E1879" t="inlineStr">
        <is>
          <t>LJUSDAL</t>
        </is>
      </c>
      <c r="G1879" t="n">
        <v>1.4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45278-2023</t>
        </is>
      </c>
      <c r="B1880" s="1" t="n">
        <v>45191</v>
      </c>
      <c r="C1880" s="1" t="n">
        <v>45811</v>
      </c>
      <c r="D1880" t="inlineStr">
        <is>
          <t>GÄVLEBORGS LÄN</t>
        </is>
      </c>
      <c r="E1880" t="inlineStr">
        <is>
          <t>LJUSDAL</t>
        </is>
      </c>
      <c r="G1880" t="n">
        <v>7.7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45536-2023</t>
        </is>
      </c>
      <c r="B1881" s="1" t="n">
        <v>45194</v>
      </c>
      <c r="C1881" s="1" t="n">
        <v>45811</v>
      </c>
      <c r="D1881" t="inlineStr">
        <is>
          <t>GÄVLEBORGS LÄN</t>
        </is>
      </c>
      <c r="E1881" t="inlineStr">
        <is>
          <t>LJUSDAL</t>
        </is>
      </c>
      <c r="G1881" t="n">
        <v>10.7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45645-2023</t>
        </is>
      </c>
      <c r="B1882" s="1" t="n">
        <v>45194</v>
      </c>
      <c r="C1882" s="1" t="n">
        <v>45811</v>
      </c>
      <c r="D1882" t="inlineStr">
        <is>
          <t>GÄVLEBORGS LÄN</t>
        </is>
      </c>
      <c r="E1882" t="inlineStr">
        <is>
          <t>LJUSDAL</t>
        </is>
      </c>
      <c r="G1882" t="n">
        <v>2.6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45733-2023</t>
        </is>
      </c>
      <c r="B1883" s="1" t="n">
        <v>45195</v>
      </c>
      <c r="C1883" s="1" t="n">
        <v>45811</v>
      </c>
      <c r="D1883" t="inlineStr">
        <is>
          <t>GÄVLEBORGS LÄN</t>
        </is>
      </c>
      <c r="E1883" t="inlineStr">
        <is>
          <t>LJUSDAL</t>
        </is>
      </c>
      <c r="G1883" t="n">
        <v>2.2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45752-2023</t>
        </is>
      </c>
      <c r="B1884" s="1" t="n">
        <v>45195</v>
      </c>
      <c r="C1884" s="1" t="n">
        <v>45811</v>
      </c>
      <c r="D1884" t="inlineStr">
        <is>
          <t>GÄVLEBORGS LÄN</t>
        </is>
      </c>
      <c r="E1884" t="inlineStr">
        <is>
          <t>LJUSDAL</t>
        </is>
      </c>
      <c r="G1884" t="n">
        <v>7.6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45763-2023</t>
        </is>
      </c>
      <c r="B1885" s="1" t="n">
        <v>45195</v>
      </c>
      <c r="C1885" s="1" t="n">
        <v>45811</v>
      </c>
      <c r="D1885" t="inlineStr">
        <is>
          <t>GÄVLEBORGS LÄN</t>
        </is>
      </c>
      <c r="E1885" t="inlineStr">
        <is>
          <t>LJUSDAL</t>
        </is>
      </c>
      <c r="G1885" t="n">
        <v>2.9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45703-2023</t>
        </is>
      </c>
      <c r="B1886" s="1" t="n">
        <v>45195</v>
      </c>
      <c r="C1886" s="1" t="n">
        <v>45811</v>
      </c>
      <c r="D1886" t="inlineStr">
        <is>
          <t>GÄVLEBORGS LÄN</t>
        </is>
      </c>
      <c r="E1886" t="inlineStr">
        <is>
          <t>LJUSDAL</t>
        </is>
      </c>
      <c r="F1886" t="inlineStr">
        <is>
          <t>Holmen skog AB</t>
        </is>
      </c>
      <c r="G1886" t="n">
        <v>1.2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45709-2023</t>
        </is>
      </c>
      <c r="B1887" s="1" t="n">
        <v>45195</v>
      </c>
      <c r="C1887" s="1" t="n">
        <v>45811</v>
      </c>
      <c r="D1887" t="inlineStr">
        <is>
          <t>GÄVLEBORGS LÄN</t>
        </is>
      </c>
      <c r="E1887" t="inlineStr">
        <is>
          <t>LJUSDAL</t>
        </is>
      </c>
      <c r="F1887" t="inlineStr">
        <is>
          <t>Holmen skog AB</t>
        </is>
      </c>
      <c r="G1887" t="n">
        <v>1.6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45726-2023</t>
        </is>
      </c>
      <c r="B1888" s="1" t="n">
        <v>45195</v>
      </c>
      <c r="C1888" s="1" t="n">
        <v>45811</v>
      </c>
      <c r="D1888" t="inlineStr">
        <is>
          <t>GÄVLEBORGS LÄN</t>
        </is>
      </c>
      <c r="E1888" t="inlineStr">
        <is>
          <t>LJUSDAL</t>
        </is>
      </c>
      <c r="G1888" t="n">
        <v>5.1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45751-2023</t>
        </is>
      </c>
      <c r="B1889" s="1" t="n">
        <v>45195</v>
      </c>
      <c r="C1889" s="1" t="n">
        <v>45811</v>
      </c>
      <c r="D1889" t="inlineStr">
        <is>
          <t>GÄVLEBORGS LÄN</t>
        </is>
      </c>
      <c r="E1889" t="inlineStr">
        <is>
          <t>LJUSDAL</t>
        </is>
      </c>
      <c r="G1889" t="n">
        <v>6.7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45730-2023</t>
        </is>
      </c>
      <c r="B1890" s="1" t="n">
        <v>45195</v>
      </c>
      <c r="C1890" s="1" t="n">
        <v>45811</v>
      </c>
      <c r="D1890" t="inlineStr">
        <is>
          <t>GÄVLEBORGS LÄN</t>
        </is>
      </c>
      <c r="E1890" t="inlineStr">
        <is>
          <t>LJUSDAL</t>
        </is>
      </c>
      <c r="G1890" t="n">
        <v>0.7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46034-2023</t>
        </is>
      </c>
      <c r="B1891" s="1" t="n">
        <v>45196</v>
      </c>
      <c r="C1891" s="1" t="n">
        <v>45811</v>
      </c>
      <c r="D1891" t="inlineStr">
        <is>
          <t>GÄVLEBORGS LÄN</t>
        </is>
      </c>
      <c r="E1891" t="inlineStr">
        <is>
          <t>LJUSDAL</t>
        </is>
      </c>
      <c r="G1891" t="n">
        <v>0.7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46029-2023</t>
        </is>
      </c>
      <c r="B1892" s="1" t="n">
        <v>45196</v>
      </c>
      <c r="C1892" s="1" t="n">
        <v>45811</v>
      </c>
      <c r="D1892" t="inlineStr">
        <is>
          <t>GÄVLEBORGS LÄN</t>
        </is>
      </c>
      <c r="E1892" t="inlineStr">
        <is>
          <t>LJUSDAL</t>
        </is>
      </c>
      <c r="G1892" t="n">
        <v>0.8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46413-2023</t>
        </is>
      </c>
      <c r="B1893" s="1" t="n">
        <v>45197</v>
      </c>
      <c r="C1893" s="1" t="n">
        <v>45811</v>
      </c>
      <c r="D1893" t="inlineStr">
        <is>
          <t>GÄVLEBORGS LÄN</t>
        </is>
      </c>
      <c r="E1893" t="inlineStr">
        <is>
          <t>LJUSDAL</t>
        </is>
      </c>
      <c r="F1893" t="inlineStr">
        <is>
          <t>Allmännings- och besparingsskogar</t>
        </is>
      </c>
      <c r="G1893" t="n">
        <v>1.6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46567-2023</t>
        </is>
      </c>
      <c r="B1894" s="1" t="n">
        <v>45198</v>
      </c>
      <c r="C1894" s="1" t="n">
        <v>45811</v>
      </c>
      <c r="D1894" t="inlineStr">
        <is>
          <t>GÄVLEBORGS LÄN</t>
        </is>
      </c>
      <c r="E1894" t="inlineStr">
        <is>
          <t>LJUSDAL</t>
        </is>
      </c>
      <c r="G1894" t="n">
        <v>6.5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46781-2023</t>
        </is>
      </c>
      <c r="B1895" s="1" t="n">
        <v>45198</v>
      </c>
      <c r="C1895" s="1" t="n">
        <v>45811</v>
      </c>
      <c r="D1895" t="inlineStr">
        <is>
          <t>GÄVLEBORGS LÄN</t>
        </is>
      </c>
      <c r="E1895" t="inlineStr">
        <is>
          <t>LJUSDAL</t>
        </is>
      </c>
      <c r="F1895" t="inlineStr">
        <is>
          <t>Sveaskog</t>
        </is>
      </c>
      <c r="G1895" t="n">
        <v>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46568-2023</t>
        </is>
      </c>
      <c r="B1896" s="1" t="n">
        <v>45198</v>
      </c>
      <c r="C1896" s="1" t="n">
        <v>45811</v>
      </c>
      <c r="D1896" t="inlineStr">
        <is>
          <t>GÄVLEBORGS LÄN</t>
        </is>
      </c>
      <c r="E1896" t="inlineStr">
        <is>
          <t>LJUSDAL</t>
        </is>
      </c>
      <c r="G1896" t="n">
        <v>0.9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46892-2023</t>
        </is>
      </c>
      <c r="B1897" s="1" t="n">
        <v>45201</v>
      </c>
      <c r="C1897" s="1" t="n">
        <v>45811</v>
      </c>
      <c r="D1897" t="inlineStr">
        <is>
          <t>GÄVLEBORGS LÄN</t>
        </is>
      </c>
      <c r="E1897" t="inlineStr">
        <is>
          <t>LJUSDAL</t>
        </is>
      </c>
      <c r="G1897" t="n">
        <v>3.9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47026-2023</t>
        </is>
      </c>
      <c r="B1898" s="1" t="n">
        <v>45201</v>
      </c>
      <c r="C1898" s="1" t="n">
        <v>45811</v>
      </c>
      <c r="D1898" t="inlineStr">
        <is>
          <t>GÄVLEBORGS LÄN</t>
        </is>
      </c>
      <c r="E1898" t="inlineStr">
        <is>
          <t>LJUSDAL</t>
        </is>
      </c>
      <c r="G1898" t="n">
        <v>6.6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46983-2023</t>
        </is>
      </c>
      <c r="B1899" s="1" t="n">
        <v>45201</v>
      </c>
      <c r="C1899" s="1" t="n">
        <v>45811</v>
      </c>
      <c r="D1899" t="inlineStr">
        <is>
          <t>GÄVLEBORGS LÄN</t>
        </is>
      </c>
      <c r="E1899" t="inlineStr">
        <is>
          <t>LJUSDAL</t>
        </is>
      </c>
      <c r="F1899" t="inlineStr">
        <is>
          <t>Allmännings- och besparingsskogar</t>
        </is>
      </c>
      <c r="G1899" t="n">
        <v>2.6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47189-2023</t>
        </is>
      </c>
      <c r="B1900" s="1" t="n">
        <v>45202</v>
      </c>
      <c r="C1900" s="1" t="n">
        <v>45811</v>
      </c>
      <c r="D1900" t="inlineStr">
        <is>
          <t>GÄVLEBORGS LÄN</t>
        </is>
      </c>
      <c r="E1900" t="inlineStr">
        <is>
          <t>LJUSDAL</t>
        </is>
      </c>
      <c r="G1900" t="n">
        <v>1.3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47206-2023</t>
        </is>
      </c>
      <c r="B1901" s="1" t="n">
        <v>45202</v>
      </c>
      <c r="C1901" s="1" t="n">
        <v>45811</v>
      </c>
      <c r="D1901" t="inlineStr">
        <is>
          <t>GÄVLEBORGS LÄN</t>
        </is>
      </c>
      <c r="E1901" t="inlineStr">
        <is>
          <t>LJUSDAL</t>
        </is>
      </c>
      <c r="G1901" t="n">
        <v>2.7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47292-2023</t>
        </is>
      </c>
      <c r="B1902" s="1" t="n">
        <v>45202</v>
      </c>
      <c r="C1902" s="1" t="n">
        <v>45811</v>
      </c>
      <c r="D1902" t="inlineStr">
        <is>
          <t>GÄVLEBORGS LÄN</t>
        </is>
      </c>
      <c r="E1902" t="inlineStr">
        <is>
          <t>LJUSDAL</t>
        </is>
      </c>
      <c r="G1902" t="n">
        <v>2.1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47261-2023</t>
        </is>
      </c>
      <c r="B1903" s="1" t="n">
        <v>45202</v>
      </c>
      <c r="C1903" s="1" t="n">
        <v>45811</v>
      </c>
      <c r="D1903" t="inlineStr">
        <is>
          <t>GÄVLEBORGS LÄN</t>
        </is>
      </c>
      <c r="E1903" t="inlineStr">
        <is>
          <t>LJUSDAL</t>
        </is>
      </c>
      <c r="G1903" t="n">
        <v>7.6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47276-2023</t>
        </is>
      </c>
      <c r="B1904" s="1" t="n">
        <v>45202</v>
      </c>
      <c r="C1904" s="1" t="n">
        <v>45811</v>
      </c>
      <c r="D1904" t="inlineStr">
        <is>
          <t>GÄVLEBORGS LÄN</t>
        </is>
      </c>
      <c r="E1904" t="inlineStr">
        <is>
          <t>LJUSDAL</t>
        </is>
      </c>
      <c r="G1904" t="n">
        <v>2.5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47823-2023</t>
        </is>
      </c>
      <c r="B1905" s="1" t="n">
        <v>45204</v>
      </c>
      <c r="C1905" s="1" t="n">
        <v>45811</v>
      </c>
      <c r="D1905" t="inlineStr">
        <is>
          <t>GÄVLEBORGS LÄN</t>
        </is>
      </c>
      <c r="E1905" t="inlineStr">
        <is>
          <t>LJUSDAL</t>
        </is>
      </c>
      <c r="G1905" t="n">
        <v>2.6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47827-2023</t>
        </is>
      </c>
      <c r="B1906" s="1" t="n">
        <v>45204</v>
      </c>
      <c r="C1906" s="1" t="n">
        <v>45811</v>
      </c>
      <c r="D1906" t="inlineStr">
        <is>
          <t>GÄVLEBORGS LÄN</t>
        </is>
      </c>
      <c r="E1906" t="inlineStr">
        <is>
          <t>LJUSDAL</t>
        </is>
      </c>
      <c r="G1906" t="n">
        <v>6.1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47864-2023</t>
        </is>
      </c>
      <c r="B1907" s="1" t="n">
        <v>45204</v>
      </c>
      <c r="C1907" s="1" t="n">
        <v>45811</v>
      </c>
      <c r="D1907" t="inlineStr">
        <is>
          <t>GÄVLEBORGS LÄN</t>
        </is>
      </c>
      <c r="E1907" t="inlineStr">
        <is>
          <t>LJUSDAL</t>
        </is>
      </c>
      <c r="G1907" t="n">
        <v>1.2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47875-2023</t>
        </is>
      </c>
      <c r="B1908" s="1" t="n">
        <v>45204</v>
      </c>
      <c r="C1908" s="1" t="n">
        <v>45811</v>
      </c>
      <c r="D1908" t="inlineStr">
        <is>
          <t>GÄVLEBORGS LÄN</t>
        </is>
      </c>
      <c r="E1908" t="inlineStr">
        <is>
          <t>LJUSDAL</t>
        </is>
      </c>
      <c r="G1908" t="n">
        <v>0.5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48015-2023</t>
        </is>
      </c>
      <c r="B1909" s="1" t="n">
        <v>45204</v>
      </c>
      <c r="C1909" s="1" t="n">
        <v>45811</v>
      </c>
      <c r="D1909" t="inlineStr">
        <is>
          <t>GÄVLEBORGS LÄN</t>
        </is>
      </c>
      <c r="E1909" t="inlineStr">
        <is>
          <t>LJUSDAL</t>
        </is>
      </c>
      <c r="G1909" t="n">
        <v>1.5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48188-2023</t>
        </is>
      </c>
      <c r="B1910" s="1" t="n">
        <v>45205</v>
      </c>
      <c r="C1910" s="1" t="n">
        <v>45811</v>
      </c>
      <c r="D1910" t="inlineStr">
        <is>
          <t>GÄVLEBORGS LÄN</t>
        </is>
      </c>
      <c r="E1910" t="inlineStr">
        <is>
          <t>LJUSDAL</t>
        </is>
      </c>
      <c r="G1910" t="n">
        <v>4.2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48195-2023</t>
        </is>
      </c>
      <c r="B1911" s="1" t="n">
        <v>45205</v>
      </c>
      <c r="C1911" s="1" t="n">
        <v>45811</v>
      </c>
      <c r="D1911" t="inlineStr">
        <is>
          <t>GÄVLEBORGS LÄN</t>
        </is>
      </c>
      <c r="E1911" t="inlineStr">
        <is>
          <t>LJUSDAL</t>
        </is>
      </c>
      <c r="G1911" t="n">
        <v>4.8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48355-2023</t>
        </is>
      </c>
      <c r="B1912" s="1" t="n">
        <v>45205</v>
      </c>
      <c r="C1912" s="1" t="n">
        <v>45811</v>
      </c>
      <c r="D1912" t="inlineStr">
        <is>
          <t>GÄVLEBORGS LÄN</t>
        </is>
      </c>
      <c r="E1912" t="inlineStr">
        <is>
          <t>LJUSDAL</t>
        </is>
      </c>
      <c r="G1912" t="n">
        <v>4.4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48360-2023</t>
        </is>
      </c>
      <c r="B1913" s="1" t="n">
        <v>45205</v>
      </c>
      <c r="C1913" s="1" t="n">
        <v>45811</v>
      </c>
      <c r="D1913" t="inlineStr">
        <is>
          <t>GÄVLEBORGS LÄN</t>
        </is>
      </c>
      <c r="E1913" t="inlineStr">
        <is>
          <t>LJUSDAL</t>
        </is>
      </c>
      <c r="G1913" t="n">
        <v>7.5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48400-2023</t>
        </is>
      </c>
      <c r="B1914" s="1" t="n">
        <v>45205</v>
      </c>
      <c r="C1914" s="1" t="n">
        <v>45811</v>
      </c>
      <c r="D1914" t="inlineStr">
        <is>
          <t>GÄVLEBORGS LÄN</t>
        </is>
      </c>
      <c r="E1914" t="inlineStr">
        <is>
          <t>LJUSDAL</t>
        </is>
      </c>
      <c r="F1914" t="inlineStr">
        <is>
          <t>Sveaskog</t>
        </is>
      </c>
      <c r="G1914" t="n">
        <v>3.8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48567-2023</t>
        </is>
      </c>
      <c r="B1915" s="1" t="n">
        <v>45208</v>
      </c>
      <c r="C1915" s="1" t="n">
        <v>45811</v>
      </c>
      <c r="D1915" t="inlineStr">
        <is>
          <t>GÄVLEBORGS LÄN</t>
        </is>
      </c>
      <c r="E1915" t="inlineStr">
        <is>
          <t>LJUSDAL</t>
        </is>
      </c>
      <c r="G1915" t="n">
        <v>2.7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48813-2023</t>
        </is>
      </c>
      <c r="B1916" s="1" t="n">
        <v>45209</v>
      </c>
      <c r="C1916" s="1" t="n">
        <v>45811</v>
      </c>
      <c r="D1916" t="inlineStr">
        <is>
          <t>GÄVLEBORGS LÄN</t>
        </is>
      </c>
      <c r="E1916" t="inlineStr">
        <is>
          <t>LJUSDAL</t>
        </is>
      </c>
      <c r="G1916" t="n">
        <v>2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48869-2023</t>
        </is>
      </c>
      <c r="B1917" s="1" t="n">
        <v>45209</v>
      </c>
      <c r="C1917" s="1" t="n">
        <v>45811</v>
      </c>
      <c r="D1917" t="inlineStr">
        <is>
          <t>GÄVLEBORGS LÄN</t>
        </is>
      </c>
      <c r="E1917" t="inlineStr">
        <is>
          <t>LJUSDAL</t>
        </is>
      </c>
      <c r="F1917" t="inlineStr">
        <is>
          <t>Bergvik skog väst AB</t>
        </is>
      </c>
      <c r="G1917" t="n">
        <v>2.2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48870-2023</t>
        </is>
      </c>
      <c r="B1918" s="1" t="n">
        <v>45209</v>
      </c>
      <c r="C1918" s="1" t="n">
        <v>45811</v>
      </c>
      <c r="D1918" t="inlineStr">
        <is>
          <t>GÄVLEBORGS LÄN</t>
        </is>
      </c>
      <c r="E1918" t="inlineStr">
        <is>
          <t>LJUSDAL</t>
        </is>
      </c>
      <c r="G1918" t="n">
        <v>1.8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48856-2023</t>
        </is>
      </c>
      <c r="B1919" s="1" t="n">
        <v>45209</v>
      </c>
      <c r="C1919" s="1" t="n">
        <v>45811</v>
      </c>
      <c r="D1919" t="inlineStr">
        <is>
          <t>GÄVLEBORGS LÄN</t>
        </is>
      </c>
      <c r="E1919" t="inlineStr">
        <is>
          <t>LJUSDAL</t>
        </is>
      </c>
      <c r="F1919" t="inlineStr">
        <is>
          <t>Bergvik skog väst AB</t>
        </is>
      </c>
      <c r="G1919" t="n">
        <v>2.4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48904-2023</t>
        </is>
      </c>
      <c r="B1920" s="1" t="n">
        <v>45209</v>
      </c>
      <c r="C1920" s="1" t="n">
        <v>45811</v>
      </c>
      <c r="D1920" t="inlineStr">
        <is>
          <t>GÄVLEBORGS LÄN</t>
        </is>
      </c>
      <c r="E1920" t="inlineStr">
        <is>
          <t>LJUSDAL</t>
        </is>
      </c>
      <c r="F1920" t="inlineStr">
        <is>
          <t>Bergvik skog väst AB</t>
        </is>
      </c>
      <c r="G1920" t="n">
        <v>4.9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48921-2023</t>
        </is>
      </c>
      <c r="B1921" s="1" t="n">
        <v>45209</v>
      </c>
      <c r="C1921" s="1" t="n">
        <v>45811</v>
      </c>
      <c r="D1921" t="inlineStr">
        <is>
          <t>GÄVLEBORGS LÄN</t>
        </is>
      </c>
      <c r="E1921" t="inlineStr">
        <is>
          <t>LJUSDAL</t>
        </is>
      </c>
      <c r="F1921" t="inlineStr">
        <is>
          <t>Bergvik skog väst AB</t>
        </is>
      </c>
      <c r="G1921" t="n">
        <v>3.1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48925-2023</t>
        </is>
      </c>
      <c r="B1922" s="1" t="n">
        <v>45209</v>
      </c>
      <c r="C1922" s="1" t="n">
        <v>45811</v>
      </c>
      <c r="D1922" t="inlineStr">
        <is>
          <t>GÄVLEBORGS LÄN</t>
        </is>
      </c>
      <c r="E1922" t="inlineStr">
        <is>
          <t>LJUSDAL</t>
        </is>
      </c>
      <c r="F1922" t="inlineStr">
        <is>
          <t>Bergvik skog väst AB</t>
        </is>
      </c>
      <c r="G1922" t="n">
        <v>4.2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48955-2023</t>
        </is>
      </c>
      <c r="B1923" s="1" t="n">
        <v>45209</v>
      </c>
      <c r="C1923" s="1" t="n">
        <v>45811</v>
      </c>
      <c r="D1923" t="inlineStr">
        <is>
          <t>GÄVLEBORGS LÄN</t>
        </is>
      </c>
      <c r="E1923" t="inlineStr">
        <is>
          <t>LJUSDAL</t>
        </is>
      </c>
      <c r="F1923" t="inlineStr">
        <is>
          <t>Bergvik skog väst AB</t>
        </is>
      </c>
      <c r="G1923" t="n">
        <v>6.9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48879-2023</t>
        </is>
      </c>
      <c r="B1924" s="1" t="n">
        <v>45209</v>
      </c>
      <c r="C1924" s="1" t="n">
        <v>45811</v>
      </c>
      <c r="D1924" t="inlineStr">
        <is>
          <t>GÄVLEBORGS LÄN</t>
        </is>
      </c>
      <c r="E1924" t="inlineStr">
        <is>
          <t>LJUSDAL</t>
        </is>
      </c>
      <c r="F1924" t="inlineStr">
        <is>
          <t>Bergvik skog väst AB</t>
        </is>
      </c>
      <c r="G1924" t="n">
        <v>0.4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48919-2023</t>
        </is>
      </c>
      <c r="B1925" s="1" t="n">
        <v>45209</v>
      </c>
      <c r="C1925" s="1" t="n">
        <v>45811</v>
      </c>
      <c r="D1925" t="inlineStr">
        <is>
          <t>GÄVLEBORGS LÄN</t>
        </is>
      </c>
      <c r="E1925" t="inlineStr">
        <is>
          <t>LJUSDAL</t>
        </is>
      </c>
      <c r="F1925" t="inlineStr">
        <is>
          <t>Bergvik skog väst AB</t>
        </is>
      </c>
      <c r="G1925" t="n">
        <v>0.7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48945-2023</t>
        </is>
      </c>
      <c r="B1926" s="1" t="n">
        <v>45209</v>
      </c>
      <c r="C1926" s="1" t="n">
        <v>45811</v>
      </c>
      <c r="D1926" t="inlineStr">
        <is>
          <t>GÄVLEBORGS LÄN</t>
        </is>
      </c>
      <c r="E1926" t="inlineStr">
        <is>
          <t>LJUSDAL</t>
        </is>
      </c>
      <c r="F1926" t="inlineStr">
        <is>
          <t>Bergvik skog väst AB</t>
        </is>
      </c>
      <c r="G1926" t="n">
        <v>5.6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48959-2023</t>
        </is>
      </c>
      <c r="B1927" s="1" t="n">
        <v>45209</v>
      </c>
      <c r="C1927" s="1" t="n">
        <v>45811</v>
      </c>
      <c r="D1927" t="inlineStr">
        <is>
          <t>GÄVLEBORGS LÄN</t>
        </is>
      </c>
      <c r="E1927" t="inlineStr">
        <is>
          <t>LJUSDAL</t>
        </is>
      </c>
      <c r="F1927" t="inlineStr">
        <is>
          <t>Bergvik skog väst AB</t>
        </is>
      </c>
      <c r="G1927" t="n">
        <v>1.5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48971-2023</t>
        </is>
      </c>
      <c r="B1928" s="1" t="n">
        <v>45209</v>
      </c>
      <c r="C1928" s="1" t="n">
        <v>45811</v>
      </c>
      <c r="D1928" t="inlineStr">
        <is>
          <t>GÄVLEBORGS LÄN</t>
        </is>
      </c>
      <c r="E1928" t="inlineStr">
        <is>
          <t>LJUSDAL</t>
        </is>
      </c>
      <c r="F1928" t="inlineStr">
        <is>
          <t>Bergvik skog väst AB</t>
        </is>
      </c>
      <c r="G1928" t="n">
        <v>1.2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48968-2023</t>
        </is>
      </c>
      <c r="B1929" s="1" t="n">
        <v>45209</v>
      </c>
      <c r="C1929" s="1" t="n">
        <v>45811</v>
      </c>
      <c r="D1929" t="inlineStr">
        <is>
          <t>GÄVLEBORGS LÄN</t>
        </is>
      </c>
      <c r="E1929" t="inlineStr">
        <is>
          <t>LJUSDAL</t>
        </is>
      </c>
      <c r="F1929" t="inlineStr">
        <is>
          <t>Bergvik skog väst AB</t>
        </is>
      </c>
      <c r="G1929" t="n">
        <v>2.6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49019-2023</t>
        </is>
      </c>
      <c r="B1930" s="1" t="n">
        <v>45209</v>
      </c>
      <c r="C1930" s="1" t="n">
        <v>45811</v>
      </c>
      <c r="D1930" t="inlineStr">
        <is>
          <t>GÄVLEBORGS LÄN</t>
        </is>
      </c>
      <c r="E1930" t="inlineStr">
        <is>
          <t>LJUSDAL</t>
        </is>
      </c>
      <c r="G1930" t="n">
        <v>27.3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49139-2023</t>
        </is>
      </c>
      <c r="B1931" s="1" t="n">
        <v>45210</v>
      </c>
      <c r="C1931" s="1" t="n">
        <v>45811</v>
      </c>
      <c r="D1931" t="inlineStr">
        <is>
          <t>GÄVLEBORGS LÄN</t>
        </is>
      </c>
      <c r="E1931" t="inlineStr">
        <is>
          <t>LJUSDAL</t>
        </is>
      </c>
      <c r="F1931" t="inlineStr">
        <is>
          <t>Bergvik skog väst AB</t>
        </is>
      </c>
      <c r="G1931" t="n">
        <v>0.8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49171-2023</t>
        </is>
      </c>
      <c r="B1932" s="1" t="n">
        <v>45210</v>
      </c>
      <c r="C1932" s="1" t="n">
        <v>45811</v>
      </c>
      <c r="D1932" t="inlineStr">
        <is>
          <t>GÄVLEBORGS LÄN</t>
        </is>
      </c>
      <c r="E1932" t="inlineStr">
        <is>
          <t>LJUSDAL</t>
        </is>
      </c>
      <c r="G1932" t="n">
        <v>7.2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49121-2023</t>
        </is>
      </c>
      <c r="B1933" s="1" t="n">
        <v>45210</v>
      </c>
      <c r="C1933" s="1" t="n">
        <v>45811</v>
      </c>
      <c r="D1933" t="inlineStr">
        <is>
          <t>GÄVLEBORGS LÄN</t>
        </is>
      </c>
      <c r="E1933" t="inlineStr">
        <is>
          <t>LJUSDAL</t>
        </is>
      </c>
      <c r="G1933" t="n">
        <v>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49855-2023</t>
        </is>
      </c>
      <c r="B1934" s="1" t="n">
        <v>45213</v>
      </c>
      <c r="C1934" s="1" t="n">
        <v>45811</v>
      </c>
      <c r="D1934" t="inlineStr">
        <is>
          <t>GÄVLEBORGS LÄN</t>
        </is>
      </c>
      <c r="E1934" t="inlineStr">
        <is>
          <t>LJUSDAL</t>
        </is>
      </c>
      <c r="G1934" t="n">
        <v>2.7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49935-2023</t>
        </is>
      </c>
      <c r="B1935" s="1" t="n">
        <v>45215</v>
      </c>
      <c r="C1935" s="1" t="n">
        <v>45811</v>
      </c>
      <c r="D1935" t="inlineStr">
        <is>
          <t>GÄVLEBORGS LÄN</t>
        </is>
      </c>
      <c r="E1935" t="inlineStr">
        <is>
          <t>LJUSDAL</t>
        </is>
      </c>
      <c r="G1935" t="n">
        <v>3.8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50271-2023</t>
        </is>
      </c>
      <c r="B1936" s="1" t="n">
        <v>45216</v>
      </c>
      <c r="C1936" s="1" t="n">
        <v>45811</v>
      </c>
      <c r="D1936" t="inlineStr">
        <is>
          <t>GÄVLEBORGS LÄN</t>
        </is>
      </c>
      <c r="E1936" t="inlineStr">
        <is>
          <t>LJUSDAL</t>
        </is>
      </c>
      <c r="G1936" t="n">
        <v>27.4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50373-2023</t>
        </is>
      </c>
      <c r="B1937" s="1" t="n">
        <v>45216</v>
      </c>
      <c r="C1937" s="1" t="n">
        <v>45811</v>
      </c>
      <c r="D1937" t="inlineStr">
        <is>
          <t>GÄVLEBORGS LÄN</t>
        </is>
      </c>
      <c r="E1937" t="inlineStr">
        <is>
          <t>LJUSDAL</t>
        </is>
      </c>
      <c r="G1937" t="n">
        <v>4.5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50385-2023</t>
        </is>
      </c>
      <c r="B1938" s="1" t="n">
        <v>45216</v>
      </c>
      <c r="C1938" s="1" t="n">
        <v>45811</v>
      </c>
      <c r="D1938" t="inlineStr">
        <is>
          <t>GÄVLEBORGS LÄN</t>
        </is>
      </c>
      <c r="E1938" t="inlineStr">
        <is>
          <t>LJUSDAL</t>
        </is>
      </c>
      <c r="G1938" t="n">
        <v>4.3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50273-2023</t>
        </is>
      </c>
      <c r="B1939" s="1" t="n">
        <v>45216</v>
      </c>
      <c r="C1939" s="1" t="n">
        <v>45811</v>
      </c>
      <c r="D1939" t="inlineStr">
        <is>
          <t>GÄVLEBORGS LÄN</t>
        </is>
      </c>
      <c r="E1939" t="inlineStr">
        <is>
          <t>LJUSDAL</t>
        </is>
      </c>
      <c r="G1939" t="n">
        <v>3.8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50392-2023</t>
        </is>
      </c>
      <c r="B1940" s="1" t="n">
        <v>45216</v>
      </c>
      <c r="C1940" s="1" t="n">
        <v>45811</v>
      </c>
      <c r="D1940" t="inlineStr">
        <is>
          <t>GÄVLEBORGS LÄN</t>
        </is>
      </c>
      <c r="E1940" t="inlineStr">
        <is>
          <t>LJUSDAL</t>
        </is>
      </c>
      <c r="G1940" t="n">
        <v>6.5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50667-2023</t>
        </is>
      </c>
      <c r="B1941" s="1" t="n">
        <v>45217</v>
      </c>
      <c r="C1941" s="1" t="n">
        <v>45811</v>
      </c>
      <c r="D1941" t="inlineStr">
        <is>
          <t>GÄVLEBORGS LÄN</t>
        </is>
      </c>
      <c r="E1941" t="inlineStr">
        <is>
          <t>LJUSDAL</t>
        </is>
      </c>
      <c r="G1941" t="n">
        <v>9.9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50672-2023</t>
        </is>
      </c>
      <c r="B1942" s="1" t="n">
        <v>45217</v>
      </c>
      <c r="C1942" s="1" t="n">
        <v>45811</v>
      </c>
      <c r="D1942" t="inlineStr">
        <is>
          <t>GÄVLEBORGS LÄN</t>
        </is>
      </c>
      <c r="E1942" t="inlineStr">
        <is>
          <t>LJUSDAL</t>
        </is>
      </c>
      <c r="G1942" t="n">
        <v>2.3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50944-2023</t>
        </is>
      </c>
      <c r="B1943" s="1" t="n">
        <v>45218</v>
      </c>
      <c r="C1943" s="1" t="n">
        <v>45811</v>
      </c>
      <c r="D1943" t="inlineStr">
        <is>
          <t>GÄVLEBORGS LÄN</t>
        </is>
      </c>
      <c r="E1943" t="inlineStr">
        <is>
          <t>LJUSDAL</t>
        </is>
      </c>
      <c r="G1943" t="n">
        <v>1.4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51238-2023</t>
        </is>
      </c>
      <c r="B1944" s="1" t="n">
        <v>45219</v>
      </c>
      <c r="C1944" s="1" t="n">
        <v>45811</v>
      </c>
      <c r="D1944" t="inlineStr">
        <is>
          <t>GÄVLEBORGS LÄN</t>
        </is>
      </c>
      <c r="E1944" t="inlineStr">
        <is>
          <t>LJUSDAL</t>
        </is>
      </c>
      <c r="F1944" t="inlineStr">
        <is>
          <t>Sveaskog</t>
        </is>
      </c>
      <c r="G1944" t="n">
        <v>2.4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52674-2023</t>
        </is>
      </c>
      <c r="B1945" s="1" t="n">
        <v>45219</v>
      </c>
      <c r="C1945" s="1" t="n">
        <v>45811</v>
      </c>
      <c r="D1945" t="inlineStr">
        <is>
          <t>GÄVLEBORGS LÄN</t>
        </is>
      </c>
      <c r="E1945" t="inlineStr">
        <is>
          <t>LJUSDAL</t>
        </is>
      </c>
      <c r="G1945" t="n">
        <v>2.1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51353-2023</t>
        </is>
      </c>
      <c r="B1946" s="1" t="n">
        <v>45219</v>
      </c>
      <c r="C1946" s="1" t="n">
        <v>45811</v>
      </c>
      <c r="D1946" t="inlineStr">
        <is>
          <t>GÄVLEBORGS LÄN</t>
        </is>
      </c>
      <c r="E1946" t="inlineStr">
        <is>
          <t>LJUSDAL</t>
        </is>
      </c>
      <c r="G1946" t="n">
        <v>3.2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51116-2023</t>
        </is>
      </c>
      <c r="B1947" s="1" t="n">
        <v>45219</v>
      </c>
      <c r="C1947" s="1" t="n">
        <v>45811</v>
      </c>
      <c r="D1947" t="inlineStr">
        <is>
          <t>GÄVLEBORGS LÄN</t>
        </is>
      </c>
      <c r="E1947" t="inlineStr">
        <is>
          <t>LJUSDAL</t>
        </is>
      </c>
      <c r="G1947" t="n">
        <v>5.1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51341-2023</t>
        </is>
      </c>
      <c r="B1948" s="1" t="n">
        <v>45219</v>
      </c>
      <c r="C1948" s="1" t="n">
        <v>45811</v>
      </c>
      <c r="D1948" t="inlineStr">
        <is>
          <t>GÄVLEBORGS LÄN</t>
        </is>
      </c>
      <c r="E1948" t="inlineStr">
        <is>
          <t>LJUSDAL</t>
        </is>
      </c>
      <c r="F1948" t="inlineStr">
        <is>
          <t>Sveaskog</t>
        </is>
      </c>
      <c r="G1948" t="n">
        <v>0.2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51538-2023</t>
        </is>
      </c>
      <c r="B1949" s="1" t="n">
        <v>45222</v>
      </c>
      <c r="C1949" s="1" t="n">
        <v>45811</v>
      </c>
      <c r="D1949" t="inlineStr">
        <is>
          <t>GÄVLEBORGS LÄN</t>
        </is>
      </c>
      <c r="E1949" t="inlineStr">
        <is>
          <t>LJUSDAL</t>
        </is>
      </c>
      <c r="G1949" t="n">
        <v>2.2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51525-2023</t>
        </is>
      </c>
      <c r="B1950" s="1" t="n">
        <v>45222</v>
      </c>
      <c r="C1950" s="1" t="n">
        <v>45811</v>
      </c>
      <c r="D1950" t="inlineStr">
        <is>
          <t>GÄVLEBORGS LÄN</t>
        </is>
      </c>
      <c r="E1950" t="inlineStr">
        <is>
          <t>LJUSDAL</t>
        </is>
      </c>
      <c r="G1950" t="n">
        <v>3.7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51798-2023</t>
        </is>
      </c>
      <c r="B1951" s="1" t="n">
        <v>45222</v>
      </c>
      <c r="C1951" s="1" t="n">
        <v>45811</v>
      </c>
      <c r="D1951" t="inlineStr">
        <is>
          <t>GÄVLEBORGS LÄN</t>
        </is>
      </c>
      <c r="E1951" t="inlineStr">
        <is>
          <t>LJUSDAL</t>
        </is>
      </c>
      <c r="G1951" t="n">
        <v>1.2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52057-2023</t>
        </is>
      </c>
      <c r="B1952" s="1" t="n">
        <v>45223</v>
      </c>
      <c r="C1952" s="1" t="n">
        <v>45811</v>
      </c>
      <c r="D1952" t="inlineStr">
        <is>
          <t>GÄVLEBORGS LÄN</t>
        </is>
      </c>
      <c r="E1952" t="inlineStr">
        <is>
          <t>LJUSDAL</t>
        </is>
      </c>
      <c r="G1952" t="n">
        <v>4.7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52145-2023</t>
        </is>
      </c>
      <c r="B1953" s="1" t="n">
        <v>45224</v>
      </c>
      <c r="C1953" s="1" t="n">
        <v>45811</v>
      </c>
      <c r="D1953" t="inlineStr">
        <is>
          <t>GÄVLEBORGS LÄN</t>
        </is>
      </c>
      <c r="E1953" t="inlineStr">
        <is>
          <t>LJUSDAL</t>
        </is>
      </c>
      <c r="F1953" t="inlineStr">
        <is>
          <t>Naturvårdsverket</t>
        </is>
      </c>
      <c r="G1953" t="n">
        <v>1.3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52174-2023</t>
        </is>
      </c>
      <c r="B1954" s="1" t="n">
        <v>45224</v>
      </c>
      <c r="C1954" s="1" t="n">
        <v>45811</v>
      </c>
      <c r="D1954" t="inlineStr">
        <is>
          <t>GÄVLEBORGS LÄN</t>
        </is>
      </c>
      <c r="E1954" t="inlineStr">
        <is>
          <t>LJUSDAL</t>
        </is>
      </c>
      <c r="G1954" t="n">
        <v>2.4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52184-2023</t>
        </is>
      </c>
      <c r="B1955" s="1" t="n">
        <v>45224</v>
      </c>
      <c r="C1955" s="1" t="n">
        <v>45811</v>
      </c>
      <c r="D1955" t="inlineStr">
        <is>
          <t>GÄVLEBORGS LÄN</t>
        </is>
      </c>
      <c r="E1955" t="inlineStr">
        <is>
          <t>LJUSDAL</t>
        </is>
      </c>
      <c r="G1955" t="n">
        <v>1.9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52391-2023</t>
        </is>
      </c>
      <c r="B1956" s="1" t="n">
        <v>45225</v>
      </c>
      <c r="C1956" s="1" t="n">
        <v>45811</v>
      </c>
      <c r="D1956" t="inlineStr">
        <is>
          <t>GÄVLEBORGS LÄN</t>
        </is>
      </c>
      <c r="E1956" t="inlineStr">
        <is>
          <t>LJUSDAL</t>
        </is>
      </c>
      <c r="G1956" t="n">
        <v>4.4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52497-2023</t>
        </is>
      </c>
      <c r="B1957" s="1" t="n">
        <v>45225</v>
      </c>
      <c r="C1957" s="1" t="n">
        <v>45811</v>
      </c>
      <c r="D1957" t="inlineStr">
        <is>
          <t>GÄVLEBORGS LÄN</t>
        </is>
      </c>
      <c r="E1957" t="inlineStr">
        <is>
          <t>LJUSDAL</t>
        </is>
      </c>
      <c r="G1957" t="n">
        <v>2.8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52426-2023</t>
        </is>
      </c>
      <c r="B1958" s="1" t="n">
        <v>45225</v>
      </c>
      <c r="C1958" s="1" t="n">
        <v>45811</v>
      </c>
      <c r="D1958" t="inlineStr">
        <is>
          <t>GÄVLEBORGS LÄN</t>
        </is>
      </c>
      <c r="E1958" t="inlineStr">
        <is>
          <t>LJUSDAL</t>
        </is>
      </c>
      <c r="G1958" t="n">
        <v>2.9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52427-2023</t>
        </is>
      </c>
      <c r="B1959" s="1" t="n">
        <v>45225</v>
      </c>
      <c r="C1959" s="1" t="n">
        <v>45811</v>
      </c>
      <c r="D1959" t="inlineStr">
        <is>
          <t>GÄVLEBORGS LÄN</t>
        </is>
      </c>
      <c r="E1959" t="inlineStr">
        <is>
          <t>LJUSDAL</t>
        </is>
      </c>
      <c r="G1959" t="n">
        <v>1.4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52473-2023</t>
        </is>
      </c>
      <c r="B1960" s="1" t="n">
        <v>45225</v>
      </c>
      <c r="C1960" s="1" t="n">
        <v>45811</v>
      </c>
      <c r="D1960" t="inlineStr">
        <is>
          <t>GÄVLEBORGS LÄN</t>
        </is>
      </c>
      <c r="E1960" t="inlineStr">
        <is>
          <t>LJUSDAL</t>
        </is>
      </c>
      <c r="G1960" t="n">
        <v>5.2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52729-2023</t>
        </is>
      </c>
      <c r="B1961" s="1" t="n">
        <v>45226</v>
      </c>
      <c r="C1961" s="1" t="n">
        <v>45811</v>
      </c>
      <c r="D1961" t="inlineStr">
        <is>
          <t>GÄVLEBORGS LÄN</t>
        </is>
      </c>
      <c r="E1961" t="inlineStr">
        <is>
          <t>LJUSDAL</t>
        </is>
      </c>
      <c r="G1961" t="n">
        <v>3.1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53013-2023</t>
        </is>
      </c>
      <c r="B1962" s="1" t="n">
        <v>45226</v>
      </c>
      <c r="C1962" s="1" t="n">
        <v>45811</v>
      </c>
      <c r="D1962" t="inlineStr">
        <is>
          <t>GÄVLEBORGS LÄN</t>
        </is>
      </c>
      <c r="E1962" t="inlineStr">
        <is>
          <t>LJUSDAL</t>
        </is>
      </c>
      <c r="F1962" t="inlineStr">
        <is>
          <t>Sveaskog</t>
        </is>
      </c>
      <c r="G1962" t="n">
        <v>21.1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52903-2023</t>
        </is>
      </c>
      <c r="B1963" s="1" t="n">
        <v>45226</v>
      </c>
      <c r="C1963" s="1" t="n">
        <v>45811</v>
      </c>
      <c r="D1963" t="inlineStr">
        <is>
          <t>GÄVLEBORGS LÄN</t>
        </is>
      </c>
      <c r="E1963" t="inlineStr">
        <is>
          <t>LJUSDAL</t>
        </is>
      </c>
      <c r="G1963" t="n">
        <v>3.9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52965-2023</t>
        </is>
      </c>
      <c r="B1964" s="1" t="n">
        <v>45226</v>
      </c>
      <c r="C1964" s="1" t="n">
        <v>45811</v>
      </c>
      <c r="D1964" t="inlineStr">
        <is>
          <t>GÄVLEBORGS LÄN</t>
        </is>
      </c>
      <c r="E1964" t="inlineStr">
        <is>
          <t>LJUSDAL</t>
        </is>
      </c>
      <c r="G1964" t="n">
        <v>2.8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52842-2023</t>
        </is>
      </c>
      <c r="B1965" s="1" t="n">
        <v>45226</v>
      </c>
      <c r="C1965" s="1" t="n">
        <v>45811</v>
      </c>
      <c r="D1965" t="inlineStr">
        <is>
          <t>GÄVLEBORGS LÄN</t>
        </is>
      </c>
      <c r="E1965" t="inlineStr">
        <is>
          <t>LJUSDAL</t>
        </is>
      </c>
      <c r="G1965" t="n">
        <v>1.3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52949-2023</t>
        </is>
      </c>
      <c r="B1966" s="1" t="n">
        <v>45226</v>
      </c>
      <c r="C1966" s="1" t="n">
        <v>45811</v>
      </c>
      <c r="D1966" t="inlineStr">
        <is>
          <t>GÄVLEBORGS LÄN</t>
        </is>
      </c>
      <c r="E1966" t="inlineStr">
        <is>
          <t>LJUSDAL</t>
        </is>
      </c>
      <c r="G1966" t="n">
        <v>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52935-2023</t>
        </is>
      </c>
      <c r="B1967" s="1" t="n">
        <v>45226</v>
      </c>
      <c r="C1967" s="1" t="n">
        <v>45811</v>
      </c>
      <c r="D1967" t="inlineStr">
        <is>
          <t>GÄVLEBORGS LÄN</t>
        </is>
      </c>
      <c r="E1967" t="inlineStr">
        <is>
          <t>LJUSDAL</t>
        </is>
      </c>
      <c r="G1967" t="n">
        <v>2.3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52837-2023</t>
        </is>
      </c>
      <c r="B1968" s="1" t="n">
        <v>45226</v>
      </c>
      <c r="C1968" s="1" t="n">
        <v>45811</v>
      </c>
      <c r="D1968" t="inlineStr">
        <is>
          <t>GÄVLEBORGS LÄN</t>
        </is>
      </c>
      <c r="E1968" t="inlineStr">
        <is>
          <t>LJUSDAL</t>
        </is>
      </c>
      <c r="G1968" t="n">
        <v>3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52970-2023</t>
        </is>
      </c>
      <c r="B1969" s="1" t="n">
        <v>45226</v>
      </c>
      <c r="C1969" s="1" t="n">
        <v>45811</v>
      </c>
      <c r="D1969" t="inlineStr">
        <is>
          <t>GÄVLEBORGS LÄN</t>
        </is>
      </c>
      <c r="E1969" t="inlineStr">
        <is>
          <t>LJUSDAL</t>
        </is>
      </c>
      <c r="G1969" t="n">
        <v>0.7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52938-2023</t>
        </is>
      </c>
      <c r="B1970" s="1" t="n">
        <v>45226</v>
      </c>
      <c r="C1970" s="1" t="n">
        <v>45811</v>
      </c>
      <c r="D1970" t="inlineStr">
        <is>
          <t>GÄVLEBORGS LÄN</t>
        </is>
      </c>
      <c r="E1970" t="inlineStr">
        <is>
          <t>LJUSDAL</t>
        </is>
      </c>
      <c r="G1970" t="n">
        <v>3.3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53166-2023</t>
        </is>
      </c>
      <c r="B1971" s="1" t="n">
        <v>45229</v>
      </c>
      <c r="C1971" s="1" t="n">
        <v>45811</v>
      </c>
      <c r="D1971" t="inlineStr">
        <is>
          <t>GÄVLEBORGS LÄN</t>
        </is>
      </c>
      <c r="E1971" t="inlineStr">
        <is>
          <t>LJUSDAL</t>
        </is>
      </c>
      <c r="F1971" t="inlineStr">
        <is>
          <t>Allmännings- och besparingsskogar</t>
        </is>
      </c>
      <c r="G1971" t="n">
        <v>2.9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53569-2023</t>
        </is>
      </c>
      <c r="B1972" s="1" t="n">
        <v>45230</v>
      </c>
      <c r="C1972" s="1" t="n">
        <v>45811</v>
      </c>
      <c r="D1972" t="inlineStr">
        <is>
          <t>GÄVLEBORGS LÄN</t>
        </is>
      </c>
      <c r="E1972" t="inlineStr">
        <is>
          <t>LJUSDAL</t>
        </is>
      </c>
      <c r="G1972" t="n">
        <v>2.5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53542-2023</t>
        </is>
      </c>
      <c r="B1973" s="1" t="n">
        <v>45230</v>
      </c>
      <c r="C1973" s="1" t="n">
        <v>45811</v>
      </c>
      <c r="D1973" t="inlineStr">
        <is>
          <t>GÄVLEBORGS LÄN</t>
        </is>
      </c>
      <c r="E1973" t="inlineStr">
        <is>
          <t>LJUSDAL</t>
        </is>
      </c>
      <c r="G1973" t="n">
        <v>0.9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53477-2023</t>
        </is>
      </c>
      <c r="B1974" s="1" t="n">
        <v>45230</v>
      </c>
      <c r="C1974" s="1" t="n">
        <v>45811</v>
      </c>
      <c r="D1974" t="inlineStr">
        <is>
          <t>GÄVLEBORGS LÄN</t>
        </is>
      </c>
      <c r="E1974" t="inlineStr">
        <is>
          <t>LJUSDAL</t>
        </is>
      </c>
      <c r="G1974" t="n">
        <v>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53695-2023</t>
        </is>
      </c>
      <c r="B1975" s="1" t="n">
        <v>45230</v>
      </c>
      <c r="C1975" s="1" t="n">
        <v>45811</v>
      </c>
      <c r="D1975" t="inlineStr">
        <is>
          <t>GÄVLEBORGS LÄN</t>
        </is>
      </c>
      <c r="E1975" t="inlineStr">
        <is>
          <t>LJUSDAL</t>
        </is>
      </c>
      <c r="G1975" t="n">
        <v>0.8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53709-2023</t>
        </is>
      </c>
      <c r="B1976" s="1" t="n">
        <v>45230</v>
      </c>
      <c r="C1976" s="1" t="n">
        <v>45811</v>
      </c>
      <c r="D1976" t="inlineStr">
        <is>
          <t>GÄVLEBORGS LÄN</t>
        </is>
      </c>
      <c r="E1976" t="inlineStr">
        <is>
          <t>LJUSDAL</t>
        </is>
      </c>
      <c r="G1976" t="n">
        <v>0.9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53660-2023</t>
        </is>
      </c>
      <c r="B1977" s="1" t="n">
        <v>45230</v>
      </c>
      <c r="C1977" s="1" t="n">
        <v>45811</v>
      </c>
      <c r="D1977" t="inlineStr">
        <is>
          <t>GÄVLEBORGS LÄN</t>
        </is>
      </c>
      <c r="E1977" t="inlineStr">
        <is>
          <t>LJUSDAL</t>
        </is>
      </c>
      <c r="G1977" t="n">
        <v>8.199999999999999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53544-2023</t>
        </is>
      </c>
      <c r="B1978" s="1" t="n">
        <v>45230</v>
      </c>
      <c r="C1978" s="1" t="n">
        <v>45811</v>
      </c>
      <c r="D1978" t="inlineStr">
        <is>
          <t>GÄVLEBORGS LÄN</t>
        </is>
      </c>
      <c r="E1978" t="inlineStr">
        <is>
          <t>LJUSDAL</t>
        </is>
      </c>
      <c r="G1978" t="n">
        <v>1.2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53461-2023</t>
        </is>
      </c>
      <c r="B1979" s="1" t="n">
        <v>45230</v>
      </c>
      <c r="C1979" s="1" t="n">
        <v>45811</v>
      </c>
      <c r="D1979" t="inlineStr">
        <is>
          <t>GÄVLEBORGS LÄN</t>
        </is>
      </c>
      <c r="E1979" t="inlineStr">
        <is>
          <t>LJUSDAL</t>
        </is>
      </c>
      <c r="G1979" t="n">
        <v>5.7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53463-2023</t>
        </is>
      </c>
      <c r="B1980" s="1" t="n">
        <v>45230</v>
      </c>
      <c r="C1980" s="1" t="n">
        <v>45811</v>
      </c>
      <c r="D1980" t="inlineStr">
        <is>
          <t>GÄVLEBORGS LÄN</t>
        </is>
      </c>
      <c r="E1980" t="inlineStr">
        <is>
          <t>LJUSDAL</t>
        </is>
      </c>
      <c r="G1980" t="n">
        <v>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53785-2023</t>
        </is>
      </c>
      <c r="B1981" s="1" t="n">
        <v>45231</v>
      </c>
      <c r="C1981" s="1" t="n">
        <v>45811</v>
      </c>
      <c r="D1981" t="inlineStr">
        <is>
          <t>GÄVLEBORGS LÄN</t>
        </is>
      </c>
      <c r="E1981" t="inlineStr">
        <is>
          <t>LJUSDAL</t>
        </is>
      </c>
      <c r="F1981" t="inlineStr">
        <is>
          <t>Allmännings- och besparingsskogar</t>
        </is>
      </c>
      <c r="G1981" t="n">
        <v>9.199999999999999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53867-2023</t>
        </is>
      </c>
      <c r="B1982" s="1" t="n">
        <v>45231</v>
      </c>
      <c r="C1982" s="1" t="n">
        <v>45811</v>
      </c>
      <c r="D1982" t="inlineStr">
        <is>
          <t>GÄVLEBORGS LÄN</t>
        </is>
      </c>
      <c r="E1982" t="inlineStr">
        <is>
          <t>LJUSDAL</t>
        </is>
      </c>
      <c r="F1982" t="inlineStr">
        <is>
          <t>Allmännings- och besparingsskogar</t>
        </is>
      </c>
      <c r="G1982" t="n">
        <v>2.8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53873-2023</t>
        </is>
      </c>
      <c r="B1983" s="1" t="n">
        <v>45231</v>
      </c>
      <c r="C1983" s="1" t="n">
        <v>45811</v>
      </c>
      <c r="D1983" t="inlineStr">
        <is>
          <t>GÄVLEBORGS LÄN</t>
        </is>
      </c>
      <c r="E1983" t="inlineStr">
        <is>
          <t>LJUSDAL</t>
        </is>
      </c>
      <c r="G1983" t="n">
        <v>1.8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53948-2023</t>
        </is>
      </c>
      <c r="B1984" s="1" t="n">
        <v>45231</v>
      </c>
      <c r="C1984" s="1" t="n">
        <v>45811</v>
      </c>
      <c r="D1984" t="inlineStr">
        <is>
          <t>GÄVLEBORGS LÄN</t>
        </is>
      </c>
      <c r="E1984" t="inlineStr">
        <is>
          <t>LJUSDAL</t>
        </is>
      </c>
      <c r="F1984" t="inlineStr">
        <is>
          <t>Holmen skog AB</t>
        </is>
      </c>
      <c r="G1984" t="n">
        <v>3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53831-2023</t>
        </is>
      </c>
      <c r="B1985" s="1" t="n">
        <v>45231</v>
      </c>
      <c r="C1985" s="1" t="n">
        <v>45811</v>
      </c>
      <c r="D1985" t="inlineStr">
        <is>
          <t>GÄVLEBORGS LÄN</t>
        </is>
      </c>
      <c r="E1985" t="inlineStr">
        <is>
          <t>LJUSDAL</t>
        </is>
      </c>
      <c r="F1985" t="inlineStr">
        <is>
          <t>Allmännings- och besparingsskogar</t>
        </is>
      </c>
      <c r="G1985" t="n">
        <v>9.199999999999999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53852-2023</t>
        </is>
      </c>
      <c r="B1986" s="1" t="n">
        <v>45231</v>
      </c>
      <c r="C1986" s="1" t="n">
        <v>45811</v>
      </c>
      <c r="D1986" t="inlineStr">
        <is>
          <t>GÄVLEBORGS LÄN</t>
        </is>
      </c>
      <c r="E1986" t="inlineStr">
        <is>
          <t>LJUSDAL</t>
        </is>
      </c>
      <c r="G1986" t="n">
        <v>0.1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53857-2023</t>
        </is>
      </c>
      <c r="B1987" s="1" t="n">
        <v>45231</v>
      </c>
      <c r="C1987" s="1" t="n">
        <v>45811</v>
      </c>
      <c r="D1987" t="inlineStr">
        <is>
          <t>GÄVLEBORGS LÄN</t>
        </is>
      </c>
      <c r="E1987" t="inlineStr">
        <is>
          <t>LJUSDAL</t>
        </is>
      </c>
      <c r="G1987" t="n">
        <v>3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54167-2023</t>
        </is>
      </c>
      <c r="B1988" s="1" t="n">
        <v>45232</v>
      </c>
      <c r="C1988" s="1" t="n">
        <v>45811</v>
      </c>
      <c r="D1988" t="inlineStr">
        <is>
          <t>GÄVLEBORGS LÄN</t>
        </is>
      </c>
      <c r="E1988" t="inlineStr">
        <is>
          <t>LJUSDAL</t>
        </is>
      </c>
      <c r="F1988" t="inlineStr">
        <is>
          <t>Sveaskog</t>
        </is>
      </c>
      <c r="G1988" t="n">
        <v>20.5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54090-2023</t>
        </is>
      </c>
      <c r="B1989" s="1" t="n">
        <v>45232</v>
      </c>
      <c r="C1989" s="1" t="n">
        <v>45811</v>
      </c>
      <c r="D1989" t="inlineStr">
        <is>
          <t>GÄVLEBORGS LÄN</t>
        </is>
      </c>
      <c r="E1989" t="inlineStr">
        <is>
          <t>LJUSDAL</t>
        </is>
      </c>
      <c r="G1989" t="n">
        <v>4.2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54595-2023</t>
        </is>
      </c>
      <c r="B1990" s="1" t="n">
        <v>45233</v>
      </c>
      <c r="C1990" s="1" t="n">
        <v>45811</v>
      </c>
      <c r="D1990" t="inlineStr">
        <is>
          <t>GÄVLEBORGS LÄN</t>
        </is>
      </c>
      <c r="E1990" t="inlineStr">
        <is>
          <t>LJUSDAL</t>
        </is>
      </c>
      <c r="G1990" t="n">
        <v>2.4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54760-2023</t>
        </is>
      </c>
      <c r="B1991" s="1" t="n">
        <v>45236</v>
      </c>
      <c r="C1991" s="1" t="n">
        <v>45811</v>
      </c>
      <c r="D1991" t="inlineStr">
        <is>
          <t>GÄVLEBORGS LÄN</t>
        </is>
      </c>
      <c r="E1991" t="inlineStr">
        <is>
          <t>LJUSDAL</t>
        </is>
      </c>
      <c r="G1991" t="n">
        <v>3.5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55025-2023</t>
        </is>
      </c>
      <c r="B1992" s="1" t="n">
        <v>45237</v>
      </c>
      <c r="C1992" s="1" t="n">
        <v>45811</v>
      </c>
      <c r="D1992" t="inlineStr">
        <is>
          <t>GÄVLEBORGS LÄN</t>
        </is>
      </c>
      <c r="E1992" t="inlineStr">
        <is>
          <t>LJUSDAL</t>
        </is>
      </c>
      <c r="F1992" t="inlineStr">
        <is>
          <t>Allmännings- och besparingsskogar</t>
        </is>
      </c>
      <c r="G1992" t="n">
        <v>4.8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55078-2023</t>
        </is>
      </c>
      <c r="B1993" s="1" t="n">
        <v>45237</v>
      </c>
      <c r="C1993" s="1" t="n">
        <v>45811</v>
      </c>
      <c r="D1993" t="inlineStr">
        <is>
          <t>GÄVLEBORGS LÄN</t>
        </is>
      </c>
      <c r="E1993" t="inlineStr">
        <is>
          <t>LJUSDAL</t>
        </is>
      </c>
      <c r="F1993" t="inlineStr">
        <is>
          <t>Bergvik skog väst AB</t>
        </is>
      </c>
      <c r="G1993" t="n">
        <v>8.199999999999999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55136-2023</t>
        </is>
      </c>
      <c r="B1994" s="1" t="n">
        <v>45237</v>
      </c>
      <c r="C1994" s="1" t="n">
        <v>45811</v>
      </c>
      <c r="D1994" t="inlineStr">
        <is>
          <t>GÄVLEBORGS LÄN</t>
        </is>
      </c>
      <c r="E1994" t="inlineStr">
        <is>
          <t>LJUSDAL</t>
        </is>
      </c>
      <c r="G1994" t="n">
        <v>12.7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55176-2023</t>
        </is>
      </c>
      <c r="B1995" s="1" t="n">
        <v>45237</v>
      </c>
      <c r="C1995" s="1" t="n">
        <v>45811</v>
      </c>
      <c r="D1995" t="inlineStr">
        <is>
          <t>GÄVLEBORGS LÄN</t>
        </is>
      </c>
      <c r="E1995" t="inlineStr">
        <is>
          <t>LJUSDAL</t>
        </is>
      </c>
      <c r="G1995" t="n">
        <v>2.5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55219-2023</t>
        </is>
      </c>
      <c r="B1996" s="1" t="n">
        <v>45237</v>
      </c>
      <c r="C1996" s="1" t="n">
        <v>45811</v>
      </c>
      <c r="D1996" t="inlineStr">
        <is>
          <t>GÄVLEBORGS LÄN</t>
        </is>
      </c>
      <c r="E1996" t="inlineStr">
        <is>
          <t>LJUSDAL</t>
        </is>
      </c>
      <c r="G1996" t="n">
        <v>3.1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55123-2023</t>
        </is>
      </c>
      <c r="B1997" s="1" t="n">
        <v>45237</v>
      </c>
      <c r="C1997" s="1" t="n">
        <v>45811</v>
      </c>
      <c r="D1997" t="inlineStr">
        <is>
          <t>GÄVLEBORGS LÄN</t>
        </is>
      </c>
      <c r="E1997" t="inlineStr">
        <is>
          <t>LJUSDAL</t>
        </is>
      </c>
      <c r="F1997" t="inlineStr">
        <is>
          <t>Allmännings- och besparingsskogar</t>
        </is>
      </c>
      <c r="G1997" t="n">
        <v>1.9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55151-2023</t>
        </is>
      </c>
      <c r="B1998" s="1" t="n">
        <v>45237</v>
      </c>
      <c r="C1998" s="1" t="n">
        <v>45811</v>
      </c>
      <c r="D1998" t="inlineStr">
        <is>
          <t>GÄVLEBORGS LÄN</t>
        </is>
      </c>
      <c r="E1998" t="inlineStr">
        <is>
          <t>LJUSDAL</t>
        </is>
      </c>
      <c r="G1998" t="n">
        <v>8.300000000000001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55238-2023</t>
        </is>
      </c>
      <c r="B1999" s="1" t="n">
        <v>45237</v>
      </c>
      <c r="C1999" s="1" t="n">
        <v>45811</v>
      </c>
      <c r="D1999" t="inlineStr">
        <is>
          <t>GÄVLEBORGS LÄN</t>
        </is>
      </c>
      <c r="E1999" t="inlineStr">
        <is>
          <t>LJUSDAL</t>
        </is>
      </c>
      <c r="G1999" t="n">
        <v>1.6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55248-2023</t>
        </is>
      </c>
      <c r="B2000" s="1" t="n">
        <v>45237</v>
      </c>
      <c r="C2000" s="1" t="n">
        <v>45811</v>
      </c>
      <c r="D2000" t="inlineStr">
        <is>
          <t>GÄVLEBORGS LÄN</t>
        </is>
      </c>
      <c r="E2000" t="inlineStr">
        <is>
          <t>LJUSDAL</t>
        </is>
      </c>
      <c r="G2000" t="n">
        <v>6.2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55356-2023</t>
        </is>
      </c>
      <c r="B2001" s="1" t="n">
        <v>45238</v>
      </c>
      <c r="C2001" s="1" t="n">
        <v>45811</v>
      </c>
      <c r="D2001" t="inlineStr">
        <is>
          <t>GÄVLEBORGS LÄN</t>
        </is>
      </c>
      <c r="E2001" t="inlineStr">
        <is>
          <t>LJUSDAL</t>
        </is>
      </c>
      <c r="G2001" t="n">
        <v>0.9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55358-2023</t>
        </is>
      </c>
      <c r="B2002" s="1" t="n">
        <v>45238</v>
      </c>
      <c r="C2002" s="1" t="n">
        <v>45811</v>
      </c>
      <c r="D2002" t="inlineStr">
        <is>
          <t>GÄVLEBORGS LÄN</t>
        </is>
      </c>
      <c r="E2002" t="inlineStr">
        <is>
          <t>LJUSDAL</t>
        </is>
      </c>
      <c r="G2002" t="n">
        <v>9.800000000000001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55370-2023</t>
        </is>
      </c>
      <c r="B2003" s="1" t="n">
        <v>45238</v>
      </c>
      <c r="C2003" s="1" t="n">
        <v>45811</v>
      </c>
      <c r="D2003" t="inlineStr">
        <is>
          <t>GÄVLEBORGS LÄN</t>
        </is>
      </c>
      <c r="E2003" t="inlineStr">
        <is>
          <t>LJUSDAL</t>
        </is>
      </c>
      <c r="G2003" t="n">
        <v>2.1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55375-2023</t>
        </is>
      </c>
      <c r="B2004" s="1" t="n">
        <v>45238</v>
      </c>
      <c r="C2004" s="1" t="n">
        <v>45811</v>
      </c>
      <c r="D2004" t="inlineStr">
        <is>
          <t>GÄVLEBORGS LÄN</t>
        </is>
      </c>
      <c r="E2004" t="inlineStr">
        <is>
          <t>LJUSDAL</t>
        </is>
      </c>
      <c r="G2004" t="n">
        <v>2.8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55681-2023</t>
        </is>
      </c>
      <c r="B2005" s="1" t="n">
        <v>45239</v>
      </c>
      <c r="C2005" s="1" t="n">
        <v>45811</v>
      </c>
      <c r="D2005" t="inlineStr">
        <is>
          <t>GÄVLEBORGS LÄN</t>
        </is>
      </c>
      <c r="E2005" t="inlineStr">
        <is>
          <t>LJUSDAL</t>
        </is>
      </c>
      <c r="G2005" t="n">
        <v>0.9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55675-2023</t>
        </is>
      </c>
      <c r="B2006" s="1" t="n">
        <v>45239</v>
      </c>
      <c r="C2006" s="1" t="n">
        <v>45811</v>
      </c>
      <c r="D2006" t="inlineStr">
        <is>
          <t>GÄVLEBORGS LÄN</t>
        </is>
      </c>
      <c r="E2006" t="inlineStr">
        <is>
          <t>LJUSDAL</t>
        </is>
      </c>
      <c r="G2006" t="n">
        <v>11.1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55690-2023</t>
        </is>
      </c>
      <c r="B2007" s="1" t="n">
        <v>45239</v>
      </c>
      <c r="C2007" s="1" t="n">
        <v>45811</v>
      </c>
      <c r="D2007" t="inlineStr">
        <is>
          <t>GÄVLEBORGS LÄN</t>
        </is>
      </c>
      <c r="E2007" t="inlineStr">
        <is>
          <t>LJUSDAL</t>
        </is>
      </c>
      <c r="G2007" t="n">
        <v>1.4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55870-2023</t>
        </is>
      </c>
      <c r="B2008" s="1" t="n">
        <v>45239</v>
      </c>
      <c r="C2008" s="1" t="n">
        <v>45811</v>
      </c>
      <c r="D2008" t="inlineStr">
        <is>
          <t>GÄVLEBORGS LÄN</t>
        </is>
      </c>
      <c r="E2008" t="inlineStr">
        <is>
          <t>LJUSDAL</t>
        </is>
      </c>
      <c r="G2008" t="n">
        <v>3.5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56142-2023</t>
        </is>
      </c>
      <c r="B2009" s="1" t="n">
        <v>45240</v>
      </c>
      <c r="C2009" s="1" t="n">
        <v>45811</v>
      </c>
      <c r="D2009" t="inlineStr">
        <is>
          <t>GÄVLEBORGS LÄN</t>
        </is>
      </c>
      <c r="E2009" t="inlineStr">
        <is>
          <t>LJUSDAL</t>
        </is>
      </c>
      <c r="G2009" t="n">
        <v>3.4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56113-2023</t>
        </is>
      </c>
      <c r="B2010" s="1" t="n">
        <v>45240</v>
      </c>
      <c r="C2010" s="1" t="n">
        <v>45811</v>
      </c>
      <c r="D2010" t="inlineStr">
        <is>
          <t>GÄVLEBORGS LÄN</t>
        </is>
      </c>
      <c r="E2010" t="inlineStr">
        <is>
          <t>LJUSDAL</t>
        </is>
      </c>
      <c r="G2010" t="n">
        <v>2.7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56425-2023</t>
        </is>
      </c>
      <c r="B2011" s="1" t="n">
        <v>45243</v>
      </c>
      <c r="C2011" s="1" t="n">
        <v>45811</v>
      </c>
      <c r="D2011" t="inlineStr">
        <is>
          <t>GÄVLEBORGS LÄN</t>
        </is>
      </c>
      <c r="E2011" t="inlineStr">
        <is>
          <t>LJUSDAL</t>
        </is>
      </c>
      <c r="G2011" t="n">
        <v>15.4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  <c r="U2011">
        <f>HYPERLINK("https://klasma.github.io/Logging_2161/knärot/A 56425-2023 karta knärot.png", "A 56425-2023")</f>
        <v/>
      </c>
      <c r="V2011">
        <f>HYPERLINK("https://klasma.github.io/Logging_2161/klagomål/A 56425-2023 FSC-klagomål.docx", "A 56425-2023")</f>
        <v/>
      </c>
      <c r="W2011">
        <f>HYPERLINK("https://klasma.github.io/Logging_2161/klagomålsmail/A 56425-2023 FSC-klagomål mail.docx", "A 56425-2023")</f>
        <v/>
      </c>
      <c r="X2011">
        <f>HYPERLINK("https://klasma.github.io/Logging_2161/tillsyn/A 56425-2023 tillsynsbegäran.docx", "A 56425-2023")</f>
        <v/>
      </c>
      <c r="Y2011">
        <f>HYPERLINK("https://klasma.github.io/Logging_2161/tillsynsmail/A 56425-2023 tillsynsbegäran mail.docx", "A 56425-2023")</f>
        <v/>
      </c>
    </row>
    <row r="2012" ht="15" customHeight="1">
      <c r="A2012" t="inlineStr">
        <is>
          <t>A 56643-2023</t>
        </is>
      </c>
      <c r="B2012" s="1" t="n">
        <v>45243</v>
      </c>
      <c r="C2012" s="1" t="n">
        <v>45811</v>
      </c>
      <c r="D2012" t="inlineStr">
        <is>
          <t>GÄVLEBORGS LÄN</t>
        </is>
      </c>
      <c r="E2012" t="inlineStr">
        <is>
          <t>LJUSDAL</t>
        </is>
      </c>
      <c r="G2012" t="n">
        <v>1.6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56330-2023</t>
        </is>
      </c>
      <c r="B2013" s="1" t="n">
        <v>45243</v>
      </c>
      <c r="C2013" s="1" t="n">
        <v>45811</v>
      </c>
      <c r="D2013" t="inlineStr">
        <is>
          <t>GÄVLEBORGS LÄN</t>
        </is>
      </c>
      <c r="E2013" t="inlineStr">
        <is>
          <t>LJUSDAL</t>
        </is>
      </c>
      <c r="G2013" t="n">
        <v>2.9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56464-2023</t>
        </is>
      </c>
      <c r="B2014" s="1" t="n">
        <v>45243</v>
      </c>
      <c r="C2014" s="1" t="n">
        <v>45811</v>
      </c>
      <c r="D2014" t="inlineStr">
        <is>
          <t>GÄVLEBORGS LÄN</t>
        </is>
      </c>
      <c r="E2014" t="inlineStr">
        <is>
          <t>LJUSDAL</t>
        </is>
      </c>
      <c r="G2014" t="n">
        <v>0.9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56985-2023</t>
        </is>
      </c>
      <c r="B2015" s="1" t="n">
        <v>45244</v>
      </c>
      <c r="C2015" s="1" t="n">
        <v>45811</v>
      </c>
      <c r="D2015" t="inlineStr">
        <is>
          <t>GÄVLEBORGS LÄN</t>
        </is>
      </c>
      <c r="E2015" t="inlineStr">
        <is>
          <t>LJUSDAL</t>
        </is>
      </c>
      <c r="G2015" t="n">
        <v>2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56983-2023</t>
        </is>
      </c>
      <c r="B2016" s="1" t="n">
        <v>45244</v>
      </c>
      <c r="C2016" s="1" t="n">
        <v>45811</v>
      </c>
      <c r="D2016" t="inlineStr">
        <is>
          <t>GÄVLEBORGS LÄN</t>
        </is>
      </c>
      <c r="E2016" t="inlineStr">
        <is>
          <t>LJUSDAL</t>
        </is>
      </c>
      <c r="G2016" t="n">
        <v>7.7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57064-2023</t>
        </is>
      </c>
      <c r="B2017" s="1" t="n">
        <v>45245</v>
      </c>
      <c r="C2017" s="1" t="n">
        <v>45811</v>
      </c>
      <c r="D2017" t="inlineStr">
        <is>
          <t>GÄVLEBORGS LÄN</t>
        </is>
      </c>
      <c r="E2017" t="inlineStr">
        <is>
          <t>LJUSDAL</t>
        </is>
      </c>
      <c r="G2017" t="n">
        <v>1.3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57065-2023</t>
        </is>
      </c>
      <c r="B2018" s="1" t="n">
        <v>45245</v>
      </c>
      <c r="C2018" s="1" t="n">
        <v>45811</v>
      </c>
      <c r="D2018" t="inlineStr">
        <is>
          <t>GÄVLEBORGS LÄN</t>
        </is>
      </c>
      <c r="E2018" t="inlineStr">
        <is>
          <t>LJUSDAL</t>
        </is>
      </c>
      <c r="G2018" t="n">
        <v>1.6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57061-2023</t>
        </is>
      </c>
      <c r="B2019" s="1" t="n">
        <v>45244</v>
      </c>
      <c r="C2019" s="1" t="n">
        <v>45811</v>
      </c>
      <c r="D2019" t="inlineStr">
        <is>
          <t>GÄVLEBORGS LÄN</t>
        </is>
      </c>
      <c r="E2019" t="inlineStr">
        <is>
          <t>LJUSDAL</t>
        </is>
      </c>
      <c r="G2019" t="n">
        <v>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57096-2023</t>
        </is>
      </c>
      <c r="B2020" s="1" t="n">
        <v>45245</v>
      </c>
      <c r="C2020" s="1" t="n">
        <v>45811</v>
      </c>
      <c r="D2020" t="inlineStr">
        <is>
          <t>GÄVLEBORGS LÄN</t>
        </is>
      </c>
      <c r="E2020" t="inlineStr">
        <is>
          <t>LJUSDAL</t>
        </is>
      </c>
      <c r="G2020" t="n">
        <v>1.6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57101-2023</t>
        </is>
      </c>
      <c r="B2021" s="1" t="n">
        <v>45245</v>
      </c>
      <c r="C2021" s="1" t="n">
        <v>45811</v>
      </c>
      <c r="D2021" t="inlineStr">
        <is>
          <t>GÄVLEBORGS LÄN</t>
        </is>
      </c>
      <c r="E2021" t="inlineStr">
        <is>
          <t>LJUSDAL</t>
        </is>
      </c>
      <c r="F2021" t="inlineStr">
        <is>
          <t>Holmen skog AB</t>
        </is>
      </c>
      <c r="G2021" t="n">
        <v>0.6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57098-2023</t>
        </is>
      </c>
      <c r="B2022" s="1" t="n">
        <v>45245</v>
      </c>
      <c r="C2022" s="1" t="n">
        <v>45811</v>
      </c>
      <c r="D2022" t="inlineStr">
        <is>
          <t>GÄVLEBORGS LÄN</t>
        </is>
      </c>
      <c r="E2022" t="inlineStr">
        <is>
          <t>LJUSDAL</t>
        </is>
      </c>
      <c r="G2022" t="n">
        <v>1.6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57479-2023</t>
        </is>
      </c>
      <c r="B2023" s="1" t="n">
        <v>45246</v>
      </c>
      <c r="C2023" s="1" t="n">
        <v>45811</v>
      </c>
      <c r="D2023" t="inlineStr">
        <is>
          <t>GÄVLEBORGS LÄN</t>
        </is>
      </c>
      <c r="E2023" t="inlineStr">
        <is>
          <t>LJUSDAL</t>
        </is>
      </c>
      <c r="G2023" t="n">
        <v>1.5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57475-2023</t>
        </is>
      </c>
      <c r="B2024" s="1" t="n">
        <v>45246</v>
      </c>
      <c r="C2024" s="1" t="n">
        <v>45811</v>
      </c>
      <c r="D2024" t="inlineStr">
        <is>
          <t>GÄVLEBORGS LÄN</t>
        </is>
      </c>
      <c r="E2024" t="inlineStr">
        <is>
          <t>LJUSDAL</t>
        </is>
      </c>
      <c r="G2024" t="n">
        <v>1.2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57649-2023</t>
        </is>
      </c>
      <c r="B2025" s="1" t="n">
        <v>45246</v>
      </c>
      <c r="C2025" s="1" t="n">
        <v>45811</v>
      </c>
      <c r="D2025" t="inlineStr">
        <is>
          <t>GÄVLEBORGS LÄN</t>
        </is>
      </c>
      <c r="E2025" t="inlineStr">
        <is>
          <t>LJUSDAL</t>
        </is>
      </c>
      <c r="G2025" t="n">
        <v>1.8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57644-2023</t>
        </is>
      </c>
      <c r="B2026" s="1" t="n">
        <v>45246</v>
      </c>
      <c r="C2026" s="1" t="n">
        <v>45811</v>
      </c>
      <c r="D2026" t="inlineStr">
        <is>
          <t>GÄVLEBORGS LÄN</t>
        </is>
      </c>
      <c r="E2026" t="inlineStr">
        <is>
          <t>LJUSDAL</t>
        </is>
      </c>
      <c r="G2026" t="n">
        <v>1.3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57840-2023</t>
        </is>
      </c>
      <c r="B2027" s="1" t="n">
        <v>45247</v>
      </c>
      <c r="C2027" s="1" t="n">
        <v>45811</v>
      </c>
      <c r="D2027" t="inlineStr">
        <is>
          <t>GÄVLEBORGS LÄN</t>
        </is>
      </c>
      <c r="E2027" t="inlineStr">
        <is>
          <t>LJUSDAL</t>
        </is>
      </c>
      <c r="G2027" t="n">
        <v>10.2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57997-2023</t>
        </is>
      </c>
      <c r="B2028" s="1" t="n">
        <v>45247</v>
      </c>
      <c r="C2028" s="1" t="n">
        <v>45811</v>
      </c>
      <c r="D2028" t="inlineStr">
        <is>
          <t>GÄVLEBORGS LÄN</t>
        </is>
      </c>
      <c r="E2028" t="inlineStr">
        <is>
          <t>LJUSDAL</t>
        </is>
      </c>
      <c r="G2028" t="n">
        <v>1.4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58103-2023</t>
        </is>
      </c>
      <c r="B2029" s="1" t="n">
        <v>45249</v>
      </c>
      <c r="C2029" s="1" t="n">
        <v>45811</v>
      </c>
      <c r="D2029" t="inlineStr">
        <is>
          <t>GÄVLEBORGS LÄN</t>
        </is>
      </c>
      <c r="E2029" t="inlineStr">
        <is>
          <t>LJUSDAL</t>
        </is>
      </c>
      <c r="G2029" t="n">
        <v>1.4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58104-2023</t>
        </is>
      </c>
      <c r="B2030" s="1" t="n">
        <v>45249</v>
      </c>
      <c r="C2030" s="1" t="n">
        <v>45811</v>
      </c>
      <c r="D2030" t="inlineStr">
        <is>
          <t>GÄVLEBORGS LÄN</t>
        </is>
      </c>
      <c r="E2030" t="inlineStr">
        <is>
          <t>LJUSDAL</t>
        </is>
      </c>
      <c r="G2030" t="n">
        <v>2.3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58309-2023</t>
        </is>
      </c>
      <c r="B2031" s="1" t="n">
        <v>45250</v>
      </c>
      <c r="C2031" s="1" t="n">
        <v>45811</v>
      </c>
      <c r="D2031" t="inlineStr">
        <is>
          <t>GÄVLEBORGS LÄN</t>
        </is>
      </c>
      <c r="E2031" t="inlineStr">
        <is>
          <t>LJUSDAL</t>
        </is>
      </c>
      <c r="G2031" t="n">
        <v>4.2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58622-2023</t>
        </is>
      </c>
      <c r="B2032" s="1" t="n">
        <v>45251</v>
      </c>
      <c r="C2032" s="1" t="n">
        <v>45811</v>
      </c>
      <c r="D2032" t="inlineStr">
        <is>
          <t>GÄVLEBORGS LÄN</t>
        </is>
      </c>
      <c r="E2032" t="inlineStr">
        <is>
          <t>LJUSDAL</t>
        </is>
      </c>
      <c r="G2032" t="n">
        <v>2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58626-2023</t>
        </is>
      </c>
      <c r="B2033" s="1" t="n">
        <v>45251</v>
      </c>
      <c r="C2033" s="1" t="n">
        <v>45811</v>
      </c>
      <c r="D2033" t="inlineStr">
        <is>
          <t>GÄVLEBORGS LÄN</t>
        </is>
      </c>
      <c r="E2033" t="inlineStr">
        <is>
          <t>LJUSDAL</t>
        </is>
      </c>
      <c r="G2033" t="n">
        <v>0.9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58629-2023</t>
        </is>
      </c>
      <c r="B2034" s="1" t="n">
        <v>45251</v>
      </c>
      <c r="C2034" s="1" t="n">
        <v>45811</v>
      </c>
      <c r="D2034" t="inlineStr">
        <is>
          <t>GÄVLEBORGS LÄN</t>
        </is>
      </c>
      <c r="E2034" t="inlineStr">
        <is>
          <t>LJUSDAL</t>
        </is>
      </c>
      <c r="G2034" t="n">
        <v>2.8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58683-2023</t>
        </is>
      </c>
      <c r="B2035" s="1" t="n">
        <v>45251</v>
      </c>
      <c r="C2035" s="1" t="n">
        <v>45811</v>
      </c>
      <c r="D2035" t="inlineStr">
        <is>
          <t>GÄVLEBORGS LÄN</t>
        </is>
      </c>
      <c r="E2035" t="inlineStr">
        <is>
          <t>LJUSDAL</t>
        </is>
      </c>
      <c r="G2035" t="n">
        <v>2.4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58623-2023</t>
        </is>
      </c>
      <c r="B2036" s="1" t="n">
        <v>45251</v>
      </c>
      <c r="C2036" s="1" t="n">
        <v>45811</v>
      </c>
      <c r="D2036" t="inlineStr">
        <is>
          <t>GÄVLEBORGS LÄN</t>
        </is>
      </c>
      <c r="E2036" t="inlineStr">
        <is>
          <t>LJUSDAL</t>
        </is>
      </c>
      <c r="G2036" t="n">
        <v>3.5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58796-2023</t>
        </is>
      </c>
      <c r="B2037" s="1" t="n">
        <v>45252</v>
      </c>
      <c r="C2037" s="1" t="n">
        <v>45811</v>
      </c>
      <c r="D2037" t="inlineStr">
        <is>
          <t>GÄVLEBORGS LÄN</t>
        </is>
      </c>
      <c r="E2037" t="inlineStr">
        <is>
          <t>LJUSDAL</t>
        </is>
      </c>
      <c r="G2037" t="n">
        <v>1.9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58883-2023</t>
        </is>
      </c>
      <c r="B2038" s="1" t="n">
        <v>45252</v>
      </c>
      <c r="C2038" s="1" t="n">
        <v>45811</v>
      </c>
      <c r="D2038" t="inlineStr">
        <is>
          <t>GÄVLEBORGS LÄN</t>
        </is>
      </c>
      <c r="E2038" t="inlineStr">
        <is>
          <t>LJUSDAL</t>
        </is>
      </c>
      <c r="F2038" t="inlineStr">
        <is>
          <t>Holmen skog AB</t>
        </is>
      </c>
      <c r="G2038" t="n">
        <v>1.4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58964-2023</t>
        </is>
      </c>
      <c r="B2039" s="1" t="n">
        <v>45252</v>
      </c>
      <c r="C2039" s="1" t="n">
        <v>45811</v>
      </c>
      <c r="D2039" t="inlineStr">
        <is>
          <t>GÄVLEBORGS LÄN</t>
        </is>
      </c>
      <c r="E2039" t="inlineStr">
        <is>
          <t>LJUSDAL</t>
        </is>
      </c>
      <c r="G2039" t="n">
        <v>3.4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58825-2023</t>
        </is>
      </c>
      <c r="B2040" s="1" t="n">
        <v>45252</v>
      </c>
      <c r="C2040" s="1" t="n">
        <v>45811</v>
      </c>
      <c r="D2040" t="inlineStr">
        <is>
          <t>GÄVLEBORGS LÄN</t>
        </is>
      </c>
      <c r="E2040" t="inlineStr">
        <is>
          <t>LJUSDAL</t>
        </is>
      </c>
      <c r="G2040" t="n">
        <v>2.4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58909-2023</t>
        </is>
      </c>
      <c r="B2041" s="1" t="n">
        <v>45252</v>
      </c>
      <c r="C2041" s="1" t="n">
        <v>45811</v>
      </c>
      <c r="D2041" t="inlineStr">
        <is>
          <t>GÄVLEBORGS LÄN</t>
        </is>
      </c>
      <c r="E2041" t="inlineStr">
        <is>
          <t>LJUSDAL</t>
        </is>
      </c>
      <c r="G2041" t="n">
        <v>2.7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59143-2023</t>
        </is>
      </c>
      <c r="B2042" s="1" t="n">
        <v>45253</v>
      </c>
      <c r="C2042" s="1" t="n">
        <v>45811</v>
      </c>
      <c r="D2042" t="inlineStr">
        <is>
          <t>GÄVLEBORGS LÄN</t>
        </is>
      </c>
      <c r="E2042" t="inlineStr">
        <is>
          <t>LJUSDAL</t>
        </is>
      </c>
      <c r="G2042" t="n">
        <v>1.6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59243-2023</t>
        </is>
      </c>
      <c r="B2043" s="1" t="n">
        <v>45253</v>
      </c>
      <c r="C2043" s="1" t="n">
        <v>45811</v>
      </c>
      <c r="D2043" t="inlineStr">
        <is>
          <t>GÄVLEBORGS LÄN</t>
        </is>
      </c>
      <c r="E2043" t="inlineStr">
        <is>
          <t>LJUSDAL</t>
        </is>
      </c>
      <c r="G2043" t="n">
        <v>1.5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59227-2023</t>
        </is>
      </c>
      <c r="B2044" s="1" t="n">
        <v>45253</v>
      </c>
      <c r="C2044" s="1" t="n">
        <v>45811</v>
      </c>
      <c r="D2044" t="inlineStr">
        <is>
          <t>GÄVLEBORGS LÄN</t>
        </is>
      </c>
      <c r="E2044" t="inlineStr">
        <is>
          <t>LJUSDAL</t>
        </is>
      </c>
      <c r="G2044" t="n">
        <v>11.3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59590-2023</t>
        </is>
      </c>
      <c r="B2045" s="1" t="n">
        <v>45254</v>
      </c>
      <c r="C2045" s="1" t="n">
        <v>45811</v>
      </c>
      <c r="D2045" t="inlineStr">
        <is>
          <t>GÄVLEBORGS LÄN</t>
        </is>
      </c>
      <c r="E2045" t="inlineStr">
        <is>
          <t>LJUSDAL</t>
        </is>
      </c>
      <c r="G2045" t="n">
        <v>1.9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59883-2023</t>
        </is>
      </c>
      <c r="B2046" s="1" t="n">
        <v>45257</v>
      </c>
      <c r="C2046" s="1" t="n">
        <v>45811</v>
      </c>
      <c r="D2046" t="inlineStr">
        <is>
          <t>GÄVLEBORGS LÄN</t>
        </is>
      </c>
      <c r="E2046" t="inlineStr">
        <is>
          <t>LJUSDAL</t>
        </is>
      </c>
      <c r="G2046" t="n">
        <v>16.6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59900-2023</t>
        </is>
      </c>
      <c r="B2047" s="1" t="n">
        <v>45257</v>
      </c>
      <c r="C2047" s="1" t="n">
        <v>45811</v>
      </c>
      <c r="D2047" t="inlineStr">
        <is>
          <t>GÄVLEBORGS LÄN</t>
        </is>
      </c>
      <c r="E2047" t="inlineStr">
        <is>
          <t>LJUSDAL</t>
        </is>
      </c>
      <c r="G2047" t="n">
        <v>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59931-2023</t>
        </is>
      </c>
      <c r="B2048" s="1" t="n">
        <v>45257</v>
      </c>
      <c r="C2048" s="1" t="n">
        <v>45811</v>
      </c>
      <c r="D2048" t="inlineStr">
        <is>
          <t>GÄVLEBORGS LÄN</t>
        </is>
      </c>
      <c r="E2048" t="inlineStr">
        <is>
          <t>LJUSDAL</t>
        </is>
      </c>
      <c r="G2048" t="n">
        <v>4.2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60098-2023</t>
        </is>
      </c>
      <c r="B2049" s="1" t="n">
        <v>45258</v>
      </c>
      <c r="C2049" s="1" t="n">
        <v>45811</v>
      </c>
      <c r="D2049" t="inlineStr">
        <is>
          <t>GÄVLEBORGS LÄN</t>
        </is>
      </c>
      <c r="E2049" t="inlineStr">
        <is>
          <t>LJUSDAL</t>
        </is>
      </c>
      <c r="G2049" t="n">
        <v>0.9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60160-2023</t>
        </is>
      </c>
      <c r="B2050" s="1" t="n">
        <v>45258</v>
      </c>
      <c r="C2050" s="1" t="n">
        <v>45811</v>
      </c>
      <c r="D2050" t="inlineStr">
        <is>
          <t>GÄVLEBORGS LÄN</t>
        </is>
      </c>
      <c r="E2050" t="inlineStr">
        <is>
          <t>LJUSDAL</t>
        </is>
      </c>
      <c r="G2050" t="n">
        <v>7.1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60076-2023</t>
        </is>
      </c>
      <c r="B2051" s="1" t="n">
        <v>45258</v>
      </c>
      <c r="C2051" s="1" t="n">
        <v>45811</v>
      </c>
      <c r="D2051" t="inlineStr">
        <is>
          <t>GÄVLEBORGS LÄN</t>
        </is>
      </c>
      <c r="E2051" t="inlineStr">
        <is>
          <t>LJUSDAL</t>
        </is>
      </c>
      <c r="G2051" t="n">
        <v>2.9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60197-2023</t>
        </is>
      </c>
      <c r="B2052" s="1" t="n">
        <v>45258</v>
      </c>
      <c r="C2052" s="1" t="n">
        <v>45811</v>
      </c>
      <c r="D2052" t="inlineStr">
        <is>
          <t>GÄVLEBORGS LÄN</t>
        </is>
      </c>
      <c r="E2052" t="inlineStr">
        <is>
          <t>LJUSDAL</t>
        </is>
      </c>
      <c r="G2052" t="n">
        <v>2.2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60590-2023</t>
        </is>
      </c>
      <c r="B2053" s="1" t="n">
        <v>45260</v>
      </c>
      <c r="C2053" s="1" t="n">
        <v>45811</v>
      </c>
      <c r="D2053" t="inlineStr">
        <is>
          <t>GÄVLEBORGS LÄN</t>
        </is>
      </c>
      <c r="E2053" t="inlineStr">
        <is>
          <t>LJUSDAL</t>
        </is>
      </c>
      <c r="G2053" t="n">
        <v>2.2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60608-2023</t>
        </is>
      </c>
      <c r="B2054" s="1" t="n">
        <v>45260</v>
      </c>
      <c r="C2054" s="1" t="n">
        <v>45811</v>
      </c>
      <c r="D2054" t="inlineStr">
        <is>
          <t>GÄVLEBORGS LÄN</t>
        </is>
      </c>
      <c r="E2054" t="inlineStr">
        <is>
          <t>LJUSDAL</t>
        </is>
      </c>
      <c r="F2054" t="inlineStr">
        <is>
          <t>Holmen skog AB</t>
        </is>
      </c>
      <c r="G2054" t="n">
        <v>3.4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60948-2023</t>
        </is>
      </c>
      <c r="B2055" s="1" t="n">
        <v>45261</v>
      </c>
      <c r="C2055" s="1" t="n">
        <v>45811</v>
      </c>
      <c r="D2055" t="inlineStr">
        <is>
          <t>GÄVLEBORGS LÄN</t>
        </is>
      </c>
      <c r="E2055" t="inlineStr">
        <is>
          <t>LJUSDAL</t>
        </is>
      </c>
      <c r="G2055" t="n">
        <v>4.8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61020-2023</t>
        </is>
      </c>
      <c r="B2056" s="1" t="n">
        <v>45261</v>
      </c>
      <c r="C2056" s="1" t="n">
        <v>45811</v>
      </c>
      <c r="D2056" t="inlineStr">
        <is>
          <t>GÄVLEBORGS LÄN</t>
        </is>
      </c>
      <c r="E2056" t="inlineStr">
        <is>
          <t>LJUSDAL</t>
        </is>
      </c>
      <c r="G2056" t="n">
        <v>0.9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61053-2023</t>
        </is>
      </c>
      <c r="B2057" s="1" t="n">
        <v>45261</v>
      </c>
      <c r="C2057" s="1" t="n">
        <v>45811</v>
      </c>
      <c r="D2057" t="inlineStr">
        <is>
          <t>GÄVLEBORGS LÄN</t>
        </is>
      </c>
      <c r="E2057" t="inlineStr">
        <is>
          <t>LJUSDAL</t>
        </is>
      </c>
      <c r="G2057" t="n">
        <v>1.3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60952-2023</t>
        </is>
      </c>
      <c r="B2058" s="1" t="n">
        <v>45261</v>
      </c>
      <c r="C2058" s="1" t="n">
        <v>45811</v>
      </c>
      <c r="D2058" t="inlineStr">
        <is>
          <t>GÄVLEBORGS LÄN</t>
        </is>
      </c>
      <c r="E2058" t="inlineStr">
        <is>
          <t>LJUSDAL</t>
        </is>
      </c>
      <c r="G2058" t="n">
        <v>6.3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60957-2023</t>
        </is>
      </c>
      <c r="B2059" s="1" t="n">
        <v>45261</v>
      </c>
      <c r="C2059" s="1" t="n">
        <v>45811</v>
      </c>
      <c r="D2059" t="inlineStr">
        <is>
          <t>GÄVLEBORGS LÄN</t>
        </is>
      </c>
      <c r="E2059" t="inlineStr">
        <is>
          <t>LJUSDAL</t>
        </is>
      </c>
      <c r="G2059" t="n">
        <v>1.4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61092-2023</t>
        </is>
      </c>
      <c r="B2060" s="1" t="n">
        <v>45261</v>
      </c>
      <c r="C2060" s="1" t="n">
        <v>45811</v>
      </c>
      <c r="D2060" t="inlineStr">
        <is>
          <t>GÄVLEBORGS LÄN</t>
        </is>
      </c>
      <c r="E2060" t="inlineStr">
        <is>
          <t>LJUSDAL</t>
        </is>
      </c>
      <c r="G2060" t="n">
        <v>1.1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61114-2023</t>
        </is>
      </c>
      <c r="B2061" s="1" t="n">
        <v>45261</v>
      </c>
      <c r="C2061" s="1" t="n">
        <v>45811</v>
      </c>
      <c r="D2061" t="inlineStr">
        <is>
          <t>GÄVLEBORGS LÄN</t>
        </is>
      </c>
      <c r="E2061" t="inlineStr">
        <is>
          <t>LJUSDAL</t>
        </is>
      </c>
      <c r="G2061" t="n">
        <v>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61214-2023</t>
        </is>
      </c>
      <c r="B2062" s="1" t="n">
        <v>45264</v>
      </c>
      <c r="C2062" s="1" t="n">
        <v>45811</v>
      </c>
      <c r="D2062" t="inlineStr">
        <is>
          <t>GÄVLEBORGS LÄN</t>
        </is>
      </c>
      <c r="E2062" t="inlineStr">
        <is>
          <t>LJUSDAL</t>
        </is>
      </c>
      <c r="G2062" t="n">
        <v>2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61431-2023</t>
        </is>
      </c>
      <c r="B2063" s="1" t="n">
        <v>45264</v>
      </c>
      <c r="C2063" s="1" t="n">
        <v>45811</v>
      </c>
      <c r="D2063" t="inlineStr">
        <is>
          <t>GÄVLEBORGS LÄN</t>
        </is>
      </c>
      <c r="E2063" t="inlineStr">
        <is>
          <t>LJUSDAL</t>
        </is>
      </c>
      <c r="G2063" t="n">
        <v>5.9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61718-2023</t>
        </is>
      </c>
      <c r="B2064" s="1" t="n">
        <v>45265</v>
      </c>
      <c r="C2064" s="1" t="n">
        <v>45811</v>
      </c>
      <c r="D2064" t="inlineStr">
        <is>
          <t>GÄVLEBORGS LÄN</t>
        </is>
      </c>
      <c r="E2064" t="inlineStr">
        <is>
          <t>LJUSDAL</t>
        </is>
      </c>
      <c r="F2064" t="inlineStr">
        <is>
          <t>Kommuner</t>
        </is>
      </c>
      <c r="G2064" t="n">
        <v>0.9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61836-2023</t>
        </is>
      </c>
      <c r="B2065" s="1" t="n">
        <v>45266</v>
      </c>
      <c r="C2065" s="1" t="n">
        <v>45811</v>
      </c>
      <c r="D2065" t="inlineStr">
        <is>
          <t>GÄVLEBORGS LÄN</t>
        </is>
      </c>
      <c r="E2065" t="inlineStr">
        <is>
          <t>LJUSDAL</t>
        </is>
      </c>
      <c r="G2065" t="n">
        <v>0.7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61949-2023</t>
        </is>
      </c>
      <c r="B2066" s="1" t="n">
        <v>45266</v>
      </c>
      <c r="C2066" s="1" t="n">
        <v>45811</v>
      </c>
      <c r="D2066" t="inlineStr">
        <is>
          <t>GÄVLEBORGS LÄN</t>
        </is>
      </c>
      <c r="E2066" t="inlineStr">
        <is>
          <t>LJUSDAL</t>
        </is>
      </c>
      <c r="G2066" t="n">
        <v>1.3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61880-2023</t>
        </is>
      </c>
      <c r="B2067" s="1" t="n">
        <v>45266</v>
      </c>
      <c r="C2067" s="1" t="n">
        <v>45811</v>
      </c>
      <c r="D2067" t="inlineStr">
        <is>
          <t>GÄVLEBORGS LÄN</t>
        </is>
      </c>
      <c r="E2067" t="inlineStr">
        <is>
          <t>LJUSDAL</t>
        </is>
      </c>
      <c r="G2067" t="n">
        <v>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62095-2023</t>
        </is>
      </c>
      <c r="B2068" s="1" t="n">
        <v>45266</v>
      </c>
      <c r="C2068" s="1" t="n">
        <v>45811</v>
      </c>
      <c r="D2068" t="inlineStr">
        <is>
          <t>GÄVLEBORGS LÄN</t>
        </is>
      </c>
      <c r="E2068" t="inlineStr">
        <is>
          <t>LJUSDAL</t>
        </is>
      </c>
      <c r="G2068" t="n">
        <v>0.2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62101-2023</t>
        </is>
      </c>
      <c r="B2069" s="1" t="n">
        <v>45266</v>
      </c>
      <c r="C2069" s="1" t="n">
        <v>45811</v>
      </c>
      <c r="D2069" t="inlineStr">
        <is>
          <t>GÄVLEBORGS LÄN</t>
        </is>
      </c>
      <c r="E2069" t="inlineStr">
        <is>
          <t>LJUSDAL</t>
        </is>
      </c>
      <c r="G2069" t="n">
        <v>3.4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62252-2023</t>
        </is>
      </c>
      <c r="B2070" s="1" t="n">
        <v>45267</v>
      </c>
      <c r="C2070" s="1" t="n">
        <v>45811</v>
      </c>
      <c r="D2070" t="inlineStr">
        <is>
          <t>GÄVLEBORGS LÄN</t>
        </is>
      </c>
      <c r="E2070" t="inlineStr">
        <is>
          <t>LJUSDAL</t>
        </is>
      </c>
      <c r="G2070" t="n">
        <v>0.8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62256-2023</t>
        </is>
      </c>
      <c r="B2071" s="1" t="n">
        <v>45267</v>
      </c>
      <c r="C2071" s="1" t="n">
        <v>45811</v>
      </c>
      <c r="D2071" t="inlineStr">
        <is>
          <t>GÄVLEBORGS LÄN</t>
        </is>
      </c>
      <c r="E2071" t="inlineStr">
        <is>
          <t>LJUSDAL</t>
        </is>
      </c>
      <c r="G2071" t="n">
        <v>1.1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63258-2023</t>
        </is>
      </c>
      <c r="B2072" s="1" t="n">
        <v>45273</v>
      </c>
      <c r="C2072" s="1" t="n">
        <v>45811</v>
      </c>
      <c r="D2072" t="inlineStr">
        <is>
          <t>GÄVLEBORGS LÄN</t>
        </is>
      </c>
      <c r="E2072" t="inlineStr">
        <is>
          <t>LJUSDAL</t>
        </is>
      </c>
      <c r="G2072" t="n">
        <v>5.3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63256-2023</t>
        </is>
      </c>
      <c r="B2073" s="1" t="n">
        <v>45273</v>
      </c>
      <c r="C2073" s="1" t="n">
        <v>45811</v>
      </c>
      <c r="D2073" t="inlineStr">
        <is>
          <t>GÄVLEBORGS LÄN</t>
        </is>
      </c>
      <c r="E2073" t="inlineStr">
        <is>
          <t>LJUSDAL</t>
        </is>
      </c>
      <c r="G2073" t="n">
        <v>1.9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63253-2023</t>
        </is>
      </c>
      <c r="B2074" s="1" t="n">
        <v>45273</v>
      </c>
      <c r="C2074" s="1" t="n">
        <v>45811</v>
      </c>
      <c r="D2074" t="inlineStr">
        <is>
          <t>GÄVLEBORGS LÄN</t>
        </is>
      </c>
      <c r="E2074" t="inlineStr">
        <is>
          <t>LJUSDAL</t>
        </is>
      </c>
      <c r="G2074" t="n">
        <v>1.9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63438-2023</t>
        </is>
      </c>
      <c r="B2075" s="1" t="n">
        <v>45274</v>
      </c>
      <c r="C2075" s="1" t="n">
        <v>45811</v>
      </c>
      <c r="D2075" t="inlineStr">
        <is>
          <t>GÄVLEBORGS LÄN</t>
        </is>
      </c>
      <c r="E2075" t="inlineStr">
        <is>
          <t>LJUSDAL</t>
        </is>
      </c>
      <c r="G2075" t="n">
        <v>8.9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63324-2023</t>
        </is>
      </c>
      <c r="B2076" s="1" t="n">
        <v>45274</v>
      </c>
      <c r="C2076" s="1" t="n">
        <v>45811</v>
      </c>
      <c r="D2076" t="inlineStr">
        <is>
          <t>GÄVLEBORGS LÄN</t>
        </is>
      </c>
      <c r="E2076" t="inlineStr">
        <is>
          <t>LJUSDAL</t>
        </is>
      </c>
      <c r="G2076" t="n">
        <v>3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63511-2023</t>
        </is>
      </c>
      <c r="B2077" s="1" t="n">
        <v>45274</v>
      </c>
      <c r="C2077" s="1" t="n">
        <v>45811</v>
      </c>
      <c r="D2077" t="inlineStr">
        <is>
          <t>GÄVLEBORGS LÄN</t>
        </is>
      </c>
      <c r="E2077" t="inlineStr">
        <is>
          <t>LJUSDAL</t>
        </is>
      </c>
      <c r="G2077" t="n">
        <v>1.2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63550-2023</t>
        </is>
      </c>
      <c r="B2078" s="1" t="n">
        <v>45275</v>
      </c>
      <c r="C2078" s="1" t="n">
        <v>45811</v>
      </c>
      <c r="D2078" t="inlineStr">
        <is>
          <t>GÄVLEBORGS LÄN</t>
        </is>
      </c>
      <c r="E2078" t="inlineStr">
        <is>
          <t>LJUSDAL</t>
        </is>
      </c>
      <c r="G2078" t="n">
        <v>8.800000000000001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63880-2023</t>
        </is>
      </c>
      <c r="B2079" s="1" t="n">
        <v>45278</v>
      </c>
      <c r="C2079" s="1" t="n">
        <v>45811</v>
      </c>
      <c r="D2079" t="inlineStr">
        <is>
          <t>GÄVLEBORGS LÄN</t>
        </is>
      </c>
      <c r="E2079" t="inlineStr">
        <is>
          <t>LJUSDAL</t>
        </is>
      </c>
      <c r="G2079" t="n">
        <v>1.6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64018-2023</t>
        </is>
      </c>
      <c r="B2080" s="1" t="n">
        <v>45278</v>
      </c>
      <c r="C2080" s="1" t="n">
        <v>45811</v>
      </c>
      <c r="D2080" t="inlineStr">
        <is>
          <t>GÄVLEBORGS LÄN</t>
        </is>
      </c>
      <c r="E2080" t="inlineStr">
        <is>
          <t>LJUSDAL</t>
        </is>
      </c>
      <c r="G2080" t="n">
        <v>5.4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64019-2023</t>
        </is>
      </c>
      <c r="B2081" s="1" t="n">
        <v>45278</v>
      </c>
      <c r="C2081" s="1" t="n">
        <v>45811</v>
      </c>
      <c r="D2081" t="inlineStr">
        <is>
          <t>GÄVLEBORGS LÄN</t>
        </is>
      </c>
      <c r="E2081" t="inlineStr">
        <is>
          <t>LJUSDAL</t>
        </is>
      </c>
      <c r="G2081" t="n">
        <v>1.6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64064-2023</t>
        </is>
      </c>
      <c r="B2082" s="1" t="n">
        <v>45279</v>
      </c>
      <c r="C2082" s="1" t="n">
        <v>45811</v>
      </c>
      <c r="D2082" t="inlineStr">
        <is>
          <t>GÄVLEBORGS LÄN</t>
        </is>
      </c>
      <c r="E2082" t="inlineStr">
        <is>
          <t>LJUSDAL</t>
        </is>
      </c>
      <c r="G2082" t="n">
        <v>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64065-2023</t>
        </is>
      </c>
      <c r="B2083" s="1" t="n">
        <v>45279</v>
      </c>
      <c r="C2083" s="1" t="n">
        <v>45811</v>
      </c>
      <c r="D2083" t="inlineStr">
        <is>
          <t>GÄVLEBORGS LÄN</t>
        </is>
      </c>
      <c r="E2083" t="inlineStr">
        <is>
          <t>LJUSDAL</t>
        </is>
      </c>
      <c r="G2083" t="n">
        <v>4.8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64382-2023</t>
        </is>
      </c>
      <c r="B2084" s="1" t="n">
        <v>45280</v>
      </c>
      <c r="C2084" s="1" t="n">
        <v>45811</v>
      </c>
      <c r="D2084" t="inlineStr">
        <is>
          <t>GÄVLEBORGS LÄN</t>
        </is>
      </c>
      <c r="E2084" t="inlineStr">
        <is>
          <t>LJUSDAL</t>
        </is>
      </c>
      <c r="G2084" t="n">
        <v>2.3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64519-2023</t>
        </is>
      </c>
      <c r="B2085" s="1" t="n">
        <v>45281</v>
      </c>
      <c r="C2085" s="1" t="n">
        <v>45811</v>
      </c>
      <c r="D2085" t="inlineStr">
        <is>
          <t>GÄVLEBORGS LÄN</t>
        </is>
      </c>
      <c r="E2085" t="inlineStr">
        <is>
          <t>LJUSDAL</t>
        </is>
      </c>
      <c r="F2085" t="inlineStr">
        <is>
          <t>Holmen skog AB</t>
        </is>
      </c>
      <c r="G2085" t="n">
        <v>7.5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64627-2023</t>
        </is>
      </c>
      <c r="B2086" s="1" t="n">
        <v>45281</v>
      </c>
      <c r="C2086" s="1" t="n">
        <v>45811</v>
      </c>
      <c r="D2086" t="inlineStr">
        <is>
          <t>GÄVLEBORGS LÄN</t>
        </is>
      </c>
      <c r="E2086" t="inlineStr">
        <is>
          <t>LJUSDAL</t>
        </is>
      </c>
      <c r="G2086" t="n">
        <v>0.7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64786-2023</t>
        </is>
      </c>
      <c r="B2087" s="1" t="n">
        <v>45282</v>
      </c>
      <c r="C2087" s="1" t="n">
        <v>45811</v>
      </c>
      <c r="D2087" t="inlineStr">
        <is>
          <t>GÄVLEBORGS LÄN</t>
        </is>
      </c>
      <c r="E2087" t="inlineStr">
        <is>
          <t>LJUSDAL</t>
        </is>
      </c>
      <c r="F2087" t="inlineStr">
        <is>
          <t>Holmen skog AB</t>
        </is>
      </c>
      <c r="G2087" t="n">
        <v>13.5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64779-2023</t>
        </is>
      </c>
      <c r="B2088" s="1" t="n">
        <v>45282</v>
      </c>
      <c r="C2088" s="1" t="n">
        <v>45811</v>
      </c>
      <c r="D2088" t="inlineStr">
        <is>
          <t>GÄVLEBORGS LÄN</t>
        </is>
      </c>
      <c r="E2088" t="inlineStr">
        <is>
          <t>LJUSDAL</t>
        </is>
      </c>
      <c r="F2088" t="inlineStr">
        <is>
          <t>Holmen skog AB</t>
        </is>
      </c>
      <c r="G2088" t="n">
        <v>11.1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64889-2023</t>
        </is>
      </c>
      <c r="B2089" s="1" t="n">
        <v>45282</v>
      </c>
      <c r="C2089" s="1" t="n">
        <v>45811</v>
      </c>
      <c r="D2089" t="inlineStr">
        <is>
          <t>GÄVLEBORGS LÄN</t>
        </is>
      </c>
      <c r="E2089" t="inlineStr">
        <is>
          <t>LJUSDAL</t>
        </is>
      </c>
      <c r="F2089" t="inlineStr">
        <is>
          <t>Holmen skog AB</t>
        </is>
      </c>
      <c r="G2089" t="n">
        <v>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65175-2023</t>
        </is>
      </c>
      <c r="B2090" s="1" t="n">
        <v>45288</v>
      </c>
      <c r="C2090" s="1" t="n">
        <v>45811</v>
      </c>
      <c r="D2090" t="inlineStr">
        <is>
          <t>GÄVLEBORGS LÄN</t>
        </is>
      </c>
      <c r="E2090" t="inlineStr">
        <is>
          <t>LJUSDAL</t>
        </is>
      </c>
      <c r="G2090" t="n">
        <v>2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8-2024</t>
        </is>
      </c>
      <c r="B2091" s="1" t="n">
        <v>45293</v>
      </c>
      <c r="C2091" s="1" t="n">
        <v>45811</v>
      </c>
      <c r="D2091" t="inlineStr">
        <is>
          <t>GÄVLEBORGS LÄN</t>
        </is>
      </c>
      <c r="E2091" t="inlineStr">
        <is>
          <t>LJUSDAL</t>
        </is>
      </c>
      <c r="G2091" t="n">
        <v>4.7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57-2024</t>
        </is>
      </c>
      <c r="B2092" s="1" t="n">
        <v>45293</v>
      </c>
      <c r="C2092" s="1" t="n">
        <v>45811</v>
      </c>
      <c r="D2092" t="inlineStr">
        <is>
          <t>GÄVLEBORGS LÄN</t>
        </is>
      </c>
      <c r="E2092" t="inlineStr">
        <is>
          <t>LJUSDAL</t>
        </is>
      </c>
      <c r="F2092" t="inlineStr">
        <is>
          <t>Holmen skog AB</t>
        </is>
      </c>
      <c r="G2092" t="n">
        <v>5.8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10-2024</t>
        </is>
      </c>
      <c r="B2093" s="1" t="n">
        <v>45293</v>
      </c>
      <c r="C2093" s="1" t="n">
        <v>45811</v>
      </c>
      <c r="D2093" t="inlineStr">
        <is>
          <t>GÄVLEBORGS LÄN</t>
        </is>
      </c>
      <c r="E2093" t="inlineStr">
        <is>
          <t>LJUSDAL</t>
        </is>
      </c>
      <c r="G2093" t="n">
        <v>7.5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147-2024</t>
        </is>
      </c>
      <c r="B2094" s="1" t="n">
        <v>45294</v>
      </c>
      <c r="C2094" s="1" t="n">
        <v>45811</v>
      </c>
      <c r="D2094" t="inlineStr">
        <is>
          <t>GÄVLEBORGS LÄN</t>
        </is>
      </c>
      <c r="E2094" t="inlineStr">
        <is>
          <t>LJUSDAL</t>
        </is>
      </c>
      <c r="G2094" t="n">
        <v>9.9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188-2024</t>
        </is>
      </c>
      <c r="B2095" s="1" t="n">
        <v>45294</v>
      </c>
      <c r="C2095" s="1" t="n">
        <v>45811</v>
      </c>
      <c r="D2095" t="inlineStr">
        <is>
          <t>GÄVLEBORGS LÄN</t>
        </is>
      </c>
      <c r="E2095" t="inlineStr">
        <is>
          <t>LJUSDAL</t>
        </is>
      </c>
      <c r="G2095" t="n">
        <v>14.3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264-2024</t>
        </is>
      </c>
      <c r="B2096" s="1" t="n">
        <v>45295</v>
      </c>
      <c r="C2096" s="1" t="n">
        <v>45811</v>
      </c>
      <c r="D2096" t="inlineStr">
        <is>
          <t>GÄVLEBORGS LÄN</t>
        </is>
      </c>
      <c r="E2096" t="inlineStr">
        <is>
          <t>LJUSDAL</t>
        </is>
      </c>
      <c r="G2096" t="n">
        <v>1.1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274-2024</t>
        </is>
      </c>
      <c r="B2097" s="1" t="n">
        <v>45295</v>
      </c>
      <c r="C2097" s="1" t="n">
        <v>45811</v>
      </c>
      <c r="D2097" t="inlineStr">
        <is>
          <t>GÄVLEBORGS LÄN</t>
        </is>
      </c>
      <c r="E2097" t="inlineStr">
        <is>
          <t>LJUSDAL</t>
        </is>
      </c>
      <c r="G2097" t="n">
        <v>0.6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270-2024</t>
        </is>
      </c>
      <c r="B2098" s="1" t="n">
        <v>45295</v>
      </c>
      <c r="C2098" s="1" t="n">
        <v>45811</v>
      </c>
      <c r="D2098" t="inlineStr">
        <is>
          <t>GÄVLEBORGS LÄN</t>
        </is>
      </c>
      <c r="E2098" t="inlineStr">
        <is>
          <t>LJUSDAL</t>
        </is>
      </c>
      <c r="G2098" t="n">
        <v>4.2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273-2024</t>
        </is>
      </c>
      <c r="B2099" s="1" t="n">
        <v>45295</v>
      </c>
      <c r="C2099" s="1" t="n">
        <v>45811</v>
      </c>
      <c r="D2099" t="inlineStr">
        <is>
          <t>GÄVLEBORGS LÄN</t>
        </is>
      </c>
      <c r="E2099" t="inlineStr">
        <is>
          <t>LJUSDAL</t>
        </is>
      </c>
      <c r="F2099" t="inlineStr">
        <is>
          <t>Holmen skog AB</t>
        </is>
      </c>
      <c r="G2099" t="n">
        <v>12.2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328-2024</t>
        </is>
      </c>
      <c r="B2100" s="1" t="n">
        <v>45295</v>
      </c>
      <c r="C2100" s="1" t="n">
        <v>45811</v>
      </c>
      <c r="D2100" t="inlineStr">
        <is>
          <t>GÄVLEBORGS LÄN</t>
        </is>
      </c>
      <c r="E2100" t="inlineStr">
        <is>
          <t>LJUSDAL</t>
        </is>
      </c>
      <c r="G2100" t="n">
        <v>0.9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522-2024</t>
        </is>
      </c>
      <c r="B2101" s="1" t="n">
        <v>45299</v>
      </c>
      <c r="C2101" s="1" t="n">
        <v>45811</v>
      </c>
      <c r="D2101" t="inlineStr">
        <is>
          <t>GÄVLEBORGS LÄN</t>
        </is>
      </c>
      <c r="E2101" t="inlineStr">
        <is>
          <t>LJUSDAL</t>
        </is>
      </c>
      <c r="G2101" t="n">
        <v>1.1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591-2024</t>
        </is>
      </c>
      <c r="B2102" s="1" t="n">
        <v>45299</v>
      </c>
      <c r="C2102" s="1" t="n">
        <v>45811</v>
      </c>
      <c r="D2102" t="inlineStr">
        <is>
          <t>GÄVLEBORGS LÄN</t>
        </is>
      </c>
      <c r="E2102" t="inlineStr">
        <is>
          <t>LJUSDAL</t>
        </is>
      </c>
      <c r="G2102" t="n">
        <v>14.1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589-2024</t>
        </is>
      </c>
      <c r="B2103" s="1" t="n">
        <v>45299</v>
      </c>
      <c r="C2103" s="1" t="n">
        <v>45811</v>
      </c>
      <c r="D2103" t="inlineStr">
        <is>
          <t>GÄVLEBORGS LÄN</t>
        </is>
      </c>
      <c r="E2103" t="inlineStr">
        <is>
          <t>LJUSDAL</t>
        </is>
      </c>
      <c r="G2103" t="n">
        <v>13.4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592-2024</t>
        </is>
      </c>
      <c r="B2104" s="1" t="n">
        <v>45299</v>
      </c>
      <c r="C2104" s="1" t="n">
        <v>45811</v>
      </c>
      <c r="D2104" t="inlineStr">
        <is>
          <t>GÄVLEBORGS LÄN</t>
        </is>
      </c>
      <c r="E2104" t="inlineStr">
        <is>
          <t>LJUSDAL</t>
        </is>
      </c>
      <c r="G2104" t="n">
        <v>1.4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608-2024</t>
        </is>
      </c>
      <c r="B2105" s="1" t="n">
        <v>45299</v>
      </c>
      <c r="C2105" s="1" t="n">
        <v>45811</v>
      </c>
      <c r="D2105" t="inlineStr">
        <is>
          <t>GÄVLEBORGS LÄN</t>
        </is>
      </c>
      <c r="E2105" t="inlineStr">
        <is>
          <t>LJUSDAL</t>
        </is>
      </c>
      <c r="G2105" t="n">
        <v>4.4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612-2024</t>
        </is>
      </c>
      <c r="B2106" s="1" t="n">
        <v>45299</v>
      </c>
      <c r="C2106" s="1" t="n">
        <v>45811</v>
      </c>
      <c r="D2106" t="inlineStr">
        <is>
          <t>GÄVLEBORGS LÄN</t>
        </is>
      </c>
      <c r="E2106" t="inlineStr">
        <is>
          <t>LJUSDAL</t>
        </is>
      </c>
      <c r="G2106" t="n">
        <v>3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718-2024</t>
        </is>
      </c>
      <c r="B2107" s="1" t="n">
        <v>45300</v>
      </c>
      <c r="C2107" s="1" t="n">
        <v>45811</v>
      </c>
      <c r="D2107" t="inlineStr">
        <is>
          <t>GÄVLEBORGS LÄN</t>
        </is>
      </c>
      <c r="E2107" t="inlineStr">
        <is>
          <t>LJUSDAL</t>
        </is>
      </c>
      <c r="G2107" t="n">
        <v>1.3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1033-2024</t>
        </is>
      </c>
      <c r="B2108" s="1" t="n">
        <v>45301</v>
      </c>
      <c r="C2108" s="1" t="n">
        <v>45811</v>
      </c>
      <c r="D2108" t="inlineStr">
        <is>
          <t>GÄVLEBORGS LÄN</t>
        </is>
      </c>
      <c r="E2108" t="inlineStr">
        <is>
          <t>LJUSDAL</t>
        </is>
      </c>
      <c r="G2108" t="n">
        <v>2.3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1331-2024</t>
        </is>
      </c>
      <c r="B2109" s="1" t="n">
        <v>45303</v>
      </c>
      <c r="C2109" s="1" t="n">
        <v>45811</v>
      </c>
      <c r="D2109" t="inlineStr">
        <is>
          <t>GÄVLEBORGS LÄN</t>
        </is>
      </c>
      <c r="E2109" t="inlineStr">
        <is>
          <t>LJUSDAL</t>
        </is>
      </c>
      <c r="G2109" t="n">
        <v>39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1335-2024</t>
        </is>
      </c>
      <c r="B2110" s="1" t="n">
        <v>45303</v>
      </c>
      <c r="C2110" s="1" t="n">
        <v>45811</v>
      </c>
      <c r="D2110" t="inlineStr">
        <is>
          <t>GÄVLEBORGS LÄN</t>
        </is>
      </c>
      <c r="E2110" t="inlineStr">
        <is>
          <t>LJUSDAL</t>
        </is>
      </c>
      <c r="G2110" t="n">
        <v>13.8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1618-2024</t>
        </is>
      </c>
      <c r="B2111" s="1" t="n">
        <v>45306</v>
      </c>
      <c r="C2111" s="1" t="n">
        <v>45811</v>
      </c>
      <c r="D2111" t="inlineStr">
        <is>
          <t>GÄVLEBORGS LÄN</t>
        </is>
      </c>
      <c r="E2111" t="inlineStr">
        <is>
          <t>LJUSDAL</t>
        </is>
      </c>
      <c r="G2111" t="n">
        <v>1.1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1820-2024</t>
        </is>
      </c>
      <c r="B2112" s="1" t="n">
        <v>45307</v>
      </c>
      <c r="C2112" s="1" t="n">
        <v>45811</v>
      </c>
      <c r="D2112" t="inlineStr">
        <is>
          <t>GÄVLEBORGS LÄN</t>
        </is>
      </c>
      <c r="E2112" t="inlineStr">
        <is>
          <t>LJUSDAL</t>
        </is>
      </c>
      <c r="G2112" t="n">
        <v>2.2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2074-2024</t>
        </is>
      </c>
      <c r="B2113" s="1" t="n">
        <v>45309</v>
      </c>
      <c r="C2113" s="1" t="n">
        <v>45811</v>
      </c>
      <c r="D2113" t="inlineStr">
        <is>
          <t>GÄVLEBORGS LÄN</t>
        </is>
      </c>
      <c r="E2113" t="inlineStr">
        <is>
          <t>LJUSDAL</t>
        </is>
      </c>
      <c r="G2113" t="n">
        <v>2.8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2367-2024</t>
        </is>
      </c>
      <c r="B2114" s="1" t="n">
        <v>45310</v>
      </c>
      <c r="C2114" s="1" t="n">
        <v>45811</v>
      </c>
      <c r="D2114" t="inlineStr">
        <is>
          <t>GÄVLEBORGS LÄN</t>
        </is>
      </c>
      <c r="E2114" t="inlineStr">
        <is>
          <t>LJUSDAL</t>
        </is>
      </c>
      <c r="G2114" t="n">
        <v>4.2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2396-2024</t>
        </is>
      </c>
      <c r="B2115" s="1" t="n">
        <v>45310</v>
      </c>
      <c r="C2115" s="1" t="n">
        <v>45811</v>
      </c>
      <c r="D2115" t="inlineStr">
        <is>
          <t>GÄVLEBORGS LÄN</t>
        </is>
      </c>
      <c r="E2115" t="inlineStr">
        <is>
          <t>LJUSDAL</t>
        </is>
      </c>
      <c r="G2115" t="n">
        <v>3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2894-2024</t>
        </is>
      </c>
      <c r="B2116" s="1" t="n">
        <v>45315</v>
      </c>
      <c r="C2116" s="1" t="n">
        <v>45811</v>
      </c>
      <c r="D2116" t="inlineStr">
        <is>
          <t>GÄVLEBORGS LÄN</t>
        </is>
      </c>
      <c r="E2116" t="inlineStr">
        <is>
          <t>LJUSDAL</t>
        </is>
      </c>
      <c r="G2116" t="n">
        <v>4.1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2985-2024</t>
        </is>
      </c>
      <c r="B2117" s="1" t="n">
        <v>45315</v>
      </c>
      <c r="C2117" s="1" t="n">
        <v>45811</v>
      </c>
      <c r="D2117" t="inlineStr">
        <is>
          <t>GÄVLEBORGS LÄN</t>
        </is>
      </c>
      <c r="E2117" t="inlineStr">
        <is>
          <t>LJUSDAL</t>
        </is>
      </c>
      <c r="G2117" t="n">
        <v>4.1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2986-2024</t>
        </is>
      </c>
      <c r="B2118" s="1" t="n">
        <v>45315</v>
      </c>
      <c r="C2118" s="1" t="n">
        <v>45811</v>
      </c>
      <c r="D2118" t="inlineStr">
        <is>
          <t>GÄVLEBORGS LÄN</t>
        </is>
      </c>
      <c r="E2118" t="inlineStr">
        <is>
          <t>LJUSDAL</t>
        </is>
      </c>
      <c r="G2118" t="n">
        <v>2.1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2909-2024</t>
        </is>
      </c>
      <c r="B2119" s="1" t="n">
        <v>45315</v>
      </c>
      <c r="C2119" s="1" t="n">
        <v>45811</v>
      </c>
      <c r="D2119" t="inlineStr">
        <is>
          <t>GÄVLEBORGS LÄN</t>
        </is>
      </c>
      <c r="E2119" t="inlineStr">
        <is>
          <t>LJUSDAL</t>
        </is>
      </c>
      <c r="G2119" t="n">
        <v>4.2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3193-2024</t>
        </is>
      </c>
      <c r="B2120" s="1" t="n">
        <v>45316</v>
      </c>
      <c r="C2120" s="1" t="n">
        <v>45811</v>
      </c>
      <c r="D2120" t="inlineStr">
        <is>
          <t>GÄVLEBORGS LÄN</t>
        </is>
      </c>
      <c r="E2120" t="inlineStr">
        <is>
          <t>LJUSDAL</t>
        </is>
      </c>
      <c r="G2120" t="n">
        <v>1.7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3267-2024</t>
        </is>
      </c>
      <c r="B2121" s="1" t="n">
        <v>45317</v>
      </c>
      <c r="C2121" s="1" t="n">
        <v>45811</v>
      </c>
      <c r="D2121" t="inlineStr">
        <is>
          <t>GÄVLEBORGS LÄN</t>
        </is>
      </c>
      <c r="E2121" t="inlineStr">
        <is>
          <t>LJUSDAL</t>
        </is>
      </c>
      <c r="G2121" t="n">
        <v>0.7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3287-2024</t>
        </is>
      </c>
      <c r="B2122" s="1" t="n">
        <v>45317</v>
      </c>
      <c r="C2122" s="1" t="n">
        <v>45811</v>
      </c>
      <c r="D2122" t="inlineStr">
        <is>
          <t>GÄVLEBORGS LÄN</t>
        </is>
      </c>
      <c r="E2122" t="inlineStr">
        <is>
          <t>LJUSDAL</t>
        </is>
      </c>
      <c r="F2122" t="inlineStr">
        <is>
          <t>Övriga Aktiebolag</t>
        </is>
      </c>
      <c r="G2122" t="n">
        <v>4.8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3375-2024</t>
        </is>
      </c>
      <c r="B2123" s="1" t="n">
        <v>45317</v>
      </c>
      <c r="C2123" s="1" t="n">
        <v>45811</v>
      </c>
      <c r="D2123" t="inlineStr">
        <is>
          <t>GÄVLEBORGS LÄN</t>
        </is>
      </c>
      <c r="E2123" t="inlineStr">
        <is>
          <t>LJUSDAL</t>
        </is>
      </c>
      <c r="G2123" t="n">
        <v>7.3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3442-2024</t>
        </is>
      </c>
      <c r="B2124" s="1" t="n">
        <v>45320</v>
      </c>
      <c r="C2124" s="1" t="n">
        <v>45811</v>
      </c>
      <c r="D2124" t="inlineStr">
        <is>
          <t>GÄVLEBORGS LÄN</t>
        </is>
      </c>
      <c r="E2124" t="inlineStr">
        <is>
          <t>LJUSDAL</t>
        </is>
      </c>
      <c r="G2124" t="n">
        <v>1.1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3434-2024</t>
        </is>
      </c>
      <c r="B2125" s="1" t="n">
        <v>45320</v>
      </c>
      <c r="C2125" s="1" t="n">
        <v>45811</v>
      </c>
      <c r="D2125" t="inlineStr">
        <is>
          <t>GÄVLEBORGS LÄN</t>
        </is>
      </c>
      <c r="E2125" t="inlineStr">
        <is>
          <t>LJUSDAL</t>
        </is>
      </c>
      <c r="G2125" t="n">
        <v>1.1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3449-2024</t>
        </is>
      </c>
      <c r="B2126" s="1" t="n">
        <v>45320</v>
      </c>
      <c r="C2126" s="1" t="n">
        <v>45811</v>
      </c>
      <c r="D2126" t="inlineStr">
        <is>
          <t>GÄVLEBORGS LÄN</t>
        </is>
      </c>
      <c r="E2126" t="inlineStr">
        <is>
          <t>LJUSDAL</t>
        </is>
      </c>
      <c r="G2126" t="n">
        <v>0.7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3470-2024</t>
        </is>
      </c>
      <c r="B2127" s="1" t="n">
        <v>45320</v>
      </c>
      <c r="C2127" s="1" t="n">
        <v>45811</v>
      </c>
      <c r="D2127" t="inlineStr">
        <is>
          <t>GÄVLEBORGS LÄN</t>
        </is>
      </c>
      <c r="E2127" t="inlineStr">
        <is>
          <t>LJUSDAL</t>
        </is>
      </c>
      <c r="G2127" t="n">
        <v>0.6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3437-2024</t>
        </is>
      </c>
      <c r="B2128" s="1" t="n">
        <v>45320</v>
      </c>
      <c r="C2128" s="1" t="n">
        <v>45811</v>
      </c>
      <c r="D2128" t="inlineStr">
        <is>
          <t>GÄVLEBORGS LÄN</t>
        </is>
      </c>
      <c r="E2128" t="inlineStr">
        <is>
          <t>LJUSDAL</t>
        </is>
      </c>
      <c r="G2128" t="n">
        <v>2.1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3508-2024</t>
        </is>
      </c>
      <c r="B2129" s="1" t="n">
        <v>45320</v>
      </c>
      <c r="C2129" s="1" t="n">
        <v>45811</v>
      </c>
      <c r="D2129" t="inlineStr">
        <is>
          <t>GÄVLEBORGS LÄN</t>
        </is>
      </c>
      <c r="E2129" t="inlineStr">
        <is>
          <t>LJUSDAL</t>
        </is>
      </c>
      <c r="G2129" t="n">
        <v>4.8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4095-2024</t>
        </is>
      </c>
      <c r="B2130" s="1" t="n">
        <v>45323</v>
      </c>
      <c r="C2130" s="1" t="n">
        <v>45811</v>
      </c>
      <c r="D2130" t="inlineStr">
        <is>
          <t>GÄVLEBORGS LÄN</t>
        </is>
      </c>
      <c r="E2130" t="inlineStr">
        <is>
          <t>LJUSDAL</t>
        </is>
      </c>
      <c r="G2130" t="n">
        <v>0.6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4021-2024</t>
        </is>
      </c>
      <c r="B2131" s="1" t="n">
        <v>45323</v>
      </c>
      <c r="C2131" s="1" t="n">
        <v>45811</v>
      </c>
      <c r="D2131" t="inlineStr">
        <is>
          <t>GÄVLEBORGS LÄN</t>
        </is>
      </c>
      <c r="E2131" t="inlineStr">
        <is>
          <t>LJUSDAL</t>
        </is>
      </c>
      <c r="G2131" t="n">
        <v>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4043-2024</t>
        </is>
      </c>
      <c r="B2132" s="1" t="n">
        <v>45323</v>
      </c>
      <c r="C2132" s="1" t="n">
        <v>45811</v>
      </c>
      <c r="D2132" t="inlineStr">
        <is>
          <t>GÄVLEBORGS LÄN</t>
        </is>
      </c>
      <c r="E2132" t="inlineStr">
        <is>
          <t>LJUSDAL</t>
        </is>
      </c>
      <c r="G2132" t="n">
        <v>9.9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4221-2024</t>
        </is>
      </c>
      <c r="B2133" s="1" t="n">
        <v>45324</v>
      </c>
      <c r="C2133" s="1" t="n">
        <v>45811</v>
      </c>
      <c r="D2133" t="inlineStr">
        <is>
          <t>GÄVLEBORGS LÄN</t>
        </is>
      </c>
      <c r="E2133" t="inlineStr">
        <is>
          <t>LJUSDAL</t>
        </is>
      </c>
      <c r="G2133" t="n">
        <v>14.5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4230-2024</t>
        </is>
      </c>
      <c r="B2134" s="1" t="n">
        <v>45324</v>
      </c>
      <c r="C2134" s="1" t="n">
        <v>45811</v>
      </c>
      <c r="D2134" t="inlineStr">
        <is>
          <t>GÄVLEBORGS LÄN</t>
        </is>
      </c>
      <c r="E2134" t="inlineStr">
        <is>
          <t>LJUSDAL</t>
        </is>
      </c>
      <c r="G2134" t="n">
        <v>1.2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4238-2024</t>
        </is>
      </c>
      <c r="B2135" s="1" t="n">
        <v>45324</v>
      </c>
      <c r="C2135" s="1" t="n">
        <v>45811</v>
      </c>
      <c r="D2135" t="inlineStr">
        <is>
          <t>GÄVLEBORGS LÄN</t>
        </is>
      </c>
      <c r="E2135" t="inlineStr">
        <is>
          <t>LJUSDAL</t>
        </is>
      </c>
      <c r="G2135" t="n">
        <v>2.1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4260-2024</t>
        </is>
      </c>
      <c r="B2136" s="1" t="n">
        <v>45324</v>
      </c>
      <c r="C2136" s="1" t="n">
        <v>45811</v>
      </c>
      <c r="D2136" t="inlineStr">
        <is>
          <t>GÄVLEBORGS LÄN</t>
        </is>
      </c>
      <c r="E2136" t="inlineStr">
        <is>
          <t>LJUSDAL</t>
        </is>
      </c>
      <c r="G2136" t="n">
        <v>2.2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4360-2024</t>
        </is>
      </c>
      <c r="B2137" s="1" t="n">
        <v>45325</v>
      </c>
      <c r="C2137" s="1" t="n">
        <v>45811</v>
      </c>
      <c r="D2137" t="inlineStr">
        <is>
          <t>GÄVLEBORGS LÄN</t>
        </is>
      </c>
      <c r="E2137" t="inlineStr">
        <is>
          <t>LJUSDAL</t>
        </is>
      </c>
      <c r="G2137" t="n">
        <v>2.5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4420-2024</t>
        </is>
      </c>
      <c r="B2138" s="1" t="n">
        <v>45327</v>
      </c>
      <c r="C2138" s="1" t="n">
        <v>45811</v>
      </c>
      <c r="D2138" t="inlineStr">
        <is>
          <t>GÄVLEBORGS LÄN</t>
        </is>
      </c>
      <c r="E2138" t="inlineStr">
        <is>
          <t>LJUSDAL</t>
        </is>
      </c>
      <c r="F2138" t="inlineStr">
        <is>
          <t>Holmen skog AB</t>
        </is>
      </c>
      <c r="G2138" t="n">
        <v>3.6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4582-2024</t>
        </is>
      </c>
      <c r="B2139" s="1" t="n">
        <v>45327</v>
      </c>
      <c r="C2139" s="1" t="n">
        <v>45811</v>
      </c>
      <c r="D2139" t="inlineStr">
        <is>
          <t>GÄVLEBORGS LÄN</t>
        </is>
      </c>
      <c r="E2139" t="inlineStr">
        <is>
          <t>LJUSDAL</t>
        </is>
      </c>
      <c r="G2139" t="n">
        <v>1.2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4581-2024</t>
        </is>
      </c>
      <c r="B2140" s="1" t="n">
        <v>45327</v>
      </c>
      <c r="C2140" s="1" t="n">
        <v>45811</v>
      </c>
      <c r="D2140" t="inlineStr">
        <is>
          <t>GÄVLEBORGS LÄN</t>
        </is>
      </c>
      <c r="E2140" t="inlineStr">
        <is>
          <t>LJUSDAL</t>
        </is>
      </c>
      <c r="G2140" t="n">
        <v>3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4580-2024</t>
        </is>
      </c>
      <c r="B2141" s="1" t="n">
        <v>45327</v>
      </c>
      <c r="C2141" s="1" t="n">
        <v>45811</v>
      </c>
      <c r="D2141" t="inlineStr">
        <is>
          <t>GÄVLEBORGS LÄN</t>
        </is>
      </c>
      <c r="E2141" t="inlineStr">
        <is>
          <t>LJUSDAL</t>
        </is>
      </c>
      <c r="G2141" t="n">
        <v>4.4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4763-2024</t>
        </is>
      </c>
      <c r="B2142" s="1" t="n">
        <v>45328</v>
      </c>
      <c r="C2142" s="1" t="n">
        <v>45811</v>
      </c>
      <c r="D2142" t="inlineStr">
        <is>
          <t>GÄVLEBORGS LÄN</t>
        </is>
      </c>
      <c r="E2142" t="inlineStr">
        <is>
          <t>LJUSDAL</t>
        </is>
      </c>
      <c r="G2142" t="n">
        <v>2.7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4826-2024</t>
        </is>
      </c>
      <c r="B2143" s="1" t="n">
        <v>45328</v>
      </c>
      <c r="C2143" s="1" t="n">
        <v>45811</v>
      </c>
      <c r="D2143" t="inlineStr">
        <is>
          <t>GÄVLEBORGS LÄN</t>
        </is>
      </c>
      <c r="E2143" t="inlineStr">
        <is>
          <t>LJUSDAL</t>
        </is>
      </c>
      <c r="G2143" t="n">
        <v>7.4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5092-2024</t>
        </is>
      </c>
      <c r="B2144" s="1" t="n">
        <v>45330</v>
      </c>
      <c r="C2144" s="1" t="n">
        <v>45811</v>
      </c>
      <c r="D2144" t="inlineStr">
        <is>
          <t>GÄVLEBORGS LÄN</t>
        </is>
      </c>
      <c r="E2144" t="inlineStr">
        <is>
          <t>LJUSDAL</t>
        </is>
      </c>
      <c r="G2144" t="n">
        <v>4.8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5090-2024</t>
        </is>
      </c>
      <c r="B2145" s="1" t="n">
        <v>45330</v>
      </c>
      <c r="C2145" s="1" t="n">
        <v>45811</v>
      </c>
      <c r="D2145" t="inlineStr">
        <is>
          <t>GÄVLEBORGS LÄN</t>
        </is>
      </c>
      <c r="E2145" t="inlineStr">
        <is>
          <t>LJUSDAL</t>
        </is>
      </c>
      <c r="G2145" t="n">
        <v>2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5098-2024</t>
        </is>
      </c>
      <c r="B2146" s="1" t="n">
        <v>45330</v>
      </c>
      <c r="C2146" s="1" t="n">
        <v>45811</v>
      </c>
      <c r="D2146" t="inlineStr">
        <is>
          <t>GÄVLEBORGS LÄN</t>
        </is>
      </c>
      <c r="E2146" t="inlineStr">
        <is>
          <t>LJUSDAL</t>
        </is>
      </c>
      <c r="G2146" t="n">
        <v>1.5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5225-2024</t>
        </is>
      </c>
      <c r="B2147" s="1" t="n">
        <v>45330</v>
      </c>
      <c r="C2147" s="1" t="n">
        <v>45811</v>
      </c>
      <c r="D2147" t="inlineStr">
        <is>
          <t>GÄVLEBORGS LÄN</t>
        </is>
      </c>
      <c r="E2147" t="inlineStr">
        <is>
          <t>LJUSDAL</t>
        </is>
      </c>
      <c r="G2147" t="n">
        <v>5.1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5534-2024</t>
        </is>
      </c>
      <c r="B2148" s="1" t="n">
        <v>45334</v>
      </c>
      <c r="C2148" s="1" t="n">
        <v>45811</v>
      </c>
      <c r="D2148" t="inlineStr">
        <is>
          <t>GÄVLEBORGS LÄN</t>
        </is>
      </c>
      <c r="E2148" t="inlineStr">
        <is>
          <t>LJUSDAL</t>
        </is>
      </c>
      <c r="G2148" t="n">
        <v>1.5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5535-2024</t>
        </is>
      </c>
      <c r="B2149" s="1" t="n">
        <v>45334</v>
      </c>
      <c r="C2149" s="1" t="n">
        <v>45811</v>
      </c>
      <c r="D2149" t="inlineStr">
        <is>
          <t>GÄVLEBORGS LÄN</t>
        </is>
      </c>
      <c r="E2149" t="inlineStr">
        <is>
          <t>LJUSDAL</t>
        </is>
      </c>
      <c r="G2149" t="n">
        <v>2.2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5579-2024</t>
        </is>
      </c>
      <c r="B2150" s="1" t="n">
        <v>45334</v>
      </c>
      <c r="C2150" s="1" t="n">
        <v>45811</v>
      </c>
      <c r="D2150" t="inlineStr">
        <is>
          <t>GÄVLEBORGS LÄN</t>
        </is>
      </c>
      <c r="E2150" t="inlineStr">
        <is>
          <t>LJUSDAL</t>
        </is>
      </c>
      <c r="G2150" t="n">
        <v>3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6074-2024</t>
        </is>
      </c>
      <c r="B2151" s="1" t="n">
        <v>45336</v>
      </c>
      <c r="C2151" s="1" t="n">
        <v>45811</v>
      </c>
      <c r="D2151" t="inlineStr">
        <is>
          <t>GÄVLEBORGS LÄN</t>
        </is>
      </c>
      <c r="E2151" t="inlineStr">
        <is>
          <t>LJUSDAL</t>
        </is>
      </c>
      <c r="G2151" t="n">
        <v>2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6072-2024</t>
        </is>
      </c>
      <c r="B2152" s="1" t="n">
        <v>45336</v>
      </c>
      <c r="C2152" s="1" t="n">
        <v>45811</v>
      </c>
      <c r="D2152" t="inlineStr">
        <is>
          <t>GÄVLEBORGS LÄN</t>
        </is>
      </c>
      <c r="E2152" t="inlineStr">
        <is>
          <t>LJUSDAL</t>
        </is>
      </c>
      <c r="G2152" t="n">
        <v>1.2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6073-2024</t>
        </is>
      </c>
      <c r="B2153" s="1" t="n">
        <v>45336</v>
      </c>
      <c r="C2153" s="1" t="n">
        <v>45811</v>
      </c>
      <c r="D2153" t="inlineStr">
        <is>
          <t>GÄVLEBORGS LÄN</t>
        </is>
      </c>
      <c r="E2153" t="inlineStr">
        <is>
          <t>LJUSDAL</t>
        </is>
      </c>
      <c r="G2153" t="n">
        <v>1.6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6469-2024</t>
        </is>
      </c>
      <c r="B2154" s="1" t="n">
        <v>45338</v>
      </c>
      <c r="C2154" s="1" t="n">
        <v>45811</v>
      </c>
      <c r="D2154" t="inlineStr">
        <is>
          <t>GÄVLEBORGS LÄN</t>
        </is>
      </c>
      <c r="E2154" t="inlineStr">
        <is>
          <t>LJUSDAL</t>
        </is>
      </c>
      <c r="G2154" t="n">
        <v>10.3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6729-2024</t>
        </is>
      </c>
      <c r="B2155" s="1" t="n">
        <v>45342</v>
      </c>
      <c r="C2155" s="1" t="n">
        <v>45811</v>
      </c>
      <c r="D2155" t="inlineStr">
        <is>
          <t>GÄVLEBORGS LÄN</t>
        </is>
      </c>
      <c r="E2155" t="inlineStr">
        <is>
          <t>LJUSDAL</t>
        </is>
      </c>
      <c r="F2155" t="inlineStr">
        <is>
          <t>Bergvik skog väst AB</t>
        </is>
      </c>
      <c r="G2155" t="n">
        <v>22.5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6724-2024</t>
        </is>
      </c>
      <c r="B2156" s="1" t="n">
        <v>45342</v>
      </c>
      <c r="C2156" s="1" t="n">
        <v>45811</v>
      </c>
      <c r="D2156" t="inlineStr">
        <is>
          <t>GÄVLEBORGS LÄN</t>
        </is>
      </c>
      <c r="E2156" t="inlineStr">
        <is>
          <t>LJUSDAL</t>
        </is>
      </c>
      <c r="F2156" t="inlineStr">
        <is>
          <t>Bergvik skog väst AB</t>
        </is>
      </c>
      <c r="G2156" t="n">
        <v>0.8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6844-2024</t>
        </is>
      </c>
      <c r="B2157" s="1" t="n">
        <v>45342</v>
      </c>
      <c r="C2157" s="1" t="n">
        <v>45811</v>
      </c>
      <c r="D2157" t="inlineStr">
        <is>
          <t>GÄVLEBORGS LÄN</t>
        </is>
      </c>
      <c r="E2157" t="inlineStr">
        <is>
          <t>LJUSDAL</t>
        </is>
      </c>
      <c r="G2157" t="n">
        <v>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6802-2024</t>
        </is>
      </c>
      <c r="B2158" s="1" t="n">
        <v>45342</v>
      </c>
      <c r="C2158" s="1" t="n">
        <v>45811</v>
      </c>
      <c r="D2158" t="inlineStr">
        <is>
          <t>GÄVLEBORGS LÄN</t>
        </is>
      </c>
      <c r="E2158" t="inlineStr">
        <is>
          <t>LJUSDAL</t>
        </is>
      </c>
      <c r="F2158" t="inlineStr">
        <is>
          <t>Holmen skog AB</t>
        </is>
      </c>
      <c r="G2158" t="n">
        <v>23.2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7031-2024</t>
        </is>
      </c>
      <c r="B2159" s="1" t="n">
        <v>45343</v>
      </c>
      <c r="C2159" s="1" t="n">
        <v>45811</v>
      </c>
      <c r="D2159" t="inlineStr">
        <is>
          <t>GÄVLEBORGS LÄN</t>
        </is>
      </c>
      <c r="E2159" t="inlineStr">
        <is>
          <t>LJUSDAL</t>
        </is>
      </c>
      <c r="G2159" t="n">
        <v>3.6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7348-2024</t>
        </is>
      </c>
      <c r="B2160" s="1" t="n">
        <v>45345</v>
      </c>
      <c r="C2160" s="1" t="n">
        <v>45811</v>
      </c>
      <c r="D2160" t="inlineStr">
        <is>
          <t>GÄVLEBORGS LÄN</t>
        </is>
      </c>
      <c r="E2160" t="inlineStr">
        <is>
          <t>LJUSDAL</t>
        </is>
      </c>
      <c r="F2160" t="inlineStr">
        <is>
          <t>Bergvik skog väst AB</t>
        </is>
      </c>
      <c r="G2160" t="n">
        <v>13.4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7386-2024</t>
        </is>
      </c>
      <c r="B2161" s="1" t="n">
        <v>45345</v>
      </c>
      <c r="C2161" s="1" t="n">
        <v>45811</v>
      </c>
      <c r="D2161" t="inlineStr">
        <is>
          <t>GÄVLEBORGS LÄN</t>
        </is>
      </c>
      <c r="E2161" t="inlineStr">
        <is>
          <t>LJUSDAL</t>
        </is>
      </c>
      <c r="F2161" t="inlineStr">
        <is>
          <t>Holmen skog AB</t>
        </is>
      </c>
      <c r="G2161" t="n">
        <v>3.8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7514-2024</t>
        </is>
      </c>
      <c r="B2162" s="1" t="n">
        <v>45348</v>
      </c>
      <c r="C2162" s="1" t="n">
        <v>45811</v>
      </c>
      <c r="D2162" t="inlineStr">
        <is>
          <t>GÄVLEBORGS LÄN</t>
        </is>
      </c>
      <c r="E2162" t="inlineStr">
        <is>
          <t>LJUSDAL</t>
        </is>
      </c>
      <c r="G2162" t="n">
        <v>8.6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7513-2024</t>
        </is>
      </c>
      <c r="B2163" s="1" t="n">
        <v>45348</v>
      </c>
      <c r="C2163" s="1" t="n">
        <v>45811</v>
      </c>
      <c r="D2163" t="inlineStr">
        <is>
          <t>GÄVLEBORGS LÄN</t>
        </is>
      </c>
      <c r="E2163" t="inlineStr">
        <is>
          <t>LJUSDAL</t>
        </is>
      </c>
      <c r="G2163" t="n">
        <v>1.9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7603-2024</t>
        </is>
      </c>
      <c r="B2164" s="1" t="n">
        <v>45348</v>
      </c>
      <c r="C2164" s="1" t="n">
        <v>45811</v>
      </c>
      <c r="D2164" t="inlineStr">
        <is>
          <t>GÄVLEBORGS LÄN</t>
        </is>
      </c>
      <c r="E2164" t="inlineStr">
        <is>
          <t>LJUSDAL</t>
        </is>
      </c>
      <c r="G2164" t="n">
        <v>3.2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7606-2024</t>
        </is>
      </c>
      <c r="B2165" s="1" t="n">
        <v>45348</v>
      </c>
      <c r="C2165" s="1" t="n">
        <v>45811</v>
      </c>
      <c r="D2165" t="inlineStr">
        <is>
          <t>GÄVLEBORGS LÄN</t>
        </is>
      </c>
      <c r="E2165" t="inlineStr">
        <is>
          <t>LJUSDAL</t>
        </is>
      </c>
      <c r="G2165" t="n">
        <v>4.7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7731-2024</t>
        </is>
      </c>
      <c r="B2166" s="1" t="n">
        <v>45349</v>
      </c>
      <c r="C2166" s="1" t="n">
        <v>45811</v>
      </c>
      <c r="D2166" t="inlineStr">
        <is>
          <t>GÄVLEBORGS LÄN</t>
        </is>
      </c>
      <c r="E2166" t="inlineStr">
        <is>
          <t>LJUSDAL</t>
        </is>
      </c>
      <c r="G2166" t="n">
        <v>1.1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7709-2024</t>
        </is>
      </c>
      <c r="B2167" s="1" t="n">
        <v>45349</v>
      </c>
      <c r="C2167" s="1" t="n">
        <v>45811</v>
      </c>
      <c r="D2167" t="inlineStr">
        <is>
          <t>GÄVLEBORGS LÄN</t>
        </is>
      </c>
      <c r="E2167" t="inlineStr">
        <is>
          <t>LJUSDAL</t>
        </is>
      </c>
      <c r="F2167" t="inlineStr">
        <is>
          <t>Holmen skog AB</t>
        </is>
      </c>
      <c r="G2167" t="n">
        <v>7.5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7724-2024</t>
        </is>
      </c>
      <c r="B2168" s="1" t="n">
        <v>45349</v>
      </c>
      <c r="C2168" s="1" t="n">
        <v>45811</v>
      </c>
      <c r="D2168" t="inlineStr">
        <is>
          <t>GÄVLEBORGS LÄN</t>
        </is>
      </c>
      <c r="E2168" t="inlineStr">
        <is>
          <t>LJUSDAL</t>
        </is>
      </c>
      <c r="F2168" t="inlineStr">
        <is>
          <t>Bergvik skog väst AB</t>
        </is>
      </c>
      <c r="G2168" t="n">
        <v>1.1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7729-2024</t>
        </is>
      </c>
      <c r="B2169" s="1" t="n">
        <v>45349</v>
      </c>
      <c r="C2169" s="1" t="n">
        <v>45811</v>
      </c>
      <c r="D2169" t="inlineStr">
        <is>
          <t>GÄVLEBORGS LÄN</t>
        </is>
      </c>
      <c r="E2169" t="inlineStr">
        <is>
          <t>LJUSDAL</t>
        </is>
      </c>
      <c r="G2169" t="n">
        <v>1.5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7994-2024</t>
        </is>
      </c>
      <c r="B2170" s="1" t="n">
        <v>45350</v>
      </c>
      <c r="C2170" s="1" t="n">
        <v>45811</v>
      </c>
      <c r="D2170" t="inlineStr">
        <is>
          <t>GÄVLEBORGS LÄN</t>
        </is>
      </c>
      <c r="E2170" t="inlineStr">
        <is>
          <t>LJUSDAL</t>
        </is>
      </c>
      <c r="G2170" t="n">
        <v>3.6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8142-2024</t>
        </is>
      </c>
      <c r="B2171" s="1" t="n">
        <v>45351</v>
      </c>
      <c r="C2171" s="1" t="n">
        <v>45811</v>
      </c>
      <c r="D2171" t="inlineStr">
        <is>
          <t>GÄVLEBORGS LÄN</t>
        </is>
      </c>
      <c r="E2171" t="inlineStr">
        <is>
          <t>LJUSDAL</t>
        </is>
      </c>
      <c r="F2171" t="inlineStr">
        <is>
          <t>Holmen skog AB</t>
        </is>
      </c>
      <c r="G2171" t="n">
        <v>17.1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8061-2024</t>
        </is>
      </c>
      <c r="B2172" s="1" t="n">
        <v>45351</v>
      </c>
      <c r="C2172" s="1" t="n">
        <v>45811</v>
      </c>
      <c r="D2172" t="inlineStr">
        <is>
          <t>GÄVLEBORGS LÄN</t>
        </is>
      </c>
      <c r="E2172" t="inlineStr">
        <is>
          <t>LJUSDAL</t>
        </is>
      </c>
      <c r="G2172" t="n">
        <v>1.2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8081-2024</t>
        </is>
      </c>
      <c r="B2173" s="1" t="n">
        <v>45351</v>
      </c>
      <c r="C2173" s="1" t="n">
        <v>45811</v>
      </c>
      <c r="D2173" t="inlineStr">
        <is>
          <t>GÄVLEBORGS LÄN</t>
        </is>
      </c>
      <c r="E2173" t="inlineStr">
        <is>
          <t>LJUSDAL</t>
        </is>
      </c>
      <c r="G2173" t="n">
        <v>1.4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8289-2024</t>
        </is>
      </c>
      <c r="B2174" s="1" t="n">
        <v>45352</v>
      </c>
      <c r="C2174" s="1" t="n">
        <v>45811</v>
      </c>
      <c r="D2174" t="inlineStr">
        <is>
          <t>GÄVLEBORGS LÄN</t>
        </is>
      </c>
      <c r="E2174" t="inlineStr">
        <is>
          <t>LJUSDAL</t>
        </is>
      </c>
      <c r="F2174" t="inlineStr">
        <is>
          <t>Bergvik skog väst AB</t>
        </is>
      </c>
      <c r="G2174" t="n">
        <v>1.4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8335-2024</t>
        </is>
      </c>
      <c r="B2175" s="1" t="n">
        <v>45352</v>
      </c>
      <c r="C2175" s="1" t="n">
        <v>45811</v>
      </c>
      <c r="D2175" t="inlineStr">
        <is>
          <t>GÄVLEBORGS LÄN</t>
        </is>
      </c>
      <c r="E2175" t="inlineStr">
        <is>
          <t>LJUSDAL</t>
        </is>
      </c>
      <c r="G2175" t="n">
        <v>0.7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8339-2024</t>
        </is>
      </c>
      <c r="B2176" s="1" t="n">
        <v>45352</v>
      </c>
      <c r="C2176" s="1" t="n">
        <v>45811</v>
      </c>
      <c r="D2176" t="inlineStr">
        <is>
          <t>GÄVLEBORGS LÄN</t>
        </is>
      </c>
      <c r="E2176" t="inlineStr">
        <is>
          <t>LJUSDAL</t>
        </is>
      </c>
      <c r="G2176" t="n">
        <v>4.1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8384-2024</t>
        </is>
      </c>
      <c r="B2177" s="1" t="n">
        <v>45352</v>
      </c>
      <c r="C2177" s="1" t="n">
        <v>45811</v>
      </c>
      <c r="D2177" t="inlineStr">
        <is>
          <t>GÄVLEBORGS LÄN</t>
        </is>
      </c>
      <c r="E2177" t="inlineStr">
        <is>
          <t>LJUSDAL</t>
        </is>
      </c>
      <c r="G2177" t="n">
        <v>9.4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8667-2024</t>
        </is>
      </c>
      <c r="B2178" s="1" t="n">
        <v>45356</v>
      </c>
      <c r="C2178" s="1" t="n">
        <v>45811</v>
      </c>
      <c r="D2178" t="inlineStr">
        <is>
          <t>GÄVLEBORGS LÄN</t>
        </is>
      </c>
      <c r="E2178" t="inlineStr">
        <is>
          <t>LJUSDAL</t>
        </is>
      </c>
      <c r="G2178" t="n">
        <v>3.6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8979-2024</t>
        </is>
      </c>
      <c r="B2179" s="1" t="n">
        <v>45357</v>
      </c>
      <c r="C2179" s="1" t="n">
        <v>45811</v>
      </c>
      <c r="D2179" t="inlineStr">
        <is>
          <t>GÄVLEBORGS LÄN</t>
        </is>
      </c>
      <c r="E2179" t="inlineStr">
        <is>
          <t>LJUSDAL</t>
        </is>
      </c>
      <c r="G2179" t="n">
        <v>1.2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9111-2024</t>
        </is>
      </c>
      <c r="B2180" s="1" t="n">
        <v>45358</v>
      </c>
      <c r="C2180" s="1" t="n">
        <v>45811</v>
      </c>
      <c r="D2180" t="inlineStr">
        <is>
          <t>GÄVLEBORGS LÄN</t>
        </is>
      </c>
      <c r="E2180" t="inlineStr">
        <is>
          <t>LJUSDAL</t>
        </is>
      </c>
      <c r="G2180" t="n">
        <v>3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9220-2024</t>
        </is>
      </c>
      <c r="B2181" s="1" t="n">
        <v>45358</v>
      </c>
      <c r="C2181" s="1" t="n">
        <v>45811</v>
      </c>
      <c r="D2181" t="inlineStr">
        <is>
          <t>GÄVLEBORGS LÄN</t>
        </is>
      </c>
      <c r="E2181" t="inlineStr">
        <is>
          <t>LJUSDAL</t>
        </is>
      </c>
      <c r="G2181" t="n">
        <v>4.2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9224-2024</t>
        </is>
      </c>
      <c r="B2182" s="1" t="n">
        <v>45358</v>
      </c>
      <c r="C2182" s="1" t="n">
        <v>45811</v>
      </c>
      <c r="D2182" t="inlineStr">
        <is>
          <t>GÄVLEBORGS LÄN</t>
        </is>
      </c>
      <c r="E2182" t="inlineStr">
        <is>
          <t>LJUSDAL</t>
        </is>
      </c>
      <c r="G2182" t="n">
        <v>2.4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9343-2024</t>
        </is>
      </c>
      <c r="B2183" s="1" t="n">
        <v>45359</v>
      </c>
      <c r="C2183" s="1" t="n">
        <v>45811</v>
      </c>
      <c r="D2183" t="inlineStr">
        <is>
          <t>GÄVLEBORGS LÄN</t>
        </is>
      </c>
      <c r="E2183" t="inlineStr">
        <is>
          <t>LJUSDAL</t>
        </is>
      </c>
      <c r="F2183" t="inlineStr">
        <is>
          <t>SCA</t>
        </is>
      </c>
      <c r="G2183" t="n">
        <v>7.8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9361-2024</t>
        </is>
      </c>
      <c r="B2184" s="1" t="n">
        <v>45359</v>
      </c>
      <c r="C2184" s="1" t="n">
        <v>45811</v>
      </c>
      <c r="D2184" t="inlineStr">
        <is>
          <t>GÄVLEBORGS LÄN</t>
        </is>
      </c>
      <c r="E2184" t="inlineStr">
        <is>
          <t>LJUSDAL</t>
        </is>
      </c>
      <c r="G2184" t="n">
        <v>5.4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9359-2024</t>
        </is>
      </c>
      <c r="B2185" s="1" t="n">
        <v>45359</v>
      </c>
      <c r="C2185" s="1" t="n">
        <v>45811</v>
      </c>
      <c r="D2185" t="inlineStr">
        <is>
          <t>GÄVLEBORGS LÄN</t>
        </is>
      </c>
      <c r="E2185" t="inlineStr">
        <is>
          <t>LJUSDAL</t>
        </is>
      </c>
      <c r="G2185" t="n">
        <v>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9363-2024</t>
        </is>
      </c>
      <c r="B2186" s="1" t="n">
        <v>45359</v>
      </c>
      <c r="C2186" s="1" t="n">
        <v>45811</v>
      </c>
      <c r="D2186" t="inlineStr">
        <is>
          <t>GÄVLEBORGS LÄN</t>
        </is>
      </c>
      <c r="E2186" t="inlineStr">
        <is>
          <t>LJUSDAL</t>
        </is>
      </c>
      <c r="G2186" t="n">
        <v>1.6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9602-2024</t>
        </is>
      </c>
      <c r="B2187" s="1" t="n">
        <v>45361</v>
      </c>
      <c r="C2187" s="1" t="n">
        <v>45811</v>
      </c>
      <c r="D2187" t="inlineStr">
        <is>
          <t>GÄVLEBORGS LÄN</t>
        </is>
      </c>
      <c r="E2187" t="inlineStr">
        <is>
          <t>LJUSDAL</t>
        </is>
      </c>
      <c r="G2187" t="n">
        <v>2.9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9603-2024</t>
        </is>
      </c>
      <c r="B2188" s="1" t="n">
        <v>45361</v>
      </c>
      <c r="C2188" s="1" t="n">
        <v>45811</v>
      </c>
      <c r="D2188" t="inlineStr">
        <is>
          <t>GÄVLEBORGS LÄN</t>
        </is>
      </c>
      <c r="E2188" t="inlineStr">
        <is>
          <t>LJUSDAL</t>
        </is>
      </c>
      <c r="G2188" t="n">
        <v>1.1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9661-2024</t>
        </is>
      </c>
      <c r="B2189" s="1" t="n">
        <v>45362</v>
      </c>
      <c r="C2189" s="1" t="n">
        <v>45811</v>
      </c>
      <c r="D2189" t="inlineStr">
        <is>
          <t>GÄVLEBORGS LÄN</t>
        </is>
      </c>
      <c r="E2189" t="inlineStr">
        <is>
          <t>LJUSDAL</t>
        </is>
      </c>
      <c r="G2189" t="n">
        <v>2.2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10105-2024</t>
        </is>
      </c>
      <c r="B2190" s="1" t="n">
        <v>45364</v>
      </c>
      <c r="C2190" s="1" t="n">
        <v>45811</v>
      </c>
      <c r="D2190" t="inlineStr">
        <is>
          <t>GÄVLEBORGS LÄN</t>
        </is>
      </c>
      <c r="E2190" t="inlineStr">
        <is>
          <t>LJUSDAL</t>
        </is>
      </c>
      <c r="G2190" t="n">
        <v>4.4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10177-2024</t>
        </is>
      </c>
      <c r="B2191" s="1" t="n">
        <v>45364</v>
      </c>
      <c r="C2191" s="1" t="n">
        <v>45811</v>
      </c>
      <c r="D2191" t="inlineStr">
        <is>
          <t>GÄVLEBORGS LÄN</t>
        </is>
      </c>
      <c r="E2191" t="inlineStr">
        <is>
          <t>LJUSDAL</t>
        </is>
      </c>
      <c r="G2191" t="n">
        <v>1.5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10141-2024</t>
        </is>
      </c>
      <c r="B2192" s="1" t="n">
        <v>45364</v>
      </c>
      <c r="C2192" s="1" t="n">
        <v>45811</v>
      </c>
      <c r="D2192" t="inlineStr">
        <is>
          <t>GÄVLEBORGS LÄN</t>
        </is>
      </c>
      <c r="E2192" t="inlineStr">
        <is>
          <t>LJUSDAL</t>
        </is>
      </c>
      <c r="G2192" t="n">
        <v>2.6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10207-2024</t>
        </is>
      </c>
      <c r="B2193" s="1" t="n">
        <v>45364</v>
      </c>
      <c r="C2193" s="1" t="n">
        <v>45811</v>
      </c>
      <c r="D2193" t="inlineStr">
        <is>
          <t>GÄVLEBORGS LÄN</t>
        </is>
      </c>
      <c r="E2193" t="inlineStr">
        <is>
          <t>LJUSDAL</t>
        </is>
      </c>
      <c r="G2193" t="n">
        <v>3.3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10239-2024</t>
        </is>
      </c>
      <c r="B2194" s="1" t="n">
        <v>45365</v>
      </c>
      <c r="C2194" s="1" t="n">
        <v>45811</v>
      </c>
      <c r="D2194" t="inlineStr">
        <is>
          <t>GÄVLEBORGS LÄN</t>
        </is>
      </c>
      <c r="E2194" t="inlineStr">
        <is>
          <t>LJUSDAL</t>
        </is>
      </c>
      <c r="F2194" t="inlineStr">
        <is>
          <t>Bergvik skog väst AB</t>
        </is>
      </c>
      <c r="G2194" t="n">
        <v>7.1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10514-2024</t>
        </is>
      </c>
      <c r="B2195" s="1" t="n">
        <v>45366</v>
      </c>
      <c r="C2195" s="1" t="n">
        <v>45811</v>
      </c>
      <c r="D2195" t="inlineStr">
        <is>
          <t>GÄVLEBORGS LÄN</t>
        </is>
      </c>
      <c r="E2195" t="inlineStr">
        <is>
          <t>LJUSDAL</t>
        </is>
      </c>
      <c r="G2195" t="n">
        <v>3.3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10978-2024</t>
        </is>
      </c>
      <c r="B2196" s="1" t="n">
        <v>45370</v>
      </c>
      <c r="C2196" s="1" t="n">
        <v>45811</v>
      </c>
      <c r="D2196" t="inlineStr">
        <is>
          <t>GÄVLEBORGS LÄN</t>
        </is>
      </c>
      <c r="E2196" t="inlineStr">
        <is>
          <t>LJUSDAL</t>
        </is>
      </c>
      <c r="G2196" t="n">
        <v>0.9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11275-2024</t>
        </is>
      </c>
      <c r="B2197" s="1" t="n">
        <v>45371</v>
      </c>
      <c r="C2197" s="1" t="n">
        <v>45811</v>
      </c>
      <c r="D2197" t="inlineStr">
        <is>
          <t>GÄVLEBORGS LÄN</t>
        </is>
      </c>
      <c r="E2197" t="inlineStr">
        <is>
          <t>LJUSDAL</t>
        </is>
      </c>
      <c r="G2197" t="n">
        <v>14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11316-2024</t>
        </is>
      </c>
      <c r="B2198" s="1" t="n">
        <v>45371</v>
      </c>
      <c r="C2198" s="1" t="n">
        <v>45811</v>
      </c>
      <c r="D2198" t="inlineStr">
        <is>
          <t>GÄVLEBORGS LÄN</t>
        </is>
      </c>
      <c r="E2198" t="inlineStr">
        <is>
          <t>LJUSDAL</t>
        </is>
      </c>
      <c r="G2198" t="n">
        <v>4.4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11327-2024</t>
        </is>
      </c>
      <c r="B2199" s="1" t="n">
        <v>45371</v>
      </c>
      <c r="C2199" s="1" t="n">
        <v>45811</v>
      </c>
      <c r="D2199" t="inlineStr">
        <is>
          <t>GÄVLEBORGS LÄN</t>
        </is>
      </c>
      <c r="E2199" t="inlineStr">
        <is>
          <t>LJUSDAL</t>
        </is>
      </c>
      <c r="G2199" t="n">
        <v>6.3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11383-2024</t>
        </is>
      </c>
      <c r="B2200" s="1" t="n">
        <v>45372</v>
      </c>
      <c r="C2200" s="1" t="n">
        <v>45811</v>
      </c>
      <c r="D2200" t="inlineStr">
        <is>
          <t>GÄVLEBORGS LÄN</t>
        </is>
      </c>
      <c r="E2200" t="inlineStr">
        <is>
          <t>LJUSDAL</t>
        </is>
      </c>
      <c r="G2200" t="n">
        <v>2.9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11387-2024</t>
        </is>
      </c>
      <c r="B2201" s="1" t="n">
        <v>45372</v>
      </c>
      <c r="C2201" s="1" t="n">
        <v>45811</v>
      </c>
      <c r="D2201" t="inlineStr">
        <is>
          <t>GÄVLEBORGS LÄN</t>
        </is>
      </c>
      <c r="E2201" t="inlineStr">
        <is>
          <t>LJUSDAL</t>
        </is>
      </c>
      <c r="G2201" t="n">
        <v>0.7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11465-2024</t>
        </is>
      </c>
      <c r="B2202" s="1" t="n">
        <v>45372</v>
      </c>
      <c r="C2202" s="1" t="n">
        <v>45811</v>
      </c>
      <c r="D2202" t="inlineStr">
        <is>
          <t>GÄVLEBORGS LÄN</t>
        </is>
      </c>
      <c r="E2202" t="inlineStr">
        <is>
          <t>LJUSDAL</t>
        </is>
      </c>
      <c r="G2202" t="n">
        <v>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11496-2024</t>
        </is>
      </c>
      <c r="B2203" s="1" t="n">
        <v>45372</v>
      </c>
      <c r="C2203" s="1" t="n">
        <v>45811</v>
      </c>
      <c r="D2203" t="inlineStr">
        <is>
          <t>GÄVLEBORGS LÄN</t>
        </is>
      </c>
      <c r="E2203" t="inlineStr">
        <is>
          <t>LJUSDAL</t>
        </is>
      </c>
      <c r="G2203" t="n">
        <v>1.4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11662-2024</t>
        </is>
      </c>
      <c r="B2204" s="1" t="n">
        <v>45373</v>
      </c>
      <c r="C2204" s="1" t="n">
        <v>45811</v>
      </c>
      <c r="D2204" t="inlineStr">
        <is>
          <t>GÄVLEBORGS LÄN</t>
        </is>
      </c>
      <c r="E2204" t="inlineStr">
        <is>
          <t>LJUSDAL</t>
        </is>
      </c>
      <c r="G2204" t="n">
        <v>9.1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11664-2024</t>
        </is>
      </c>
      <c r="B2205" s="1" t="n">
        <v>45373</v>
      </c>
      <c r="C2205" s="1" t="n">
        <v>45811</v>
      </c>
      <c r="D2205" t="inlineStr">
        <is>
          <t>GÄVLEBORGS LÄN</t>
        </is>
      </c>
      <c r="E2205" t="inlineStr">
        <is>
          <t>LJUSDAL</t>
        </is>
      </c>
      <c r="F2205" t="inlineStr">
        <is>
          <t>Bergvik skog väst AB</t>
        </is>
      </c>
      <c r="G2205" t="n">
        <v>14.9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11838-2024</t>
        </is>
      </c>
      <c r="B2206" s="1" t="n">
        <v>45376</v>
      </c>
      <c r="C2206" s="1" t="n">
        <v>45811</v>
      </c>
      <c r="D2206" t="inlineStr">
        <is>
          <t>GÄVLEBORGS LÄN</t>
        </is>
      </c>
      <c r="E2206" t="inlineStr">
        <is>
          <t>LJUSDAL</t>
        </is>
      </c>
      <c r="G2206" t="n">
        <v>2.1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12799-2024</t>
        </is>
      </c>
      <c r="B2207" s="1" t="n">
        <v>45384</v>
      </c>
      <c r="C2207" s="1" t="n">
        <v>45811</v>
      </c>
      <c r="D2207" t="inlineStr">
        <is>
          <t>GÄVLEBORGS LÄN</t>
        </is>
      </c>
      <c r="E2207" t="inlineStr">
        <is>
          <t>LJUSDAL</t>
        </is>
      </c>
      <c r="G2207" t="n">
        <v>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12855-2024</t>
        </is>
      </c>
      <c r="B2208" s="1" t="n">
        <v>45385</v>
      </c>
      <c r="C2208" s="1" t="n">
        <v>45811</v>
      </c>
      <c r="D2208" t="inlineStr">
        <is>
          <t>GÄVLEBORGS LÄN</t>
        </is>
      </c>
      <c r="E2208" t="inlineStr">
        <is>
          <t>LJUSDAL</t>
        </is>
      </c>
      <c r="G2208" t="n">
        <v>2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13238-2024</t>
        </is>
      </c>
      <c r="B2209" s="1" t="n">
        <v>45386</v>
      </c>
      <c r="C2209" s="1" t="n">
        <v>45811</v>
      </c>
      <c r="D2209" t="inlineStr">
        <is>
          <t>GÄVLEBORGS LÄN</t>
        </is>
      </c>
      <c r="E2209" t="inlineStr">
        <is>
          <t>LJUSDAL</t>
        </is>
      </c>
      <c r="G2209" t="n">
        <v>5.9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13337-2024</t>
        </is>
      </c>
      <c r="B2210" s="1" t="n">
        <v>45386</v>
      </c>
      <c r="C2210" s="1" t="n">
        <v>45811</v>
      </c>
      <c r="D2210" t="inlineStr">
        <is>
          <t>GÄVLEBORGS LÄN</t>
        </is>
      </c>
      <c r="E2210" t="inlineStr">
        <is>
          <t>LJUSDAL</t>
        </is>
      </c>
      <c r="G2210" t="n">
        <v>0.4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13496-2024</t>
        </is>
      </c>
      <c r="B2211" s="1" t="n">
        <v>45387</v>
      </c>
      <c r="C2211" s="1" t="n">
        <v>45811</v>
      </c>
      <c r="D2211" t="inlineStr">
        <is>
          <t>GÄVLEBORGS LÄN</t>
        </is>
      </c>
      <c r="E2211" t="inlineStr">
        <is>
          <t>LJUSDAL</t>
        </is>
      </c>
      <c r="G2211" t="n">
        <v>3.6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13406-2024</t>
        </is>
      </c>
      <c r="B2212" s="1" t="n">
        <v>45387</v>
      </c>
      <c r="C2212" s="1" t="n">
        <v>45811</v>
      </c>
      <c r="D2212" t="inlineStr">
        <is>
          <t>GÄVLEBORGS LÄN</t>
        </is>
      </c>
      <c r="E2212" t="inlineStr">
        <is>
          <t>LJUSDAL</t>
        </is>
      </c>
      <c r="G2212" t="n">
        <v>2.6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13427-2024</t>
        </is>
      </c>
      <c r="B2213" s="1" t="n">
        <v>45387</v>
      </c>
      <c r="C2213" s="1" t="n">
        <v>45811</v>
      </c>
      <c r="D2213" t="inlineStr">
        <is>
          <t>GÄVLEBORGS LÄN</t>
        </is>
      </c>
      <c r="E2213" t="inlineStr">
        <is>
          <t>LJUSDAL</t>
        </is>
      </c>
      <c r="G2213" t="n">
        <v>2.8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13411-2024</t>
        </is>
      </c>
      <c r="B2214" s="1" t="n">
        <v>45387</v>
      </c>
      <c r="C2214" s="1" t="n">
        <v>45811</v>
      </c>
      <c r="D2214" t="inlineStr">
        <is>
          <t>GÄVLEBORGS LÄN</t>
        </is>
      </c>
      <c r="E2214" t="inlineStr">
        <is>
          <t>LJUSDAL</t>
        </is>
      </c>
      <c r="G2214" t="n">
        <v>1.3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13498-2024</t>
        </is>
      </c>
      <c r="B2215" s="1" t="n">
        <v>45387</v>
      </c>
      <c r="C2215" s="1" t="n">
        <v>45811</v>
      </c>
      <c r="D2215" t="inlineStr">
        <is>
          <t>GÄVLEBORGS LÄN</t>
        </is>
      </c>
      <c r="E2215" t="inlineStr">
        <is>
          <t>LJUSDAL</t>
        </is>
      </c>
      <c r="G2215" t="n">
        <v>1.3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13417-2024</t>
        </is>
      </c>
      <c r="B2216" s="1" t="n">
        <v>45387</v>
      </c>
      <c r="C2216" s="1" t="n">
        <v>45811</v>
      </c>
      <c r="D2216" t="inlineStr">
        <is>
          <t>GÄVLEBORGS LÄN</t>
        </is>
      </c>
      <c r="E2216" t="inlineStr">
        <is>
          <t>LJUSDAL</t>
        </is>
      </c>
      <c r="G2216" t="n">
        <v>0.9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13829-2024</t>
        </is>
      </c>
      <c r="B2217" s="1" t="n">
        <v>45391</v>
      </c>
      <c r="C2217" s="1" t="n">
        <v>45811</v>
      </c>
      <c r="D2217" t="inlineStr">
        <is>
          <t>GÄVLEBORGS LÄN</t>
        </is>
      </c>
      <c r="E2217" t="inlineStr">
        <is>
          <t>LJUSDAL</t>
        </is>
      </c>
      <c r="F2217" t="inlineStr">
        <is>
          <t>Kommuner</t>
        </is>
      </c>
      <c r="G2217" t="n">
        <v>0.7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13911-2024</t>
        </is>
      </c>
      <c r="B2218" s="1" t="n">
        <v>45391</v>
      </c>
      <c r="C2218" s="1" t="n">
        <v>45811</v>
      </c>
      <c r="D2218" t="inlineStr">
        <is>
          <t>GÄVLEBORGS LÄN</t>
        </is>
      </c>
      <c r="E2218" t="inlineStr">
        <is>
          <t>LJUSDAL</t>
        </is>
      </c>
      <c r="G2218" t="n">
        <v>18.2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13822-2024</t>
        </is>
      </c>
      <c r="B2219" s="1" t="n">
        <v>45391</v>
      </c>
      <c r="C2219" s="1" t="n">
        <v>45811</v>
      </c>
      <c r="D2219" t="inlineStr">
        <is>
          <t>GÄVLEBORGS LÄN</t>
        </is>
      </c>
      <c r="E2219" t="inlineStr">
        <is>
          <t>LJUSDAL</t>
        </is>
      </c>
      <c r="F2219" t="inlineStr">
        <is>
          <t>Kommuner</t>
        </is>
      </c>
      <c r="G2219" t="n">
        <v>3.8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13872-2024</t>
        </is>
      </c>
      <c r="B2220" s="1" t="n">
        <v>45391</v>
      </c>
      <c r="C2220" s="1" t="n">
        <v>45811</v>
      </c>
      <c r="D2220" t="inlineStr">
        <is>
          <t>GÄVLEBORGS LÄN</t>
        </is>
      </c>
      <c r="E2220" t="inlineStr">
        <is>
          <t>LJUSDAL</t>
        </is>
      </c>
      <c r="G2220" t="n">
        <v>13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14046-2024</t>
        </is>
      </c>
      <c r="B2221" s="1" t="n">
        <v>45392</v>
      </c>
      <c r="C2221" s="1" t="n">
        <v>45811</v>
      </c>
      <c r="D2221" t="inlineStr">
        <is>
          <t>GÄVLEBORGS LÄN</t>
        </is>
      </c>
      <c r="E2221" t="inlineStr">
        <is>
          <t>LJUSDAL</t>
        </is>
      </c>
      <c r="G2221" t="n">
        <v>2.6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14263-2024</t>
        </is>
      </c>
      <c r="B2222" s="1" t="n">
        <v>45393</v>
      </c>
      <c r="C2222" s="1" t="n">
        <v>45811</v>
      </c>
      <c r="D2222" t="inlineStr">
        <is>
          <t>GÄVLEBORGS LÄN</t>
        </is>
      </c>
      <c r="E2222" t="inlineStr">
        <is>
          <t>LJUSDAL</t>
        </is>
      </c>
      <c r="G2222" t="n">
        <v>2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14296-2024</t>
        </is>
      </c>
      <c r="B2223" s="1" t="n">
        <v>45393</v>
      </c>
      <c r="C2223" s="1" t="n">
        <v>45811</v>
      </c>
      <c r="D2223" t="inlineStr">
        <is>
          <t>GÄVLEBORGS LÄN</t>
        </is>
      </c>
      <c r="E2223" t="inlineStr">
        <is>
          <t>LJUSDAL</t>
        </is>
      </c>
      <c r="F2223" t="inlineStr">
        <is>
          <t>Bergvik skog väst AB</t>
        </is>
      </c>
      <c r="G2223" t="n">
        <v>0.4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14877-2024</t>
        </is>
      </c>
      <c r="B2224" s="1" t="n">
        <v>45398</v>
      </c>
      <c r="C2224" s="1" t="n">
        <v>45811</v>
      </c>
      <c r="D2224" t="inlineStr">
        <is>
          <t>GÄVLEBORGS LÄN</t>
        </is>
      </c>
      <c r="E2224" t="inlineStr">
        <is>
          <t>LJUSDAL</t>
        </is>
      </c>
      <c r="F2224" t="inlineStr">
        <is>
          <t>Allmännings- och besparingsskogar</t>
        </is>
      </c>
      <c r="G2224" t="n">
        <v>27.1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14880-2024</t>
        </is>
      </c>
      <c r="B2225" s="1" t="n">
        <v>45398</v>
      </c>
      <c r="C2225" s="1" t="n">
        <v>45811</v>
      </c>
      <c r="D2225" t="inlineStr">
        <is>
          <t>GÄVLEBORGS LÄN</t>
        </is>
      </c>
      <c r="E2225" t="inlineStr">
        <is>
          <t>LJUSDAL</t>
        </is>
      </c>
      <c r="F2225" t="inlineStr">
        <is>
          <t>Allmännings- och besparingsskogar</t>
        </is>
      </c>
      <c r="G2225" t="n">
        <v>28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14944-2024</t>
        </is>
      </c>
      <c r="B2226" s="1" t="n">
        <v>45398</v>
      </c>
      <c r="C2226" s="1" t="n">
        <v>45811</v>
      </c>
      <c r="D2226" t="inlineStr">
        <is>
          <t>GÄVLEBORGS LÄN</t>
        </is>
      </c>
      <c r="E2226" t="inlineStr">
        <is>
          <t>LJUSDAL</t>
        </is>
      </c>
      <c r="G2226" t="n">
        <v>1.5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15023-2024</t>
        </is>
      </c>
      <c r="B2227" s="1" t="n">
        <v>45399</v>
      </c>
      <c r="C2227" s="1" t="n">
        <v>45811</v>
      </c>
      <c r="D2227" t="inlineStr">
        <is>
          <t>GÄVLEBORGS LÄN</t>
        </is>
      </c>
      <c r="E2227" t="inlineStr">
        <is>
          <t>LJUSDAL</t>
        </is>
      </c>
      <c r="G2227" t="n">
        <v>4.5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15053-2024</t>
        </is>
      </c>
      <c r="B2228" s="1" t="n">
        <v>45399</v>
      </c>
      <c r="C2228" s="1" t="n">
        <v>45811</v>
      </c>
      <c r="D2228" t="inlineStr">
        <is>
          <t>GÄVLEBORGS LÄN</t>
        </is>
      </c>
      <c r="E2228" t="inlineStr">
        <is>
          <t>LJUSDAL</t>
        </is>
      </c>
      <c r="G2228" t="n">
        <v>11.9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15168-2024</t>
        </is>
      </c>
      <c r="B2229" s="1" t="n">
        <v>45400</v>
      </c>
      <c r="C2229" s="1" t="n">
        <v>45811</v>
      </c>
      <c r="D2229" t="inlineStr">
        <is>
          <t>GÄVLEBORGS LÄN</t>
        </is>
      </c>
      <c r="E2229" t="inlineStr">
        <is>
          <t>LJUSDAL</t>
        </is>
      </c>
      <c r="F2229" t="inlineStr">
        <is>
          <t>Holmen skog AB</t>
        </is>
      </c>
      <c r="G2229" t="n">
        <v>6.6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15267-2024</t>
        </is>
      </c>
      <c r="B2230" s="1" t="n">
        <v>45400</v>
      </c>
      <c r="C2230" s="1" t="n">
        <v>45811</v>
      </c>
      <c r="D2230" t="inlineStr">
        <is>
          <t>GÄVLEBORGS LÄN</t>
        </is>
      </c>
      <c r="E2230" t="inlineStr">
        <is>
          <t>LJUSDAL</t>
        </is>
      </c>
      <c r="G2230" t="n">
        <v>1.4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15372-2024</t>
        </is>
      </c>
      <c r="B2231" s="1" t="n">
        <v>45401</v>
      </c>
      <c r="C2231" s="1" t="n">
        <v>45811</v>
      </c>
      <c r="D2231" t="inlineStr">
        <is>
          <t>GÄVLEBORGS LÄN</t>
        </is>
      </c>
      <c r="E2231" t="inlineStr">
        <is>
          <t>LJUSDAL</t>
        </is>
      </c>
      <c r="G2231" t="n">
        <v>2.9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15371-2024</t>
        </is>
      </c>
      <c r="B2232" s="1" t="n">
        <v>45401</v>
      </c>
      <c r="C2232" s="1" t="n">
        <v>45811</v>
      </c>
      <c r="D2232" t="inlineStr">
        <is>
          <t>GÄVLEBORGS LÄN</t>
        </is>
      </c>
      <c r="E2232" t="inlineStr">
        <is>
          <t>LJUSDAL</t>
        </is>
      </c>
      <c r="G2232" t="n">
        <v>5.7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15984-2024</t>
        </is>
      </c>
      <c r="B2233" s="1" t="n">
        <v>45405</v>
      </c>
      <c r="C2233" s="1" t="n">
        <v>45811</v>
      </c>
      <c r="D2233" t="inlineStr">
        <is>
          <t>GÄVLEBORGS LÄN</t>
        </is>
      </c>
      <c r="E2233" t="inlineStr">
        <is>
          <t>LJUSDAL</t>
        </is>
      </c>
      <c r="G2233" t="n">
        <v>4.6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16666-2024</t>
        </is>
      </c>
      <c r="B2234" s="1" t="n">
        <v>45408</v>
      </c>
      <c r="C2234" s="1" t="n">
        <v>45811</v>
      </c>
      <c r="D2234" t="inlineStr">
        <is>
          <t>GÄVLEBORGS LÄN</t>
        </is>
      </c>
      <c r="E2234" t="inlineStr">
        <is>
          <t>LJUSDAL</t>
        </is>
      </c>
      <c r="G2234" t="n">
        <v>22.8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17044-2024</t>
        </is>
      </c>
      <c r="B2235" s="1" t="n">
        <v>45412</v>
      </c>
      <c r="C2235" s="1" t="n">
        <v>45811</v>
      </c>
      <c r="D2235" t="inlineStr">
        <is>
          <t>GÄVLEBORGS LÄN</t>
        </is>
      </c>
      <c r="E2235" t="inlineStr">
        <is>
          <t>LJUSDAL</t>
        </is>
      </c>
      <c r="G2235" t="n">
        <v>3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18078-2024</t>
        </is>
      </c>
      <c r="B2236" s="1" t="n">
        <v>45420</v>
      </c>
      <c r="C2236" s="1" t="n">
        <v>45811</v>
      </c>
      <c r="D2236" t="inlineStr">
        <is>
          <t>GÄVLEBORGS LÄN</t>
        </is>
      </c>
      <c r="E2236" t="inlineStr">
        <is>
          <t>LJUSDAL</t>
        </is>
      </c>
      <c r="F2236" t="inlineStr">
        <is>
          <t>Holmen skog AB</t>
        </is>
      </c>
      <c r="G2236" t="n">
        <v>0.7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18061-2024</t>
        </is>
      </c>
      <c r="B2237" s="1" t="n">
        <v>45420</v>
      </c>
      <c r="C2237" s="1" t="n">
        <v>45811</v>
      </c>
      <c r="D2237" t="inlineStr">
        <is>
          <t>GÄVLEBORGS LÄN</t>
        </is>
      </c>
      <c r="E2237" t="inlineStr">
        <is>
          <t>LJUSDAL</t>
        </is>
      </c>
      <c r="G2237" t="n">
        <v>5.1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18130-2024</t>
        </is>
      </c>
      <c r="B2238" s="1" t="n">
        <v>45420</v>
      </c>
      <c r="C2238" s="1" t="n">
        <v>45811</v>
      </c>
      <c r="D2238" t="inlineStr">
        <is>
          <t>GÄVLEBORGS LÄN</t>
        </is>
      </c>
      <c r="E2238" t="inlineStr">
        <is>
          <t>LJUSDAL</t>
        </is>
      </c>
      <c r="G2238" t="n">
        <v>1.1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18158-2024</t>
        </is>
      </c>
      <c r="B2239" s="1" t="n">
        <v>45420</v>
      </c>
      <c r="C2239" s="1" t="n">
        <v>45811</v>
      </c>
      <c r="D2239" t="inlineStr">
        <is>
          <t>GÄVLEBORGS LÄN</t>
        </is>
      </c>
      <c r="E2239" t="inlineStr">
        <is>
          <t>LJUSDAL</t>
        </is>
      </c>
      <c r="G2239" t="n">
        <v>1.8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18166-2024</t>
        </is>
      </c>
      <c r="B2240" s="1" t="n">
        <v>45420</v>
      </c>
      <c r="C2240" s="1" t="n">
        <v>45811</v>
      </c>
      <c r="D2240" t="inlineStr">
        <is>
          <t>GÄVLEBORGS LÄN</t>
        </is>
      </c>
      <c r="E2240" t="inlineStr">
        <is>
          <t>LJUSDAL</t>
        </is>
      </c>
      <c r="G2240" t="n">
        <v>2.5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18169-2024</t>
        </is>
      </c>
      <c r="B2241" s="1" t="n">
        <v>45420</v>
      </c>
      <c r="C2241" s="1" t="n">
        <v>45811</v>
      </c>
      <c r="D2241" t="inlineStr">
        <is>
          <t>GÄVLEBORGS LÄN</t>
        </is>
      </c>
      <c r="E2241" t="inlineStr">
        <is>
          <t>LJUSDAL</t>
        </is>
      </c>
      <c r="G2241" t="n">
        <v>2.6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18221-2024</t>
        </is>
      </c>
      <c r="B2242" s="1" t="n">
        <v>45421</v>
      </c>
      <c r="C2242" s="1" t="n">
        <v>45811</v>
      </c>
      <c r="D2242" t="inlineStr">
        <is>
          <t>GÄVLEBORGS LÄN</t>
        </is>
      </c>
      <c r="E2242" t="inlineStr">
        <is>
          <t>LJUSDAL</t>
        </is>
      </c>
      <c r="G2242" t="n">
        <v>0.7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18111-2024</t>
        </is>
      </c>
      <c r="B2243" s="1" t="n">
        <v>45420</v>
      </c>
      <c r="C2243" s="1" t="n">
        <v>45811</v>
      </c>
      <c r="D2243" t="inlineStr">
        <is>
          <t>GÄVLEBORGS LÄN</t>
        </is>
      </c>
      <c r="E2243" t="inlineStr">
        <is>
          <t>LJUSDAL</t>
        </is>
      </c>
      <c r="F2243" t="inlineStr">
        <is>
          <t>Holmen skog AB</t>
        </is>
      </c>
      <c r="G2243" t="n">
        <v>5.7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18250-2024</t>
        </is>
      </c>
      <c r="B2244" s="1" t="n">
        <v>45421</v>
      </c>
      <c r="C2244" s="1" t="n">
        <v>45811</v>
      </c>
      <c r="D2244" t="inlineStr">
        <is>
          <t>GÄVLEBORGS LÄN</t>
        </is>
      </c>
      <c r="E2244" t="inlineStr">
        <is>
          <t>LJUSDAL</t>
        </is>
      </c>
      <c r="F2244" t="inlineStr">
        <is>
          <t>Sveaskog</t>
        </is>
      </c>
      <c r="G2244" t="n">
        <v>7.2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18357-2024</t>
        </is>
      </c>
      <c r="B2245" s="1" t="n">
        <v>45422</v>
      </c>
      <c r="C2245" s="1" t="n">
        <v>45811</v>
      </c>
      <c r="D2245" t="inlineStr">
        <is>
          <t>GÄVLEBORGS LÄN</t>
        </is>
      </c>
      <c r="E2245" t="inlineStr">
        <is>
          <t>LJUSDAL</t>
        </is>
      </c>
      <c r="G2245" t="n">
        <v>3.8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18297-2024</t>
        </is>
      </c>
      <c r="B2246" s="1" t="n">
        <v>45422</v>
      </c>
      <c r="C2246" s="1" t="n">
        <v>45811</v>
      </c>
      <c r="D2246" t="inlineStr">
        <is>
          <t>GÄVLEBORGS LÄN</t>
        </is>
      </c>
      <c r="E2246" t="inlineStr">
        <is>
          <t>LJUSDAL</t>
        </is>
      </c>
      <c r="F2246" t="inlineStr">
        <is>
          <t>Holmen skog AB</t>
        </is>
      </c>
      <c r="G2246" t="n">
        <v>1.6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  <c r="U2246">
        <f>HYPERLINK("https://klasma.github.io/Logging_2161/knärot/A 18297-2024 karta knärot.png", "A 18297-2024")</f>
        <v/>
      </c>
      <c r="V2246">
        <f>HYPERLINK("https://klasma.github.io/Logging_2161/klagomål/A 18297-2024 FSC-klagomål.docx", "A 18297-2024")</f>
        <v/>
      </c>
      <c r="W2246">
        <f>HYPERLINK("https://klasma.github.io/Logging_2161/klagomålsmail/A 18297-2024 FSC-klagomål mail.docx", "A 18297-2024")</f>
        <v/>
      </c>
      <c r="X2246">
        <f>HYPERLINK("https://klasma.github.io/Logging_2161/tillsyn/A 18297-2024 tillsynsbegäran.docx", "A 18297-2024")</f>
        <v/>
      </c>
      <c r="Y2246">
        <f>HYPERLINK("https://klasma.github.io/Logging_2161/tillsynsmail/A 18297-2024 tillsynsbegäran mail.docx", "A 18297-2024")</f>
        <v/>
      </c>
    </row>
    <row r="2247" ht="15" customHeight="1">
      <c r="A2247" t="inlineStr">
        <is>
          <t>A 18374-2024</t>
        </is>
      </c>
      <c r="B2247" s="1" t="n">
        <v>45423</v>
      </c>
      <c r="C2247" s="1" t="n">
        <v>45811</v>
      </c>
      <c r="D2247" t="inlineStr">
        <is>
          <t>GÄVLEBORGS LÄN</t>
        </is>
      </c>
      <c r="E2247" t="inlineStr">
        <is>
          <t>LJUSDAL</t>
        </is>
      </c>
      <c r="G2247" t="n">
        <v>8.6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18375-2024</t>
        </is>
      </c>
      <c r="B2248" s="1" t="n">
        <v>45423</v>
      </c>
      <c r="C2248" s="1" t="n">
        <v>45811</v>
      </c>
      <c r="D2248" t="inlineStr">
        <is>
          <t>GÄVLEBORGS LÄN</t>
        </is>
      </c>
      <c r="E2248" t="inlineStr">
        <is>
          <t>LJUSDAL</t>
        </is>
      </c>
      <c r="G2248" t="n">
        <v>0.9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18488-2024</t>
        </is>
      </c>
      <c r="B2249" s="1" t="n">
        <v>45425</v>
      </c>
      <c r="C2249" s="1" t="n">
        <v>45811</v>
      </c>
      <c r="D2249" t="inlineStr">
        <is>
          <t>GÄVLEBORGS LÄN</t>
        </is>
      </c>
      <c r="E2249" t="inlineStr">
        <is>
          <t>LJUSDAL</t>
        </is>
      </c>
      <c r="G2249" t="n">
        <v>2.7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18611-2024</t>
        </is>
      </c>
      <c r="B2250" s="1" t="n">
        <v>45426</v>
      </c>
      <c r="C2250" s="1" t="n">
        <v>45811</v>
      </c>
      <c r="D2250" t="inlineStr">
        <is>
          <t>GÄVLEBORGS LÄN</t>
        </is>
      </c>
      <c r="E2250" t="inlineStr">
        <is>
          <t>LJUSDAL</t>
        </is>
      </c>
      <c r="G2250" t="n">
        <v>0.6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18576-2024</t>
        </is>
      </c>
      <c r="B2251" s="1" t="n">
        <v>45425</v>
      </c>
      <c r="C2251" s="1" t="n">
        <v>45811</v>
      </c>
      <c r="D2251" t="inlineStr">
        <is>
          <t>GÄVLEBORGS LÄN</t>
        </is>
      </c>
      <c r="E2251" t="inlineStr">
        <is>
          <t>LJUSDAL</t>
        </is>
      </c>
      <c r="G2251" t="n">
        <v>0.7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18428-2024</t>
        </is>
      </c>
      <c r="B2252" s="1" t="n">
        <v>45425</v>
      </c>
      <c r="C2252" s="1" t="n">
        <v>45811</v>
      </c>
      <c r="D2252" t="inlineStr">
        <is>
          <t>GÄVLEBORGS LÄN</t>
        </is>
      </c>
      <c r="E2252" t="inlineStr">
        <is>
          <t>LJUSDAL</t>
        </is>
      </c>
      <c r="F2252" t="inlineStr">
        <is>
          <t>Sveaskog</t>
        </is>
      </c>
      <c r="G2252" t="n">
        <v>5.5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18608-2024</t>
        </is>
      </c>
      <c r="B2253" s="1" t="n">
        <v>45426</v>
      </c>
      <c r="C2253" s="1" t="n">
        <v>45811</v>
      </c>
      <c r="D2253" t="inlineStr">
        <is>
          <t>GÄVLEBORGS LÄN</t>
        </is>
      </c>
      <c r="E2253" t="inlineStr">
        <is>
          <t>LJUSDAL</t>
        </is>
      </c>
      <c r="G2253" t="n">
        <v>0.7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18446-2024</t>
        </is>
      </c>
      <c r="B2254" s="1" t="n">
        <v>45425</v>
      </c>
      <c r="C2254" s="1" t="n">
        <v>45811</v>
      </c>
      <c r="D2254" t="inlineStr">
        <is>
          <t>GÄVLEBORGS LÄN</t>
        </is>
      </c>
      <c r="E2254" t="inlineStr">
        <is>
          <t>LJUSDAL</t>
        </is>
      </c>
      <c r="F2254" t="inlineStr">
        <is>
          <t>Sveaskog</t>
        </is>
      </c>
      <c r="G2254" t="n">
        <v>2.6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18450-2024</t>
        </is>
      </c>
      <c r="B2255" s="1" t="n">
        <v>45425</v>
      </c>
      <c r="C2255" s="1" t="n">
        <v>45811</v>
      </c>
      <c r="D2255" t="inlineStr">
        <is>
          <t>GÄVLEBORGS LÄN</t>
        </is>
      </c>
      <c r="E2255" t="inlineStr">
        <is>
          <t>LJUSDAL</t>
        </is>
      </c>
      <c r="F2255" t="inlineStr">
        <is>
          <t>Sveaskog</t>
        </is>
      </c>
      <c r="G2255" t="n">
        <v>5.4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18734-2024</t>
        </is>
      </c>
      <c r="B2256" s="1" t="n">
        <v>45426</v>
      </c>
      <c r="C2256" s="1" t="n">
        <v>45811</v>
      </c>
      <c r="D2256" t="inlineStr">
        <is>
          <t>GÄVLEBORGS LÄN</t>
        </is>
      </c>
      <c r="E2256" t="inlineStr">
        <is>
          <t>LJUSDAL</t>
        </is>
      </c>
      <c r="F2256" t="inlineStr">
        <is>
          <t>Sveaskog</t>
        </is>
      </c>
      <c r="G2256" t="n">
        <v>3.6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18733-2024</t>
        </is>
      </c>
      <c r="B2257" s="1" t="n">
        <v>45426</v>
      </c>
      <c r="C2257" s="1" t="n">
        <v>45811</v>
      </c>
      <c r="D2257" t="inlineStr">
        <is>
          <t>GÄVLEBORGS LÄN</t>
        </is>
      </c>
      <c r="E2257" t="inlineStr">
        <is>
          <t>LJUSDAL</t>
        </is>
      </c>
      <c r="F2257" t="inlineStr">
        <is>
          <t>Sveaskog</t>
        </is>
      </c>
      <c r="G2257" t="n">
        <v>1.2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18731-2024</t>
        </is>
      </c>
      <c r="B2258" s="1" t="n">
        <v>45426</v>
      </c>
      <c r="C2258" s="1" t="n">
        <v>45811</v>
      </c>
      <c r="D2258" t="inlineStr">
        <is>
          <t>GÄVLEBORGS LÄN</t>
        </is>
      </c>
      <c r="E2258" t="inlineStr">
        <is>
          <t>LJUSDAL</t>
        </is>
      </c>
      <c r="F2258" t="inlineStr">
        <is>
          <t>Sveaskog</t>
        </is>
      </c>
      <c r="G2258" t="n">
        <v>6.8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18958-2024</t>
        </is>
      </c>
      <c r="B2259" s="1" t="n">
        <v>45427</v>
      </c>
      <c r="C2259" s="1" t="n">
        <v>45811</v>
      </c>
      <c r="D2259" t="inlineStr">
        <is>
          <t>GÄVLEBORGS LÄN</t>
        </is>
      </c>
      <c r="E2259" t="inlineStr">
        <is>
          <t>LJUSDAL</t>
        </is>
      </c>
      <c r="F2259" t="inlineStr">
        <is>
          <t>Bergvik skog väst AB</t>
        </is>
      </c>
      <c r="G2259" t="n">
        <v>1.4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18934-2024</t>
        </is>
      </c>
      <c r="B2260" s="1" t="n">
        <v>45427</v>
      </c>
      <c r="C2260" s="1" t="n">
        <v>45811</v>
      </c>
      <c r="D2260" t="inlineStr">
        <is>
          <t>GÄVLEBORGS LÄN</t>
        </is>
      </c>
      <c r="E2260" t="inlineStr">
        <is>
          <t>LJUSDAL</t>
        </is>
      </c>
      <c r="G2260" t="n">
        <v>1.6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18914-2024</t>
        </is>
      </c>
      <c r="B2261" s="1" t="n">
        <v>45427</v>
      </c>
      <c r="C2261" s="1" t="n">
        <v>45811</v>
      </c>
      <c r="D2261" t="inlineStr">
        <is>
          <t>GÄVLEBORGS LÄN</t>
        </is>
      </c>
      <c r="E2261" t="inlineStr">
        <is>
          <t>LJUSDAL</t>
        </is>
      </c>
      <c r="G2261" t="n">
        <v>1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18960-2024</t>
        </is>
      </c>
      <c r="B2262" s="1" t="n">
        <v>45427</v>
      </c>
      <c r="C2262" s="1" t="n">
        <v>45811</v>
      </c>
      <c r="D2262" t="inlineStr">
        <is>
          <t>GÄVLEBORGS LÄN</t>
        </is>
      </c>
      <c r="E2262" t="inlineStr">
        <is>
          <t>LJUSDAL</t>
        </is>
      </c>
      <c r="F2262" t="inlineStr">
        <is>
          <t>Bergvik skog väst AB</t>
        </is>
      </c>
      <c r="G2262" t="n">
        <v>4.3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18996-2024</t>
        </is>
      </c>
      <c r="B2263" s="1" t="n">
        <v>45427</v>
      </c>
      <c r="C2263" s="1" t="n">
        <v>45811</v>
      </c>
      <c r="D2263" t="inlineStr">
        <is>
          <t>GÄVLEBORGS LÄN</t>
        </is>
      </c>
      <c r="E2263" t="inlineStr">
        <is>
          <t>LJUSDAL</t>
        </is>
      </c>
      <c r="G2263" t="n">
        <v>8.1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19190-2024</t>
        </is>
      </c>
      <c r="B2264" s="1" t="n">
        <v>45428</v>
      </c>
      <c r="C2264" s="1" t="n">
        <v>45811</v>
      </c>
      <c r="D2264" t="inlineStr">
        <is>
          <t>GÄVLEBORGS LÄN</t>
        </is>
      </c>
      <c r="E2264" t="inlineStr">
        <is>
          <t>LJUSDAL</t>
        </is>
      </c>
      <c r="G2264" t="n">
        <v>4.8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19407-2024</t>
        </is>
      </c>
      <c r="B2265" s="1" t="n">
        <v>45429</v>
      </c>
      <c r="C2265" s="1" t="n">
        <v>45811</v>
      </c>
      <c r="D2265" t="inlineStr">
        <is>
          <t>GÄVLEBORGS LÄN</t>
        </is>
      </c>
      <c r="E2265" t="inlineStr">
        <is>
          <t>LJUSDAL</t>
        </is>
      </c>
      <c r="F2265" t="inlineStr">
        <is>
          <t>Sveaskog</t>
        </is>
      </c>
      <c r="G2265" t="n">
        <v>2.7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19641-2024</t>
        </is>
      </c>
      <c r="B2266" s="1" t="n">
        <v>45432</v>
      </c>
      <c r="C2266" s="1" t="n">
        <v>45811</v>
      </c>
      <c r="D2266" t="inlineStr">
        <is>
          <t>GÄVLEBORGS LÄN</t>
        </is>
      </c>
      <c r="E2266" t="inlineStr">
        <is>
          <t>LJUSDAL</t>
        </is>
      </c>
      <c r="G2266" t="n">
        <v>1.4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19647-2024</t>
        </is>
      </c>
      <c r="B2267" s="1" t="n">
        <v>45432</v>
      </c>
      <c r="C2267" s="1" t="n">
        <v>45811</v>
      </c>
      <c r="D2267" t="inlineStr">
        <is>
          <t>GÄVLEBORGS LÄN</t>
        </is>
      </c>
      <c r="E2267" t="inlineStr">
        <is>
          <t>LJUSDAL</t>
        </is>
      </c>
      <c r="F2267" t="inlineStr">
        <is>
          <t>Bergvik skog väst AB</t>
        </is>
      </c>
      <c r="G2267" t="n">
        <v>8.6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19637-2024</t>
        </is>
      </c>
      <c r="B2268" s="1" t="n">
        <v>45432</v>
      </c>
      <c r="C2268" s="1" t="n">
        <v>45811</v>
      </c>
      <c r="D2268" t="inlineStr">
        <is>
          <t>GÄVLEBORGS LÄN</t>
        </is>
      </c>
      <c r="E2268" t="inlineStr">
        <is>
          <t>LJUSDAL</t>
        </is>
      </c>
      <c r="G2268" t="n">
        <v>3.7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19633-2024</t>
        </is>
      </c>
      <c r="B2269" s="1" t="n">
        <v>45432</v>
      </c>
      <c r="C2269" s="1" t="n">
        <v>45811</v>
      </c>
      <c r="D2269" t="inlineStr">
        <is>
          <t>GÄVLEBORGS LÄN</t>
        </is>
      </c>
      <c r="E2269" t="inlineStr">
        <is>
          <t>LJUSDAL</t>
        </is>
      </c>
      <c r="G2269" t="n">
        <v>7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19646-2024</t>
        </is>
      </c>
      <c r="B2270" s="1" t="n">
        <v>45432</v>
      </c>
      <c r="C2270" s="1" t="n">
        <v>45811</v>
      </c>
      <c r="D2270" t="inlineStr">
        <is>
          <t>GÄVLEBORGS LÄN</t>
        </is>
      </c>
      <c r="E2270" t="inlineStr">
        <is>
          <t>LJUSDAL</t>
        </is>
      </c>
      <c r="F2270" t="inlineStr">
        <is>
          <t>Bergvik skog väst AB</t>
        </is>
      </c>
      <c r="G2270" t="n">
        <v>4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19642-2024</t>
        </is>
      </c>
      <c r="B2271" s="1" t="n">
        <v>45432</v>
      </c>
      <c r="C2271" s="1" t="n">
        <v>45811</v>
      </c>
      <c r="D2271" t="inlineStr">
        <is>
          <t>GÄVLEBORGS LÄN</t>
        </is>
      </c>
      <c r="E2271" t="inlineStr">
        <is>
          <t>LJUSDAL</t>
        </is>
      </c>
      <c r="G2271" t="n">
        <v>2.1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19797-2024</t>
        </is>
      </c>
      <c r="B2272" s="1" t="n">
        <v>45433</v>
      </c>
      <c r="C2272" s="1" t="n">
        <v>45811</v>
      </c>
      <c r="D2272" t="inlineStr">
        <is>
          <t>GÄVLEBORGS LÄN</t>
        </is>
      </c>
      <c r="E2272" t="inlineStr">
        <is>
          <t>LJUSDAL</t>
        </is>
      </c>
      <c r="G2272" t="n">
        <v>0.7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19813-2024</t>
        </is>
      </c>
      <c r="B2273" s="1" t="n">
        <v>45433</v>
      </c>
      <c r="C2273" s="1" t="n">
        <v>45811</v>
      </c>
      <c r="D2273" t="inlineStr">
        <is>
          <t>GÄVLEBORGS LÄN</t>
        </is>
      </c>
      <c r="E2273" t="inlineStr">
        <is>
          <t>LJUSDAL</t>
        </is>
      </c>
      <c r="G2273" t="n">
        <v>3.2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19849-2024</t>
        </is>
      </c>
      <c r="B2274" s="1" t="n">
        <v>45433</v>
      </c>
      <c r="C2274" s="1" t="n">
        <v>45811</v>
      </c>
      <c r="D2274" t="inlineStr">
        <is>
          <t>GÄVLEBORGS LÄN</t>
        </is>
      </c>
      <c r="E2274" t="inlineStr">
        <is>
          <t>LJUSDAL</t>
        </is>
      </c>
      <c r="F2274" t="inlineStr">
        <is>
          <t>Sveaskog</t>
        </is>
      </c>
      <c r="G2274" t="n">
        <v>1.3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20026-2024</t>
        </is>
      </c>
      <c r="B2275" s="1" t="n">
        <v>45434</v>
      </c>
      <c r="C2275" s="1" t="n">
        <v>45811</v>
      </c>
      <c r="D2275" t="inlineStr">
        <is>
          <t>GÄVLEBORGS LÄN</t>
        </is>
      </c>
      <c r="E2275" t="inlineStr">
        <is>
          <t>LJUSDAL</t>
        </is>
      </c>
      <c r="G2275" t="n">
        <v>4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20043-2024</t>
        </is>
      </c>
      <c r="B2276" s="1" t="n">
        <v>45434</v>
      </c>
      <c r="C2276" s="1" t="n">
        <v>45811</v>
      </c>
      <c r="D2276" t="inlineStr">
        <is>
          <t>GÄVLEBORGS LÄN</t>
        </is>
      </c>
      <c r="E2276" t="inlineStr">
        <is>
          <t>LJUSDAL</t>
        </is>
      </c>
      <c r="G2276" t="n">
        <v>0.7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20031-2024</t>
        </is>
      </c>
      <c r="B2277" s="1" t="n">
        <v>45434</v>
      </c>
      <c r="C2277" s="1" t="n">
        <v>45811</v>
      </c>
      <c r="D2277" t="inlineStr">
        <is>
          <t>GÄVLEBORGS LÄN</t>
        </is>
      </c>
      <c r="E2277" t="inlineStr">
        <is>
          <t>LJUSDAL</t>
        </is>
      </c>
      <c r="G2277" t="n">
        <v>2.4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20032-2024</t>
        </is>
      </c>
      <c r="B2278" s="1" t="n">
        <v>45434</v>
      </c>
      <c r="C2278" s="1" t="n">
        <v>45811</v>
      </c>
      <c r="D2278" t="inlineStr">
        <is>
          <t>GÄVLEBORGS LÄN</t>
        </is>
      </c>
      <c r="E2278" t="inlineStr">
        <is>
          <t>LJUSDAL</t>
        </is>
      </c>
      <c r="G2278" t="n">
        <v>1.2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20218-2024</t>
        </is>
      </c>
      <c r="B2279" s="1" t="n">
        <v>45434</v>
      </c>
      <c r="C2279" s="1" t="n">
        <v>45811</v>
      </c>
      <c r="D2279" t="inlineStr">
        <is>
          <t>GÄVLEBORGS LÄN</t>
        </is>
      </c>
      <c r="E2279" t="inlineStr">
        <is>
          <t>LJUSDAL</t>
        </is>
      </c>
      <c r="G2279" t="n">
        <v>1.6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20332-2024</t>
        </is>
      </c>
      <c r="B2280" s="1" t="n">
        <v>45435</v>
      </c>
      <c r="C2280" s="1" t="n">
        <v>45811</v>
      </c>
      <c r="D2280" t="inlineStr">
        <is>
          <t>GÄVLEBORGS LÄN</t>
        </is>
      </c>
      <c r="E2280" t="inlineStr">
        <is>
          <t>LJUSDAL</t>
        </is>
      </c>
      <c r="G2280" t="n">
        <v>3.8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20288-2024</t>
        </is>
      </c>
      <c r="B2281" s="1" t="n">
        <v>45435</v>
      </c>
      <c r="C2281" s="1" t="n">
        <v>45811</v>
      </c>
      <c r="D2281" t="inlineStr">
        <is>
          <t>GÄVLEBORGS LÄN</t>
        </is>
      </c>
      <c r="E2281" t="inlineStr">
        <is>
          <t>LJUSDAL</t>
        </is>
      </c>
      <c r="G2281" t="n">
        <v>1.4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20317-2024</t>
        </is>
      </c>
      <c r="B2282" s="1" t="n">
        <v>45435</v>
      </c>
      <c r="C2282" s="1" t="n">
        <v>45811</v>
      </c>
      <c r="D2282" t="inlineStr">
        <is>
          <t>GÄVLEBORGS LÄN</t>
        </is>
      </c>
      <c r="E2282" t="inlineStr">
        <is>
          <t>LJUSDAL</t>
        </is>
      </c>
      <c r="G2282" t="n">
        <v>2.4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20335-2024</t>
        </is>
      </c>
      <c r="B2283" s="1" t="n">
        <v>45435</v>
      </c>
      <c r="C2283" s="1" t="n">
        <v>45811</v>
      </c>
      <c r="D2283" t="inlineStr">
        <is>
          <t>GÄVLEBORGS LÄN</t>
        </is>
      </c>
      <c r="E2283" t="inlineStr">
        <is>
          <t>LJUSDAL</t>
        </is>
      </c>
      <c r="G2283" t="n">
        <v>3.4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20339-2024</t>
        </is>
      </c>
      <c r="B2284" s="1" t="n">
        <v>45435</v>
      </c>
      <c r="C2284" s="1" t="n">
        <v>45811</v>
      </c>
      <c r="D2284" t="inlineStr">
        <is>
          <t>GÄVLEBORGS LÄN</t>
        </is>
      </c>
      <c r="E2284" t="inlineStr">
        <is>
          <t>LJUSDAL</t>
        </is>
      </c>
      <c r="G2284" t="n">
        <v>1.4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20424-2024</t>
        </is>
      </c>
      <c r="B2285" s="1" t="n">
        <v>45435</v>
      </c>
      <c r="C2285" s="1" t="n">
        <v>45811</v>
      </c>
      <c r="D2285" t="inlineStr">
        <is>
          <t>GÄVLEBORGS LÄN</t>
        </is>
      </c>
      <c r="E2285" t="inlineStr">
        <is>
          <t>LJUSDAL</t>
        </is>
      </c>
      <c r="G2285" t="n">
        <v>1.2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20554-2024</t>
        </is>
      </c>
      <c r="B2286" s="1" t="n">
        <v>45436</v>
      </c>
      <c r="C2286" s="1" t="n">
        <v>45811</v>
      </c>
      <c r="D2286" t="inlineStr">
        <is>
          <t>GÄVLEBORGS LÄN</t>
        </is>
      </c>
      <c r="E2286" t="inlineStr">
        <is>
          <t>LJUSDAL</t>
        </is>
      </c>
      <c r="F2286" t="inlineStr">
        <is>
          <t>Sveaskog</t>
        </is>
      </c>
      <c r="G2286" t="n">
        <v>4.5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20548-2024</t>
        </is>
      </c>
      <c r="B2287" s="1" t="n">
        <v>45436</v>
      </c>
      <c r="C2287" s="1" t="n">
        <v>45811</v>
      </c>
      <c r="D2287" t="inlineStr">
        <is>
          <t>GÄVLEBORGS LÄN</t>
        </is>
      </c>
      <c r="E2287" t="inlineStr">
        <is>
          <t>LJUSDAL</t>
        </is>
      </c>
      <c r="F2287" t="inlineStr">
        <is>
          <t>Sveaskog</t>
        </is>
      </c>
      <c r="G2287" t="n">
        <v>1.2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20653-2024</t>
        </is>
      </c>
      <c r="B2288" s="1" t="n">
        <v>45436</v>
      </c>
      <c r="C2288" s="1" t="n">
        <v>45811</v>
      </c>
      <c r="D2288" t="inlineStr">
        <is>
          <t>GÄVLEBORGS LÄN</t>
        </is>
      </c>
      <c r="E2288" t="inlineStr">
        <is>
          <t>LJUSDAL</t>
        </is>
      </c>
      <c r="F2288" t="inlineStr">
        <is>
          <t>Sveaskog</t>
        </is>
      </c>
      <c r="G2288" t="n">
        <v>0.7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20549-2024</t>
        </is>
      </c>
      <c r="B2289" s="1" t="n">
        <v>45436</v>
      </c>
      <c r="C2289" s="1" t="n">
        <v>45811</v>
      </c>
      <c r="D2289" t="inlineStr">
        <is>
          <t>GÄVLEBORGS LÄN</t>
        </is>
      </c>
      <c r="E2289" t="inlineStr">
        <is>
          <t>LJUSDAL</t>
        </is>
      </c>
      <c r="F2289" t="inlineStr">
        <is>
          <t>Sveaskog</t>
        </is>
      </c>
      <c r="G2289" t="n">
        <v>2.5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20555-2024</t>
        </is>
      </c>
      <c r="B2290" s="1" t="n">
        <v>45436</v>
      </c>
      <c r="C2290" s="1" t="n">
        <v>45811</v>
      </c>
      <c r="D2290" t="inlineStr">
        <is>
          <t>GÄVLEBORGS LÄN</t>
        </is>
      </c>
      <c r="E2290" t="inlineStr">
        <is>
          <t>LJUSDAL</t>
        </is>
      </c>
      <c r="F2290" t="inlineStr">
        <is>
          <t>Sveaskog</t>
        </is>
      </c>
      <c r="G2290" t="n">
        <v>2.9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20787-2024</t>
        </is>
      </c>
      <c r="B2291" s="1" t="n">
        <v>45438</v>
      </c>
      <c r="C2291" s="1" t="n">
        <v>45811</v>
      </c>
      <c r="D2291" t="inlineStr">
        <is>
          <t>GÄVLEBORGS LÄN</t>
        </is>
      </c>
      <c r="E2291" t="inlineStr">
        <is>
          <t>LJUSDAL</t>
        </is>
      </c>
      <c r="G2291" t="n">
        <v>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21070-2024</t>
        </is>
      </c>
      <c r="B2292" s="1" t="n">
        <v>45439</v>
      </c>
      <c r="C2292" s="1" t="n">
        <v>45811</v>
      </c>
      <c r="D2292" t="inlineStr">
        <is>
          <t>GÄVLEBORGS LÄN</t>
        </is>
      </c>
      <c r="E2292" t="inlineStr">
        <is>
          <t>LJUSDAL</t>
        </is>
      </c>
      <c r="F2292" t="inlineStr">
        <is>
          <t>Övriga Aktiebolag</t>
        </is>
      </c>
      <c r="G2292" t="n">
        <v>8.199999999999999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20897-2024</t>
        </is>
      </c>
      <c r="B2293" s="1" t="n">
        <v>45439</v>
      </c>
      <c r="C2293" s="1" t="n">
        <v>45811</v>
      </c>
      <c r="D2293" t="inlineStr">
        <is>
          <t>GÄVLEBORGS LÄN</t>
        </is>
      </c>
      <c r="E2293" t="inlineStr">
        <is>
          <t>LJUSDAL</t>
        </is>
      </c>
      <c r="G2293" t="n">
        <v>4.6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20956-2024</t>
        </is>
      </c>
      <c r="B2294" s="1" t="n">
        <v>45439</v>
      </c>
      <c r="C2294" s="1" t="n">
        <v>45811</v>
      </c>
      <c r="D2294" t="inlineStr">
        <is>
          <t>GÄVLEBORGS LÄN</t>
        </is>
      </c>
      <c r="E2294" t="inlineStr">
        <is>
          <t>LJUSDAL</t>
        </is>
      </c>
      <c r="G2294" t="n">
        <v>7.2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21194-2024</t>
        </is>
      </c>
      <c r="B2295" s="1" t="n">
        <v>45440</v>
      </c>
      <c r="C2295" s="1" t="n">
        <v>45811</v>
      </c>
      <c r="D2295" t="inlineStr">
        <is>
          <t>GÄVLEBORGS LÄN</t>
        </is>
      </c>
      <c r="E2295" t="inlineStr">
        <is>
          <t>LJUSDAL</t>
        </is>
      </c>
      <c r="G2295" t="n">
        <v>2.1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21346-2024</t>
        </is>
      </c>
      <c r="B2296" s="1" t="n">
        <v>45441</v>
      </c>
      <c r="C2296" s="1" t="n">
        <v>45811</v>
      </c>
      <c r="D2296" t="inlineStr">
        <is>
          <t>GÄVLEBORGS LÄN</t>
        </is>
      </c>
      <c r="E2296" t="inlineStr">
        <is>
          <t>LJUSDAL</t>
        </is>
      </c>
      <c r="G2296" t="n">
        <v>2.5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21347-2024</t>
        </is>
      </c>
      <c r="B2297" s="1" t="n">
        <v>45441</v>
      </c>
      <c r="C2297" s="1" t="n">
        <v>45811</v>
      </c>
      <c r="D2297" t="inlineStr">
        <is>
          <t>GÄVLEBORGS LÄN</t>
        </is>
      </c>
      <c r="E2297" t="inlineStr">
        <is>
          <t>LJUSDAL</t>
        </is>
      </c>
      <c r="G2297" t="n">
        <v>2.8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21441-2024</t>
        </is>
      </c>
      <c r="B2298" s="1" t="n">
        <v>45441</v>
      </c>
      <c r="C2298" s="1" t="n">
        <v>45811</v>
      </c>
      <c r="D2298" t="inlineStr">
        <is>
          <t>GÄVLEBORGS LÄN</t>
        </is>
      </c>
      <c r="E2298" t="inlineStr">
        <is>
          <t>LJUSDAL</t>
        </is>
      </c>
      <c r="F2298" t="inlineStr">
        <is>
          <t>Bergvik skog väst AB</t>
        </is>
      </c>
      <c r="G2298" t="n">
        <v>10.1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21570-2024</t>
        </is>
      </c>
      <c r="B2299" s="1" t="n">
        <v>45441</v>
      </c>
      <c r="C2299" s="1" t="n">
        <v>45811</v>
      </c>
      <c r="D2299" t="inlineStr">
        <is>
          <t>GÄVLEBORGS LÄN</t>
        </is>
      </c>
      <c r="E2299" t="inlineStr">
        <is>
          <t>LJUSDAL</t>
        </is>
      </c>
      <c r="F2299" t="inlineStr">
        <is>
          <t>Bergvik skog väst AB</t>
        </is>
      </c>
      <c r="G2299" t="n">
        <v>8.199999999999999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21563-2024</t>
        </is>
      </c>
      <c r="B2300" s="1" t="n">
        <v>45441</v>
      </c>
      <c r="C2300" s="1" t="n">
        <v>45811</v>
      </c>
      <c r="D2300" t="inlineStr">
        <is>
          <t>GÄVLEBORGS LÄN</t>
        </is>
      </c>
      <c r="E2300" t="inlineStr">
        <is>
          <t>LJUSDAL</t>
        </is>
      </c>
      <c r="F2300" t="inlineStr">
        <is>
          <t>Bergvik skog väst AB</t>
        </is>
      </c>
      <c r="G2300" t="n">
        <v>12.9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21465-2024</t>
        </is>
      </c>
      <c r="B2301" s="1" t="n">
        <v>45441</v>
      </c>
      <c r="C2301" s="1" t="n">
        <v>45811</v>
      </c>
      <c r="D2301" t="inlineStr">
        <is>
          <t>GÄVLEBORGS LÄN</t>
        </is>
      </c>
      <c r="E2301" t="inlineStr">
        <is>
          <t>LJUSDAL</t>
        </is>
      </c>
      <c r="G2301" t="n">
        <v>6.3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21709-2024</t>
        </is>
      </c>
      <c r="B2302" s="1" t="n">
        <v>45442</v>
      </c>
      <c r="C2302" s="1" t="n">
        <v>45811</v>
      </c>
      <c r="D2302" t="inlineStr">
        <is>
          <t>GÄVLEBORGS LÄN</t>
        </is>
      </c>
      <c r="E2302" t="inlineStr">
        <is>
          <t>LJUSDAL</t>
        </is>
      </c>
      <c r="G2302" t="n">
        <v>0.9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21756-2024</t>
        </is>
      </c>
      <c r="B2303" s="1" t="n">
        <v>45442</v>
      </c>
      <c r="C2303" s="1" t="n">
        <v>45811</v>
      </c>
      <c r="D2303" t="inlineStr">
        <is>
          <t>GÄVLEBORGS LÄN</t>
        </is>
      </c>
      <c r="E2303" t="inlineStr">
        <is>
          <t>LJUSDAL</t>
        </is>
      </c>
      <c r="G2303" t="n">
        <v>0.3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21633-2024</t>
        </is>
      </c>
      <c r="B2304" s="1" t="n">
        <v>45442</v>
      </c>
      <c r="C2304" s="1" t="n">
        <v>45811</v>
      </c>
      <c r="D2304" t="inlineStr">
        <is>
          <t>GÄVLEBORGS LÄN</t>
        </is>
      </c>
      <c r="E2304" t="inlineStr">
        <is>
          <t>LJUSDAL</t>
        </is>
      </c>
      <c r="G2304" t="n">
        <v>3.1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21637-2024</t>
        </is>
      </c>
      <c r="B2305" s="1" t="n">
        <v>45442</v>
      </c>
      <c r="C2305" s="1" t="n">
        <v>45811</v>
      </c>
      <c r="D2305" t="inlineStr">
        <is>
          <t>GÄVLEBORGS LÄN</t>
        </is>
      </c>
      <c r="E2305" t="inlineStr">
        <is>
          <t>LJUSDAL</t>
        </is>
      </c>
      <c r="G2305" t="n">
        <v>0.6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22067-2024</t>
        </is>
      </c>
      <c r="B2306" s="1" t="n">
        <v>45443</v>
      </c>
      <c r="C2306" s="1" t="n">
        <v>45811</v>
      </c>
      <c r="D2306" t="inlineStr">
        <is>
          <t>GÄVLEBORGS LÄN</t>
        </is>
      </c>
      <c r="E2306" t="inlineStr">
        <is>
          <t>LJUSDAL</t>
        </is>
      </c>
      <c r="F2306" t="inlineStr">
        <is>
          <t>Sveaskog</t>
        </is>
      </c>
      <c r="G2306" t="n">
        <v>2.9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22065-2024</t>
        </is>
      </c>
      <c r="B2307" s="1" t="n">
        <v>45443</v>
      </c>
      <c r="C2307" s="1" t="n">
        <v>45811</v>
      </c>
      <c r="D2307" t="inlineStr">
        <is>
          <t>GÄVLEBORGS LÄN</t>
        </is>
      </c>
      <c r="E2307" t="inlineStr">
        <is>
          <t>LJUSDAL</t>
        </is>
      </c>
      <c r="F2307" t="inlineStr">
        <is>
          <t>Sveaskog</t>
        </is>
      </c>
      <c r="G2307" t="n">
        <v>8.800000000000001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21901-2024</t>
        </is>
      </c>
      <c r="B2308" s="1" t="n">
        <v>45443</v>
      </c>
      <c r="C2308" s="1" t="n">
        <v>45811</v>
      </c>
      <c r="D2308" t="inlineStr">
        <is>
          <t>GÄVLEBORGS LÄN</t>
        </is>
      </c>
      <c r="E2308" t="inlineStr">
        <is>
          <t>LJUSDAL</t>
        </is>
      </c>
      <c r="F2308" t="inlineStr">
        <is>
          <t>Sveaskog</t>
        </is>
      </c>
      <c r="G2308" t="n">
        <v>18.9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22135-2024</t>
        </is>
      </c>
      <c r="B2309" s="1" t="n">
        <v>45444</v>
      </c>
      <c r="C2309" s="1" t="n">
        <v>45811</v>
      </c>
      <c r="D2309" t="inlineStr">
        <is>
          <t>GÄVLEBORGS LÄN</t>
        </is>
      </c>
      <c r="E2309" t="inlineStr">
        <is>
          <t>LJUSDAL</t>
        </is>
      </c>
      <c r="G2309" t="n">
        <v>1.6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22241-2024</t>
        </is>
      </c>
      <c r="B2310" s="1" t="n">
        <v>45446</v>
      </c>
      <c r="C2310" s="1" t="n">
        <v>45811</v>
      </c>
      <c r="D2310" t="inlineStr">
        <is>
          <t>GÄVLEBORGS LÄN</t>
        </is>
      </c>
      <c r="E2310" t="inlineStr">
        <is>
          <t>LJUSDAL</t>
        </is>
      </c>
      <c r="G2310" t="n">
        <v>5.2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22317-2024</t>
        </is>
      </c>
      <c r="B2311" s="1" t="n">
        <v>45446</v>
      </c>
      <c r="C2311" s="1" t="n">
        <v>45811</v>
      </c>
      <c r="D2311" t="inlineStr">
        <is>
          <t>GÄVLEBORGS LÄN</t>
        </is>
      </c>
      <c r="E2311" t="inlineStr">
        <is>
          <t>LJUSDAL</t>
        </is>
      </c>
      <c r="F2311" t="inlineStr">
        <is>
          <t>Bergvik skog väst AB</t>
        </is>
      </c>
      <c r="G2311" t="n">
        <v>5.2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22250-2024</t>
        </is>
      </c>
      <c r="B2312" s="1" t="n">
        <v>45446</v>
      </c>
      <c r="C2312" s="1" t="n">
        <v>45811</v>
      </c>
      <c r="D2312" t="inlineStr">
        <is>
          <t>GÄVLEBORGS LÄN</t>
        </is>
      </c>
      <c r="E2312" t="inlineStr">
        <is>
          <t>LJUSDAL</t>
        </is>
      </c>
      <c r="G2312" t="n">
        <v>0.8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22242-2024</t>
        </is>
      </c>
      <c r="B2313" s="1" t="n">
        <v>45446</v>
      </c>
      <c r="C2313" s="1" t="n">
        <v>45811</v>
      </c>
      <c r="D2313" t="inlineStr">
        <is>
          <t>GÄVLEBORGS LÄN</t>
        </is>
      </c>
      <c r="E2313" t="inlineStr">
        <is>
          <t>LJUSDAL</t>
        </is>
      </c>
      <c r="F2313" t="inlineStr">
        <is>
          <t>Sveaskog</t>
        </is>
      </c>
      <c r="G2313" t="n">
        <v>3.2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22168-2024</t>
        </is>
      </c>
      <c r="B2314" s="1" t="n">
        <v>45446</v>
      </c>
      <c r="C2314" s="1" t="n">
        <v>45811</v>
      </c>
      <c r="D2314" t="inlineStr">
        <is>
          <t>GÄVLEBORGS LÄN</t>
        </is>
      </c>
      <c r="E2314" t="inlineStr">
        <is>
          <t>LJUSDAL</t>
        </is>
      </c>
      <c r="F2314" t="inlineStr">
        <is>
          <t>Bergvik skog väst AB</t>
        </is>
      </c>
      <c r="G2314" t="n">
        <v>1.6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22294-2024</t>
        </is>
      </c>
      <c r="B2315" s="1" t="n">
        <v>45446</v>
      </c>
      <c r="C2315" s="1" t="n">
        <v>45811</v>
      </c>
      <c r="D2315" t="inlineStr">
        <is>
          <t>GÄVLEBORGS LÄN</t>
        </is>
      </c>
      <c r="E2315" t="inlineStr">
        <is>
          <t>LJUSDAL</t>
        </is>
      </c>
      <c r="F2315" t="inlineStr">
        <is>
          <t>Bergvik skog väst AB</t>
        </is>
      </c>
      <c r="G2315" t="n">
        <v>1.1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22248-2024</t>
        </is>
      </c>
      <c r="B2316" s="1" t="n">
        <v>45446</v>
      </c>
      <c r="C2316" s="1" t="n">
        <v>45811</v>
      </c>
      <c r="D2316" t="inlineStr">
        <is>
          <t>GÄVLEBORGS LÄN</t>
        </is>
      </c>
      <c r="E2316" t="inlineStr">
        <is>
          <t>LJUSDAL</t>
        </is>
      </c>
      <c r="G2316" t="n">
        <v>4.1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22169-2024</t>
        </is>
      </c>
      <c r="B2317" s="1" t="n">
        <v>45446</v>
      </c>
      <c r="C2317" s="1" t="n">
        <v>45811</v>
      </c>
      <c r="D2317" t="inlineStr">
        <is>
          <t>GÄVLEBORGS LÄN</t>
        </is>
      </c>
      <c r="E2317" t="inlineStr">
        <is>
          <t>LJUSDAL</t>
        </is>
      </c>
      <c r="F2317" t="inlineStr">
        <is>
          <t>Bergvik skog väst AB</t>
        </is>
      </c>
      <c r="G2317" t="n">
        <v>2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22599-2024</t>
        </is>
      </c>
      <c r="B2318" s="1" t="n">
        <v>45447</v>
      </c>
      <c r="C2318" s="1" t="n">
        <v>45811</v>
      </c>
      <c r="D2318" t="inlineStr">
        <is>
          <t>GÄVLEBORGS LÄN</t>
        </is>
      </c>
      <c r="E2318" t="inlineStr">
        <is>
          <t>LJUSDAL</t>
        </is>
      </c>
      <c r="G2318" t="n">
        <v>1.9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22547-2024</t>
        </is>
      </c>
      <c r="B2319" s="1" t="n">
        <v>45447</v>
      </c>
      <c r="C2319" s="1" t="n">
        <v>45811</v>
      </c>
      <c r="D2319" t="inlineStr">
        <is>
          <t>GÄVLEBORGS LÄN</t>
        </is>
      </c>
      <c r="E2319" t="inlineStr">
        <is>
          <t>LJUSDAL</t>
        </is>
      </c>
      <c r="G2319" t="n">
        <v>1.4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22489-2024</t>
        </is>
      </c>
      <c r="B2320" s="1" t="n">
        <v>45447</v>
      </c>
      <c r="C2320" s="1" t="n">
        <v>45811</v>
      </c>
      <c r="D2320" t="inlineStr">
        <is>
          <t>GÄVLEBORGS LÄN</t>
        </is>
      </c>
      <c r="E2320" t="inlineStr">
        <is>
          <t>LJUSDAL</t>
        </is>
      </c>
      <c r="G2320" t="n">
        <v>2.4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22610-2024</t>
        </is>
      </c>
      <c r="B2321" s="1" t="n">
        <v>45447</v>
      </c>
      <c r="C2321" s="1" t="n">
        <v>45811</v>
      </c>
      <c r="D2321" t="inlineStr">
        <is>
          <t>GÄVLEBORGS LÄN</t>
        </is>
      </c>
      <c r="E2321" t="inlineStr">
        <is>
          <t>LJUSDAL</t>
        </is>
      </c>
      <c r="G2321" t="n">
        <v>3.1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22713-2024</t>
        </is>
      </c>
      <c r="B2322" s="1" t="n">
        <v>45448</v>
      </c>
      <c r="C2322" s="1" t="n">
        <v>45811</v>
      </c>
      <c r="D2322" t="inlineStr">
        <is>
          <t>GÄVLEBORGS LÄN</t>
        </is>
      </c>
      <c r="E2322" t="inlineStr">
        <is>
          <t>LJUSDAL</t>
        </is>
      </c>
      <c r="G2322" t="n">
        <v>1.4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22716-2024</t>
        </is>
      </c>
      <c r="B2323" s="1" t="n">
        <v>45448</v>
      </c>
      <c r="C2323" s="1" t="n">
        <v>45811</v>
      </c>
      <c r="D2323" t="inlineStr">
        <is>
          <t>GÄVLEBORGS LÄN</t>
        </is>
      </c>
      <c r="E2323" t="inlineStr">
        <is>
          <t>LJUSDAL</t>
        </is>
      </c>
      <c r="G2323" t="n">
        <v>0.8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22760-2024</t>
        </is>
      </c>
      <c r="B2324" s="1" t="n">
        <v>45448</v>
      </c>
      <c r="C2324" s="1" t="n">
        <v>45811</v>
      </c>
      <c r="D2324" t="inlineStr">
        <is>
          <t>GÄVLEBORGS LÄN</t>
        </is>
      </c>
      <c r="E2324" t="inlineStr">
        <is>
          <t>LJUSDAL</t>
        </is>
      </c>
      <c r="G2324" t="n">
        <v>1.2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22790-2024</t>
        </is>
      </c>
      <c r="B2325" s="1" t="n">
        <v>45448</v>
      </c>
      <c r="C2325" s="1" t="n">
        <v>45811</v>
      </c>
      <c r="D2325" t="inlineStr">
        <is>
          <t>GÄVLEBORGS LÄN</t>
        </is>
      </c>
      <c r="E2325" t="inlineStr">
        <is>
          <t>LJUSDAL</t>
        </is>
      </c>
      <c r="F2325" t="inlineStr">
        <is>
          <t>Sveaskog</t>
        </is>
      </c>
      <c r="G2325" t="n">
        <v>4.2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22724-2024</t>
        </is>
      </c>
      <c r="B2326" s="1" t="n">
        <v>45448</v>
      </c>
      <c r="C2326" s="1" t="n">
        <v>45811</v>
      </c>
      <c r="D2326" t="inlineStr">
        <is>
          <t>GÄVLEBORGS LÄN</t>
        </is>
      </c>
      <c r="E2326" t="inlineStr">
        <is>
          <t>LJUSDAL</t>
        </is>
      </c>
      <c r="G2326" t="n">
        <v>0.7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22786-2024</t>
        </is>
      </c>
      <c r="B2327" s="1" t="n">
        <v>45448</v>
      </c>
      <c r="C2327" s="1" t="n">
        <v>45811</v>
      </c>
      <c r="D2327" t="inlineStr">
        <is>
          <t>GÄVLEBORGS LÄN</t>
        </is>
      </c>
      <c r="E2327" t="inlineStr">
        <is>
          <t>LJUSDAL</t>
        </is>
      </c>
      <c r="F2327" t="inlineStr">
        <is>
          <t>Sveaskog</t>
        </is>
      </c>
      <c r="G2327" t="n">
        <v>4.2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23139-2024</t>
        </is>
      </c>
      <c r="B2328" s="1" t="n">
        <v>45450</v>
      </c>
      <c r="C2328" s="1" t="n">
        <v>45811</v>
      </c>
      <c r="D2328" t="inlineStr">
        <is>
          <t>GÄVLEBORGS LÄN</t>
        </is>
      </c>
      <c r="E2328" t="inlineStr">
        <is>
          <t>LJUSDAL</t>
        </is>
      </c>
      <c r="F2328" t="inlineStr">
        <is>
          <t>Holmen skog AB</t>
        </is>
      </c>
      <c r="G2328" t="n">
        <v>10.7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23162-2024</t>
        </is>
      </c>
      <c r="B2329" s="1" t="n">
        <v>45450</v>
      </c>
      <c r="C2329" s="1" t="n">
        <v>45811</v>
      </c>
      <c r="D2329" t="inlineStr">
        <is>
          <t>GÄVLEBORGS LÄN</t>
        </is>
      </c>
      <c r="E2329" t="inlineStr">
        <is>
          <t>LJUSDAL</t>
        </is>
      </c>
      <c r="G2329" t="n">
        <v>2.1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23161-2024</t>
        </is>
      </c>
      <c r="B2330" s="1" t="n">
        <v>45450</v>
      </c>
      <c r="C2330" s="1" t="n">
        <v>45811</v>
      </c>
      <c r="D2330" t="inlineStr">
        <is>
          <t>GÄVLEBORGS LÄN</t>
        </is>
      </c>
      <c r="E2330" t="inlineStr">
        <is>
          <t>LJUSDAL</t>
        </is>
      </c>
      <c r="G2330" t="n">
        <v>3.3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23374-2024</t>
        </is>
      </c>
      <c r="B2331" s="1" t="n">
        <v>45453</v>
      </c>
      <c r="C2331" s="1" t="n">
        <v>45811</v>
      </c>
      <c r="D2331" t="inlineStr">
        <is>
          <t>GÄVLEBORGS LÄN</t>
        </is>
      </c>
      <c r="E2331" t="inlineStr">
        <is>
          <t>LJUSDAL</t>
        </is>
      </c>
      <c r="G2331" t="n">
        <v>1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23526-2024</t>
        </is>
      </c>
      <c r="B2332" s="1" t="n">
        <v>45454</v>
      </c>
      <c r="C2332" s="1" t="n">
        <v>45811</v>
      </c>
      <c r="D2332" t="inlineStr">
        <is>
          <t>GÄVLEBORGS LÄN</t>
        </is>
      </c>
      <c r="E2332" t="inlineStr">
        <is>
          <t>LJUSDAL</t>
        </is>
      </c>
      <c r="G2332" t="n">
        <v>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23394-2024</t>
        </is>
      </c>
      <c r="B2333" s="1" t="n">
        <v>45453</v>
      </c>
      <c r="C2333" s="1" t="n">
        <v>45811</v>
      </c>
      <c r="D2333" t="inlineStr">
        <is>
          <t>GÄVLEBORGS LÄN</t>
        </is>
      </c>
      <c r="E2333" t="inlineStr">
        <is>
          <t>LJUSDAL</t>
        </is>
      </c>
      <c r="G2333" t="n">
        <v>3.3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23284-2024</t>
        </is>
      </c>
      <c r="B2334" s="1" t="n">
        <v>45453</v>
      </c>
      <c r="C2334" s="1" t="n">
        <v>45811</v>
      </c>
      <c r="D2334" t="inlineStr">
        <is>
          <t>GÄVLEBORGS LÄN</t>
        </is>
      </c>
      <c r="E2334" t="inlineStr">
        <is>
          <t>LJUSDAL</t>
        </is>
      </c>
      <c r="G2334" t="n">
        <v>2.5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23386-2024</t>
        </is>
      </c>
      <c r="B2335" s="1" t="n">
        <v>45453</v>
      </c>
      <c r="C2335" s="1" t="n">
        <v>45811</v>
      </c>
      <c r="D2335" t="inlineStr">
        <is>
          <t>GÄVLEBORGS LÄN</t>
        </is>
      </c>
      <c r="E2335" t="inlineStr">
        <is>
          <t>LJUSDAL</t>
        </is>
      </c>
      <c r="G2335" t="n">
        <v>1.2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23519-2024</t>
        </is>
      </c>
      <c r="B2336" s="1" t="n">
        <v>45454</v>
      </c>
      <c r="C2336" s="1" t="n">
        <v>45811</v>
      </c>
      <c r="D2336" t="inlineStr">
        <is>
          <t>GÄVLEBORGS LÄN</t>
        </is>
      </c>
      <c r="E2336" t="inlineStr">
        <is>
          <t>LJUSDAL</t>
        </is>
      </c>
      <c r="G2336" t="n">
        <v>0.6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23815-2024</t>
        </is>
      </c>
      <c r="B2337" s="1" t="n">
        <v>45455</v>
      </c>
      <c r="C2337" s="1" t="n">
        <v>45811</v>
      </c>
      <c r="D2337" t="inlineStr">
        <is>
          <t>GÄVLEBORGS LÄN</t>
        </is>
      </c>
      <c r="E2337" t="inlineStr">
        <is>
          <t>LJUSDAL</t>
        </is>
      </c>
      <c r="F2337" t="inlineStr">
        <is>
          <t>Allmännings- och besparingsskogar</t>
        </is>
      </c>
      <c r="G2337" t="n">
        <v>2.9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23829-2024</t>
        </is>
      </c>
      <c r="B2338" s="1" t="n">
        <v>45455</v>
      </c>
      <c r="C2338" s="1" t="n">
        <v>45811</v>
      </c>
      <c r="D2338" t="inlineStr">
        <is>
          <t>GÄVLEBORGS LÄN</t>
        </is>
      </c>
      <c r="E2338" t="inlineStr">
        <is>
          <t>LJUSDAL</t>
        </is>
      </c>
      <c r="F2338" t="inlineStr">
        <is>
          <t>Allmännings- och besparingsskogar</t>
        </is>
      </c>
      <c r="G2338" t="n">
        <v>6.1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23825-2024</t>
        </is>
      </c>
      <c r="B2339" s="1" t="n">
        <v>45455</v>
      </c>
      <c r="C2339" s="1" t="n">
        <v>45811</v>
      </c>
      <c r="D2339" t="inlineStr">
        <is>
          <t>GÄVLEBORGS LÄN</t>
        </is>
      </c>
      <c r="E2339" t="inlineStr">
        <is>
          <t>LJUSDAL</t>
        </is>
      </c>
      <c r="F2339" t="inlineStr">
        <is>
          <t>Allmännings- och besparingsskogar</t>
        </is>
      </c>
      <c r="G2339" t="n">
        <v>2.9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23928-2024</t>
        </is>
      </c>
      <c r="B2340" s="1" t="n">
        <v>45456</v>
      </c>
      <c r="C2340" s="1" t="n">
        <v>45811</v>
      </c>
      <c r="D2340" t="inlineStr">
        <is>
          <t>GÄVLEBORGS LÄN</t>
        </is>
      </c>
      <c r="E2340" t="inlineStr">
        <is>
          <t>LJUSDAL</t>
        </is>
      </c>
      <c r="G2340" t="n">
        <v>0.6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24159-2024</t>
        </is>
      </c>
      <c r="B2341" s="1" t="n">
        <v>45456</v>
      </c>
      <c r="C2341" s="1" t="n">
        <v>45811</v>
      </c>
      <c r="D2341" t="inlineStr">
        <is>
          <t>GÄVLEBORGS LÄN</t>
        </is>
      </c>
      <c r="E2341" t="inlineStr">
        <is>
          <t>LJUSDAL</t>
        </is>
      </c>
      <c r="G2341" t="n">
        <v>6.1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24272-2024</t>
        </is>
      </c>
      <c r="B2342" s="1" t="n">
        <v>45457</v>
      </c>
      <c r="C2342" s="1" t="n">
        <v>45811</v>
      </c>
      <c r="D2342" t="inlineStr">
        <is>
          <t>GÄVLEBORGS LÄN</t>
        </is>
      </c>
      <c r="E2342" t="inlineStr">
        <is>
          <t>LJUSDAL</t>
        </is>
      </c>
      <c r="F2342" t="inlineStr">
        <is>
          <t>Holmen skog AB</t>
        </is>
      </c>
      <c r="G2342" t="n">
        <v>6.1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24271-2024</t>
        </is>
      </c>
      <c r="B2343" s="1" t="n">
        <v>45457</v>
      </c>
      <c r="C2343" s="1" t="n">
        <v>45811</v>
      </c>
      <c r="D2343" t="inlineStr">
        <is>
          <t>GÄVLEBORGS LÄN</t>
        </is>
      </c>
      <c r="E2343" t="inlineStr">
        <is>
          <t>LJUSDAL</t>
        </is>
      </c>
      <c r="G2343" t="n">
        <v>5.8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24691-2024</t>
        </is>
      </c>
      <c r="B2344" s="1" t="n">
        <v>45460</v>
      </c>
      <c r="C2344" s="1" t="n">
        <v>45811</v>
      </c>
      <c r="D2344" t="inlineStr">
        <is>
          <t>GÄVLEBORGS LÄN</t>
        </is>
      </c>
      <c r="E2344" t="inlineStr">
        <is>
          <t>LJUSDAL</t>
        </is>
      </c>
      <c r="G2344" t="n">
        <v>1.7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24512-2024</t>
        </is>
      </c>
      <c r="B2345" s="1" t="n">
        <v>45460</v>
      </c>
      <c r="C2345" s="1" t="n">
        <v>45811</v>
      </c>
      <c r="D2345" t="inlineStr">
        <is>
          <t>GÄVLEBORGS LÄN</t>
        </is>
      </c>
      <c r="E2345" t="inlineStr">
        <is>
          <t>LJUSDAL</t>
        </is>
      </c>
      <c r="G2345" t="n">
        <v>13.7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24775-2024</t>
        </is>
      </c>
      <c r="B2346" s="1" t="n">
        <v>45460</v>
      </c>
      <c r="C2346" s="1" t="n">
        <v>45811</v>
      </c>
      <c r="D2346" t="inlineStr">
        <is>
          <t>GÄVLEBORGS LÄN</t>
        </is>
      </c>
      <c r="E2346" t="inlineStr">
        <is>
          <t>LJUSDAL</t>
        </is>
      </c>
      <c r="G2346" t="n">
        <v>7.5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24667-2024</t>
        </is>
      </c>
      <c r="B2347" s="1" t="n">
        <v>45460</v>
      </c>
      <c r="C2347" s="1" t="n">
        <v>45811</v>
      </c>
      <c r="D2347" t="inlineStr">
        <is>
          <t>GÄVLEBORGS LÄN</t>
        </is>
      </c>
      <c r="E2347" t="inlineStr">
        <is>
          <t>LJUSDAL</t>
        </is>
      </c>
      <c r="G2347" t="n">
        <v>0.8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24659-2024</t>
        </is>
      </c>
      <c r="B2348" s="1" t="n">
        <v>45460</v>
      </c>
      <c r="C2348" s="1" t="n">
        <v>45811</v>
      </c>
      <c r="D2348" t="inlineStr">
        <is>
          <t>GÄVLEBORGS LÄN</t>
        </is>
      </c>
      <c r="E2348" t="inlineStr">
        <is>
          <t>LJUSDAL</t>
        </is>
      </c>
      <c r="G2348" t="n">
        <v>8.199999999999999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24655-2024</t>
        </is>
      </c>
      <c r="B2349" s="1" t="n">
        <v>45460</v>
      </c>
      <c r="C2349" s="1" t="n">
        <v>45811</v>
      </c>
      <c r="D2349" t="inlineStr">
        <is>
          <t>GÄVLEBORGS LÄN</t>
        </is>
      </c>
      <c r="E2349" t="inlineStr">
        <is>
          <t>LJUSDAL</t>
        </is>
      </c>
      <c r="G2349" t="n">
        <v>2.4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24665-2024</t>
        </is>
      </c>
      <c r="B2350" s="1" t="n">
        <v>45460</v>
      </c>
      <c r="C2350" s="1" t="n">
        <v>45811</v>
      </c>
      <c r="D2350" t="inlineStr">
        <is>
          <t>GÄVLEBORGS LÄN</t>
        </is>
      </c>
      <c r="E2350" t="inlineStr">
        <is>
          <t>LJUSDAL</t>
        </is>
      </c>
      <c r="G2350" t="n">
        <v>0.8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24662-2024</t>
        </is>
      </c>
      <c r="B2351" s="1" t="n">
        <v>45460</v>
      </c>
      <c r="C2351" s="1" t="n">
        <v>45811</v>
      </c>
      <c r="D2351" t="inlineStr">
        <is>
          <t>GÄVLEBORGS LÄN</t>
        </is>
      </c>
      <c r="E2351" t="inlineStr">
        <is>
          <t>LJUSDAL</t>
        </is>
      </c>
      <c r="G2351" t="n">
        <v>2.9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24918-2024</t>
        </is>
      </c>
      <c r="B2352" s="1" t="n">
        <v>45461</v>
      </c>
      <c r="C2352" s="1" t="n">
        <v>45811</v>
      </c>
      <c r="D2352" t="inlineStr">
        <is>
          <t>GÄVLEBORGS LÄN</t>
        </is>
      </c>
      <c r="E2352" t="inlineStr">
        <is>
          <t>LJUSDAL</t>
        </is>
      </c>
      <c r="G2352" t="n">
        <v>0.8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24838-2024</t>
        </is>
      </c>
      <c r="B2353" s="1" t="n">
        <v>45461</v>
      </c>
      <c r="C2353" s="1" t="n">
        <v>45811</v>
      </c>
      <c r="D2353" t="inlineStr">
        <is>
          <t>GÄVLEBORGS LÄN</t>
        </is>
      </c>
      <c r="E2353" t="inlineStr">
        <is>
          <t>LJUSDAL</t>
        </is>
      </c>
      <c r="G2353" t="n">
        <v>1.3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24911-2024</t>
        </is>
      </c>
      <c r="B2354" s="1" t="n">
        <v>45461</v>
      </c>
      <c r="C2354" s="1" t="n">
        <v>45811</v>
      </c>
      <c r="D2354" t="inlineStr">
        <is>
          <t>GÄVLEBORGS LÄN</t>
        </is>
      </c>
      <c r="E2354" t="inlineStr">
        <is>
          <t>LJUSDAL</t>
        </is>
      </c>
      <c r="G2354" t="n">
        <v>1.9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25208-2024</t>
        </is>
      </c>
      <c r="B2355" s="1" t="n">
        <v>45462</v>
      </c>
      <c r="C2355" s="1" t="n">
        <v>45811</v>
      </c>
      <c r="D2355" t="inlineStr">
        <is>
          <t>GÄVLEBORGS LÄN</t>
        </is>
      </c>
      <c r="E2355" t="inlineStr">
        <is>
          <t>LJUSDAL</t>
        </is>
      </c>
      <c r="G2355" t="n">
        <v>0.6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25204-2024</t>
        </is>
      </c>
      <c r="B2356" s="1" t="n">
        <v>45462</v>
      </c>
      <c r="C2356" s="1" t="n">
        <v>45811</v>
      </c>
      <c r="D2356" t="inlineStr">
        <is>
          <t>GÄVLEBORGS LÄN</t>
        </is>
      </c>
      <c r="E2356" t="inlineStr">
        <is>
          <t>LJUSDAL</t>
        </is>
      </c>
      <c r="G2356" t="n">
        <v>1.8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25093-2024</t>
        </is>
      </c>
      <c r="B2357" s="1" t="n">
        <v>45462</v>
      </c>
      <c r="C2357" s="1" t="n">
        <v>45811</v>
      </c>
      <c r="D2357" t="inlineStr">
        <is>
          <t>GÄVLEBORGS LÄN</t>
        </is>
      </c>
      <c r="E2357" t="inlineStr">
        <is>
          <t>LJUSDAL</t>
        </is>
      </c>
      <c r="F2357" t="inlineStr">
        <is>
          <t>Bergvik skog väst AB</t>
        </is>
      </c>
      <c r="G2357" t="n">
        <v>10.6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25091-2024</t>
        </is>
      </c>
      <c r="B2358" s="1" t="n">
        <v>45462</v>
      </c>
      <c r="C2358" s="1" t="n">
        <v>45811</v>
      </c>
      <c r="D2358" t="inlineStr">
        <is>
          <t>GÄVLEBORGS LÄN</t>
        </is>
      </c>
      <c r="E2358" t="inlineStr">
        <is>
          <t>LJUSDAL</t>
        </is>
      </c>
      <c r="F2358" t="inlineStr">
        <is>
          <t>Bergvik skog väst AB</t>
        </is>
      </c>
      <c r="G2358" t="n">
        <v>1.8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25328-2024</t>
        </is>
      </c>
      <c r="B2359" s="1" t="n">
        <v>45462</v>
      </c>
      <c r="C2359" s="1" t="n">
        <v>45811</v>
      </c>
      <c r="D2359" t="inlineStr">
        <is>
          <t>GÄVLEBORGS LÄN</t>
        </is>
      </c>
      <c r="E2359" t="inlineStr">
        <is>
          <t>LJUSDAL</t>
        </is>
      </c>
      <c r="F2359" t="inlineStr">
        <is>
          <t>Sveaskog</t>
        </is>
      </c>
      <c r="G2359" t="n">
        <v>2.7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25199-2024</t>
        </is>
      </c>
      <c r="B2360" s="1" t="n">
        <v>45462</v>
      </c>
      <c r="C2360" s="1" t="n">
        <v>45811</v>
      </c>
      <c r="D2360" t="inlineStr">
        <is>
          <t>GÄVLEBORGS LÄN</t>
        </is>
      </c>
      <c r="E2360" t="inlineStr">
        <is>
          <t>LJUSDAL</t>
        </is>
      </c>
      <c r="G2360" t="n">
        <v>2.4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25570-2024</t>
        </is>
      </c>
      <c r="B2361" s="1" t="n">
        <v>45463</v>
      </c>
      <c r="C2361" s="1" t="n">
        <v>45811</v>
      </c>
      <c r="D2361" t="inlineStr">
        <is>
          <t>GÄVLEBORGS LÄN</t>
        </is>
      </c>
      <c r="E2361" t="inlineStr">
        <is>
          <t>LJUSDAL</t>
        </is>
      </c>
      <c r="F2361" t="inlineStr">
        <is>
          <t>Sveaskog</t>
        </is>
      </c>
      <c r="G2361" t="n">
        <v>0.8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25556-2024</t>
        </is>
      </c>
      <c r="B2362" s="1" t="n">
        <v>45463</v>
      </c>
      <c r="C2362" s="1" t="n">
        <v>45811</v>
      </c>
      <c r="D2362" t="inlineStr">
        <is>
          <t>GÄVLEBORGS LÄN</t>
        </is>
      </c>
      <c r="E2362" t="inlineStr">
        <is>
          <t>LJUSDAL</t>
        </is>
      </c>
      <c r="F2362" t="inlineStr">
        <is>
          <t>Sveaskog</t>
        </is>
      </c>
      <c r="G2362" t="n">
        <v>1.2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25461-2024</t>
        </is>
      </c>
      <c r="B2363" s="1" t="n">
        <v>45463</v>
      </c>
      <c r="C2363" s="1" t="n">
        <v>45811</v>
      </c>
      <c r="D2363" t="inlineStr">
        <is>
          <t>GÄVLEBORGS LÄN</t>
        </is>
      </c>
      <c r="E2363" t="inlineStr">
        <is>
          <t>LJUSDAL</t>
        </is>
      </c>
      <c r="G2363" t="n">
        <v>11.4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25793-2024</t>
        </is>
      </c>
      <c r="B2364" s="1" t="n">
        <v>45467</v>
      </c>
      <c r="C2364" s="1" t="n">
        <v>45811</v>
      </c>
      <c r="D2364" t="inlineStr">
        <is>
          <t>GÄVLEBORGS LÄN</t>
        </is>
      </c>
      <c r="E2364" t="inlineStr">
        <is>
          <t>LJUSDAL</t>
        </is>
      </c>
      <c r="G2364" t="n">
        <v>5.7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26485-2024</t>
        </is>
      </c>
      <c r="B2365" s="1" t="n">
        <v>45468</v>
      </c>
      <c r="C2365" s="1" t="n">
        <v>45811</v>
      </c>
      <c r="D2365" t="inlineStr">
        <is>
          <t>GÄVLEBORGS LÄN</t>
        </is>
      </c>
      <c r="E2365" t="inlineStr">
        <is>
          <t>LJUSDAL</t>
        </is>
      </c>
      <c r="G2365" t="n">
        <v>5.3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26130-2024</t>
        </is>
      </c>
      <c r="B2366" s="1" t="n">
        <v>45468</v>
      </c>
      <c r="C2366" s="1" t="n">
        <v>45811</v>
      </c>
      <c r="D2366" t="inlineStr">
        <is>
          <t>GÄVLEBORGS LÄN</t>
        </is>
      </c>
      <c r="E2366" t="inlineStr">
        <is>
          <t>LJUSDAL</t>
        </is>
      </c>
      <c r="G2366" t="n">
        <v>11.7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26114-2024</t>
        </is>
      </c>
      <c r="B2367" s="1" t="n">
        <v>45468</v>
      </c>
      <c r="C2367" s="1" t="n">
        <v>45811</v>
      </c>
      <c r="D2367" t="inlineStr">
        <is>
          <t>GÄVLEBORGS LÄN</t>
        </is>
      </c>
      <c r="E2367" t="inlineStr">
        <is>
          <t>LJUSDAL</t>
        </is>
      </c>
      <c r="G2367" t="n">
        <v>22.6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26135-2024</t>
        </is>
      </c>
      <c r="B2368" s="1" t="n">
        <v>45468</v>
      </c>
      <c r="C2368" s="1" t="n">
        <v>45811</v>
      </c>
      <c r="D2368" t="inlineStr">
        <is>
          <t>GÄVLEBORGS LÄN</t>
        </is>
      </c>
      <c r="E2368" t="inlineStr">
        <is>
          <t>LJUSDAL</t>
        </is>
      </c>
      <c r="G2368" t="n">
        <v>7.5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26106-2024</t>
        </is>
      </c>
      <c r="B2369" s="1" t="n">
        <v>45468</v>
      </c>
      <c r="C2369" s="1" t="n">
        <v>45811</v>
      </c>
      <c r="D2369" t="inlineStr">
        <is>
          <t>GÄVLEBORGS LÄN</t>
        </is>
      </c>
      <c r="E2369" t="inlineStr">
        <is>
          <t>LJUSDAL</t>
        </is>
      </c>
      <c r="G2369" t="n">
        <v>1.5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26078-2024</t>
        </is>
      </c>
      <c r="B2370" s="1" t="n">
        <v>45468</v>
      </c>
      <c r="C2370" s="1" t="n">
        <v>45811</v>
      </c>
      <c r="D2370" t="inlineStr">
        <is>
          <t>GÄVLEBORGS LÄN</t>
        </is>
      </c>
      <c r="E2370" t="inlineStr">
        <is>
          <t>LJUSDAL</t>
        </is>
      </c>
      <c r="G2370" t="n">
        <v>4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26133-2024</t>
        </is>
      </c>
      <c r="B2371" s="1" t="n">
        <v>45468</v>
      </c>
      <c r="C2371" s="1" t="n">
        <v>45811</v>
      </c>
      <c r="D2371" t="inlineStr">
        <is>
          <t>GÄVLEBORGS LÄN</t>
        </is>
      </c>
      <c r="E2371" t="inlineStr">
        <is>
          <t>LJUSDAL</t>
        </is>
      </c>
      <c r="G2371" t="n">
        <v>30.2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26073-2024</t>
        </is>
      </c>
      <c r="B2372" s="1" t="n">
        <v>45468</v>
      </c>
      <c r="C2372" s="1" t="n">
        <v>45811</v>
      </c>
      <c r="D2372" t="inlineStr">
        <is>
          <t>GÄVLEBORGS LÄN</t>
        </is>
      </c>
      <c r="E2372" t="inlineStr">
        <is>
          <t>LJUSDAL</t>
        </is>
      </c>
      <c r="G2372" t="n">
        <v>5.9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26384-2024</t>
        </is>
      </c>
      <c r="B2373" s="1" t="n">
        <v>45469</v>
      </c>
      <c r="C2373" s="1" t="n">
        <v>45811</v>
      </c>
      <c r="D2373" t="inlineStr">
        <is>
          <t>GÄVLEBORGS LÄN</t>
        </is>
      </c>
      <c r="E2373" t="inlineStr">
        <is>
          <t>LJUSDAL</t>
        </is>
      </c>
      <c r="F2373" t="inlineStr">
        <is>
          <t>Sveaskog</t>
        </is>
      </c>
      <c r="G2373" t="n">
        <v>6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26422-2024</t>
        </is>
      </c>
      <c r="B2374" s="1" t="n">
        <v>45469</v>
      </c>
      <c r="C2374" s="1" t="n">
        <v>45811</v>
      </c>
      <c r="D2374" t="inlineStr">
        <is>
          <t>GÄVLEBORGS LÄN</t>
        </is>
      </c>
      <c r="E2374" t="inlineStr">
        <is>
          <t>LJUSDAL</t>
        </is>
      </c>
      <c r="F2374" t="inlineStr">
        <is>
          <t>Sveaskog</t>
        </is>
      </c>
      <c r="G2374" t="n">
        <v>0.7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26631-2024</t>
        </is>
      </c>
      <c r="B2375" s="1" t="n">
        <v>45469</v>
      </c>
      <c r="C2375" s="1" t="n">
        <v>45811</v>
      </c>
      <c r="D2375" t="inlineStr">
        <is>
          <t>GÄVLEBORGS LÄN</t>
        </is>
      </c>
      <c r="E2375" t="inlineStr">
        <is>
          <t>LJUSDAL</t>
        </is>
      </c>
      <c r="G2375" t="n">
        <v>0.9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26387-2024</t>
        </is>
      </c>
      <c r="B2376" s="1" t="n">
        <v>45469</v>
      </c>
      <c r="C2376" s="1" t="n">
        <v>45811</v>
      </c>
      <c r="D2376" t="inlineStr">
        <is>
          <t>GÄVLEBORGS LÄN</t>
        </is>
      </c>
      <c r="E2376" t="inlineStr">
        <is>
          <t>LJUSDAL</t>
        </is>
      </c>
      <c r="F2376" t="inlineStr">
        <is>
          <t>Sveaskog</t>
        </is>
      </c>
      <c r="G2376" t="n">
        <v>3.3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26633-2024</t>
        </is>
      </c>
      <c r="B2377" s="1" t="n">
        <v>45469</v>
      </c>
      <c r="C2377" s="1" t="n">
        <v>45811</v>
      </c>
      <c r="D2377" t="inlineStr">
        <is>
          <t>GÄVLEBORGS LÄN</t>
        </is>
      </c>
      <c r="E2377" t="inlineStr">
        <is>
          <t>LJUSDAL</t>
        </is>
      </c>
      <c r="G2377" t="n">
        <v>2.3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26632-2024</t>
        </is>
      </c>
      <c r="B2378" s="1" t="n">
        <v>45469</v>
      </c>
      <c r="C2378" s="1" t="n">
        <v>45811</v>
      </c>
      <c r="D2378" t="inlineStr">
        <is>
          <t>GÄVLEBORGS LÄN</t>
        </is>
      </c>
      <c r="E2378" t="inlineStr">
        <is>
          <t>LJUSDAL</t>
        </is>
      </c>
      <c r="G2378" t="n">
        <v>8.5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26915-2024</t>
        </is>
      </c>
      <c r="B2379" s="1" t="n">
        <v>45470</v>
      </c>
      <c r="C2379" s="1" t="n">
        <v>45811</v>
      </c>
      <c r="D2379" t="inlineStr">
        <is>
          <t>GÄVLEBORGS LÄN</t>
        </is>
      </c>
      <c r="E2379" t="inlineStr">
        <is>
          <t>LJUSDAL</t>
        </is>
      </c>
      <c r="F2379" t="inlineStr">
        <is>
          <t>Naturvårdsverket</t>
        </is>
      </c>
      <c r="G2379" t="n">
        <v>11.3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26874-2024</t>
        </is>
      </c>
      <c r="B2380" s="1" t="n">
        <v>45470</v>
      </c>
      <c r="C2380" s="1" t="n">
        <v>45811</v>
      </c>
      <c r="D2380" t="inlineStr">
        <is>
          <t>GÄVLEBORGS LÄN</t>
        </is>
      </c>
      <c r="E2380" t="inlineStr">
        <is>
          <t>LJUSDAL</t>
        </is>
      </c>
      <c r="G2380" t="n">
        <v>2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26916-2024</t>
        </is>
      </c>
      <c r="B2381" s="1" t="n">
        <v>45470</v>
      </c>
      <c r="C2381" s="1" t="n">
        <v>45811</v>
      </c>
      <c r="D2381" t="inlineStr">
        <is>
          <t>GÄVLEBORGS LÄN</t>
        </is>
      </c>
      <c r="E2381" t="inlineStr">
        <is>
          <t>LJUSDAL</t>
        </is>
      </c>
      <c r="F2381" t="inlineStr">
        <is>
          <t>Naturvårdsverket</t>
        </is>
      </c>
      <c r="G2381" t="n">
        <v>2.9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26824-2024</t>
        </is>
      </c>
      <c r="B2382" s="1" t="n">
        <v>45470</v>
      </c>
      <c r="C2382" s="1" t="n">
        <v>45811</v>
      </c>
      <c r="D2382" t="inlineStr">
        <is>
          <t>GÄVLEBORGS LÄN</t>
        </is>
      </c>
      <c r="E2382" t="inlineStr">
        <is>
          <t>LJUSDAL</t>
        </is>
      </c>
      <c r="F2382" t="inlineStr">
        <is>
          <t>Kommuner</t>
        </is>
      </c>
      <c r="G2382" t="n">
        <v>1.3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26722-2024</t>
        </is>
      </c>
      <c r="B2383" s="1" t="n">
        <v>45470</v>
      </c>
      <c r="C2383" s="1" t="n">
        <v>45811</v>
      </c>
      <c r="D2383" t="inlineStr">
        <is>
          <t>GÄVLEBORGS LÄN</t>
        </is>
      </c>
      <c r="E2383" t="inlineStr">
        <is>
          <t>LJUSDAL</t>
        </is>
      </c>
      <c r="F2383" t="inlineStr">
        <is>
          <t>Bergvik skog väst AB</t>
        </is>
      </c>
      <c r="G2383" t="n">
        <v>3.5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26721-2024</t>
        </is>
      </c>
      <c r="B2384" s="1" t="n">
        <v>45470</v>
      </c>
      <c r="C2384" s="1" t="n">
        <v>45811</v>
      </c>
      <c r="D2384" t="inlineStr">
        <is>
          <t>GÄVLEBORGS LÄN</t>
        </is>
      </c>
      <c r="E2384" t="inlineStr">
        <is>
          <t>LJUSDAL</t>
        </is>
      </c>
      <c r="F2384" t="inlineStr">
        <is>
          <t>Bergvik skog väst AB</t>
        </is>
      </c>
      <c r="G2384" t="n">
        <v>0.4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26681-2024</t>
        </is>
      </c>
      <c r="B2385" s="1" t="n">
        <v>45470</v>
      </c>
      <c r="C2385" s="1" t="n">
        <v>45811</v>
      </c>
      <c r="D2385" t="inlineStr">
        <is>
          <t>GÄVLEBORGS LÄN</t>
        </is>
      </c>
      <c r="E2385" t="inlineStr">
        <is>
          <t>LJUSDAL</t>
        </is>
      </c>
      <c r="G2385" t="n">
        <v>0.9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26889-2024</t>
        </is>
      </c>
      <c r="B2386" s="1" t="n">
        <v>45470</v>
      </c>
      <c r="C2386" s="1" t="n">
        <v>45811</v>
      </c>
      <c r="D2386" t="inlineStr">
        <is>
          <t>GÄVLEBORGS LÄN</t>
        </is>
      </c>
      <c r="E2386" t="inlineStr">
        <is>
          <t>LJUSDAL</t>
        </is>
      </c>
      <c r="G2386" t="n">
        <v>5.7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26849-2024</t>
        </is>
      </c>
      <c r="B2387" s="1" t="n">
        <v>45470</v>
      </c>
      <c r="C2387" s="1" t="n">
        <v>45811</v>
      </c>
      <c r="D2387" t="inlineStr">
        <is>
          <t>GÄVLEBORGS LÄN</t>
        </is>
      </c>
      <c r="E2387" t="inlineStr">
        <is>
          <t>LJUSDAL</t>
        </is>
      </c>
      <c r="G2387" t="n">
        <v>2.8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27216-2024</t>
        </is>
      </c>
      <c r="B2388" s="1" t="n">
        <v>45471</v>
      </c>
      <c r="C2388" s="1" t="n">
        <v>45811</v>
      </c>
      <c r="D2388" t="inlineStr">
        <is>
          <t>GÄVLEBORGS LÄN</t>
        </is>
      </c>
      <c r="E2388" t="inlineStr">
        <is>
          <t>LJUSDAL</t>
        </is>
      </c>
      <c r="G2388" t="n">
        <v>1.5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27220-2024</t>
        </is>
      </c>
      <c r="B2389" s="1" t="n">
        <v>45471</v>
      </c>
      <c r="C2389" s="1" t="n">
        <v>45811</v>
      </c>
      <c r="D2389" t="inlineStr">
        <is>
          <t>GÄVLEBORGS LÄN</t>
        </is>
      </c>
      <c r="E2389" t="inlineStr">
        <is>
          <t>LJUSDAL</t>
        </is>
      </c>
      <c r="G2389" t="n">
        <v>1.7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27401-2024</t>
        </is>
      </c>
      <c r="B2390" s="1" t="n">
        <v>45474</v>
      </c>
      <c r="C2390" s="1" t="n">
        <v>45811</v>
      </c>
      <c r="D2390" t="inlineStr">
        <is>
          <t>GÄVLEBORGS LÄN</t>
        </is>
      </c>
      <c r="E2390" t="inlineStr">
        <is>
          <t>LJUSDAL</t>
        </is>
      </c>
      <c r="F2390" t="inlineStr">
        <is>
          <t>Bergvik skog väst AB</t>
        </is>
      </c>
      <c r="G2390" t="n">
        <v>2.2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27450-2024</t>
        </is>
      </c>
      <c r="B2391" s="1" t="n">
        <v>45474</v>
      </c>
      <c r="C2391" s="1" t="n">
        <v>45811</v>
      </c>
      <c r="D2391" t="inlineStr">
        <is>
          <t>GÄVLEBORGS LÄN</t>
        </is>
      </c>
      <c r="E2391" t="inlineStr">
        <is>
          <t>LJUSDAL</t>
        </is>
      </c>
      <c r="G2391" t="n">
        <v>9.9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27723-2024</t>
        </is>
      </c>
      <c r="B2392" s="1" t="n">
        <v>45475</v>
      </c>
      <c r="C2392" s="1" t="n">
        <v>45811</v>
      </c>
      <c r="D2392" t="inlineStr">
        <is>
          <t>GÄVLEBORGS LÄN</t>
        </is>
      </c>
      <c r="E2392" t="inlineStr">
        <is>
          <t>LJUSDAL</t>
        </is>
      </c>
      <c r="G2392" t="n">
        <v>3.7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27867-2024</t>
        </is>
      </c>
      <c r="B2393" s="1" t="n">
        <v>45475</v>
      </c>
      <c r="C2393" s="1" t="n">
        <v>45811</v>
      </c>
      <c r="D2393" t="inlineStr">
        <is>
          <t>GÄVLEBORGS LÄN</t>
        </is>
      </c>
      <c r="E2393" t="inlineStr">
        <is>
          <t>LJUSDAL</t>
        </is>
      </c>
      <c r="F2393" t="inlineStr">
        <is>
          <t>Allmännings- och besparingsskogar</t>
        </is>
      </c>
      <c r="G2393" t="n">
        <v>1.4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27847-2024</t>
        </is>
      </c>
      <c r="B2394" s="1" t="n">
        <v>45475</v>
      </c>
      <c r="C2394" s="1" t="n">
        <v>45811</v>
      </c>
      <c r="D2394" t="inlineStr">
        <is>
          <t>GÄVLEBORGS LÄN</t>
        </is>
      </c>
      <c r="E2394" t="inlineStr">
        <is>
          <t>LJUSDAL</t>
        </is>
      </c>
      <c r="G2394" t="n">
        <v>3.1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28024-2024</t>
        </is>
      </c>
      <c r="B2395" s="1" t="n">
        <v>45476</v>
      </c>
      <c r="C2395" s="1" t="n">
        <v>45811</v>
      </c>
      <c r="D2395" t="inlineStr">
        <is>
          <t>GÄVLEBORGS LÄN</t>
        </is>
      </c>
      <c r="E2395" t="inlineStr">
        <is>
          <t>LJUSDAL</t>
        </is>
      </c>
      <c r="G2395" t="n">
        <v>2.4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28000-2024</t>
        </is>
      </c>
      <c r="B2396" s="1" t="n">
        <v>45476</v>
      </c>
      <c r="C2396" s="1" t="n">
        <v>45811</v>
      </c>
      <c r="D2396" t="inlineStr">
        <is>
          <t>GÄVLEBORGS LÄN</t>
        </is>
      </c>
      <c r="E2396" t="inlineStr">
        <is>
          <t>LJUSDAL</t>
        </is>
      </c>
      <c r="F2396" t="inlineStr">
        <is>
          <t>Allmännings- och besparingsskogar</t>
        </is>
      </c>
      <c r="G2396" t="n">
        <v>4.2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28003-2024</t>
        </is>
      </c>
      <c r="B2397" s="1" t="n">
        <v>45476</v>
      </c>
      <c r="C2397" s="1" t="n">
        <v>45811</v>
      </c>
      <c r="D2397" t="inlineStr">
        <is>
          <t>GÄVLEBORGS LÄN</t>
        </is>
      </c>
      <c r="E2397" t="inlineStr">
        <is>
          <t>LJUSDAL</t>
        </is>
      </c>
      <c r="F2397" t="inlineStr">
        <is>
          <t>Allmännings- och besparingsskogar</t>
        </is>
      </c>
      <c r="G2397" t="n">
        <v>1.8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28524-2024</t>
        </is>
      </c>
      <c r="B2398" s="1" t="n">
        <v>45478</v>
      </c>
      <c r="C2398" s="1" t="n">
        <v>45811</v>
      </c>
      <c r="D2398" t="inlineStr">
        <is>
          <t>GÄVLEBORGS LÄN</t>
        </is>
      </c>
      <c r="E2398" t="inlineStr">
        <is>
          <t>LJUSDAL</t>
        </is>
      </c>
      <c r="F2398" t="inlineStr">
        <is>
          <t>Allmännings- och besparingsskogar</t>
        </is>
      </c>
      <c r="G2398" t="n">
        <v>1.1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29075-2024</t>
        </is>
      </c>
      <c r="B2399" s="1" t="n">
        <v>45481</v>
      </c>
      <c r="C2399" s="1" t="n">
        <v>45811</v>
      </c>
      <c r="D2399" t="inlineStr">
        <is>
          <t>GÄVLEBORGS LÄN</t>
        </is>
      </c>
      <c r="E2399" t="inlineStr">
        <is>
          <t>LJUSDAL</t>
        </is>
      </c>
      <c r="G2399" t="n">
        <v>2.7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29074-2024</t>
        </is>
      </c>
      <c r="B2400" s="1" t="n">
        <v>45481</v>
      </c>
      <c r="C2400" s="1" t="n">
        <v>45811</v>
      </c>
      <c r="D2400" t="inlineStr">
        <is>
          <t>GÄVLEBORGS LÄN</t>
        </is>
      </c>
      <c r="E2400" t="inlineStr">
        <is>
          <t>LJUSDAL</t>
        </is>
      </c>
      <c r="G2400" t="n">
        <v>2.6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29202-2024</t>
        </is>
      </c>
      <c r="B2401" s="1" t="n">
        <v>45482</v>
      </c>
      <c r="C2401" s="1" t="n">
        <v>45811</v>
      </c>
      <c r="D2401" t="inlineStr">
        <is>
          <t>GÄVLEBORGS LÄN</t>
        </is>
      </c>
      <c r="E2401" t="inlineStr">
        <is>
          <t>LJUSDAL</t>
        </is>
      </c>
      <c r="G2401" t="n">
        <v>3.3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29128-2024</t>
        </is>
      </c>
      <c r="B2402" s="1" t="n">
        <v>45482</v>
      </c>
      <c r="C2402" s="1" t="n">
        <v>45811</v>
      </c>
      <c r="D2402" t="inlineStr">
        <is>
          <t>GÄVLEBORGS LÄN</t>
        </is>
      </c>
      <c r="E2402" t="inlineStr">
        <is>
          <t>LJUSDAL</t>
        </is>
      </c>
      <c r="G2402" t="n">
        <v>5.8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29362-2024</t>
        </is>
      </c>
      <c r="B2403" s="1" t="n">
        <v>45483</v>
      </c>
      <c r="C2403" s="1" t="n">
        <v>45811</v>
      </c>
      <c r="D2403" t="inlineStr">
        <is>
          <t>GÄVLEBORGS LÄN</t>
        </is>
      </c>
      <c r="E2403" t="inlineStr">
        <is>
          <t>LJUSDAL</t>
        </is>
      </c>
      <c r="G2403" t="n">
        <v>5.5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29314-2024</t>
        </is>
      </c>
      <c r="B2404" s="1" t="n">
        <v>45483</v>
      </c>
      <c r="C2404" s="1" t="n">
        <v>45811</v>
      </c>
      <c r="D2404" t="inlineStr">
        <is>
          <t>GÄVLEBORGS LÄN</t>
        </is>
      </c>
      <c r="E2404" t="inlineStr">
        <is>
          <t>LJUSDAL</t>
        </is>
      </c>
      <c r="G2404" t="n">
        <v>4.4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29363-2024</t>
        </is>
      </c>
      <c r="B2405" s="1" t="n">
        <v>45483</v>
      </c>
      <c r="C2405" s="1" t="n">
        <v>45811</v>
      </c>
      <c r="D2405" t="inlineStr">
        <is>
          <t>GÄVLEBORGS LÄN</t>
        </is>
      </c>
      <c r="E2405" t="inlineStr">
        <is>
          <t>LJUSDAL</t>
        </is>
      </c>
      <c r="G2405" t="n">
        <v>2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29553-2024</t>
        </is>
      </c>
      <c r="B2406" s="1" t="n">
        <v>45484</v>
      </c>
      <c r="C2406" s="1" t="n">
        <v>45811</v>
      </c>
      <c r="D2406" t="inlineStr">
        <is>
          <t>GÄVLEBORGS LÄN</t>
        </is>
      </c>
      <c r="E2406" t="inlineStr">
        <is>
          <t>LJUSDAL</t>
        </is>
      </c>
      <c r="G2406" t="n">
        <v>1.1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29548-2024</t>
        </is>
      </c>
      <c r="B2407" s="1" t="n">
        <v>45484</v>
      </c>
      <c r="C2407" s="1" t="n">
        <v>45811</v>
      </c>
      <c r="D2407" t="inlineStr">
        <is>
          <t>GÄVLEBORGS LÄN</t>
        </is>
      </c>
      <c r="E2407" t="inlineStr">
        <is>
          <t>LJUSDAL</t>
        </is>
      </c>
      <c r="G2407" t="n">
        <v>7.7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29547-2024</t>
        </is>
      </c>
      <c r="B2408" s="1" t="n">
        <v>45484</v>
      </c>
      <c r="C2408" s="1" t="n">
        <v>45811</v>
      </c>
      <c r="D2408" t="inlineStr">
        <is>
          <t>GÄVLEBORGS LÄN</t>
        </is>
      </c>
      <c r="E2408" t="inlineStr">
        <is>
          <t>LJUSDAL</t>
        </is>
      </c>
      <c r="G2408" t="n">
        <v>1.3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29562-2024</t>
        </is>
      </c>
      <c r="B2409" s="1" t="n">
        <v>45484</v>
      </c>
      <c r="C2409" s="1" t="n">
        <v>45811</v>
      </c>
      <c r="D2409" t="inlineStr">
        <is>
          <t>GÄVLEBORGS LÄN</t>
        </is>
      </c>
      <c r="E2409" t="inlineStr">
        <is>
          <t>LJUSDAL</t>
        </is>
      </c>
      <c r="F2409" t="inlineStr">
        <is>
          <t>Bergvik skog väst AB</t>
        </is>
      </c>
      <c r="G2409" t="n">
        <v>6.4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29554-2024</t>
        </is>
      </c>
      <c r="B2410" s="1" t="n">
        <v>45484</v>
      </c>
      <c r="C2410" s="1" t="n">
        <v>45811</v>
      </c>
      <c r="D2410" t="inlineStr">
        <is>
          <t>GÄVLEBORGS LÄN</t>
        </is>
      </c>
      <c r="E2410" t="inlineStr">
        <is>
          <t>LJUSDAL</t>
        </is>
      </c>
      <c r="G2410" t="n">
        <v>0.9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29482-2024</t>
        </is>
      </c>
      <c r="B2411" s="1" t="n">
        <v>45484</v>
      </c>
      <c r="C2411" s="1" t="n">
        <v>45811</v>
      </c>
      <c r="D2411" t="inlineStr">
        <is>
          <t>GÄVLEBORGS LÄN</t>
        </is>
      </c>
      <c r="E2411" t="inlineStr">
        <is>
          <t>LJUSDAL</t>
        </is>
      </c>
      <c r="G2411" t="n">
        <v>1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29812-2024</t>
        </is>
      </c>
      <c r="B2412" s="1" t="n">
        <v>45485</v>
      </c>
      <c r="C2412" s="1" t="n">
        <v>45811</v>
      </c>
      <c r="D2412" t="inlineStr">
        <is>
          <t>GÄVLEBORGS LÄN</t>
        </is>
      </c>
      <c r="E2412" t="inlineStr">
        <is>
          <t>LJUSDAL</t>
        </is>
      </c>
      <c r="F2412" t="inlineStr">
        <is>
          <t>Allmännings- och besparingsskogar</t>
        </is>
      </c>
      <c r="G2412" t="n">
        <v>10.3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29934-2024</t>
        </is>
      </c>
      <c r="B2413" s="1" t="n">
        <v>45488</v>
      </c>
      <c r="C2413" s="1" t="n">
        <v>45811</v>
      </c>
      <c r="D2413" t="inlineStr">
        <is>
          <t>GÄVLEBORGS LÄN</t>
        </is>
      </c>
      <c r="E2413" t="inlineStr">
        <is>
          <t>LJUSDAL</t>
        </is>
      </c>
      <c r="F2413" t="inlineStr">
        <is>
          <t>Bergvik skog väst AB</t>
        </is>
      </c>
      <c r="G2413" t="n">
        <v>13.9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30286-2024</t>
        </is>
      </c>
      <c r="B2414" s="1" t="n">
        <v>45490</v>
      </c>
      <c r="C2414" s="1" t="n">
        <v>45811</v>
      </c>
      <c r="D2414" t="inlineStr">
        <is>
          <t>GÄVLEBORGS LÄN</t>
        </is>
      </c>
      <c r="E2414" t="inlineStr">
        <is>
          <t>LJUSDAL</t>
        </is>
      </c>
      <c r="G2414" t="n">
        <v>1.4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30294-2024</t>
        </is>
      </c>
      <c r="B2415" s="1" t="n">
        <v>45490</v>
      </c>
      <c r="C2415" s="1" t="n">
        <v>45811</v>
      </c>
      <c r="D2415" t="inlineStr">
        <is>
          <t>GÄVLEBORGS LÄN</t>
        </is>
      </c>
      <c r="E2415" t="inlineStr">
        <is>
          <t>LJUSDAL</t>
        </is>
      </c>
      <c r="G2415" t="n">
        <v>3.5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30213-2024</t>
        </is>
      </c>
      <c r="B2416" s="1" t="n">
        <v>45490</v>
      </c>
      <c r="C2416" s="1" t="n">
        <v>45811</v>
      </c>
      <c r="D2416" t="inlineStr">
        <is>
          <t>GÄVLEBORGS LÄN</t>
        </is>
      </c>
      <c r="E2416" t="inlineStr">
        <is>
          <t>LJUSDAL</t>
        </is>
      </c>
      <c r="F2416" t="inlineStr">
        <is>
          <t>Allmännings- och besparingsskogar</t>
        </is>
      </c>
      <c r="G2416" t="n">
        <v>0.7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30262-2024</t>
        </is>
      </c>
      <c r="B2417" s="1" t="n">
        <v>45490</v>
      </c>
      <c r="C2417" s="1" t="n">
        <v>45811</v>
      </c>
      <c r="D2417" t="inlineStr">
        <is>
          <t>GÄVLEBORGS LÄN</t>
        </is>
      </c>
      <c r="E2417" t="inlineStr">
        <is>
          <t>LJUSDAL</t>
        </is>
      </c>
      <c r="F2417" t="inlineStr">
        <is>
          <t>Bergvik skog väst AB</t>
        </is>
      </c>
      <c r="G2417" t="n">
        <v>8.5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30296-2024</t>
        </is>
      </c>
      <c r="B2418" s="1" t="n">
        <v>45490</v>
      </c>
      <c r="C2418" s="1" t="n">
        <v>45811</v>
      </c>
      <c r="D2418" t="inlineStr">
        <is>
          <t>GÄVLEBORGS LÄN</t>
        </is>
      </c>
      <c r="E2418" t="inlineStr">
        <is>
          <t>LJUSDAL</t>
        </is>
      </c>
      <c r="G2418" t="n">
        <v>5.7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30292-2024</t>
        </is>
      </c>
      <c r="B2419" s="1" t="n">
        <v>45490</v>
      </c>
      <c r="C2419" s="1" t="n">
        <v>45811</v>
      </c>
      <c r="D2419" t="inlineStr">
        <is>
          <t>GÄVLEBORGS LÄN</t>
        </is>
      </c>
      <c r="E2419" t="inlineStr">
        <is>
          <t>LJUSDAL</t>
        </is>
      </c>
      <c r="G2419" t="n">
        <v>3.6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30382-2024</t>
        </is>
      </c>
      <c r="B2420" s="1" t="n">
        <v>45491</v>
      </c>
      <c r="C2420" s="1" t="n">
        <v>45811</v>
      </c>
      <c r="D2420" t="inlineStr">
        <is>
          <t>GÄVLEBORGS LÄN</t>
        </is>
      </c>
      <c r="E2420" t="inlineStr">
        <is>
          <t>LJUSDAL</t>
        </is>
      </c>
      <c r="G2420" t="n">
        <v>1.2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30562-2024</t>
        </is>
      </c>
      <c r="B2421" s="1" t="n">
        <v>45493</v>
      </c>
      <c r="C2421" s="1" t="n">
        <v>45811</v>
      </c>
      <c r="D2421" t="inlineStr">
        <is>
          <t>GÄVLEBORGS LÄN</t>
        </is>
      </c>
      <c r="E2421" t="inlineStr">
        <is>
          <t>LJUSDAL</t>
        </is>
      </c>
      <c r="G2421" t="n">
        <v>2.8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30503-2024</t>
        </is>
      </c>
      <c r="B2422" s="1" t="n">
        <v>45492</v>
      </c>
      <c r="C2422" s="1" t="n">
        <v>45811</v>
      </c>
      <c r="D2422" t="inlineStr">
        <is>
          <t>GÄVLEBORGS LÄN</t>
        </is>
      </c>
      <c r="E2422" t="inlineStr">
        <is>
          <t>LJUSDAL</t>
        </is>
      </c>
      <c r="G2422" t="n">
        <v>2.7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30623-2024</t>
        </is>
      </c>
      <c r="B2423" s="1" t="n">
        <v>45495</v>
      </c>
      <c r="C2423" s="1" t="n">
        <v>45811</v>
      </c>
      <c r="D2423" t="inlineStr">
        <is>
          <t>GÄVLEBORGS LÄN</t>
        </is>
      </c>
      <c r="E2423" t="inlineStr">
        <is>
          <t>LJUSDAL</t>
        </is>
      </c>
      <c r="F2423" t="inlineStr">
        <is>
          <t>Allmännings- och besparingsskogar</t>
        </is>
      </c>
      <c r="G2423" t="n">
        <v>20.4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30782-2024</t>
        </is>
      </c>
      <c r="B2424" s="1" t="n">
        <v>45497</v>
      </c>
      <c r="C2424" s="1" t="n">
        <v>45811</v>
      </c>
      <c r="D2424" t="inlineStr">
        <is>
          <t>GÄVLEBORGS LÄN</t>
        </is>
      </c>
      <c r="E2424" t="inlineStr">
        <is>
          <t>LJUSDAL</t>
        </is>
      </c>
      <c r="F2424" t="inlineStr">
        <is>
          <t>SCA</t>
        </is>
      </c>
      <c r="G2424" t="n">
        <v>2.2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30778-2024</t>
        </is>
      </c>
      <c r="B2425" s="1" t="n">
        <v>45497</v>
      </c>
      <c r="C2425" s="1" t="n">
        <v>45811</v>
      </c>
      <c r="D2425" t="inlineStr">
        <is>
          <t>GÄVLEBORGS LÄN</t>
        </is>
      </c>
      <c r="E2425" t="inlineStr">
        <is>
          <t>LJUSDAL</t>
        </is>
      </c>
      <c r="F2425" t="inlineStr">
        <is>
          <t>SCA</t>
        </is>
      </c>
      <c r="G2425" t="n">
        <v>2.3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30841-2024</t>
        </is>
      </c>
      <c r="B2426" s="1" t="n">
        <v>45497</v>
      </c>
      <c r="C2426" s="1" t="n">
        <v>45811</v>
      </c>
      <c r="D2426" t="inlineStr">
        <is>
          <t>GÄVLEBORGS LÄN</t>
        </is>
      </c>
      <c r="E2426" t="inlineStr">
        <is>
          <t>LJUSDAL</t>
        </is>
      </c>
      <c r="F2426" t="inlineStr">
        <is>
          <t>Bergvik skog väst AB</t>
        </is>
      </c>
      <c r="G2426" t="n">
        <v>3.3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30818-2024</t>
        </is>
      </c>
      <c r="B2427" s="1" t="n">
        <v>45497</v>
      </c>
      <c r="C2427" s="1" t="n">
        <v>45811</v>
      </c>
      <c r="D2427" t="inlineStr">
        <is>
          <t>GÄVLEBORGS LÄN</t>
        </is>
      </c>
      <c r="E2427" t="inlineStr">
        <is>
          <t>LJUSDAL</t>
        </is>
      </c>
      <c r="F2427" t="inlineStr">
        <is>
          <t>Bergvik skog väst AB</t>
        </is>
      </c>
      <c r="G2427" t="n">
        <v>35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31011-2024</t>
        </is>
      </c>
      <c r="B2428" s="1" t="n">
        <v>45499</v>
      </c>
      <c r="C2428" s="1" t="n">
        <v>45811</v>
      </c>
      <c r="D2428" t="inlineStr">
        <is>
          <t>GÄVLEBORGS LÄN</t>
        </is>
      </c>
      <c r="E2428" t="inlineStr">
        <is>
          <t>LJUSDAL</t>
        </is>
      </c>
      <c r="G2428" t="n">
        <v>1.5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31286-2024</t>
        </is>
      </c>
      <c r="B2429" s="1" t="n">
        <v>45504</v>
      </c>
      <c r="C2429" s="1" t="n">
        <v>45811</v>
      </c>
      <c r="D2429" t="inlineStr">
        <is>
          <t>GÄVLEBORGS LÄN</t>
        </is>
      </c>
      <c r="E2429" t="inlineStr">
        <is>
          <t>LJUSDAL</t>
        </is>
      </c>
      <c r="G2429" t="n">
        <v>3.2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31319-2024</t>
        </is>
      </c>
      <c r="B2430" s="1" t="n">
        <v>45504</v>
      </c>
      <c r="C2430" s="1" t="n">
        <v>45811</v>
      </c>
      <c r="D2430" t="inlineStr">
        <is>
          <t>GÄVLEBORGS LÄN</t>
        </is>
      </c>
      <c r="E2430" t="inlineStr">
        <is>
          <t>LJUSDAL</t>
        </is>
      </c>
      <c r="F2430" t="inlineStr">
        <is>
          <t>Allmännings- och besparingsskogar</t>
        </is>
      </c>
      <c r="G2430" t="n">
        <v>31.4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  <c r="U2430">
        <f>HYPERLINK("https://klasma.github.io/Logging_2161/knärot/A 31319-2024 karta knärot.png", "A 31319-2024")</f>
        <v/>
      </c>
      <c r="V2430">
        <f>HYPERLINK("https://klasma.github.io/Logging_2161/klagomål/A 31319-2024 FSC-klagomål.docx", "A 31319-2024")</f>
        <v/>
      </c>
      <c r="W2430">
        <f>HYPERLINK("https://klasma.github.io/Logging_2161/klagomålsmail/A 31319-2024 FSC-klagomål mail.docx", "A 31319-2024")</f>
        <v/>
      </c>
      <c r="X2430">
        <f>HYPERLINK("https://klasma.github.io/Logging_2161/tillsyn/A 31319-2024 tillsynsbegäran.docx", "A 31319-2024")</f>
        <v/>
      </c>
      <c r="Y2430">
        <f>HYPERLINK("https://klasma.github.io/Logging_2161/tillsynsmail/A 31319-2024 tillsynsbegäran mail.docx", "A 31319-2024")</f>
        <v/>
      </c>
    </row>
    <row r="2431" ht="15" customHeight="1">
      <c r="A2431" t="inlineStr">
        <is>
          <t>A 31287-2024</t>
        </is>
      </c>
      <c r="B2431" s="1" t="n">
        <v>45504</v>
      </c>
      <c r="C2431" s="1" t="n">
        <v>45811</v>
      </c>
      <c r="D2431" t="inlineStr">
        <is>
          <t>GÄVLEBORGS LÄN</t>
        </is>
      </c>
      <c r="E2431" t="inlineStr">
        <is>
          <t>LJUSDAL</t>
        </is>
      </c>
      <c r="G2431" t="n">
        <v>3.5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31370-2024</t>
        </is>
      </c>
      <c r="B2432" s="1" t="n">
        <v>45505</v>
      </c>
      <c r="C2432" s="1" t="n">
        <v>45811</v>
      </c>
      <c r="D2432" t="inlineStr">
        <is>
          <t>GÄVLEBORGS LÄN</t>
        </is>
      </c>
      <c r="E2432" t="inlineStr">
        <is>
          <t>LJUSDAL</t>
        </is>
      </c>
      <c r="G2432" t="n">
        <v>5.5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31415-2024</t>
        </is>
      </c>
      <c r="B2433" s="1" t="n">
        <v>45505</v>
      </c>
      <c r="C2433" s="1" t="n">
        <v>45811</v>
      </c>
      <c r="D2433" t="inlineStr">
        <is>
          <t>GÄVLEBORGS LÄN</t>
        </is>
      </c>
      <c r="E2433" t="inlineStr">
        <is>
          <t>LJUSDAL</t>
        </is>
      </c>
      <c r="F2433" t="inlineStr">
        <is>
          <t>Sveaskog</t>
        </is>
      </c>
      <c r="G2433" t="n">
        <v>4.7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31373-2024</t>
        </is>
      </c>
      <c r="B2434" s="1" t="n">
        <v>45505</v>
      </c>
      <c r="C2434" s="1" t="n">
        <v>45811</v>
      </c>
      <c r="D2434" t="inlineStr">
        <is>
          <t>GÄVLEBORGS LÄN</t>
        </is>
      </c>
      <c r="E2434" t="inlineStr">
        <is>
          <t>LJUSDAL</t>
        </is>
      </c>
      <c r="G2434" t="n">
        <v>2.7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31627-2024</t>
        </is>
      </c>
      <c r="B2435" s="1" t="n">
        <v>45506</v>
      </c>
      <c r="C2435" s="1" t="n">
        <v>45811</v>
      </c>
      <c r="D2435" t="inlineStr">
        <is>
          <t>GÄVLEBORGS LÄN</t>
        </is>
      </c>
      <c r="E2435" t="inlineStr">
        <is>
          <t>LJUSDAL</t>
        </is>
      </c>
      <c r="G2435" t="n">
        <v>1.4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31626-2024</t>
        </is>
      </c>
      <c r="B2436" s="1" t="n">
        <v>45506</v>
      </c>
      <c r="C2436" s="1" t="n">
        <v>45811</v>
      </c>
      <c r="D2436" t="inlineStr">
        <is>
          <t>GÄVLEBORGS LÄN</t>
        </is>
      </c>
      <c r="E2436" t="inlineStr">
        <is>
          <t>LJUSDAL</t>
        </is>
      </c>
      <c r="G2436" t="n">
        <v>2.9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31673-2024</t>
        </is>
      </c>
      <c r="B2437" s="1" t="n">
        <v>45507</v>
      </c>
      <c r="C2437" s="1" t="n">
        <v>45811</v>
      </c>
      <c r="D2437" t="inlineStr">
        <is>
          <t>GÄVLEBORGS LÄN</t>
        </is>
      </c>
      <c r="E2437" t="inlineStr">
        <is>
          <t>LJUSDAL</t>
        </is>
      </c>
      <c r="F2437" t="inlineStr">
        <is>
          <t>SCA</t>
        </is>
      </c>
      <c r="G2437" t="n">
        <v>2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31760-2024</t>
        </is>
      </c>
      <c r="B2438" s="1" t="n">
        <v>45509</v>
      </c>
      <c r="C2438" s="1" t="n">
        <v>45811</v>
      </c>
      <c r="D2438" t="inlineStr">
        <is>
          <t>GÄVLEBORGS LÄN</t>
        </is>
      </c>
      <c r="E2438" t="inlineStr">
        <is>
          <t>LJUSDAL</t>
        </is>
      </c>
      <c r="F2438" t="inlineStr">
        <is>
          <t>Naturvårdsverket</t>
        </is>
      </c>
      <c r="G2438" t="n">
        <v>10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32164-2024</t>
        </is>
      </c>
      <c r="B2439" s="1" t="n">
        <v>45511</v>
      </c>
      <c r="C2439" s="1" t="n">
        <v>45811</v>
      </c>
      <c r="D2439" t="inlineStr">
        <is>
          <t>GÄVLEBORGS LÄN</t>
        </is>
      </c>
      <c r="E2439" t="inlineStr">
        <is>
          <t>LJUSDAL</t>
        </is>
      </c>
      <c r="G2439" t="n">
        <v>0.8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32249-2024</t>
        </is>
      </c>
      <c r="B2440" s="1" t="n">
        <v>45511</v>
      </c>
      <c r="C2440" s="1" t="n">
        <v>45811</v>
      </c>
      <c r="D2440" t="inlineStr">
        <is>
          <t>GÄVLEBORGS LÄN</t>
        </is>
      </c>
      <c r="E2440" t="inlineStr">
        <is>
          <t>LJUSDAL</t>
        </is>
      </c>
      <c r="F2440" t="inlineStr">
        <is>
          <t>SCA</t>
        </is>
      </c>
      <c r="G2440" t="n">
        <v>2.4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32161-2024</t>
        </is>
      </c>
      <c r="B2441" s="1" t="n">
        <v>45511</v>
      </c>
      <c r="C2441" s="1" t="n">
        <v>45811</v>
      </c>
      <c r="D2441" t="inlineStr">
        <is>
          <t>GÄVLEBORGS LÄN</t>
        </is>
      </c>
      <c r="E2441" t="inlineStr">
        <is>
          <t>LJUSDAL</t>
        </is>
      </c>
      <c r="G2441" t="n">
        <v>5.3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32357-2024</t>
        </is>
      </c>
      <c r="B2442" s="1" t="n">
        <v>45512</v>
      </c>
      <c r="C2442" s="1" t="n">
        <v>45811</v>
      </c>
      <c r="D2442" t="inlineStr">
        <is>
          <t>GÄVLEBORGS LÄN</t>
        </is>
      </c>
      <c r="E2442" t="inlineStr">
        <is>
          <t>LJUSDAL</t>
        </is>
      </c>
      <c r="G2442" t="n">
        <v>1.1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32366-2024</t>
        </is>
      </c>
      <c r="B2443" s="1" t="n">
        <v>45512</v>
      </c>
      <c r="C2443" s="1" t="n">
        <v>45811</v>
      </c>
      <c r="D2443" t="inlineStr">
        <is>
          <t>GÄVLEBORGS LÄN</t>
        </is>
      </c>
      <c r="E2443" t="inlineStr">
        <is>
          <t>LJUSDAL</t>
        </is>
      </c>
      <c r="F2443" t="inlineStr">
        <is>
          <t>Allmännings- och besparingsskogar</t>
        </is>
      </c>
      <c r="G2443" t="n">
        <v>6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32355-2024</t>
        </is>
      </c>
      <c r="B2444" s="1" t="n">
        <v>45512</v>
      </c>
      <c r="C2444" s="1" t="n">
        <v>45811</v>
      </c>
      <c r="D2444" t="inlineStr">
        <is>
          <t>GÄVLEBORGS LÄN</t>
        </is>
      </c>
      <c r="E2444" t="inlineStr">
        <is>
          <t>LJUSDAL</t>
        </is>
      </c>
      <c r="F2444" t="inlineStr">
        <is>
          <t>Holmen skog AB</t>
        </is>
      </c>
      <c r="G2444" t="n">
        <v>3.3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32360-2024</t>
        </is>
      </c>
      <c r="B2445" s="1" t="n">
        <v>45512</v>
      </c>
      <c r="C2445" s="1" t="n">
        <v>45811</v>
      </c>
      <c r="D2445" t="inlineStr">
        <is>
          <t>GÄVLEBORGS LÄN</t>
        </is>
      </c>
      <c r="E2445" t="inlineStr">
        <is>
          <t>LJUSDAL</t>
        </is>
      </c>
      <c r="F2445" t="inlineStr">
        <is>
          <t>Sveaskog</t>
        </is>
      </c>
      <c r="G2445" t="n">
        <v>1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32480-2024</t>
        </is>
      </c>
      <c r="B2446" s="1" t="n">
        <v>45513</v>
      </c>
      <c r="C2446" s="1" t="n">
        <v>45811</v>
      </c>
      <c r="D2446" t="inlineStr">
        <is>
          <t>GÄVLEBORGS LÄN</t>
        </is>
      </c>
      <c r="E2446" t="inlineStr">
        <is>
          <t>LJUSDAL</t>
        </is>
      </c>
      <c r="F2446" t="inlineStr">
        <is>
          <t>Bergvik skog väst AB</t>
        </is>
      </c>
      <c r="G2446" t="n">
        <v>2.4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32579-2024</t>
        </is>
      </c>
      <c r="B2447" s="1" t="n">
        <v>45513</v>
      </c>
      <c r="C2447" s="1" t="n">
        <v>45811</v>
      </c>
      <c r="D2447" t="inlineStr">
        <is>
          <t>GÄVLEBORGS LÄN</t>
        </is>
      </c>
      <c r="E2447" t="inlineStr">
        <is>
          <t>LJUSDAL</t>
        </is>
      </c>
      <c r="F2447" t="inlineStr">
        <is>
          <t>Sveaskog</t>
        </is>
      </c>
      <c r="G2447" t="n">
        <v>33.7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32743-2024</t>
        </is>
      </c>
      <c r="B2448" s="1" t="n">
        <v>45516</v>
      </c>
      <c r="C2448" s="1" t="n">
        <v>45811</v>
      </c>
      <c r="D2448" t="inlineStr">
        <is>
          <t>GÄVLEBORGS LÄN</t>
        </is>
      </c>
      <c r="E2448" t="inlineStr">
        <is>
          <t>LJUSDAL</t>
        </is>
      </c>
      <c r="G2448" t="n">
        <v>2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33052-2024</t>
        </is>
      </c>
      <c r="B2449" s="1" t="n">
        <v>45517</v>
      </c>
      <c r="C2449" s="1" t="n">
        <v>45811</v>
      </c>
      <c r="D2449" t="inlineStr">
        <is>
          <t>GÄVLEBORGS LÄN</t>
        </is>
      </c>
      <c r="E2449" t="inlineStr">
        <is>
          <t>LJUSDAL</t>
        </is>
      </c>
      <c r="F2449" t="inlineStr">
        <is>
          <t>Allmännings- och besparingsskogar</t>
        </is>
      </c>
      <c r="G2449" t="n">
        <v>1.9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33120-2024</t>
        </is>
      </c>
      <c r="B2450" s="1" t="n">
        <v>45517</v>
      </c>
      <c r="C2450" s="1" t="n">
        <v>45811</v>
      </c>
      <c r="D2450" t="inlineStr">
        <is>
          <t>GÄVLEBORGS LÄN</t>
        </is>
      </c>
      <c r="E2450" t="inlineStr">
        <is>
          <t>LJUSDAL</t>
        </is>
      </c>
      <c r="F2450" t="inlineStr">
        <is>
          <t>SCA</t>
        </is>
      </c>
      <c r="G2450" t="n">
        <v>0.4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33298-2024</t>
        </is>
      </c>
      <c r="B2451" s="1" t="n">
        <v>45519</v>
      </c>
      <c r="C2451" s="1" t="n">
        <v>45811</v>
      </c>
      <c r="D2451" t="inlineStr">
        <is>
          <t>GÄVLEBORGS LÄN</t>
        </is>
      </c>
      <c r="E2451" t="inlineStr">
        <is>
          <t>LJUSDAL</t>
        </is>
      </c>
      <c r="G2451" t="n">
        <v>5.6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33199-2024</t>
        </is>
      </c>
      <c r="B2452" s="1" t="n">
        <v>45518</v>
      </c>
      <c r="C2452" s="1" t="n">
        <v>45811</v>
      </c>
      <c r="D2452" t="inlineStr">
        <is>
          <t>GÄVLEBORGS LÄN</t>
        </is>
      </c>
      <c r="E2452" t="inlineStr">
        <is>
          <t>LJUSDAL</t>
        </is>
      </c>
      <c r="F2452" t="inlineStr">
        <is>
          <t>Bergvik skog väst AB</t>
        </is>
      </c>
      <c r="G2452" t="n">
        <v>2.4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33297-2024</t>
        </is>
      </c>
      <c r="B2453" s="1" t="n">
        <v>45519</v>
      </c>
      <c r="C2453" s="1" t="n">
        <v>45811</v>
      </c>
      <c r="D2453" t="inlineStr">
        <is>
          <t>GÄVLEBORGS LÄN</t>
        </is>
      </c>
      <c r="E2453" t="inlineStr">
        <is>
          <t>LJUSDAL</t>
        </is>
      </c>
      <c r="G2453" t="n">
        <v>1.5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33131-2024</t>
        </is>
      </c>
      <c r="B2454" s="1" t="n">
        <v>45518</v>
      </c>
      <c r="C2454" s="1" t="n">
        <v>45811</v>
      </c>
      <c r="D2454" t="inlineStr">
        <is>
          <t>GÄVLEBORGS LÄN</t>
        </is>
      </c>
      <c r="E2454" t="inlineStr">
        <is>
          <t>LJUSDAL</t>
        </is>
      </c>
      <c r="G2454" t="n">
        <v>3.5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33389-2024</t>
        </is>
      </c>
      <c r="B2455" s="1" t="n">
        <v>45519</v>
      </c>
      <c r="C2455" s="1" t="n">
        <v>45811</v>
      </c>
      <c r="D2455" t="inlineStr">
        <is>
          <t>GÄVLEBORGS LÄN</t>
        </is>
      </c>
      <c r="E2455" t="inlineStr">
        <is>
          <t>LJUSDAL</t>
        </is>
      </c>
      <c r="F2455" t="inlineStr">
        <is>
          <t>Sveaskog</t>
        </is>
      </c>
      <c r="G2455" t="n">
        <v>2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33354-2024</t>
        </is>
      </c>
      <c r="B2456" s="1" t="n">
        <v>45519</v>
      </c>
      <c r="C2456" s="1" t="n">
        <v>45811</v>
      </c>
      <c r="D2456" t="inlineStr">
        <is>
          <t>GÄVLEBORGS LÄN</t>
        </is>
      </c>
      <c r="E2456" t="inlineStr">
        <is>
          <t>LJUSDAL</t>
        </is>
      </c>
      <c r="G2456" t="n">
        <v>1.5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33386-2024</t>
        </is>
      </c>
      <c r="B2457" s="1" t="n">
        <v>45519</v>
      </c>
      <c r="C2457" s="1" t="n">
        <v>45811</v>
      </c>
      <c r="D2457" t="inlineStr">
        <is>
          <t>GÄVLEBORGS LÄN</t>
        </is>
      </c>
      <c r="E2457" t="inlineStr">
        <is>
          <t>LJUSDAL</t>
        </is>
      </c>
      <c r="F2457" t="inlineStr">
        <is>
          <t>Sveaskog</t>
        </is>
      </c>
      <c r="G2457" t="n">
        <v>3.3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33512-2024</t>
        </is>
      </c>
      <c r="B2458" s="1" t="n">
        <v>45519</v>
      </c>
      <c r="C2458" s="1" t="n">
        <v>45811</v>
      </c>
      <c r="D2458" t="inlineStr">
        <is>
          <t>GÄVLEBORGS LÄN</t>
        </is>
      </c>
      <c r="E2458" t="inlineStr">
        <is>
          <t>LJUSDAL</t>
        </is>
      </c>
      <c r="F2458" t="inlineStr">
        <is>
          <t>Bergvik skog väst AB</t>
        </is>
      </c>
      <c r="G2458" t="n">
        <v>16.4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  <c r="U2458">
        <f>HYPERLINK("https://klasma.github.io/Logging_2161/knärot/A 33512-2024 karta knärot.png", "A 33512-2024")</f>
        <v/>
      </c>
      <c r="V2458">
        <f>HYPERLINK("https://klasma.github.io/Logging_2161/klagomål/A 33512-2024 FSC-klagomål.docx", "A 33512-2024")</f>
        <v/>
      </c>
      <c r="W2458">
        <f>HYPERLINK("https://klasma.github.io/Logging_2161/klagomålsmail/A 33512-2024 FSC-klagomål mail.docx", "A 33512-2024")</f>
        <v/>
      </c>
      <c r="X2458">
        <f>HYPERLINK("https://klasma.github.io/Logging_2161/tillsyn/A 33512-2024 tillsynsbegäran.docx", "A 33512-2024")</f>
        <v/>
      </c>
      <c r="Y2458">
        <f>HYPERLINK("https://klasma.github.io/Logging_2161/tillsynsmail/A 33512-2024 tillsynsbegäran mail.docx", "A 33512-2024")</f>
        <v/>
      </c>
    </row>
    <row r="2459" ht="15" customHeight="1">
      <c r="A2459" t="inlineStr">
        <is>
          <t>A 33347-2024</t>
        </is>
      </c>
      <c r="B2459" s="1" t="n">
        <v>45519</v>
      </c>
      <c r="C2459" s="1" t="n">
        <v>45811</v>
      </c>
      <c r="D2459" t="inlineStr">
        <is>
          <t>GÄVLEBORGS LÄN</t>
        </is>
      </c>
      <c r="E2459" t="inlineStr">
        <is>
          <t>LJUSDAL</t>
        </is>
      </c>
      <c r="F2459" t="inlineStr">
        <is>
          <t>Holmen skog AB</t>
        </is>
      </c>
      <c r="G2459" t="n">
        <v>1.9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33359-2024</t>
        </is>
      </c>
      <c r="B2460" s="1" t="n">
        <v>45519</v>
      </c>
      <c r="C2460" s="1" t="n">
        <v>45811</v>
      </c>
      <c r="D2460" t="inlineStr">
        <is>
          <t>GÄVLEBORGS LÄN</t>
        </is>
      </c>
      <c r="E2460" t="inlineStr">
        <is>
          <t>LJUSDAL</t>
        </is>
      </c>
      <c r="F2460" t="inlineStr">
        <is>
          <t>Bergvik skog väst AB</t>
        </is>
      </c>
      <c r="G2460" t="n">
        <v>7.9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33363-2024</t>
        </is>
      </c>
      <c r="B2461" s="1" t="n">
        <v>45519</v>
      </c>
      <c r="C2461" s="1" t="n">
        <v>45811</v>
      </c>
      <c r="D2461" t="inlineStr">
        <is>
          <t>GÄVLEBORGS LÄN</t>
        </is>
      </c>
      <c r="E2461" t="inlineStr">
        <is>
          <t>LJUSDAL</t>
        </is>
      </c>
      <c r="F2461" t="inlineStr">
        <is>
          <t>Bergvik skog väst AB</t>
        </is>
      </c>
      <c r="G2461" t="n">
        <v>9.699999999999999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33420-2024</t>
        </is>
      </c>
      <c r="B2462" s="1" t="n">
        <v>45519</v>
      </c>
      <c r="C2462" s="1" t="n">
        <v>45811</v>
      </c>
      <c r="D2462" t="inlineStr">
        <is>
          <t>GÄVLEBORGS LÄN</t>
        </is>
      </c>
      <c r="E2462" t="inlineStr">
        <is>
          <t>LJUSDAL</t>
        </is>
      </c>
      <c r="F2462" t="inlineStr">
        <is>
          <t>Holmen skog AB</t>
        </is>
      </c>
      <c r="G2462" t="n">
        <v>1.1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33654-2024</t>
        </is>
      </c>
      <c r="B2463" s="1" t="n">
        <v>45520</v>
      </c>
      <c r="C2463" s="1" t="n">
        <v>45811</v>
      </c>
      <c r="D2463" t="inlineStr">
        <is>
          <t>GÄVLEBORGS LÄN</t>
        </is>
      </c>
      <c r="E2463" t="inlineStr">
        <is>
          <t>LJUSDAL</t>
        </is>
      </c>
      <c r="F2463" t="inlineStr">
        <is>
          <t>Bergvik skog väst AB</t>
        </is>
      </c>
      <c r="G2463" t="n">
        <v>2.9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33949-2024</t>
        </is>
      </c>
      <c r="B2464" s="1" t="n">
        <v>45523</v>
      </c>
      <c r="C2464" s="1" t="n">
        <v>45811</v>
      </c>
      <c r="D2464" t="inlineStr">
        <is>
          <t>GÄVLEBORGS LÄN</t>
        </is>
      </c>
      <c r="E2464" t="inlineStr">
        <is>
          <t>LJUSDAL</t>
        </is>
      </c>
      <c r="G2464" t="n">
        <v>12.2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33947-2024</t>
        </is>
      </c>
      <c r="B2465" s="1" t="n">
        <v>45523</v>
      </c>
      <c r="C2465" s="1" t="n">
        <v>45811</v>
      </c>
      <c r="D2465" t="inlineStr">
        <is>
          <t>GÄVLEBORGS LÄN</t>
        </is>
      </c>
      <c r="E2465" t="inlineStr">
        <is>
          <t>LJUSDAL</t>
        </is>
      </c>
      <c r="G2465" t="n">
        <v>2.8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34032-2024</t>
        </is>
      </c>
      <c r="B2466" s="1" t="n">
        <v>45523</v>
      </c>
      <c r="C2466" s="1" t="n">
        <v>45811</v>
      </c>
      <c r="D2466" t="inlineStr">
        <is>
          <t>GÄVLEBORGS LÄN</t>
        </is>
      </c>
      <c r="E2466" t="inlineStr">
        <is>
          <t>LJUSDAL</t>
        </is>
      </c>
      <c r="G2466" t="n">
        <v>3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34084-2024</t>
        </is>
      </c>
      <c r="B2467" s="1" t="n">
        <v>45523</v>
      </c>
      <c r="C2467" s="1" t="n">
        <v>45811</v>
      </c>
      <c r="D2467" t="inlineStr">
        <is>
          <t>GÄVLEBORGS LÄN</t>
        </is>
      </c>
      <c r="E2467" t="inlineStr">
        <is>
          <t>LJUSDAL</t>
        </is>
      </c>
      <c r="G2467" t="n">
        <v>3.4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34229-2024</t>
        </is>
      </c>
      <c r="B2468" s="1" t="n">
        <v>45524</v>
      </c>
      <c r="C2468" s="1" t="n">
        <v>45811</v>
      </c>
      <c r="D2468" t="inlineStr">
        <is>
          <t>GÄVLEBORGS LÄN</t>
        </is>
      </c>
      <c r="E2468" t="inlineStr">
        <is>
          <t>LJUSDAL</t>
        </is>
      </c>
      <c r="G2468" t="n">
        <v>3.2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34265-2024</t>
        </is>
      </c>
      <c r="B2469" s="1" t="n">
        <v>45524</v>
      </c>
      <c r="C2469" s="1" t="n">
        <v>45811</v>
      </c>
      <c r="D2469" t="inlineStr">
        <is>
          <t>GÄVLEBORGS LÄN</t>
        </is>
      </c>
      <c r="E2469" t="inlineStr">
        <is>
          <t>LJUSDAL</t>
        </is>
      </c>
      <c r="G2469" t="n">
        <v>1.1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34294-2024</t>
        </is>
      </c>
      <c r="B2470" s="1" t="n">
        <v>45524</v>
      </c>
      <c r="C2470" s="1" t="n">
        <v>45811</v>
      </c>
      <c r="D2470" t="inlineStr">
        <is>
          <t>GÄVLEBORGS LÄN</t>
        </is>
      </c>
      <c r="E2470" t="inlineStr">
        <is>
          <t>LJUSDAL</t>
        </is>
      </c>
      <c r="G2470" t="n">
        <v>5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34165-2024</t>
        </is>
      </c>
      <c r="B2471" s="1" t="n">
        <v>45524</v>
      </c>
      <c r="C2471" s="1" t="n">
        <v>45811</v>
      </c>
      <c r="D2471" t="inlineStr">
        <is>
          <t>GÄVLEBORGS LÄN</t>
        </is>
      </c>
      <c r="E2471" t="inlineStr">
        <is>
          <t>LJUSDAL</t>
        </is>
      </c>
      <c r="G2471" t="n">
        <v>1.7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34231-2024</t>
        </is>
      </c>
      <c r="B2472" s="1" t="n">
        <v>45524</v>
      </c>
      <c r="C2472" s="1" t="n">
        <v>45811</v>
      </c>
      <c r="D2472" t="inlineStr">
        <is>
          <t>GÄVLEBORGS LÄN</t>
        </is>
      </c>
      <c r="E2472" t="inlineStr">
        <is>
          <t>LJUSDAL</t>
        </is>
      </c>
      <c r="F2472" t="inlineStr">
        <is>
          <t>Sveaskog</t>
        </is>
      </c>
      <c r="G2472" t="n">
        <v>11.2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34230-2024</t>
        </is>
      </c>
      <c r="B2473" s="1" t="n">
        <v>45524</v>
      </c>
      <c r="C2473" s="1" t="n">
        <v>45811</v>
      </c>
      <c r="D2473" t="inlineStr">
        <is>
          <t>GÄVLEBORGS LÄN</t>
        </is>
      </c>
      <c r="E2473" t="inlineStr">
        <is>
          <t>LJUSDAL</t>
        </is>
      </c>
      <c r="F2473" t="inlineStr">
        <is>
          <t>Sveaskog</t>
        </is>
      </c>
      <c r="G2473" t="n">
        <v>2.3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34234-2024</t>
        </is>
      </c>
      <c r="B2474" s="1" t="n">
        <v>45524</v>
      </c>
      <c r="C2474" s="1" t="n">
        <v>45811</v>
      </c>
      <c r="D2474" t="inlineStr">
        <is>
          <t>GÄVLEBORGS LÄN</t>
        </is>
      </c>
      <c r="E2474" t="inlineStr">
        <is>
          <t>LJUSDAL</t>
        </is>
      </c>
      <c r="G2474" t="n">
        <v>3.7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34382-2024</t>
        </is>
      </c>
      <c r="B2475" s="1" t="n">
        <v>45525</v>
      </c>
      <c r="C2475" s="1" t="n">
        <v>45811</v>
      </c>
      <c r="D2475" t="inlineStr">
        <is>
          <t>GÄVLEBORGS LÄN</t>
        </is>
      </c>
      <c r="E2475" t="inlineStr">
        <is>
          <t>LJUSDAL</t>
        </is>
      </c>
      <c r="F2475" t="inlineStr">
        <is>
          <t>Holmen skog AB</t>
        </is>
      </c>
      <c r="G2475" t="n">
        <v>0.5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34338-2024</t>
        </is>
      </c>
      <c r="B2476" s="1" t="n">
        <v>45525</v>
      </c>
      <c r="C2476" s="1" t="n">
        <v>45811</v>
      </c>
      <c r="D2476" t="inlineStr">
        <is>
          <t>GÄVLEBORGS LÄN</t>
        </is>
      </c>
      <c r="E2476" t="inlineStr">
        <is>
          <t>LJUSDAL</t>
        </is>
      </c>
      <c r="G2476" t="n">
        <v>1.4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34672-2024</t>
        </is>
      </c>
      <c r="B2477" s="1" t="n">
        <v>45526</v>
      </c>
      <c r="C2477" s="1" t="n">
        <v>45811</v>
      </c>
      <c r="D2477" t="inlineStr">
        <is>
          <t>GÄVLEBORGS LÄN</t>
        </is>
      </c>
      <c r="E2477" t="inlineStr">
        <is>
          <t>LJUSDAL</t>
        </is>
      </c>
      <c r="G2477" t="n">
        <v>2.7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34677-2024</t>
        </is>
      </c>
      <c r="B2478" s="1" t="n">
        <v>45526</v>
      </c>
      <c r="C2478" s="1" t="n">
        <v>45811</v>
      </c>
      <c r="D2478" t="inlineStr">
        <is>
          <t>GÄVLEBORGS LÄN</t>
        </is>
      </c>
      <c r="E2478" t="inlineStr">
        <is>
          <t>LJUSDAL</t>
        </is>
      </c>
      <c r="G2478" t="n">
        <v>1.7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34787-2024</t>
        </is>
      </c>
      <c r="B2479" s="1" t="n">
        <v>45526</v>
      </c>
      <c r="C2479" s="1" t="n">
        <v>45811</v>
      </c>
      <c r="D2479" t="inlineStr">
        <is>
          <t>GÄVLEBORGS LÄN</t>
        </is>
      </c>
      <c r="E2479" t="inlineStr">
        <is>
          <t>LJUSDAL</t>
        </is>
      </c>
      <c r="F2479" t="inlineStr">
        <is>
          <t>Sveaskog</t>
        </is>
      </c>
      <c r="G2479" t="n">
        <v>1.2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34617-2024</t>
        </is>
      </c>
      <c r="B2480" s="1" t="n">
        <v>45526</v>
      </c>
      <c r="C2480" s="1" t="n">
        <v>45811</v>
      </c>
      <c r="D2480" t="inlineStr">
        <is>
          <t>GÄVLEBORGS LÄN</t>
        </is>
      </c>
      <c r="E2480" t="inlineStr">
        <is>
          <t>LJUSDAL</t>
        </is>
      </c>
      <c r="F2480" t="inlineStr">
        <is>
          <t>Sveaskog</t>
        </is>
      </c>
      <c r="G2480" t="n">
        <v>4.6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34753-2024</t>
        </is>
      </c>
      <c r="B2481" s="1" t="n">
        <v>45526</v>
      </c>
      <c r="C2481" s="1" t="n">
        <v>45811</v>
      </c>
      <c r="D2481" t="inlineStr">
        <is>
          <t>GÄVLEBORGS LÄN</t>
        </is>
      </c>
      <c r="E2481" t="inlineStr">
        <is>
          <t>LJUSDAL</t>
        </is>
      </c>
      <c r="F2481" t="inlineStr">
        <is>
          <t>Sveaskog</t>
        </is>
      </c>
      <c r="G2481" t="n">
        <v>3.2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  <c r="U2481">
        <f>HYPERLINK("https://klasma.github.io/Logging_2161/knärot/A 34753-2024 karta knärot.png", "A 34753-2024")</f>
        <v/>
      </c>
      <c r="V2481">
        <f>HYPERLINK("https://klasma.github.io/Logging_2161/klagomål/A 34753-2024 FSC-klagomål.docx", "A 34753-2024")</f>
        <v/>
      </c>
      <c r="W2481">
        <f>HYPERLINK("https://klasma.github.io/Logging_2161/klagomålsmail/A 34753-2024 FSC-klagomål mail.docx", "A 34753-2024")</f>
        <v/>
      </c>
      <c r="X2481">
        <f>HYPERLINK("https://klasma.github.io/Logging_2161/tillsyn/A 34753-2024 tillsynsbegäran.docx", "A 34753-2024")</f>
        <v/>
      </c>
      <c r="Y2481">
        <f>HYPERLINK("https://klasma.github.io/Logging_2161/tillsynsmail/A 34753-2024 tillsynsbegäran mail.docx", "A 34753-2024")</f>
        <v/>
      </c>
    </row>
    <row r="2482" ht="15" customHeight="1">
      <c r="A2482" t="inlineStr">
        <is>
          <t>A 34785-2024</t>
        </is>
      </c>
      <c r="B2482" s="1" t="n">
        <v>45526</v>
      </c>
      <c r="C2482" s="1" t="n">
        <v>45811</v>
      </c>
      <c r="D2482" t="inlineStr">
        <is>
          <t>GÄVLEBORGS LÄN</t>
        </is>
      </c>
      <c r="E2482" t="inlineStr">
        <is>
          <t>LJUSDAL</t>
        </is>
      </c>
      <c r="F2482" t="inlineStr">
        <is>
          <t>Sveaskog</t>
        </is>
      </c>
      <c r="G2482" t="n">
        <v>0.7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34682-2024</t>
        </is>
      </c>
      <c r="B2483" s="1" t="n">
        <v>45526</v>
      </c>
      <c r="C2483" s="1" t="n">
        <v>45811</v>
      </c>
      <c r="D2483" t="inlineStr">
        <is>
          <t>GÄVLEBORGS LÄN</t>
        </is>
      </c>
      <c r="E2483" t="inlineStr">
        <is>
          <t>LJUSDAL</t>
        </is>
      </c>
      <c r="G2483" t="n">
        <v>2.7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35031-2024</t>
        </is>
      </c>
      <c r="B2484" s="1" t="n">
        <v>45527</v>
      </c>
      <c r="C2484" s="1" t="n">
        <v>45811</v>
      </c>
      <c r="D2484" t="inlineStr">
        <is>
          <t>GÄVLEBORGS LÄN</t>
        </is>
      </c>
      <c r="E2484" t="inlineStr">
        <is>
          <t>LJUSDAL</t>
        </is>
      </c>
      <c r="G2484" t="n">
        <v>1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35024-2024</t>
        </is>
      </c>
      <c r="B2485" s="1" t="n">
        <v>45527</v>
      </c>
      <c r="C2485" s="1" t="n">
        <v>45811</v>
      </c>
      <c r="D2485" t="inlineStr">
        <is>
          <t>GÄVLEBORGS LÄN</t>
        </is>
      </c>
      <c r="E2485" t="inlineStr">
        <is>
          <t>LJUSDAL</t>
        </is>
      </c>
      <c r="G2485" t="n">
        <v>0.7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34986-2024</t>
        </is>
      </c>
      <c r="B2486" s="1" t="n">
        <v>45527</v>
      </c>
      <c r="C2486" s="1" t="n">
        <v>45811</v>
      </c>
      <c r="D2486" t="inlineStr">
        <is>
          <t>GÄVLEBORGS LÄN</t>
        </is>
      </c>
      <c r="E2486" t="inlineStr">
        <is>
          <t>LJUSDAL</t>
        </is>
      </c>
      <c r="F2486" t="inlineStr">
        <is>
          <t>Sveaskog</t>
        </is>
      </c>
      <c r="G2486" t="n">
        <v>8.5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35022-2024</t>
        </is>
      </c>
      <c r="B2487" s="1" t="n">
        <v>45527</v>
      </c>
      <c r="C2487" s="1" t="n">
        <v>45811</v>
      </c>
      <c r="D2487" t="inlineStr">
        <is>
          <t>GÄVLEBORGS LÄN</t>
        </is>
      </c>
      <c r="E2487" t="inlineStr">
        <is>
          <t>LJUSDAL</t>
        </is>
      </c>
      <c r="G2487" t="n">
        <v>0.9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34964-2024</t>
        </is>
      </c>
      <c r="B2488" s="1" t="n">
        <v>45527</v>
      </c>
      <c r="C2488" s="1" t="n">
        <v>45811</v>
      </c>
      <c r="D2488" t="inlineStr">
        <is>
          <t>GÄVLEBORGS LÄN</t>
        </is>
      </c>
      <c r="E2488" t="inlineStr">
        <is>
          <t>LJUSDAL</t>
        </is>
      </c>
      <c r="F2488" t="inlineStr">
        <is>
          <t>Holmen skog AB</t>
        </is>
      </c>
      <c r="G2488" t="n">
        <v>1.8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34972-2024</t>
        </is>
      </c>
      <c r="B2489" s="1" t="n">
        <v>45527</v>
      </c>
      <c r="C2489" s="1" t="n">
        <v>45811</v>
      </c>
      <c r="D2489" t="inlineStr">
        <is>
          <t>GÄVLEBORGS LÄN</t>
        </is>
      </c>
      <c r="E2489" t="inlineStr">
        <is>
          <t>LJUSDAL</t>
        </is>
      </c>
      <c r="F2489" t="inlineStr">
        <is>
          <t>Bergvik skog väst AB</t>
        </is>
      </c>
      <c r="G2489" t="n">
        <v>4.1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34989-2024</t>
        </is>
      </c>
      <c r="B2490" s="1" t="n">
        <v>45527</v>
      </c>
      <c r="C2490" s="1" t="n">
        <v>45811</v>
      </c>
      <c r="D2490" t="inlineStr">
        <is>
          <t>GÄVLEBORGS LÄN</t>
        </is>
      </c>
      <c r="E2490" t="inlineStr">
        <is>
          <t>LJUSDAL</t>
        </is>
      </c>
      <c r="F2490" t="inlineStr">
        <is>
          <t>Sveaskog</t>
        </is>
      </c>
      <c r="G2490" t="n">
        <v>2.3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35029-2024</t>
        </is>
      </c>
      <c r="B2491" s="1" t="n">
        <v>45527</v>
      </c>
      <c r="C2491" s="1" t="n">
        <v>45811</v>
      </c>
      <c r="D2491" t="inlineStr">
        <is>
          <t>GÄVLEBORGS LÄN</t>
        </is>
      </c>
      <c r="E2491" t="inlineStr">
        <is>
          <t>LJUSDAL</t>
        </is>
      </c>
      <c r="G2491" t="n">
        <v>1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34919-2024</t>
        </is>
      </c>
      <c r="B2492" s="1" t="n">
        <v>45527</v>
      </c>
      <c r="C2492" s="1" t="n">
        <v>45811</v>
      </c>
      <c r="D2492" t="inlineStr">
        <is>
          <t>GÄVLEBORGS LÄN</t>
        </is>
      </c>
      <c r="E2492" t="inlineStr">
        <is>
          <t>LJUSDAL</t>
        </is>
      </c>
      <c r="F2492" t="inlineStr">
        <is>
          <t>Holmen skog AB</t>
        </is>
      </c>
      <c r="G2492" t="n">
        <v>2.3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34847-2024</t>
        </is>
      </c>
      <c r="B2493" s="1" t="n">
        <v>45527</v>
      </c>
      <c r="C2493" s="1" t="n">
        <v>45811</v>
      </c>
      <c r="D2493" t="inlineStr">
        <is>
          <t>GÄVLEBORGS LÄN</t>
        </is>
      </c>
      <c r="E2493" t="inlineStr">
        <is>
          <t>LJUSDAL</t>
        </is>
      </c>
      <c r="F2493" t="inlineStr">
        <is>
          <t>Sveaskog</t>
        </is>
      </c>
      <c r="G2493" t="n">
        <v>4.3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35122-2024</t>
        </is>
      </c>
      <c r="B2494" s="1" t="n">
        <v>45530</v>
      </c>
      <c r="C2494" s="1" t="n">
        <v>45811</v>
      </c>
      <c r="D2494" t="inlineStr">
        <is>
          <t>GÄVLEBORGS LÄN</t>
        </is>
      </c>
      <c r="E2494" t="inlineStr">
        <is>
          <t>LJUSDAL</t>
        </is>
      </c>
      <c r="F2494" t="inlineStr">
        <is>
          <t>Sveaskog</t>
        </is>
      </c>
      <c r="G2494" t="n">
        <v>0.1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35364-2024</t>
        </is>
      </c>
      <c r="B2495" s="1" t="n">
        <v>45531</v>
      </c>
      <c r="C2495" s="1" t="n">
        <v>45811</v>
      </c>
      <c r="D2495" t="inlineStr">
        <is>
          <t>GÄVLEBORGS LÄN</t>
        </is>
      </c>
      <c r="E2495" t="inlineStr">
        <is>
          <t>LJUSDAL</t>
        </is>
      </c>
      <c r="G2495" t="n">
        <v>5.1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35465-2024</t>
        </is>
      </c>
      <c r="B2496" s="1" t="n">
        <v>45531</v>
      </c>
      <c r="C2496" s="1" t="n">
        <v>45811</v>
      </c>
      <c r="D2496" t="inlineStr">
        <is>
          <t>GÄVLEBORGS LÄN</t>
        </is>
      </c>
      <c r="E2496" t="inlineStr">
        <is>
          <t>LJUSDAL</t>
        </is>
      </c>
      <c r="G2496" t="n">
        <v>3.1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35789-2024</t>
        </is>
      </c>
      <c r="B2497" s="1" t="n">
        <v>45532</v>
      </c>
      <c r="C2497" s="1" t="n">
        <v>45811</v>
      </c>
      <c r="D2497" t="inlineStr">
        <is>
          <t>GÄVLEBORGS LÄN</t>
        </is>
      </c>
      <c r="E2497" t="inlineStr">
        <is>
          <t>LJUSDAL</t>
        </is>
      </c>
      <c r="G2497" t="n">
        <v>1.1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36059-2024</t>
        </is>
      </c>
      <c r="B2498" s="1" t="n">
        <v>45533</v>
      </c>
      <c r="C2498" s="1" t="n">
        <v>45811</v>
      </c>
      <c r="D2498" t="inlineStr">
        <is>
          <t>GÄVLEBORGS LÄN</t>
        </is>
      </c>
      <c r="E2498" t="inlineStr">
        <is>
          <t>LJUSDAL</t>
        </is>
      </c>
      <c r="G2498" t="n">
        <v>3.6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36071-2024</t>
        </is>
      </c>
      <c r="B2499" s="1" t="n">
        <v>45533</v>
      </c>
      <c r="C2499" s="1" t="n">
        <v>45811</v>
      </c>
      <c r="D2499" t="inlineStr">
        <is>
          <t>GÄVLEBORGS LÄN</t>
        </is>
      </c>
      <c r="E2499" t="inlineStr">
        <is>
          <t>LJUSDAL</t>
        </is>
      </c>
      <c r="F2499" t="inlineStr">
        <is>
          <t>Sveaskog</t>
        </is>
      </c>
      <c r="G2499" t="n">
        <v>9.199999999999999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36033-2024</t>
        </is>
      </c>
      <c r="B2500" s="1" t="n">
        <v>45533</v>
      </c>
      <c r="C2500" s="1" t="n">
        <v>45811</v>
      </c>
      <c r="D2500" t="inlineStr">
        <is>
          <t>GÄVLEBORGS LÄN</t>
        </is>
      </c>
      <c r="E2500" t="inlineStr">
        <is>
          <t>LJUSDAL</t>
        </is>
      </c>
      <c r="G2500" t="n">
        <v>4.1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36061-2024</t>
        </is>
      </c>
      <c r="B2501" s="1" t="n">
        <v>45533</v>
      </c>
      <c r="C2501" s="1" t="n">
        <v>45811</v>
      </c>
      <c r="D2501" t="inlineStr">
        <is>
          <t>GÄVLEBORGS LÄN</t>
        </is>
      </c>
      <c r="E2501" t="inlineStr">
        <is>
          <t>LJUSDAL</t>
        </is>
      </c>
      <c r="G2501" t="n">
        <v>2.8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36241-2024</t>
        </is>
      </c>
      <c r="B2502" s="1" t="n">
        <v>45534</v>
      </c>
      <c r="C2502" s="1" t="n">
        <v>45811</v>
      </c>
      <c r="D2502" t="inlineStr">
        <is>
          <t>GÄVLEBORGS LÄN</t>
        </is>
      </c>
      <c r="E2502" t="inlineStr">
        <is>
          <t>LJUSDAL</t>
        </is>
      </c>
      <c r="F2502" t="inlineStr">
        <is>
          <t>Bergvik skog väst AB</t>
        </is>
      </c>
      <c r="G2502" t="n">
        <v>4.7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36182-2024</t>
        </is>
      </c>
      <c r="B2503" s="1" t="n">
        <v>45534</v>
      </c>
      <c r="C2503" s="1" t="n">
        <v>45811</v>
      </c>
      <c r="D2503" t="inlineStr">
        <is>
          <t>GÄVLEBORGS LÄN</t>
        </is>
      </c>
      <c r="E2503" t="inlineStr">
        <is>
          <t>LJUSDAL</t>
        </is>
      </c>
      <c r="F2503" t="inlineStr">
        <is>
          <t>Holmen skog AB</t>
        </is>
      </c>
      <c r="G2503" t="n">
        <v>6.1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36446-2024</t>
        </is>
      </c>
      <c r="B2504" s="1" t="n">
        <v>45537</v>
      </c>
      <c r="C2504" s="1" t="n">
        <v>45811</v>
      </c>
      <c r="D2504" t="inlineStr">
        <is>
          <t>GÄVLEBORGS LÄN</t>
        </is>
      </c>
      <c r="E2504" t="inlineStr">
        <is>
          <t>LJUSDAL</t>
        </is>
      </c>
      <c r="F2504" t="inlineStr">
        <is>
          <t>Sveaskog</t>
        </is>
      </c>
      <c r="G2504" t="n">
        <v>2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36447-2024</t>
        </is>
      </c>
      <c r="B2505" s="1" t="n">
        <v>45537</v>
      </c>
      <c r="C2505" s="1" t="n">
        <v>45811</v>
      </c>
      <c r="D2505" t="inlineStr">
        <is>
          <t>GÄVLEBORGS LÄN</t>
        </is>
      </c>
      <c r="E2505" t="inlineStr">
        <is>
          <t>LJUSDAL</t>
        </is>
      </c>
      <c r="F2505" t="inlineStr">
        <is>
          <t>Sveaskog</t>
        </is>
      </c>
      <c r="G2505" t="n">
        <v>1.2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36593-2024</t>
        </is>
      </c>
      <c r="B2506" s="1" t="n">
        <v>45537</v>
      </c>
      <c r="C2506" s="1" t="n">
        <v>45811</v>
      </c>
      <c r="D2506" t="inlineStr">
        <is>
          <t>GÄVLEBORGS LÄN</t>
        </is>
      </c>
      <c r="E2506" t="inlineStr">
        <is>
          <t>LJUSDAL</t>
        </is>
      </c>
      <c r="F2506" t="inlineStr">
        <is>
          <t>Allmännings- och besparingsskogar</t>
        </is>
      </c>
      <c r="G2506" t="n">
        <v>1.1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36658-2024</t>
        </is>
      </c>
      <c r="B2507" s="1" t="n">
        <v>45537</v>
      </c>
      <c r="C2507" s="1" t="n">
        <v>45811</v>
      </c>
      <c r="D2507" t="inlineStr">
        <is>
          <t>GÄVLEBORGS LÄN</t>
        </is>
      </c>
      <c r="E2507" t="inlineStr">
        <is>
          <t>LJUSDAL</t>
        </is>
      </c>
      <c r="F2507" t="inlineStr">
        <is>
          <t>Holmen skog AB</t>
        </is>
      </c>
      <c r="G2507" t="n">
        <v>2.8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36920-2024</t>
        </is>
      </c>
      <c r="B2508" s="1" t="n">
        <v>45538</v>
      </c>
      <c r="C2508" s="1" t="n">
        <v>45811</v>
      </c>
      <c r="D2508" t="inlineStr">
        <is>
          <t>GÄVLEBORGS LÄN</t>
        </is>
      </c>
      <c r="E2508" t="inlineStr">
        <is>
          <t>LJUSDAL</t>
        </is>
      </c>
      <c r="G2508" t="n">
        <v>3.5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37088-2024</t>
        </is>
      </c>
      <c r="B2509" s="1" t="n">
        <v>45539</v>
      </c>
      <c r="C2509" s="1" t="n">
        <v>45811</v>
      </c>
      <c r="D2509" t="inlineStr">
        <is>
          <t>GÄVLEBORGS LÄN</t>
        </is>
      </c>
      <c r="E2509" t="inlineStr">
        <is>
          <t>LJUSDAL</t>
        </is>
      </c>
      <c r="F2509" t="inlineStr">
        <is>
          <t>Sveaskog</t>
        </is>
      </c>
      <c r="G2509" t="n">
        <v>9.699999999999999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37414-2024</t>
        </is>
      </c>
      <c r="B2510" s="1" t="n">
        <v>45540</v>
      </c>
      <c r="C2510" s="1" t="n">
        <v>45811</v>
      </c>
      <c r="D2510" t="inlineStr">
        <is>
          <t>GÄVLEBORGS LÄN</t>
        </is>
      </c>
      <c r="E2510" t="inlineStr">
        <is>
          <t>LJUSDAL</t>
        </is>
      </c>
      <c r="F2510" t="inlineStr">
        <is>
          <t>Allmännings- och besparingsskogar</t>
        </is>
      </c>
      <c r="G2510" t="n">
        <v>3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37560-2024</t>
        </is>
      </c>
      <c r="B2511" s="1" t="n">
        <v>45541</v>
      </c>
      <c r="C2511" s="1" t="n">
        <v>45811</v>
      </c>
      <c r="D2511" t="inlineStr">
        <is>
          <t>GÄVLEBORGS LÄN</t>
        </is>
      </c>
      <c r="E2511" t="inlineStr">
        <is>
          <t>LJUSDAL</t>
        </is>
      </c>
      <c r="G2511" t="n">
        <v>2.3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37764-2024</t>
        </is>
      </c>
      <c r="B2512" s="1" t="n">
        <v>45541</v>
      </c>
      <c r="C2512" s="1" t="n">
        <v>45811</v>
      </c>
      <c r="D2512" t="inlineStr">
        <is>
          <t>GÄVLEBORGS LÄN</t>
        </is>
      </c>
      <c r="E2512" t="inlineStr">
        <is>
          <t>LJUSDAL</t>
        </is>
      </c>
      <c r="G2512" t="n">
        <v>1.1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37763-2024</t>
        </is>
      </c>
      <c r="B2513" s="1" t="n">
        <v>45541</v>
      </c>
      <c r="C2513" s="1" t="n">
        <v>45811</v>
      </c>
      <c r="D2513" t="inlineStr">
        <is>
          <t>GÄVLEBORGS LÄN</t>
        </is>
      </c>
      <c r="E2513" t="inlineStr">
        <is>
          <t>LJUSDAL</t>
        </is>
      </c>
      <c r="G2513" t="n">
        <v>4.7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37767-2024</t>
        </is>
      </c>
      <c r="B2514" s="1" t="n">
        <v>45541</v>
      </c>
      <c r="C2514" s="1" t="n">
        <v>45811</v>
      </c>
      <c r="D2514" t="inlineStr">
        <is>
          <t>GÄVLEBORGS LÄN</t>
        </is>
      </c>
      <c r="E2514" t="inlineStr">
        <is>
          <t>LJUSDAL</t>
        </is>
      </c>
      <c r="G2514" t="n">
        <v>0.9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37758-2024</t>
        </is>
      </c>
      <c r="B2515" s="1" t="n">
        <v>45541</v>
      </c>
      <c r="C2515" s="1" t="n">
        <v>45811</v>
      </c>
      <c r="D2515" t="inlineStr">
        <is>
          <t>GÄVLEBORGS LÄN</t>
        </is>
      </c>
      <c r="E2515" t="inlineStr">
        <is>
          <t>LJUSDAL</t>
        </is>
      </c>
      <c r="G2515" t="n">
        <v>1.9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38224-2024</t>
        </is>
      </c>
      <c r="B2516" s="1" t="n">
        <v>45545</v>
      </c>
      <c r="C2516" s="1" t="n">
        <v>45811</v>
      </c>
      <c r="D2516" t="inlineStr">
        <is>
          <t>GÄVLEBORGS LÄN</t>
        </is>
      </c>
      <c r="E2516" t="inlineStr">
        <is>
          <t>LJUSDAL</t>
        </is>
      </c>
      <c r="F2516" t="inlineStr">
        <is>
          <t>Bergvik skog väst AB</t>
        </is>
      </c>
      <c r="G2516" t="n">
        <v>5.7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38221-2024</t>
        </is>
      </c>
      <c r="B2517" s="1" t="n">
        <v>45545</v>
      </c>
      <c r="C2517" s="1" t="n">
        <v>45811</v>
      </c>
      <c r="D2517" t="inlineStr">
        <is>
          <t>GÄVLEBORGS LÄN</t>
        </is>
      </c>
      <c r="E2517" t="inlineStr">
        <is>
          <t>LJUSDAL</t>
        </is>
      </c>
      <c r="F2517" t="inlineStr">
        <is>
          <t>Bergvik skog väst AB</t>
        </is>
      </c>
      <c r="G2517" t="n">
        <v>7.9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38218-2024</t>
        </is>
      </c>
      <c r="B2518" s="1" t="n">
        <v>45545</v>
      </c>
      <c r="C2518" s="1" t="n">
        <v>45811</v>
      </c>
      <c r="D2518" t="inlineStr">
        <is>
          <t>GÄVLEBORGS LÄN</t>
        </is>
      </c>
      <c r="E2518" t="inlineStr">
        <is>
          <t>LJUSDAL</t>
        </is>
      </c>
      <c r="F2518" t="inlineStr">
        <is>
          <t>Bergvik skog väst AB</t>
        </is>
      </c>
      <c r="G2518" t="n">
        <v>5.1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38232-2024</t>
        </is>
      </c>
      <c r="B2519" s="1" t="n">
        <v>45545</v>
      </c>
      <c r="C2519" s="1" t="n">
        <v>45811</v>
      </c>
      <c r="D2519" t="inlineStr">
        <is>
          <t>GÄVLEBORGS LÄN</t>
        </is>
      </c>
      <c r="E2519" t="inlineStr">
        <is>
          <t>LJUSDAL</t>
        </is>
      </c>
      <c r="F2519" t="inlineStr">
        <is>
          <t>Sveaskog</t>
        </is>
      </c>
      <c r="G2519" t="n">
        <v>1.4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38672-2024</t>
        </is>
      </c>
      <c r="B2520" s="1" t="n">
        <v>45547</v>
      </c>
      <c r="C2520" s="1" t="n">
        <v>45811</v>
      </c>
      <c r="D2520" t="inlineStr">
        <is>
          <t>GÄVLEBORGS LÄN</t>
        </is>
      </c>
      <c r="E2520" t="inlineStr">
        <is>
          <t>LJUSDAL</t>
        </is>
      </c>
      <c r="G2520" t="n">
        <v>6.7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38675-2024</t>
        </is>
      </c>
      <c r="B2521" s="1" t="n">
        <v>45547</v>
      </c>
      <c r="C2521" s="1" t="n">
        <v>45811</v>
      </c>
      <c r="D2521" t="inlineStr">
        <is>
          <t>GÄVLEBORGS LÄN</t>
        </is>
      </c>
      <c r="E2521" t="inlineStr">
        <is>
          <t>LJUSDAL</t>
        </is>
      </c>
      <c r="G2521" t="n">
        <v>2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38814-2024</t>
        </is>
      </c>
      <c r="B2522" s="1" t="n">
        <v>45547</v>
      </c>
      <c r="C2522" s="1" t="n">
        <v>45811</v>
      </c>
      <c r="D2522" t="inlineStr">
        <is>
          <t>GÄVLEBORGS LÄN</t>
        </is>
      </c>
      <c r="E2522" t="inlineStr">
        <is>
          <t>LJUSDAL</t>
        </is>
      </c>
      <c r="G2522" t="n">
        <v>5.8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38805-2024</t>
        </is>
      </c>
      <c r="B2523" s="1" t="n">
        <v>45547</v>
      </c>
      <c r="C2523" s="1" t="n">
        <v>45811</v>
      </c>
      <c r="D2523" t="inlineStr">
        <is>
          <t>GÄVLEBORGS LÄN</t>
        </is>
      </c>
      <c r="E2523" t="inlineStr">
        <is>
          <t>LJUSDAL</t>
        </is>
      </c>
      <c r="G2523" t="n">
        <v>2.4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38870-2024</t>
        </is>
      </c>
      <c r="B2524" s="1" t="n">
        <v>45547</v>
      </c>
      <c r="C2524" s="1" t="n">
        <v>45811</v>
      </c>
      <c r="D2524" t="inlineStr">
        <is>
          <t>GÄVLEBORGS LÄN</t>
        </is>
      </c>
      <c r="E2524" t="inlineStr">
        <is>
          <t>LJUSDAL</t>
        </is>
      </c>
      <c r="G2524" t="n">
        <v>34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38804-2024</t>
        </is>
      </c>
      <c r="B2525" s="1" t="n">
        <v>45547</v>
      </c>
      <c r="C2525" s="1" t="n">
        <v>45811</v>
      </c>
      <c r="D2525" t="inlineStr">
        <is>
          <t>GÄVLEBORGS LÄN</t>
        </is>
      </c>
      <c r="E2525" t="inlineStr">
        <is>
          <t>LJUSDAL</t>
        </is>
      </c>
      <c r="G2525" t="n">
        <v>2.2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39029-2024</t>
        </is>
      </c>
      <c r="B2526" s="1" t="n">
        <v>45548</v>
      </c>
      <c r="C2526" s="1" t="n">
        <v>45811</v>
      </c>
      <c r="D2526" t="inlineStr">
        <is>
          <t>GÄVLEBORGS LÄN</t>
        </is>
      </c>
      <c r="E2526" t="inlineStr">
        <is>
          <t>LJUSDAL</t>
        </is>
      </c>
      <c r="F2526" t="inlineStr">
        <is>
          <t>Sveaskog</t>
        </is>
      </c>
      <c r="G2526" t="n">
        <v>13.4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39012-2024</t>
        </is>
      </c>
      <c r="B2527" s="1" t="n">
        <v>45548</v>
      </c>
      <c r="C2527" s="1" t="n">
        <v>45811</v>
      </c>
      <c r="D2527" t="inlineStr">
        <is>
          <t>GÄVLEBORGS LÄN</t>
        </is>
      </c>
      <c r="E2527" t="inlineStr">
        <is>
          <t>LJUSDAL</t>
        </is>
      </c>
      <c r="F2527" t="inlineStr">
        <is>
          <t>Sveaskog</t>
        </is>
      </c>
      <c r="G2527" t="n">
        <v>2.2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39457-2024</t>
        </is>
      </c>
      <c r="B2528" s="1" t="n">
        <v>45551</v>
      </c>
      <c r="C2528" s="1" t="n">
        <v>45811</v>
      </c>
      <c r="D2528" t="inlineStr">
        <is>
          <t>GÄVLEBORGS LÄN</t>
        </is>
      </c>
      <c r="E2528" t="inlineStr">
        <is>
          <t>LJUSDAL</t>
        </is>
      </c>
      <c r="G2528" t="n">
        <v>4.1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39417-2024</t>
        </is>
      </c>
      <c r="B2529" s="1" t="n">
        <v>45551</v>
      </c>
      <c r="C2529" s="1" t="n">
        <v>45811</v>
      </c>
      <c r="D2529" t="inlineStr">
        <is>
          <t>GÄVLEBORGS LÄN</t>
        </is>
      </c>
      <c r="E2529" t="inlineStr">
        <is>
          <t>LJUSDAL</t>
        </is>
      </c>
      <c r="G2529" t="n">
        <v>0.1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39418-2024</t>
        </is>
      </c>
      <c r="B2530" s="1" t="n">
        <v>45551</v>
      </c>
      <c r="C2530" s="1" t="n">
        <v>45811</v>
      </c>
      <c r="D2530" t="inlineStr">
        <is>
          <t>GÄVLEBORGS LÄN</t>
        </is>
      </c>
      <c r="E2530" t="inlineStr">
        <is>
          <t>LJUSDAL</t>
        </is>
      </c>
      <c r="F2530" t="inlineStr">
        <is>
          <t>Allmännings- och besparingsskogar</t>
        </is>
      </c>
      <c r="G2530" t="n">
        <v>1.1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39463-2024</t>
        </is>
      </c>
      <c r="B2531" s="1" t="n">
        <v>45551</v>
      </c>
      <c r="C2531" s="1" t="n">
        <v>45811</v>
      </c>
      <c r="D2531" t="inlineStr">
        <is>
          <t>GÄVLEBORGS LÄN</t>
        </is>
      </c>
      <c r="E2531" t="inlineStr">
        <is>
          <t>LJUSDAL</t>
        </is>
      </c>
      <c r="G2531" t="n">
        <v>3.7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39597-2024</t>
        </is>
      </c>
      <c r="B2532" s="1" t="n">
        <v>45552</v>
      </c>
      <c r="C2532" s="1" t="n">
        <v>45811</v>
      </c>
      <c r="D2532" t="inlineStr">
        <is>
          <t>GÄVLEBORGS LÄN</t>
        </is>
      </c>
      <c r="E2532" t="inlineStr">
        <is>
          <t>LJUSDAL</t>
        </is>
      </c>
      <c r="G2532" t="n">
        <v>0.9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39665-2024</t>
        </is>
      </c>
      <c r="B2533" s="1" t="n">
        <v>45552</v>
      </c>
      <c r="C2533" s="1" t="n">
        <v>45811</v>
      </c>
      <c r="D2533" t="inlineStr">
        <is>
          <t>GÄVLEBORGS LÄN</t>
        </is>
      </c>
      <c r="E2533" t="inlineStr">
        <is>
          <t>LJUSDAL</t>
        </is>
      </c>
      <c r="G2533" t="n">
        <v>4.6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39657-2024</t>
        </is>
      </c>
      <c r="B2534" s="1" t="n">
        <v>45552</v>
      </c>
      <c r="C2534" s="1" t="n">
        <v>45811</v>
      </c>
      <c r="D2534" t="inlineStr">
        <is>
          <t>GÄVLEBORGS LÄN</t>
        </is>
      </c>
      <c r="E2534" t="inlineStr">
        <is>
          <t>LJUSDAL</t>
        </is>
      </c>
      <c r="F2534" t="inlineStr">
        <is>
          <t>Holmen skog AB</t>
        </is>
      </c>
      <c r="G2534" t="n">
        <v>2.3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39917-2024</t>
        </is>
      </c>
      <c r="B2535" s="1" t="n">
        <v>45553</v>
      </c>
      <c r="C2535" s="1" t="n">
        <v>45811</v>
      </c>
      <c r="D2535" t="inlineStr">
        <is>
          <t>GÄVLEBORGS LÄN</t>
        </is>
      </c>
      <c r="E2535" t="inlineStr">
        <is>
          <t>LJUSDAL</t>
        </is>
      </c>
      <c r="G2535" t="n">
        <v>2.8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39927-2024</t>
        </is>
      </c>
      <c r="B2536" s="1" t="n">
        <v>45553</v>
      </c>
      <c r="C2536" s="1" t="n">
        <v>45811</v>
      </c>
      <c r="D2536" t="inlineStr">
        <is>
          <t>GÄVLEBORGS LÄN</t>
        </is>
      </c>
      <c r="E2536" t="inlineStr">
        <is>
          <t>LJUSDAL</t>
        </is>
      </c>
      <c r="G2536" t="n">
        <v>0.8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39947-2024</t>
        </is>
      </c>
      <c r="B2537" s="1" t="n">
        <v>45553</v>
      </c>
      <c r="C2537" s="1" t="n">
        <v>45811</v>
      </c>
      <c r="D2537" t="inlineStr">
        <is>
          <t>GÄVLEBORGS LÄN</t>
        </is>
      </c>
      <c r="E2537" t="inlineStr">
        <is>
          <t>LJUSDAL</t>
        </is>
      </c>
      <c r="G2537" t="n">
        <v>2.9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40048-2024</t>
        </is>
      </c>
      <c r="B2538" s="1" t="n">
        <v>45553</v>
      </c>
      <c r="C2538" s="1" t="n">
        <v>45811</v>
      </c>
      <c r="D2538" t="inlineStr">
        <is>
          <t>GÄVLEBORGS LÄN</t>
        </is>
      </c>
      <c r="E2538" t="inlineStr">
        <is>
          <t>LJUSDAL</t>
        </is>
      </c>
      <c r="G2538" t="n">
        <v>2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39928-2024</t>
        </is>
      </c>
      <c r="B2539" s="1" t="n">
        <v>45553</v>
      </c>
      <c r="C2539" s="1" t="n">
        <v>45811</v>
      </c>
      <c r="D2539" t="inlineStr">
        <is>
          <t>GÄVLEBORGS LÄN</t>
        </is>
      </c>
      <c r="E2539" t="inlineStr">
        <is>
          <t>LJUSDAL</t>
        </is>
      </c>
      <c r="F2539" t="inlineStr">
        <is>
          <t>Holmen skog AB</t>
        </is>
      </c>
      <c r="G2539" t="n">
        <v>4.6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40098-2024</t>
        </is>
      </c>
      <c r="B2540" s="1" t="n">
        <v>45554</v>
      </c>
      <c r="C2540" s="1" t="n">
        <v>45811</v>
      </c>
      <c r="D2540" t="inlineStr">
        <is>
          <t>GÄVLEBORGS LÄN</t>
        </is>
      </c>
      <c r="E2540" t="inlineStr">
        <is>
          <t>LJUSDAL</t>
        </is>
      </c>
      <c r="G2540" t="n">
        <v>4.4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40106-2024</t>
        </is>
      </c>
      <c r="B2541" s="1" t="n">
        <v>45554</v>
      </c>
      <c r="C2541" s="1" t="n">
        <v>45811</v>
      </c>
      <c r="D2541" t="inlineStr">
        <is>
          <t>GÄVLEBORGS LÄN</t>
        </is>
      </c>
      <c r="E2541" t="inlineStr">
        <is>
          <t>LJUSDAL</t>
        </is>
      </c>
      <c r="G2541" t="n">
        <v>4.4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40318-2024</t>
        </is>
      </c>
      <c r="B2542" s="1" t="n">
        <v>45554</v>
      </c>
      <c r="C2542" s="1" t="n">
        <v>45811</v>
      </c>
      <c r="D2542" t="inlineStr">
        <is>
          <t>GÄVLEBORGS LÄN</t>
        </is>
      </c>
      <c r="E2542" t="inlineStr">
        <is>
          <t>LJUSDAL</t>
        </is>
      </c>
      <c r="G2542" t="n">
        <v>7.1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40907-2024</t>
        </is>
      </c>
      <c r="B2543" s="1" t="n">
        <v>45558</v>
      </c>
      <c r="C2543" s="1" t="n">
        <v>45811</v>
      </c>
      <c r="D2543" t="inlineStr">
        <is>
          <t>GÄVLEBORGS LÄN</t>
        </is>
      </c>
      <c r="E2543" t="inlineStr">
        <is>
          <t>LJUSDAL</t>
        </is>
      </c>
      <c r="G2543" t="n">
        <v>2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40979-2024</t>
        </is>
      </c>
      <c r="B2544" s="1" t="n">
        <v>45558</v>
      </c>
      <c r="C2544" s="1" t="n">
        <v>45811</v>
      </c>
      <c r="D2544" t="inlineStr">
        <is>
          <t>GÄVLEBORGS LÄN</t>
        </is>
      </c>
      <c r="E2544" t="inlineStr">
        <is>
          <t>LJUSDAL</t>
        </is>
      </c>
      <c r="G2544" t="n">
        <v>2.6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41094-2024</t>
        </is>
      </c>
      <c r="B2545" s="1" t="n">
        <v>45559</v>
      </c>
      <c r="C2545" s="1" t="n">
        <v>45811</v>
      </c>
      <c r="D2545" t="inlineStr">
        <is>
          <t>GÄVLEBORGS LÄN</t>
        </is>
      </c>
      <c r="E2545" t="inlineStr">
        <is>
          <t>LJUSDAL</t>
        </is>
      </c>
      <c r="G2545" t="n">
        <v>5.5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41194-2024</t>
        </is>
      </c>
      <c r="B2546" s="1" t="n">
        <v>45559</v>
      </c>
      <c r="C2546" s="1" t="n">
        <v>45811</v>
      </c>
      <c r="D2546" t="inlineStr">
        <is>
          <t>GÄVLEBORGS LÄN</t>
        </is>
      </c>
      <c r="E2546" t="inlineStr">
        <is>
          <t>LJUSDAL</t>
        </is>
      </c>
      <c r="G2546" t="n">
        <v>1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41167-2024</t>
        </is>
      </c>
      <c r="B2547" s="1" t="n">
        <v>45559</v>
      </c>
      <c r="C2547" s="1" t="n">
        <v>45811</v>
      </c>
      <c r="D2547" t="inlineStr">
        <is>
          <t>GÄVLEBORGS LÄN</t>
        </is>
      </c>
      <c r="E2547" t="inlineStr">
        <is>
          <t>LJUSDAL</t>
        </is>
      </c>
      <c r="G2547" t="n">
        <v>2.4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41385-2024</t>
        </is>
      </c>
      <c r="B2548" s="1" t="n">
        <v>45560</v>
      </c>
      <c r="C2548" s="1" t="n">
        <v>45811</v>
      </c>
      <c r="D2548" t="inlineStr">
        <is>
          <t>GÄVLEBORGS LÄN</t>
        </is>
      </c>
      <c r="E2548" t="inlineStr">
        <is>
          <t>LJUSDAL</t>
        </is>
      </c>
      <c r="G2548" t="n">
        <v>3.4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41731-2024</t>
        </is>
      </c>
      <c r="B2549" s="1" t="n">
        <v>45560</v>
      </c>
      <c r="C2549" s="1" t="n">
        <v>45811</v>
      </c>
      <c r="D2549" t="inlineStr">
        <is>
          <t>GÄVLEBORGS LÄN</t>
        </is>
      </c>
      <c r="E2549" t="inlineStr">
        <is>
          <t>LJUSDAL</t>
        </is>
      </c>
      <c r="G2549" t="n">
        <v>0.5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41559-2024</t>
        </is>
      </c>
      <c r="B2550" s="1" t="n">
        <v>45560</v>
      </c>
      <c r="C2550" s="1" t="n">
        <v>45811</v>
      </c>
      <c r="D2550" t="inlineStr">
        <is>
          <t>GÄVLEBORGS LÄN</t>
        </is>
      </c>
      <c r="E2550" t="inlineStr">
        <is>
          <t>LJUSDAL</t>
        </is>
      </c>
      <c r="F2550" t="inlineStr">
        <is>
          <t>Bergvik skog väst AB</t>
        </is>
      </c>
      <c r="G2550" t="n">
        <v>1.8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41730-2024</t>
        </is>
      </c>
      <c r="B2551" s="1" t="n">
        <v>45560</v>
      </c>
      <c r="C2551" s="1" t="n">
        <v>45811</v>
      </c>
      <c r="D2551" t="inlineStr">
        <is>
          <t>GÄVLEBORGS LÄN</t>
        </is>
      </c>
      <c r="E2551" t="inlineStr">
        <is>
          <t>LJUSDAL</t>
        </is>
      </c>
      <c r="G2551" t="n">
        <v>0.7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41803-2024</t>
        </is>
      </c>
      <c r="B2552" s="1" t="n">
        <v>45561</v>
      </c>
      <c r="C2552" s="1" t="n">
        <v>45811</v>
      </c>
      <c r="D2552" t="inlineStr">
        <is>
          <t>GÄVLEBORGS LÄN</t>
        </is>
      </c>
      <c r="E2552" t="inlineStr">
        <is>
          <t>LJUSDAL</t>
        </is>
      </c>
      <c r="F2552" t="inlineStr">
        <is>
          <t>Bergvik skog väst AB</t>
        </is>
      </c>
      <c r="G2552" t="n">
        <v>1.7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41922-2024</t>
        </is>
      </c>
      <c r="B2553" s="1" t="n">
        <v>45561</v>
      </c>
      <c r="C2553" s="1" t="n">
        <v>45811</v>
      </c>
      <c r="D2553" t="inlineStr">
        <is>
          <t>GÄVLEBORGS LÄN</t>
        </is>
      </c>
      <c r="E2553" t="inlineStr">
        <is>
          <t>LJUSDAL</t>
        </is>
      </c>
      <c r="F2553" t="inlineStr">
        <is>
          <t>Sveaskog</t>
        </is>
      </c>
      <c r="G2553" t="n">
        <v>1.8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41879-2024</t>
        </is>
      </c>
      <c r="B2554" s="1" t="n">
        <v>45561</v>
      </c>
      <c r="C2554" s="1" t="n">
        <v>45811</v>
      </c>
      <c r="D2554" t="inlineStr">
        <is>
          <t>GÄVLEBORGS LÄN</t>
        </is>
      </c>
      <c r="E2554" t="inlineStr">
        <is>
          <t>LJUSDAL</t>
        </is>
      </c>
      <c r="G2554" t="n">
        <v>13.1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41985-2024</t>
        </is>
      </c>
      <c r="B2555" s="1" t="n">
        <v>45561</v>
      </c>
      <c r="C2555" s="1" t="n">
        <v>45811</v>
      </c>
      <c r="D2555" t="inlineStr">
        <is>
          <t>GÄVLEBORGS LÄN</t>
        </is>
      </c>
      <c r="E2555" t="inlineStr">
        <is>
          <t>LJUSDAL</t>
        </is>
      </c>
      <c r="G2555" t="n">
        <v>1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41994-2024</t>
        </is>
      </c>
      <c r="B2556" s="1" t="n">
        <v>45561</v>
      </c>
      <c r="C2556" s="1" t="n">
        <v>45811</v>
      </c>
      <c r="D2556" t="inlineStr">
        <is>
          <t>GÄVLEBORGS LÄN</t>
        </is>
      </c>
      <c r="E2556" t="inlineStr">
        <is>
          <t>LJUSDAL</t>
        </is>
      </c>
      <c r="G2556" t="n">
        <v>0.4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41801-2024</t>
        </is>
      </c>
      <c r="B2557" s="1" t="n">
        <v>45561</v>
      </c>
      <c r="C2557" s="1" t="n">
        <v>45811</v>
      </c>
      <c r="D2557" t="inlineStr">
        <is>
          <t>GÄVLEBORGS LÄN</t>
        </is>
      </c>
      <c r="E2557" t="inlineStr">
        <is>
          <t>LJUSDAL</t>
        </is>
      </c>
      <c r="G2557" t="n">
        <v>1.3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41882-2024</t>
        </is>
      </c>
      <c r="B2558" s="1" t="n">
        <v>45561</v>
      </c>
      <c r="C2558" s="1" t="n">
        <v>45811</v>
      </c>
      <c r="D2558" t="inlineStr">
        <is>
          <t>GÄVLEBORGS LÄN</t>
        </is>
      </c>
      <c r="E2558" t="inlineStr">
        <is>
          <t>LJUSDAL</t>
        </is>
      </c>
      <c r="G2558" t="n">
        <v>11.9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42152-2024</t>
        </is>
      </c>
      <c r="B2559" s="1" t="n">
        <v>45562</v>
      </c>
      <c r="C2559" s="1" t="n">
        <v>45811</v>
      </c>
      <c r="D2559" t="inlineStr">
        <is>
          <t>GÄVLEBORGS LÄN</t>
        </is>
      </c>
      <c r="E2559" t="inlineStr">
        <is>
          <t>LJUSDAL</t>
        </is>
      </c>
      <c r="F2559" t="inlineStr">
        <is>
          <t>SCA</t>
        </is>
      </c>
      <c r="G2559" t="n">
        <v>0.9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42153-2024</t>
        </is>
      </c>
      <c r="B2560" s="1" t="n">
        <v>45562</v>
      </c>
      <c r="C2560" s="1" t="n">
        <v>45811</v>
      </c>
      <c r="D2560" t="inlineStr">
        <is>
          <t>GÄVLEBORGS LÄN</t>
        </is>
      </c>
      <c r="E2560" t="inlineStr">
        <is>
          <t>LJUSDAL</t>
        </is>
      </c>
      <c r="G2560" t="n">
        <v>2.1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42082-2024</t>
        </is>
      </c>
      <c r="B2561" s="1" t="n">
        <v>45562</v>
      </c>
      <c r="C2561" s="1" t="n">
        <v>45811</v>
      </c>
      <c r="D2561" t="inlineStr">
        <is>
          <t>GÄVLEBORGS LÄN</t>
        </is>
      </c>
      <c r="E2561" t="inlineStr">
        <is>
          <t>LJUSDAL</t>
        </is>
      </c>
      <c r="F2561" t="inlineStr">
        <is>
          <t>Bergvik skog väst AB</t>
        </is>
      </c>
      <c r="G2561" t="n">
        <v>3.3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42158-2024</t>
        </is>
      </c>
      <c r="B2562" s="1" t="n">
        <v>45562</v>
      </c>
      <c r="C2562" s="1" t="n">
        <v>45811</v>
      </c>
      <c r="D2562" t="inlineStr">
        <is>
          <t>GÄVLEBORGS LÄN</t>
        </is>
      </c>
      <c r="E2562" t="inlineStr">
        <is>
          <t>LJUSDAL</t>
        </is>
      </c>
      <c r="G2562" t="n">
        <v>2.2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42263-2024</t>
        </is>
      </c>
      <c r="B2563" s="1" t="n">
        <v>45562</v>
      </c>
      <c r="C2563" s="1" t="n">
        <v>45811</v>
      </c>
      <c r="D2563" t="inlineStr">
        <is>
          <t>GÄVLEBORGS LÄN</t>
        </is>
      </c>
      <c r="E2563" t="inlineStr">
        <is>
          <t>LJUSDAL</t>
        </is>
      </c>
      <c r="G2563" t="n">
        <v>5.8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42095-2024</t>
        </is>
      </c>
      <c r="B2564" s="1" t="n">
        <v>45562</v>
      </c>
      <c r="C2564" s="1" t="n">
        <v>45811</v>
      </c>
      <c r="D2564" t="inlineStr">
        <is>
          <t>GÄVLEBORGS LÄN</t>
        </is>
      </c>
      <c r="E2564" t="inlineStr">
        <is>
          <t>LJUSDAL</t>
        </is>
      </c>
      <c r="F2564" t="inlineStr">
        <is>
          <t>SCA</t>
        </is>
      </c>
      <c r="G2564" t="n">
        <v>9.300000000000001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42540-2024</t>
        </is>
      </c>
      <c r="B2565" s="1" t="n">
        <v>45565</v>
      </c>
      <c r="C2565" s="1" t="n">
        <v>45811</v>
      </c>
      <c r="D2565" t="inlineStr">
        <is>
          <t>GÄVLEBORGS LÄN</t>
        </is>
      </c>
      <c r="E2565" t="inlineStr">
        <is>
          <t>LJUSDAL</t>
        </is>
      </c>
      <c r="G2565" t="n">
        <v>1.4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42392-2024</t>
        </is>
      </c>
      <c r="B2566" s="1" t="n">
        <v>45565</v>
      </c>
      <c r="C2566" s="1" t="n">
        <v>45811</v>
      </c>
      <c r="D2566" t="inlineStr">
        <is>
          <t>GÄVLEBORGS LÄN</t>
        </is>
      </c>
      <c r="E2566" t="inlineStr">
        <is>
          <t>LJUSDAL</t>
        </is>
      </c>
      <c r="G2566" t="n">
        <v>1.7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42537-2024</t>
        </is>
      </c>
      <c r="B2567" s="1" t="n">
        <v>45565</v>
      </c>
      <c r="C2567" s="1" t="n">
        <v>45811</v>
      </c>
      <c r="D2567" t="inlineStr">
        <is>
          <t>GÄVLEBORGS LÄN</t>
        </is>
      </c>
      <c r="E2567" t="inlineStr">
        <is>
          <t>LJUSDAL</t>
        </is>
      </c>
      <c r="G2567" t="n">
        <v>1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42417-2024</t>
        </is>
      </c>
      <c r="B2568" s="1" t="n">
        <v>45565</v>
      </c>
      <c r="C2568" s="1" t="n">
        <v>45811</v>
      </c>
      <c r="D2568" t="inlineStr">
        <is>
          <t>GÄVLEBORGS LÄN</t>
        </is>
      </c>
      <c r="E2568" t="inlineStr">
        <is>
          <t>LJUSDAL</t>
        </is>
      </c>
      <c r="G2568" t="n">
        <v>5.3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42712-2024</t>
        </is>
      </c>
      <c r="B2569" s="1" t="n">
        <v>45566</v>
      </c>
      <c r="C2569" s="1" t="n">
        <v>45811</v>
      </c>
      <c r="D2569" t="inlineStr">
        <is>
          <t>GÄVLEBORGS LÄN</t>
        </is>
      </c>
      <c r="E2569" t="inlineStr">
        <is>
          <t>LJUSDAL</t>
        </is>
      </c>
      <c r="F2569" t="inlineStr">
        <is>
          <t>Kommuner</t>
        </is>
      </c>
      <c r="G2569" t="n">
        <v>6.9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42703-2024</t>
        </is>
      </c>
      <c r="B2570" s="1" t="n">
        <v>45566</v>
      </c>
      <c r="C2570" s="1" t="n">
        <v>45811</v>
      </c>
      <c r="D2570" t="inlineStr">
        <is>
          <t>GÄVLEBORGS LÄN</t>
        </is>
      </c>
      <c r="E2570" t="inlineStr">
        <is>
          <t>LJUSDAL</t>
        </is>
      </c>
      <c r="F2570" t="inlineStr">
        <is>
          <t>Kommuner</t>
        </is>
      </c>
      <c r="G2570" t="n">
        <v>2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42726-2024</t>
        </is>
      </c>
      <c r="B2571" s="1" t="n">
        <v>45566</v>
      </c>
      <c r="C2571" s="1" t="n">
        <v>45811</v>
      </c>
      <c r="D2571" t="inlineStr">
        <is>
          <t>GÄVLEBORGS LÄN</t>
        </is>
      </c>
      <c r="E2571" t="inlineStr">
        <is>
          <t>LJUSDAL</t>
        </is>
      </c>
      <c r="G2571" t="n">
        <v>1.6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42720-2024</t>
        </is>
      </c>
      <c r="B2572" s="1" t="n">
        <v>45566</v>
      </c>
      <c r="C2572" s="1" t="n">
        <v>45811</v>
      </c>
      <c r="D2572" t="inlineStr">
        <is>
          <t>GÄVLEBORGS LÄN</t>
        </is>
      </c>
      <c r="E2572" t="inlineStr">
        <is>
          <t>LJUSDAL</t>
        </is>
      </c>
      <c r="F2572" t="inlineStr">
        <is>
          <t>Kommuner</t>
        </is>
      </c>
      <c r="G2572" t="n">
        <v>5.9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43179-2024</t>
        </is>
      </c>
      <c r="B2573" s="1" t="n">
        <v>45567</v>
      </c>
      <c r="C2573" s="1" t="n">
        <v>45811</v>
      </c>
      <c r="D2573" t="inlineStr">
        <is>
          <t>GÄVLEBORGS LÄN</t>
        </is>
      </c>
      <c r="E2573" t="inlineStr">
        <is>
          <t>LJUSDAL</t>
        </is>
      </c>
      <c r="G2573" t="n">
        <v>5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43151-2024</t>
        </is>
      </c>
      <c r="B2574" s="1" t="n">
        <v>45567</v>
      </c>
      <c r="C2574" s="1" t="n">
        <v>45811</v>
      </c>
      <c r="D2574" t="inlineStr">
        <is>
          <t>GÄVLEBORGS LÄN</t>
        </is>
      </c>
      <c r="E2574" t="inlineStr">
        <is>
          <t>LJUSDAL</t>
        </is>
      </c>
      <c r="G2574" t="n">
        <v>2.3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42997-2024</t>
        </is>
      </c>
      <c r="B2575" s="1" t="n">
        <v>45567</v>
      </c>
      <c r="C2575" s="1" t="n">
        <v>45811</v>
      </c>
      <c r="D2575" t="inlineStr">
        <is>
          <t>GÄVLEBORGS LÄN</t>
        </is>
      </c>
      <c r="E2575" t="inlineStr">
        <is>
          <t>LJUSDAL</t>
        </is>
      </c>
      <c r="G2575" t="n">
        <v>6.7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43189-2024</t>
        </is>
      </c>
      <c r="B2576" s="1" t="n">
        <v>45567</v>
      </c>
      <c r="C2576" s="1" t="n">
        <v>45811</v>
      </c>
      <c r="D2576" t="inlineStr">
        <is>
          <t>GÄVLEBORGS LÄN</t>
        </is>
      </c>
      <c r="E2576" t="inlineStr">
        <is>
          <t>LJUSDAL</t>
        </is>
      </c>
      <c r="G2576" t="n">
        <v>1.7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43180-2024</t>
        </is>
      </c>
      <c r="B2577" s="1" t="n">
        <v>45567</v>
      </c>
      <c r="C2577" s="1" t="n">
        <v>45811</v>
      </c>
      <c r="D2577" t="inlineStr">
        <is>
          <t>GÄVLEBORGS LÄN</t>
        </is>
      </c>
      <c r="E2577" t="inlineStr">
        <is>
          <t>LJUSDAL</t>
        </is>
      </c>
      <c r="G2577" t="n">
        <v>0.4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43668-2024</t>
        </is>
      </c>
      <c r="B2578" s="1" t="n">
        <v>45569</v>
      </c>
      <c r="C2578" s="1" t="n">
        <v>45811</v>
      </c>
      <c r="D2578" t="inlineStr">
        <is>
          <t>GÄVLEBORGS LÄN</t>
        </is>
      </c>
      <c r="E2578" t="inlineStr">
        <is>
          <t>LJUSDAL</t>
        </is>
      </c>
      <c r="G2578" t="n">
        <v>2.2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43580-2024</t>
        </is>
      </c>
      <c r="B2579" s="1" t="n">
        <v>45569</v>
      </c>
      <c r="C2579" s="1" t="n">
        <v>45811</v>
      </c>
      <c r="D2579" t="inlineStr">
        <is>
          <t>GÄVLEBORGS LÄN</t>
        </is>
      </c>
      <c r="E2579" t="inlineStr">
        <is>
          <t>LJUSDAL</t>
        </is>
      </c>
      <c r="G2579" t="n">
        <v>2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43562-2024</t>
        </is>
      </c>
      <c r="B2580" s="1" t="n">
        <v>45569</v>
      </c>
      <c r="C2580" s="1" t="n">
        <v>45811</v>
      </c>
      <c r="D2580" t="inlineStr">
        <is>
          <t>GÄVLEBORGS LÄN</t>
        </is>
      </c>
      <c r="E2580" t="inlineStr">
        <is>
          <t>LJUSDAL</t>
        </is>
      </c>
      <c r="G2580" t="n">
        <v>0.9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43499-2024</t>
        </is>
      </c>
      <c r="B2581" s="1" t="n">
        <v>45569</v>
      </c>
      <c r="C2581" s="1" t="n">
        <v>45811</v>
      </c>
      <c r="D2581" t="inlineStr">
        <is>
          <t>GÄVLEBORGS LÄN</t>
        </is>
      </c>
      <c r="E2581" t="inlineStr">
        <is>
          <t>LJUSDAL</t>
        </is>
      </c>
      <c r="G2581" t="n">
        <v>1.2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43695-2024</t>
        </is>
      </c>
      <c r="B2582" s="1" t="n">
        <v>45569</v>
      </c>
      <c r="C2582" s="1" t="n">
        <v>45811</v>
      </c>
      <c r="D2582" t="inlineStr">
        <is>
          <t>GÄVLEBORGS LÄN</t>
        </is>
      </c>
      <c r="E2582" t="inlineStr">
        <is>
          <t>LJUSDAL</t>
        </is>
      </c>
      <c r="G2582" t="n">
        <v>14.7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43983-2024</t>
        </is>
      </c>
      <c r="B2583" s="1" t="n">
        <v>45572</v>
      </c>
      <c r="C2583" s="1" t="n">
        <v>45811</v>
      </c>
      <c r="D2583" t="inlineStr">
        <is>
          <t>GÄVLEBORGS LÄN</t>
        </is>
      </c>
      <c r="E2583" t="inlineStr">
        <is>
          <t>LJUSDAL</t>
        </is>
      </c>
      <c r="G2583" t="n">
        <v>5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44092-2024</t>
        </is>
      </c>
      <c r="B2584" s="1" t="n">
        <v>45572</v>
      </c>
      <c r="C2584" s="1" t="n">
        <v>45811</v>
      </c>
      <c r="D2584" t="inlineStr">
        <is>
          <t>GÄVLEBORGS LÄN</t>
        </is>
      </c>
      <c r="E2584" t="inlineStr">
        <is>
          <t>LJUSDAL</t>
        </is>
      </c>
      <c r="G2584" t="n">
        <v>1.3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44633-2024</t>
        </is>
      </c>
      <c r="B2585" s="1" t="n">
        <v>45574</v>
      </c>
      <c r="C2585" s="1" t="n">
        <v>45811</v>
      </c>
      <c r="D2585" t="inlineStr">
        <is>
          <t>GÄVLEBORGS LÄN</t>
        </is>
      </c>
      <c r="E2585" t="inlineStr">
        <is>
          <t>LJUSDAL</t>
        </is>
      </c>
      <c r="F2585" t="inlineStr">
        <is>
          <t>SCA</t>
        </is>
      </c>
      <c r="G2585" t="n">
        <v>5.2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44695-2024</t>
        </is>
      </c>
      <c r="B2586" s="1" t="n">
        <v>45574</v>
      </c>
      <c r="C2586" s="1" t="n">
        <v>45811</v>
      </c>
      <c r="D2586" t="inlineStr">
        <is>
          <t>GÄVLEBORGS LÄN</t>
        </is>
      </c>
      <c r="E2586" t="inlineStr">
        <is>
          <t>LJUSDAL</t>
        </is>
      </c>
      <c r="G2586" t="n">
        <v>0.8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44856-2024</t>
        </is>
      </c>
      <c r="B2587" s="1" t="n">
        <v>45575</v>
      </c>
      <c r="C2587" s="1" t="n">
        <v>45811</v>
      </c>
      <c r="D2587" t="inlineStr">
        <is>
          <t>GÄVLEBORGS LÄN</t>
        </is>
      </c>
      <c r="E2587" t="inlineStr">
        <is>
          <t>LJUSDAL</t>
        </is>
      </c>
      <c r="G2587" t="n">
        <v>2.3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45241-2024</t>
        </is>
      </c>
      <c r="B2588" s="1" t="n">
        <v>45576</v>
      </c>
      <c r="C2588" s="1" t="n">
        <v>45811</v>
      </c>
      <c r="D2588" t="inlineStr">
        <is>
          <t>GÄVLEBORGS LÄN</t>
        </is>
      </c>
      <c r="E2588" t="inlineStr">
        <is>
          <t>LJUSDAL</t>
        </is>
      </c>
      <c r="F2588" t="inlineStr">
        <is>
          <t>Sveaskog</t>
        </is>
      </c>
      <c r="G2588" t="n">
        <v>14.4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45446-2024</t>
        </is>
      </c>
      <c r="B2589" s="1" t="n">
        <v>45576</v>
      </c>
      <c r="C2589" s="1" t="n">
        <v>45811</v>
      </c>
      <c r="D2589" t="inlineStr">
        <is>
          <t>GÄVLEBORGS LÄN</t>
        </is>
      </c>
      <c r="E2589" t="inlineStr">
        <is>
          <t>LJUSDAL</t>
        </is>
      </c>
      <c r="G2589" t="n">
        <v>5.3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45509-2024</t>
        </is>
      </c>
      <c r="B2590" s="1" t="n">
        <v>45578</v>
      </c>
      <c r="C2590" s="1" t="n">
        <v>45811</v>
      </c>
      <c r="D2590" t="inlineStr">
        <is>
          <t>GÄVLEBORGS LÄN</t>
        </is>
      </c>
      <c r="E2590" t="inlineStr">
        <is>
          <t>LJUSDAL</t>
        </is>
      </c>
      <c r="F2590" t="inlineStr">
        <is>
          <t>Naturvårdsverket</t>
        </is>
      </c>
      <c r="G2590" t="n">
        <v>11.9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45768-2024</t>
        </is>
      </c>
      <c r="B2591" s="1" t="n">
        <v>45579</v>
      </c>
      <c r="C2591" s="1" t="n">
        <v>45811</v>
      </c>
      <c r="D2591" t="inlineStr">
        <is>
          <t>GÄVLEBORGS LÄN</t>
        </is>
      </c>
      <c r="E2591" t="inlineStr">
        <is>
          <t>LJUSDAL</t>
        </is>
      </c>
      <c r="G2591" t="n">
        <v>0.7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45694-2024</t>
        </is>
      </c>
      <c r="B2592" s="1" t="n">
        <v>45579</v>
      </c>
      <c r="C2592" s="1" t="n">
        <v>45811</v>
      </c>
      <c r="D2592" t="inlineStr">
        <is>
          <t>GÄVLEBORGS LÄN</t>
        </is>
      </c>
      <c r="E2592" t="inlineStr">
        <is>
          <t>LJUSDAL</t>
        </is>
      </c>
      <c r="G2592" t="n">
        <v>14.1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45696-2024</t>
        </is>
      </c>
      <c r="B2593" s="1" t="n">
        <v>45579</v>
      </c>
      <c r="C2593" s="1" t="n">
        <v>45811</v>
      </c>
      <c r="D2593" t="inlineStr">
        <is>
          <t>GÄVLEBORGS LÄN</t>
        </is>
      </c>
      <c r="E2593" t="inlineStr">
        <is>
          <t>LJUSDAL</t>
        </is>
      </c>
      <c r="G2593" t="n">
        <v>3.3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45864-2024</t>
        </is>
      </c>
      <c r="B2594" s="1" t="n">
        <v>45580</v>
      </c>
      <c r="C2594" s="1" t="n">
        <v>45811</v>
      </c>
      <c r="D2594" t="inlineStr">
        <is>
          <t>GÄVLEBORGS LÄN</t>
        </is>
      </c>
      <c r="E2594" t="inlineStr">
        <is>
          <t>LJUSDAL</t>
        </is>
      </c>
      <c r="F2594" t="inlineStr">
        <is>
          <t>Naturvårdsverket</t>
        </is>
      </c>
      <c r="G2594" t="n">
        <v>2.4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45912-2024</t>
        </is>
      </c>
      <c r="B2595" s="1" t="n">
        <v>45580</v>
      </c>
      <c r="C2595" s="1" t="n">
        <v>45811</v>
      </c>
      <c r="D2595" t="inlineStr">
        <is>
          <t>GÄVLEBORGS LÄN</t>
        </is>
      </c>
      <c r="E2595" t="inlineStr">
        <is>
          <t>LJUSDAL</t>
        </is>
      </c>
      <c r="G2595" t="n">
        <v>2.5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45930-2024</t>
        </is>
      </c>
      <c r="B2596" s="1" t="n">
        <v>45580</v>
      </c>
      <c r="C2596" s="1" t="n">
        <v>45811</v>
      </c>
      <c r="D2596" t="inlineStr">
        <is>
          <t>GÄVLEBORGS LÄN</t>
        </is>
      </c>
      <c r="E2596" t="inlineStr">
        <is>
          <t>LJUSDAL</t>
        </is>
      </c>
      <c r="G2596" t="n">
        <v>9.300000000000001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46075-2024</t>
        </is>
      </c>
      <c r="B2597" s="1" t="n">
        <v>45581</v>
      </c>
      <c r="C2597" s="1" t="n">
        <v>45811</v>
      </c>
      <c r="D2597" t="inlineStr">
        <is>
          <t>GÄVLEBORGS LÄN</t>
        </is>
      </c>
      <c r="E2597" t="inlineStr">
        <is>
          <t>LJUSDAL</t>
        </is>
      </c>
      <c r="F2597" t="inlineStr">
        <is>
          <t>Bergvik skog väst AB</t>
        </is>
      </c>
      <c r="G2597" t="n">
        <v>0.4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46080-2024</t>
        </is>
      </c>
      <c r="B2598" s="1" t="n">
        <v>45581</v>
      </c>
      <c r="C2598" s="1" t="n">
        <v>45811</v>
      </c>
      <c r="D2598" t="inlineStr">
        <is>
          <t>GÄVLEBORGS LÄN</t>
        </is>
      </c>
      <c r="E2598" t="inlineStr">
        <is>
          <t>LJUSDAL</t>
        </is>
      </c>
      <c r="F2598" t="inlineStr">
        <is>
          <t>Bergvik skog väst AB</t>
        </is>
      </c>
      <c r="G2598" t="n">
        <v>1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46206-2024</t>
        </is>
      </c>
      <c r="B2599" s="1" t="n">
        <v>45581</v>
      </c>
      <c r="C2599" s="1" t="n">
        <v>45811</v>
      </c>
      <c r="D2599" t="inlineStr">
        <is>
          <t>GÄVLEBORGS LÄN</t>
        </is>
      </c>
      <c r="E2599" t="inlineStr">
        <is>
          <t>LJUSDAL</t>
        </is>
      </c>
      <c r="F2599" t="inlineStr">
        <is>
          <t>Sveaskog</t>
        </is>
      </c>
      <c r="G2599" t="n">
        <v>6.2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46078-2024</t>
        </is>
      </c>
      <c r="B2600" s="1" t="n">
        <v>45581</v>
      </c>
      <c r="C2600" s="1" t="n">
        <v>45811</v>
      </c>
      <c r="D2600" t="inlineStr">
        <is>
          <t>GÄVLEBORGS LÄN</t>
        </is>
      </c>
      <c r="E2600" t="inlineStr">
        <is>
          <t>LJUSDAL</t>
        </is>
      </c>
      <c r="F2600" t="inlineStr">
        <is>
          <t>Bergvik skog väst AB</t>
        </is>
      </c>
      <c r="G2600" t="n">
        <v>1.1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46516-2024</t>
        </is>
      </c>
      <c r="B2601" s="1" t="n">
        <v>45582</v>
      </c>
      <c r="C2601" s="1" t="n">
        <v>45811</v>
      </c>
      <c r="D2601" t="inlineStr">
        <is>
          <t>GÄVLEBORGS LÄN</t>
        </is>
      </c>
      <c r="E2601" t="inlineStr">
        <is>
          <t>LJUSDAL</t>
        </is>
      </c>
      <c r="G2601" t="n">
        <v>1.7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46502-2024</t>
        </is>
      </c>
      <c r="B2602" s="1" t="n">
        <v>45582</v>
      </c>
      <c r="C2602" s="1" t="n">
        <v>45811</v>
      </c>
      <c r="D2602" t="inlineStr">
        <is>
          <t>GÄVLEBORGS LÄN</t>
        </is>
      </c>
      <c r="E2602" t="inlineStr">
        <is>
          <t>LJUSDAL</t>
        </is>
      </c>
      <c r="G2602" t="n">
        <v>2.4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46407-2024</t>
        </is>
      </c>
      <c r="B2603" s="1" t="n">
        <v>45582</v>
      </c>
      <c r="C2603" s="1" t="n">
        <v>45811</v>
      </c>
      <c r="D2603" t="inlineStr">
        <is>
          <t>GÄVLEBORGS LÄN</t>
        </is>
      </c>
      <c r="E2603" t="inlineStr">
        <is>
          <t>LJUSDAL</t>
        </is>
      </c>
      <c r="G2603" t="n">
        <v>2.4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46537-2024</t>
        </is>
      </c>
      <c r="B2604" s="1" t="n">
        <v>45582</v>
      </c>
      <c r="C2604" s="1" t="n">
        <v>45811</v>
      </c>
      <c r="D2604" t="inlineStr">
        <is>
          <t>GÄVLEBORGS LÄN</t>
        </is>
      </c>
      <c r="E2604" t="inlineStr">
        <is>
          <t>LJUSDAL</t>
        </is>
      </c>
      <c r="G2604" t="n">
        <v>1.4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47210-2024</t>
        </is>
      </c>
      <c r="B2605" s="1" t="n">
        <v>45586</v>
      </c>
      <c r="C2605" s="1" t="n">
        <v>45811</v>
      </c>
      <c r="D2605" t="inlineStr">
        <is>
          <t>GÄVLEBORGS LÄN</t>
        </is>
      </c>
      <c r="E2605" t="inlineStr">
        <is>
          <t>LJUSDAL</t>
        </is>
      </c>
      <c r="G2605" t="n">
        <v>3.2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47552-2024</t>
        </is>
      </c>
      <c r="B2606" s="1" t="n">
        <v>45587</v>
      </c>
      <c r="C2606" s="1" t="n">
        <v>45811</v>
      </c>
      <c r="D2606" t="inlineStr">
        <is>
          <t>GÄVLEBORGS LÄN</t>
        </is>
      </c>
      <c r="E2606" t="inlineStr">
        <is>
          <t>LJUSDAL</t>
        </is>
      </c>
      <c r="G2606" t="n">
        <v>2.8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47388-2024</t>
        </is>
      </c>
      <c r="B2607" s="1" t="n">
        <v>45587</v>
      </c>
      <c r="C2607" s="1" t="n">
        <v>45811</v>
      </c>
      <c r="D2607" t="inlineStr">
        <is>
          <t>GÄVLEBORGS LÄN</t>
        </is>
      </c>
      <c r="E2607" t="inlineStr">
        <is>
          <t>LJUSDAL</t>
        </is>
      </c>
      <c r="F2607" t="inlineStr">
        <is>
          <t>Bergvik skog väst AB</t>
        </is>
      </c>
      <c r="G2607" t="n">
        <v>2.9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47403-2024</t>
        </is>
      </c>
      <c r="B2608" s="1" t="n">
        <v>45587</v>
      </c>
      <c r="C2608" s="1" t="n">
        <v>45811</v>
      </c>
      <c r="D2608" t="inlineStr">
        <is>
          <t>GÄVLEBORGS LÄN</t>
        </is>
      </c>
      <c r="E2608" t="inlineStr">
        <is>
          <t>LJUSDAL</t>
        </is>
      </c>
      <c r="F2608" t="inlineStr">
        <is>
          <t>Bergvik skog väst AB</t>
        </is>
      </c>
      <c r="G2608" t="n">
        <v>0.4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47320-2024</t>
        </is>
      </c>
      <c r="B2609" s="1" t="n">
        <v>45587</v>
      </c>
      <c r="C2609" s="1" t="n">
        <v>45811</v>
      </c>
      <c r="D2609" t="inlineStr">
        <is>
          <t>GÄVLEBORGS LÄN</t>
        </is>
      </c>
      <c r="E2609" t="inlineStr">
        <is>
          <t>LJUSDAL</t>
        </is>
      </c>
      <c r="G2609" t="n">
        <v>1.5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47307-2024</t>
        </is>
      </c>
      <c r="B2610" s="1" t="n">
        <v>45587</v>
      </c>
      <c r="C2610" s="1" t="n">
        <v>45811</v>
      </c>
      <c r="D2610" t="inlineStr">
        <is>
          <t>GÄVLEBORGS LÄN</t>
        </is>
      </c>
      <c r="E2610" t="inlineStr">
        <is>
          <t>LJUSDAL</t>
        </is>
      </c>
      <c r="G2610" t="n">
        <v>4.5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47455-2024</t>
        </is>
      </c>
      <c r="B2611" s="1" t="n">
        <v>45587</v>
      </c>
      <c r="C2611" s="1" t="n">
        <v>45811</v>
      </c>
      <c r="D2611" t="inlineStr">
        <is>
          <t>GÄVLEBORGS LÄN</t>
        </is>
      </c>
      <c r="E2611" t="inlineStr">
        <is>
          <t>LJUSDAL</t>
        </is>
      </c>
      <c r="F2611" t="inlineStr">
        <is>
          <t>Bergvik skog väst AB</t>
        </is>
      </c>
      <c r="G2611" t="n">
        <v>2.2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47580-2024</t>
        </is>
      </c>
      <c r="B2612" s="1" t="n">
        <v>45587</v>
      </c>
      <c r="C2612" s="1" t="n">
        <v>45811</v>
      </c>
      <c r="D2612" t="inlineStr">
        <is>
          <t>GÄVLEBORGS LÄN</t>
        </is>
      </c>
      <c r="E2612" t="inlineStr">
        <is>
          <t>LJUSDAL</t>
        </is>
      </c>
      <c r="G2612" t="n">
        <v>2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47397-2024</t>
        </is>
      </c>
      <c r="B2613" s="1" t="n">
        <v>45587</v>
      </c>
      <c r="C2613" s="1" t="n">
        <v>45811</v>
      </c>
      <c r="D2613" t="inlineStr">
        <is>
          <t>GÄVLEBORGS LÄN</t>
        </is>
      </c>
      <c r="E2613" t="inlineStr">
        <is>
          <t>LJUSDAL</t>
        </is>
      </c>
      <c r="F2613" t="inlineStr">
        <is>
          <t>Bergvik skog väst AB</t>
        </is>
      </c>
      <c r="G2613" t="n">
        <v>3.3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47291-2024</t>
        </is>
      </c>
      <c r="B2614" s="1" t="n">
        <v>45587</v>
      </c>
      <c r="C2614" s="1" t="n">
        <v>45811</v>
      </c>
      <c r="D2614" t="inlineStr">
        <is>
          <t>GÄVLEBORGS LÄN</t>
        </is>
      </c>
      <c r="E2614" t="inlineStr">
        <is>
          <t>LJUSDAL</t>
        </is>
      </c>
      <c r="F2614" t="inlineStr">
        <is>
          <t>Holmen skog AB</t>
        </is>
      </c>
      <c r="G2614" t="n">
        <v>2.6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47712-2024</t>
        </is>
      </c>
      <c r="B2615" s="1" t="n">
        <v>45588</v>
      </c>
      <c r="C2615" s="1" t="n">
        <v>45811</v>
      </c>
      <c r="D2615" t="inlineStr">
        <is>
          <t>GÄVLEBORGS LÄN</t>
        </is>
      </c>
      <c r="E2615" t="inlineStr">
        <is>
          <t>LJUSDAL</t>
        </is>
      </c>
      <c r="F2615" t="inlineStr">
        <is>
          <t>Bergvik skog väst AB</t>
        </is>
      </c>
      <c r="G2615" t="n">
        <v>5.9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47737-2024</t>
        </is>
      </c>
      <c r="B2616" s="1" t="n">
        <v>45588</v>
      </c>
      <c r="C2616" s="1" t="n">
        <v>45811</v>
      </c>
      <c r="D2616" t="inlineStr">
        <is>
          <t>GÄVLEBORGS LÄN</t>
        </is>
      </c>
      <c r="E2616" t="inlineStr">
        <is>
          <t>LJUSDAL</t>
        </is>
      </c>
      <c r="F2616" t="inlineStr">
        <is>
          <t>Bergvik skog väst AB</t>
        </is>
      </c>
      <c r="G2616" t="n">
        <v>7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47649-2024</t>
        </is>
      </c>
      <c r="B2617" s="1" t="n">
        <v>45588</v>
      </c>
      <c r="C2617" s="1" t="n">
        <v>45811</v>
      </c>
      <c r="D2617" t="inlineStr">
        <is>
          <t>GÄVLEBORGS LÄN</t>
        </is>
      </c>
      <c r="E2617" t="inlineStr">
        <is>
          <t>LJUSDAL</t>
        </is>
      </c>
      <c r="G2617" t="n">
        <v>6.6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47693-2024</t>
        </is>
      </c>
      <c r="B2618" s="1" t="n">
        <v>45588</v>
      </c>
      <c r="C2618" s="1" t="n">
        <v>45811</v>
      </c>
      <c r="D2618" t="inlineStr">
        <is>
          <t>GÄVLEBORGS LÄN</t>
        </is>
      </c>
      <c r="E2618" t="inlineStr">
        <is>
          <t>LJUSDAL</t>
        </is>
      </c>
      <c r="F2618" t="inlineStr">
        <is>
          <t>Bergvik skog väst AB</t>
        </is>
      </c>
      <c r="G2618" t="n">
        <v>4.7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47878-2024</t>
        </is>
      </c>
      <c r="B2619" s="1" t="n">
        <v>45588</v>
      </c>
      <c r="C2619" s="1" t="n">
        <v>45811</v>
      </c>
      <c r="D2619" t="inlineStr">
        <is>
          <t>GÄVLEBORGS LÄN</t>
        </is>
      </c>
      <c r="E2619" t="inlineStr">
        <is>
          <t>LJUSDAL</t>
        </is>
      </c>
      <c r="F2619" t="inlineStr">
        <is>
          <t>Bergvik skog väst AB</t>
        </is>
      </c>
      <c r="G2619" t="n">
        <v>7.2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47876-2024</t>
        </is>
      </c>
      <c r="B2620" s="1" t="n">
        <v>45588</v>
      </c>
      <c r="C2620" s="1" t="n">
        <v>45811</v>
      </c>
      <c r="D2620" t="inlineStr">
        <is>
          <t>GÄVLEBORGS LÄN</t>
        </is>
      </c>
      <c r="E2620" t="inlineStr">
        <is>
          <t>LJUSDAL</t>
        </is>
      </c>
      <c r="F2620" t="inlineStr">
        <is>
          <t>Bergvik skog väst AB</t>
        </is>
      </c>
      <c r="G2620" t="n">
        <v>5.6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47875-2024</t>
        </is>
      </c>
      <c r="B2621" s="1" t="n">
        <v>45588</v>
      </c>
      <c r="C2621" s="1" t="n">
        <v>45811</v>
      </c>
      <c r="D2621" t="inlineStr">
        <is>
          <t>GÄVLEBORGS LÄN</t>
        </is>
      </c>
      <c r="E2621" t="inlineStr">
        <is>
          <t>LJUSDAL</t>
        </is>
      </c>
      <c r="F2621" t="inlineStr">
        <is>
          <t>Bergvik skog väst AB</t>
        </is>
      </c>
      <c r="G2621" t="n">
        <v>6.7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47873-2024</t>
        </is>
      </c>
      <c r="B2622" s="1" t="n">
        <v>45588</v>
      </c>
      <c r="C2622" s="1" t="n">
        <v>45811</v>
      </c>
      <c r="D2622" t="inlineStr">
        <is>
          <t>GÄVLEBORGS LÄN</t>
        </is>
      </c>
      <c r="E2622" t="inlineStr">
        <is>
          <t>LJUSDAL</t>
        </is>
      </c>
      <c r="F2622" t="inlineStr">
        <is>
          <t>Bergvik skog väst AB</t>
        </is>
      </c>
      <c r="G2622" t="n">
        <v>1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48149-2024</t>
        </is>
      </c>
      <c r="B2623" s="1" t="n">
        <v>45589</v>
      </c>
      <c r="C2623" s="1" t="n">
        <v>45811</v>
      </c>
      <c r="D2623" t="inlineStr">
        <is>
          <t>GÄVLEBORGS LÄN</t>
        </is>
      </c>
      <c r="E2623" t="inlineStr">
        <is>
          <t>LJUSDAL</t>
        </is>
      </c>
      <c r="G2623" t="n">
        <v>2.3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47954-2024</t>
        </is>
      </c>
      <c r="B2624" s="1" t="n">
        <v>45589</v>
      </c>
      <c r="C2624" s="1" t="n">
        <v>45811</v>
      </c>
      <c r="D2624" t="inlineStr">
        <is>
          <t>GÄVLEBORGS LÄN</t>
        </is>
      </c>
      <c r="E2624" t="inlineStr">
        <is>
          <t>LJUSDAL</t>
        </is>
      </c>
      <c r="G2624" t="n">
        <v>0.9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48085-2024</t>
        </is>
      </c>
      <c r="B2625" s="1" t="n">
        <v>45589</v>
      </c>
      <c r="C2625" s="1" t="n">
        <v>45811</v>
      </c>
      <c r="D2625" t="inlineStr">
        <is>
          <t>GÄVLEBORGS LÄN</t>
        </is>
      </c>
      <c r="E2625" t="inlineStr">
        <is>
          <t>LJUSDAL</t>
        </is>
      </c>
      <c r="G2625" t="n">
        <v>3.1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47940-2024</t>
        </is>
      </c>
      <c r="B2626" s="1" t="n">
        <v>45589</v>
      </c>
      <c r="C2626" s="1" t="n">
        <v>45811</v>
      </c>
      <c r="D2626" t="inlineStr">
        <is>
          <t>GÄVLEBORGS LÄN</t>
        </is>
      </c>
      <c r="E2626" t="inlineStr">
        <is>
          <t>LJUSDAL</t>
        </is>
      </c>
      <c r="G2626" t="n">
        <v>3.3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48148-2024</t>
        </is>
      </c>
      <c r="B2627" s="1" t="n">
        <v>45589</v>
      </c>
      <c r="C2627" s="1" t="n">
        <v>45811</v>
      </c>
      <c r="D2627" t="inlineStr">
        <is>
          <t>GÄVLEBORGS LÄN</t>
        </is>
      </c>
      <c r="E2627" t="inlineStr">
        <is>
          <t>LJUSDAL</t>
        </is>
      </c>
      <c r="G2627" t="n">
        <v>2.9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48283-2024</t>
        </is>
      </c>
      <c r="B2628" s="1" t="n">
        <v>45590</v>
      </c>
      <c r="C2628" s="1" t="n">
        <v>45811</v>
      </c>
      <c r="D2628" t="inlineStr">
        <is>
          <t>GÄVLEBORGS LÄN</t>
        </is>
      </c>
      <c r="E2628" t="inlineStr">
        <is>
          <t>LJUSDAL</t>
        </is>
      </c>
      <c r="G2628" t="n">
        <v>8.800000000000001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48413-2024</t>
        </is>
      </c>
      <c r="B2629" s="1" t="n">
        <v>45590</v>
      </c>
      <c r="C2629" s="1" t="n">
        <v>45811</v>
      </c>
      <c r="D2629" t="inlineStr">
        <is>
          <t>GÄVLEBORGS LÄN</t>
        </is>
      </c>
      <c r="E2629" t="inlineStr">
        <is>
          <t>LJUSDAL</t>
        </is>
      </c>
      <c r="G2629" t="n">
        <v>1.2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48580-2024</t>
        </is>
      </c>
      <c r="B2630" s="1" t="n">
        <v>45593</v>
      </c>
      <c r="C2630" s="1" t="n">
        <v>45811</v>
      </c>
      <c r="D2630" t="inlineStr">
        <is>
          <t>GÄVLEBORGS LÄN</t>
        </is>
      </c>
      <c r="E2630" t="inlineStr">
        <is>
          <t>LJUSDAL</t>
        </is>
      </c>
      <c r="G2630" t="n">
        <v>1.7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48680-2024</t>
        </is>
      </c>
      <c r="B2631" s="1" t="n">
        <v>45593</v>
      </c>
      <c r="C2631" s="1" t="n">
        <v>45811</v>
      </c>
      <c r="D2631" t="inlineStr">
        <is>
          <t>GÄVLEBORGS LÄN</t>
        </is>
      </c>
      <c r="E2631" t="inlineStr">
        <is>
          <t>LJUSDAL</t>
        </is>
      </c>
      <c r="G2631" t="n">
        <v>2.8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48718-2024</t>
        </is>
      </c>
      <c r="B2632" s="1" t="n">
        <v>45593</v>
      </c>
      <c r="C2632" s="1" t="n">
        <v>45811</v>
      </c>
      <c r="D2632" t="inlineStr">
        <is>
          <t>GÄVLEBORGS LÄN</t>
        </is>
      </c>
      <c r="E2632" t="inlineStr">
        <is>
          <t>LJUSDAL</t>
        </is>
      </c>
      <c r="G2632" t="n">
        <v>22.2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48848-2024</t>
        </is>
      </c>
      <c r="B2633" s="1" t="n">
        <v>45593</v>
      </c>
      <c r="C2633" s="1" t="n">
        <v>45811</v>
      </c>
      <c r="D2633" t="inlineStr">
        <is>
          <t>GÄVLEBORGS LÄN</t>
        </is>
      </c>
      <c r="E2633" t="inlineStr">
        <is>
          <t>LJUSDAL</t>
        </is>
      </c>
      <c r="F2633" t="inlineStr">
        <is>
          <t>Bergvik skog väst AB</t>
        </is>
      </c>
      <c r="G2633" t="n">
        <v>5.4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48847-2024</t>
        </is>
      </c>
      <c r="B2634" s="1" t="n">
        <v>45593</v>
      </c>
      <c r="C2634" s="1" t="n">
        <v>45811</v>
      </c>
      <c r="D2634" t="inlineStr">
        <is>
          <t>GÄVLEBORGS LÄN</t>
        </is>
      </c>
      <c r="E2634" t="inlineStr">
        <is>
          <t>LJUSDAL</t>
        </is>
      </c>
      <c r="F2634" t="inlineStr">
        <is>
          <t>Bergvik skog väst AB</t>
        </is>
      </c>
      <c r="G2634" t="n">
        <v>2.1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48555-2024</t>
        </is>
      </c>
      <c r="B2635" s="1" t="n">
        <v>45593</v>
      </c>
      <c r="C2635" s="1" t="n">
        <v>45811</v>
      </c>
      <c r="D2635" t="inlineStr">
        <is>
          <t>GÄVLEBORGS LÄN</t>
        </is>
      </c>
      <c r="E2635" t="inlineStr">
        <is>
          <t>LJUSDAL</t>
        </is>
      </c>
      <c r="G2635" t="n">
        <v>5.5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48931-2024</t>
        </is>
      </c>
      <c r="B2636" s="1" t="n">
        <v>45594</v>
      </c>
      <c r="C2636" s="1" t="n">
        <v>45811</v>
      </c>
      <c r="D2636" t="inlineStr">
        <is>
          <t>GÄVLEBORGS LÄN</t>
        </is>
      </c>
      <c r="E2636" t="inlineStr">
        <is>
          <t>LJUSDAL</t>
        </is>
      </c>
      <c r="G2636" t="n">
        <v>3.5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49210-2024</t>
        </is>
      </c>
      <c r="B2637" s="1" t="n">
        <v>45595</v>
      </c>
      <c r="C2637" s="1" t="n">
        <v>45811</v>
      </c>
      <c r="D2637" t="inlineStr">
        <is>
          <t>GÄVLEBORGS LÄN</t>
        </is>
      </c>
      <c r="E2637" t="inlineStr">
        <is>
          <t>LJUSDAL</t>
        </is>
      </c>
      <c r="G2637" t="n">
        <v>5.2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49280-2024</t>
        </is>
      </c>
      <c r="B2638" s="1" t="n">
        <v>45595</v>
      </c>
      <c r="C2638" s="1" t="n">
        <v>45811</v>
      </c>
      <c r="D2638" t="inlineStr">
        <is>
          <t>GÄVLEBORGS LÄN</t>
        </is>
      </c>
      <c r="E2638" t="inlineStr">
        <is>
          <t>LJUSDAL</t>
        </is>
      </c>
      <c r="G2638" t="n">
        <v>1.7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49381-2024</t>
        </is>
      </c>
      <c r="B2639" s="1" t="n">
        <v>45595</v>
      </c>
      <c r="C2639" s="1" t="n">
        <v>45811</v>
      </c>
      <c r="D2639" t="inlineStr">
        <is>
          <t>GÄVLEBORGS LÄN</t>
        </is>
      </c>
      <c r="E2639" t="inlineStr">
        <is>
          <t>LJUSDAL</t>
        </is>
      </c>
      <c r="G2639" t="n">
        <v>3.2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49327-2024</t>
        </is>
      </c>
      <c r="B2640" s="1" t="n">
        <v>45595</v>
      </c>
      <c r="C2640" s="1" t="n">
        <v>45811</v>
      </c>
      <c r="D2640" t="inlineStr">
        <is>
          <t>GÄVLEBORGS LÄN</t>
        </is>
      </c>
      <c r="E2640" t="inlineStr">
        <is>
          <t>LJUSDAL</t>
        </is>
      </c>
      <c r="G2640" t="n">
        <v>10.8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49458-2024</t>
        </is>
      </c>
      <c r="B2641" s="1" t="n">
        <v>45596</v>
      </c>
      <c r="C2641" s="1" t="n">
        <v>45811</v>
      </c>
      <c r="D2641" t="inlineStr">
        <is>
          <t>GÄVLEBORGS LÄN</t>
        </is>
      </c>
      <c r="E2641" t="inlineStr">
        <is>
          <t>LJUSDAL</t>
        </is>
      </c>
      <c r="G2641" t="n">
        <v>1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49539-2024</t>
        </is>
      </c>
      <c r="B2642" s="1" t="n">
        <v>45596</v>
      </c>
      <c r="C2642" s="1" t="n">
        <v>45811</v>
      </c>
      <c r="D2642" t="inlineStr">
        <is>
          <t>GÄVLEBORGS LÄN</t>
        </is>
      </c>
      <c r="E2642" t="inlineStr">
        <is>
          <t>LJUSDAL</t>
        </is>
      </c>
      <c r="G2642" t="n">
        <v>1.1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49837-2024</t>
        </is>
      </c>
      <c r="B2643" s="1" t="n">
        <v>45597</v>
      </c>
      <c r="C2643" s="1" t="n">
        <v>45811</v>
      </c>
      <c r="D2643" t="inlineStr">
        <is>
          <t>GÄVLEBORGS LÄN</t>
        </is>
      </c>
      <c r="E2643" t="inlineStr">
        <is>
          <t>LJUSDAL</t>
        </is>
      </c>
      <c r="F2643" t="inlineStr">
        <is>
          <t>Bergvik skog väst AB</t>
        </is>
      </c>
      <c r="G2643" t="n">
        <v>16.3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49957-2024</t>
        </is>
      </c>
      <c r="B2644" s="1" t="n">
        <v>45597</v>
      </c>
      <c r="C2644" s="1" t="n">
        <v>45811</v>
      </c>
      <c r="D2644" t="inlineStr">
        <is>
          <t>GÄVLEBORGS LÄN</t>
        </is>
      </c>
      <c r="E2644" t="inlineStr">
        <is>
          <t>LJUSDAL</t>
        </is>
      </c>
      <c r="G2644" t="n">
        <v>4.6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49956-2024</t>
        </is>
      </c>
      <c r="B2645" s="1" t="n">
        <v>45597</v>
      </c>
      <c r="C2645" s="1" t="n">
        <v>45811</v>
      </c>
      <c r="D2645" t="inlineStr">
        <is>
          <t>GÄVLEBORGS LÄN</t>
        </is>
      </c>
      <c r="E2645" t="inlineStr">
        <is>
          <t>LJUSDAL</t>
        </is>
      </c>
      <c r="G2645" t="n">
        <v>1.3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50267-2024</t>
        </is>
      </c>
      <c r="B2646" s="1" t="n">
        <v>45600</v>
      </c>
      <c r="C2646" s="1" t="n">
        <v>45811</v>
      </c>
      <c r="D2646" t="inlineStr">
        <is>
          <t>GÄVLEBORGS LÄN</t>
        </is>
      </c>
      <c r="E2646" t="inlineStr">
        <is>
          <t>LJUSDAL</t>
        </is>
      </c>
      <c r="G2646" t="n">
        <v>2.4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50169-2024</t>
        </is>
      </c>
      <c r="B2647" s="1" t="n">
        <v>45600</v>
      </c>
      <c r="C2647" s="1" t="n">
        <v>45811</v>
      </c>
      <c r="D2647" t="inlineStr">
        <is>
          <t>GÄVLEBORGS LÄN</t>
        </is>
      </c>
      <c r="E2647" t="inlineStr">
        <is>
          <t>LJUSDAL</t>
        </is>
      </c>
      <c r="F2647" t="inlineStr">
        <is>
          <t>Sveaskog</t>
        </is>
      </c>
      <c r="G2647" t="n">
        <v>0.6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50228-2024</t>
        </is>
      </c>
      <c r="B2648" s="1" t="n">
        <v>45600</v>
      </c>
      <c r="C2648" s="1" t="n">
        <v>45811</v>
      </c>
      <c r="D2648" t="inlineStr">
        <is>
          <t>GÄVLEBORGS LÄN</t>
        </is>
      </c>
      <c r="E2648" t="inlineStr">
        <is>
          <t>LJUSDAL</t>
        </is>
      </c>
      <c r="G2648" t="n">
        <v>1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50272-2024</t>
        </is>
      </c>
      <c r="B2649" s="1" t="n">
        <v>45600</v>
      </c>
      <c r="C2649" s="1" t="n">
        <v>45811</v>
      </c>
      <c r="D2649" t="inlineStr">
        <is>
          <t>GÄVLEBORGS LÄN</t>
        </is>
      </c>
      <c r="E2649" t="inlineStr">
        <is>
          <t>LJUSDAL</t>
        </is>
      </c>
      <c r="F2649" t="inlineStr">
        <is>
          <t>Bergvik skog väst AB</t>
        </is>
      </c>
      <c r="G2649" t="n">
        <v>20.7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50158-2024</t>
        </is>
      </c>
      <c r="B2650" s="1" t="n">
        <v>45600</v>
      </c>
      <c r="C2650" s="1" t="n">
        <v>45811</v>
      </c>
      <c r="D2650" t="inlineStr">
        <is>
          <t>GÄVLEBORGS LÄN</t>
        </is>
      </c>
      <c r="E2650" t="inlineStr">
        <is>
          <t>LJUSDAL</t>
        </is>
      </c>
      <c r="G2650" t="n">
        <v>5.2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50229-2024</t>
        </is>
      </c>
      <c r="B2651" s="1" t="n">
        <v>45600</v>
      </c>
      <c r="C2651" s="1" t="n">
        <v>45811</v>
      </c>
      <c r="D2651" t="inlineStr">
        <is>
          <t>GÄVLEBORGS LÄN</t>
        </is>
      </c>
      <c r="E2651" t="inlineStr">
        <is>
          <t>LJUSDAL</t>
        </is>
      </c>
      <c r="G2651" t="n">
        <v>2.3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50613-2024</t>
        </is>
      </c>
      <c r="B2652" s="1" t="n">
        <v>45601</v>
      </c>
      <c r="C2652" s="1" t="n">
        <v>45811</v>
      </c>
      <c r="D2652" t="inlineStr">
        <is>
          <t>GÄVLEBORGS LÄN</t>
        </is>
      </c>
      <c r="E2652" t="inlineStr">
        <is>
          <t>LJUSDAL</t>
        </is>
      </c>
      <c r="F2652" t="inlineStr">
        <is>
          <t>Bergvik skog väst AB</t>
        </is>
      </c>
      <c r="G2652" t="n">
        <v>6.6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50858-2024</t>
        </is>
      </c>
      <c r="B2653" s="1" t="n">
        <v>45602</v>
      </c>
      <c r="C2653" s="1" t="n">
        <v>45811</v>
      </c>
      <c r="D2653" t="inlineStr">
        <is>
          <t>GÄVLEBORGS LÄN</t>
        </is>
      </c>
      <c r="E2653" t="inlineStr">
        <is>
          <t>LJUSDAL</t>
        </is>
      </c>
      <c r="F2653" t="inlineStr">
        <is>
          <t>Bergvik skog väst AB</t>
        </is>
      </c>
      <c r="G2653" t="n">
        <v>6.9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50712-2024</t>
        </is>
      </c>
      <c r="B2654" s="1" t="n">
        <v>45602</v>
      </c>
      <c r="C2654" s="1" t="n">
        <v>45811</v>
      </c>
      <c r="D2654" t="inlineStr">
        <is>
          <t>GÄVLEBORGS LÄN</t>
        </is>
      </c>
      <c r="E2654" t="inlineStr">
        <is>
          <t>LJUSDAL</t>
        </is>
      </c>
      <c r="G2654" t="n">
        <v>0.9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50818-2024</t>
        </is>
      </c>
      <c r="B2655" s="1" t="n">
        <v>45602</v>
      </c>
      <c r="C2655" s="1" t="n">
        <v>45811</v>
      </c>
      <c r="D2655" t="inlineStr">
        <is>
          <t>GÄVLEBORGS LÄN</t>
        </is>
      </c>
      <c r="E2655" t="inlineStr">
        <is>
          <t>LJUSDAL</t>
        </is>
      </c>
      <c r="F2655" t="inlineStr">
        <is>
          <t>Kommuner</t>
        </is>
      </c>
      <c r="G2655" t="n">
        <v>2.3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50830-2024</t>
        </is>
      </c>
      <c r="B2656" s="1" t="n">
        <v>45602</v>
      </c>
      <c r="C2656" s="1" t="n">
        <v>45811</v>
      </c>
      <c r="D2656" t="inlineStr">
        <is>
          <t>GÄVLEBORGS LÄN</t>
        </is>
      </c>
      <c r="E2656" t="inlineStr">
        <is>
          <t>LJUSDAL</t>
        </is>
      </c>
      <c r="F2656" t="inlineStr">
        <is>
          <t>Holmen skog AB</t>
        </is>
      </c>
      <c r="G2656" t="n">
        <v>16.9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50980-2024</t>
        </is>
      </c>
      <c r="B2657" s="1" t="n">
        <v>45603</v>
      </c>
      <c r="C2657" s="1" t="n">
        <v>45811</v>
      </c>
      <c r="D2657" t="inlineStr">
        <is>
          <t>GÄVLEBORGS LÄN</t>
        </is>
      </c>
      <c r="E2657" t="inlineStr">
        <is>
          <t>LJUSDAL</t>
        </is>
      </c>
      <c r="G2657" t="n">
        <v>0.8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50967-2024</t>
        </is>
      </c>
      <c r="B2658" s="1" t="n">
        <v>45603</v>
      </c>
      <c r="C2658" s="1" t="n">
        <v>45811</v>
      </c>
      <c r="D2658" t="inlineStr">
        <is>
          <t>GÄVLEBORGS LÄN</t>
        </is>
      </c>
      <c r="E2658" t="inlineStr">
        <is>
          <t>LJUSDAL</t>
        </is>
      </c>
      <c r="G2658" t="n">
        <v>3.1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50973-2024</t>
        </is>
      </c>
      <c r="B2659" s="1" t="n">
        <v>45603</v>
      </c>
      <c r="C2659" s="1" t="n">
        <v>45811</v>
      </c>
      <c r="D2659" t="inlineStr">
        <is>
          <t>GÄVLEBORGS LÄN</t>
        </is>
      </c>
      <c r="E2659" t="inlineStr">
        <is>
          <t>LJUSDAL</t>
        </is>
      </c>
      <c r="G2659" t="n">
        <v>1.9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51247-2024</t>
        </is>
      </c>
      <c r="B2660" s="1" t="n">
        <v>45603</v>
      </c>
      <c r="C2660" s="1" t="n">
        <v>45811</v>
      </c>
      <c r="D2660" t="inlineStr">
        <is>
          <t>GÄVLEBORGS LÄN</t>
        </is>
      </c>
      <c r="E2660" t="inlineStr">
        <is>
          <t>LJUSDAL</t>
        </is>
      </c>
      <c r="F2660" t="inlineStr">
        <is>
          <t>Kommuner</t>
        </is>
      </c>
      <c r="G2660" t="n">
        <v>6.1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51236-2024</t>
        </is>
      </c>
      <c r="B2661" s="1" t="n">
        <v>45603</v>
      </c>
      <c r="C2661" s="1" t="n">
        <v>45811</v>
      </c>
      <c r="D2661" t="inlineStr">
        <is>
          <t>GÄVLEBORGS LÄN</t>
        </is>
      </c>
      <c r="E2661" t="inlineStr">
        <is>
          <t>LJUSDAL</t>
        </is>
      </c>
      <c r="F2661" t="inlineStr">
        <is>
          <t>Kommuner</t>
        </is>
      </c>
      <c r="G2661" t="n">
        <v>0.3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  <c r="U2661">
        <f>HYPERLINK("https://klasma.github.io/Logging_2161/knärot/A 51236-2024 karta knärot.png", "A 51236-2024")</f>
        <v/>
      </c>
      <c r="V2661">
        <f>HYPERLINK("https://klasma.github.io/Logging_2161/klagomål/A 51236-2024 FSC-klagomål.docx", "A 51236-2024")</f>
        <v/>
      </c>
      <c r="W2661">
        <f>HYPERLINK("https://klasma.github.io/Logging_2161/klagomålsmail/A 51236-2024 FSC-klagomål mail.docx", "A 51236-2024")</f>
        <v/>
      </c>
      <c r="X2661">
        <f>HYPERLINK("https://klasma.github.io/Logging_2161/tillsyn/A 51236-2024 tillsynsbegäran.docx", "A 51236-2024")</f>
        <v/>
      </c>
      <c r="Y2661">
        <f>HYPERLINK("https://klasma.github.io/Logging_2161/tillsynsmail/A 51236-2024 tillsynsbegäran mail.docx", "A 51236-2024")</f>
        <v/>
      </c>
    </row>
    <row r="2662" ht="15" customHeight="1">
      <c r="A2662" t="inlineStr">
        <is>
          <t>A 51109-2024</t>
        </is>
      </c>
      <c r="B2662" s="1" t="n">
        <v>45603</v>
      </c>
      <c r="C2662" s="1" t="n">
        <v>45811</v>
      </c>
      <c r="D2662" t="inlineStr">
        <is>
          <t>GÄVLEBORGS LÄN</t>
        </is>
      </c>
      <c r="E2662" t="inlineStr">
        <is>
          <t>LJUSDAL</t>
        </is>
      </c>
      <c r="G2662" t="n">
        <v>6.6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51427-2024</t>
        </is>
      </c>
      <c r="B2663" s="1" t="n">
        <v>45604</v>
      </c>
      <c r="C2663" s="1" t="n">
        <v>45811</v>
      </c>
      <c r="D2663" t="inlineStr">
        <is>
          <t>GÄVLEBORGS LÄN</t>
        </is>
      </c>
      <c r="E2663" t="inlineStr">
        <is>
          <t>LJUSDAL</t>
        </is>
      </c>
      <c r="G2663" t="n">
        <v>4.6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51599-2024</t>
        </is>
      </c>
      <c r="B2664" s="1" t="n">
        <v>45604</v>
      </c>
      <c r="C2664" s="1" t="n">
        <v>45811</v>
      </c>
      <c r="D2664" t="inlineStr">
        <is>
          <t>GÄVLEBORGS LÄN</t>
        </is>
      </c>
      <c r="E2664" t="inlineStr">
        <is>
          <t>LJUSDAL</t>
        </is>
      </c>
      <c r="F2664" t="inlineStr">
        <is>
          <t>Sveaskog</t>
        </is>
      </c>
      <c r="G2664" t="n">
        <v>0.9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51364-2024</t>
        </is>
      </c>
      <c r="B2665" s="1" t="n">
        <v>45604</v>
      </c>
      <c r="C2665" s="1" t="n">
        <v>45811</v>
      </c>
      <c r="D2665" t="inlineStr">
        <is>
          <t>GÄVLEBORGS LÄN</t>
        </is>
      </c>
      <c r="E2665" t="inlineStr">
        <is>
          <t>LJUSDAL</t>
        </is>
      </c>
      <c r="G2665" t="n">
        <v>10.7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51637-2024</t>
        </is>
      </c>
      <c r="B2666" s="1" t="n">
        <v>45605</v>
      </c>
      <c r="C2666" s="1" t="n">
        <v>45811</v>
      </c>
      <c r="D2666" t="inlineStr">
        <is>
          <t>GÄVLEBORGS LÄN</t>
        </is>
      </c>
      <c r="E2666" t="inlineStr">
        <is>
          <t>LJUSDAL</t>
        </is>
      </c>
      <c r="G2666" t="n">
        <v>9.199999999999999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51807-2024</t>
        </is>
      </c>
      <c r="B2667" s="1" t="n">
        <v>45607</v>
      </c>
      <c r="C2667" s="1" t="n">
        <v>45811</v>
      </c>
      <c r="D2667" t="inlineStr">
        <is>
          <t>GÄVLEBORGS LÄN</t>
        </is>
      </c>
      <c r="E2667" t="inlineStr">
        <is>
          <t>LJUSDAL</t>
        </is>
      </c>
      <c r="G2667" t="n">
        <v>1.3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51880-2024</t>
        </is>
      </c>
      <c r="B2668" s="1" t="n">
        <v>45607</v>
      </c>
      <c r="C2668" s="1" t="n">
        <v>45811</v>
      </c>
      <c r="D2668" t="inlineStr">
        <is>
          <t>GÄVLEBORGS LÄN</t>
        </is>
      </c>
      <c r="E2668" t="inlineStr">
        <is>
          <t>LJUSDAL</t>
        </is>
      </c>
      <c r="G2668" t="n">
        <v>0.9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51711-2024</t>
        </is>
      </c>
      <c r="B2669" s="1" t="n">
        <v>45607</v>
      </c>
      <c r="C2669" s="1" t="n">
        <v>45811</v>
      </c>
      <c r="D2669" t="inlineStr">
        <is>
          <t>GÄVLEBORGS LÄN</t>
        </is>
      </c>
      <c r="E2669" t="inlineStr">
        <is>
          <t>LJUSDAL</t>
        </is>
      </c>
      <c r="G2669" t="n">
        <v>1.2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51725-2024</t>
        </is>
      </c>
      <c r="B2670" s="1" t="n">
        <v>45607</v>
      </c>
      <c r="C2670" s="1" t="n">
        <v>45811</v>
      </c>
      <c r="D2670" t="inlineStr">
        <is>
          <t>GÄVLEBORGS LÄN</t>
        </is>
      </c>
      <c r="E2670" t="inlineStr">
        <is>
          <t>LJUSDAL</t>
        </is>
      </c>
      <c r="G2670" t="n">
        <v>0.8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51801-2024</t>
        </is>
      </c>
      <c r="B2671" s="1" t="n">
        <v>45607</v>
      </c>
      <c r="C2671" s="1" t="n">
        <v>45811</v>
      </c>
      <c r="D2671" t="inlineStr">
        <is>
          <t>GÄVLEBORGS LÄN</t>
        </is>
      </c>
      <c r="E2671" t="inlineStr">
        <is>
          <t>LJUSDAL</t>
        </is>
      </c>
      <c r="G2671" t="n">
        <v>4.6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51867-2024</t>
        </is>
      </c>
      <c r="B2672" s="1" t="n">
        <v>45607</v>
      </c>
      <c r="C2672" s="1" t="n">
        <v>45811</v>
      </c>
      <c r="D2672" t="inlineStr">
        <is>
          <t>GÄVLEBORGS LÄN</t>
        </is>
      </c>
      <c r="E2672" t="inlineStr">
        <is>
          <t>LJUSDAL</t>
        </is>
      </c>
      <c r="F2672" t="inlineStr">
        <is>
          <t>SCA</t>
        </is>
      </c>
      <c r="G2672" t="n">
        <v>10.3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51869-2024</t>
        </is>
      </c>
      <c r="B2673" s="1" t="n">
        <v>45607</v>
      </c>
      <c r="C2673" s="1" t="n">
        <v>45811</v>
      </c>
      <c r="D2673" t="inlineStr">
        <is>
          <t>GÄVLEBORGS LÄN</t>
        </is>
      </c>
      <c r="E2673" t="inlineStr">
        <is>
          <t>LJUSDAL</t>
        </is>
      </c>
      <c r="F2673" t="inlineStr">
        <is>
          <t>Naturvårdsverket</t>
        </is>
      </c>
      <c r="G2673" t="n">
        <v>1.8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51719-2024</t>
        </is>
      </c>
      <c r="B2674" s="1" t="n">
        <v>45607</v>
      </c>
      <c r="C2674" s="1" t="n">
        <v>45811</v>
      </c>
      <c r="D2674" t="inlineStr">
        <is>
          <t>GÄVLEBORGS LÄN</t>
        </is>
      </c>
      <c r="E2674" t="inlineStr">
        <is>
          <t>LJUSDAL</t>
        </is>
      </c>
      <c r="G2674" t="n">
        <v>4.7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51714-2024</t>
        </is>
      </c>
      <c r="B2675" s="1" t="n">
        <v>45607</v>
      </c>
      <c r="C2675" s="1" t="n">
        <v>45811</v>
      </c>
      <c r="D2675" t="inlineStr">
        <is>
          <t>GÄVLEBORGS LÄN</t>
        </is>
      </c>
      <c r="E2675" t="inlineStr">
        <is>
          <t>LJUSDAL</t>
        </is>
      </c>
      <c r="G2675" t="n">
        <v>1.5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52090-2024</t>
        </is>
      </c>
      <c r="B2676" s="1" t="n">
        <v>45608</v>
      </c>
      <c r="C2676" s="1" t="n">
        <v>45811</v>
      </c>
      <c r="D2676" t="inlineStr">
        <is>
          <t>GÄVLEBORGS LÄN</t>
        </is>
      </c>
      <c r="E2676" t="inlineStr">
        <is>
          <t>LJUSDAL</t>
        </is>
      </c>
      <c r="G2676" t="n">
        <v>0.3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52099-2024</t>
        </is>
      </c>
      <c r="B2677" s="1" t="n">
        <v>45608</v>
      </c>
      <c r="C2677" s="1" t="n">
        <v>45811</v>
      </c>
      <c r="D2677" t="inlineStr">
        <is>
          <t>GÄVLEBORGS LÄN</t>
        </is>
      </c>
      <c r="E2677" t="inlineStr">
        <is>
          <t>LJUSDAL</t>
        </is>
      </c>
      <c r="G2677" t="n">
        <v>0.2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52339-2024</t>
        </is>
      </c>
      <c r="B2678" s="1" t="n">
        <v>45609</v>
      </c>
      <c r="C2678" s="1" t="n">
        <v>45811</v>
      </c>
      <c r="D2678" t="inlineStr">
        <is>
          <t>GÄVLEBORGS LÄN</t>
        </is>
      </c>
      <c r="E2678" t="inlineStr">
        <is>
          <t>LJUSDAL</t>
        </is>
      </c>
      <c r="G2678" t="n">
        <v>5.1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52365-2024</t>
        </is>
      </c>
      <c r="B2679" s="1" t="n">
        <v>45609</v>
      </c>
      <c r="C2679" s="1" t="n">
        <v>45811</v>
      </c>
      <c r="D2679" t="inlineStr">
        <is>
          <t>GÄVLEBORGS LÄN</t>
        </is>
      </c>
      <c r="E2679" t="inlineStr">
        <is>
          <t>LJUSDAL</t>
        </is>
      </c>
      <c r="F2679" t="inlineStr">
        <is>
          <t>Bergvik skog väst AB</t>
        </is>
      </c>
      <c r="G2679" t="n">
        <v>4.6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52672-2024</t>
        </is>
      </c>
      <c r="B2680" s="1" t="n">
        <v>45610</v>
      </c>
      <c r="C2680" s="1" t="n">
        <v>45811</v>
      </c>
      <c r="D2680" t="inlineStr">
        <is>
          <t>GÄVLEBORGS LÄN</t>
        </is>
      </c>
      <c r="E2680" t="inlineStr">
        <is>
          <t>LJUSDAL</t>
        </is>
      </c>
      <c r="G2680" t="n">
        <v>2.8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52722-2024</t>
        </is>
      </c>
      <c r="B2681" s="1" t="n">
        <v>45610</v>
      </c>
      <c r="C2681" s="1" t="n">
        <v>45811</v>
      </c>
      <c r="D2681" t="inlineStr">
        <is>
          <t>GÄVLEBORGS LÄN</t>
        </is>
      </c>
      <c r="E2681" t="inlineStr">
        <is>
          <t>LJUSDAL</t>
        </is>
      </c>
      <c r="G2681" t="n">
        <v>4.4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52917-2024</t>
        </is>
      </c>
      <c r="B2682" s="1" t="n">
        <v>45610</v>
      </c>
      <c r="C2682" s="1" t="n">
        <v>45811</v>
      </c>
      <c r="D2682" t="inlineStr">
        <is>
          <t>GÄVLEBORGS LÄN</t>
        </is>
      </c>
      <c r="E2682" t="inlineStr">
        <is>
          <t>LJUSDAL</t>
        </is>
      </c>
      <c r="F2682" t="inlineStr">
        <is>
          <t>Allmännings- och besparingsskogar</t>
        </is>
      </c>
      <c r="G2682" t="n">
        <v>1.9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52921-2024</t>
        </is>
      </c>
      <c r="B2683" s="1" t="n">
        <v>45610</v>
      </c>
      <c r="C2683" s="1" t="n">
        <v>45811</v>
      </c>
      <c r="D2683" t="inlineStr">
        <is>
          <t>GÄVLEBORGS LÄN</t>
        </is>
      </c>
      <c r="E2683" t="inlineStr">
        <is>
          <t>LJUSDAL</t>
        </is>
      </c>
      <c r="F2683" t="inlineStr">
        <is>
          <t>Allmännings- och besparingsskogar</t>
        </is>
      </c>
      <c r="G2683" t="n">
        <v>1.5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52783-2024</t>
        </is>
      </c>
      <c r="B2684" s="1" t="n">
        <v>45610</v>
      </c>
      <c r="C2684" s="1" t="n">
        <v>45811</v>
      </c>
      <c r="D2684" t="inlineStr">
        <is>
          <t>GÄVLEBORGS LÄN</t>
        </is>
      </c>
      <c r="E2684" t="inlineStr">
        <is>
          <t>LJUSDAL</t>
        </is>
      </c>
      <c r="F2684" t="inlineStr">
        <is>
          <t>SCA</t>
        </is>
      </c>
      <c r="G2684" t="n">
        <v>1.5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52787-2024</t>
        </is>
      </c>
      <c r="B2685" s="1" t="n">
        <v>45610</v>
      </c>
      <c r="C2685" s="1" t="n">
        <v>45811</v>
      </c>
      <c r="D2685" t="inlineStr">
        <is>
          <t>GÄVLEBORGS LÄN</t>
        </is>
      </c>
      <c r="E2685" t="inlineStr">
        <is>
          <t>LJUSDAL</t>
        </is>
      </c>
      <c r="F2685" t="inlineStr">
        <is>
          <t>SCA</t>
        </is>
      </c>
      <c r="G2685" t="n">
        <v>4.7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52915-2024</t>
        </is>
      </c>
      <c r="B2686" s="1" t="n">
        <v>45610</v>
      </c>
      <c r="C2686" s="1" t="n">
        <v>45811</v>
      </c>
      <c r="D2686" t="inlineStr">
        <is>
          <t>GÄVLEBORGS LÄN</t>
        </is>
      </c>
      <c r="E2686" t="inlineStr">
        <is>
          <t>LJUSDAL</t>
        </is>
      </c>
      <c r="F2686" t="inlineStr">
        <is>
          <t>Allmännings- och besparingsskogar</t>
        </is>
      </c>
      <c r="G2686" t="n">
        <v>0.8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52919-2024</t>
        </is>
      </c>
      <c r="B2687" s="1" t="n">
        <v>45610</v>
      </c>
      <c r="C2687" s="1" t="n">
        <v>45811</v>
      </c>
      <c r="D2687" t="inlineStr">
        <is>
          <t>GÄVLEBORGS LÄN</t>
        </is>
      </c>
      <c r="E2687" t="inlineStr">
        <is>
          <t>LJUSDAL</t>
        </is>
      </c>
      <c r="F2687" t="inlineStr">
        <is>
          <t>Allmännings- och besparingsskogar</t>
        </is>
      </c>
      <c r="G2687" t="n">
        <v>1.3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53192-2024</t>
        </is>
      </c>
      <c r="B2688" s="1" t="n">
        <v>45611</v>
      </c>
      <c r="C2688" s="1" t="n">
        <v>45811</v>
      </c>
      <c r="D2688" t="inlineStr">
        <is>
          <t>GÄVLEBORGS LÄN</t>
        </is>
      </c>
      <c r="E2688" t="inlineStr">
        <is>
          <t>LJUSDAL</t>
        </is>
      </c>
      <c r="G2688" t="n">
        <v>11.3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53153-2024</t>
        </is>
      </c>
      <c r="B2689" s="1" t="n">
        <v>45611</v>
      </c>
      <c r="C2689" s="1" t="n">
        <v>45811</v>
      </c>
      <c r="D2689" t="inlineStr">
        <is>
          <t>GÄVLEBORGS LÄN</t>
        </is>
      </c>
      <c r="E2689" t="inlineStr">
        <is>
          <t>LJUSDAL</t>
        </is>
      </c>
      <c r="G2689" t="n">
        <v>8.199999999999999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52971-2024</t>
        </is>
      </c>
      <c r="B2690" s="1" t="n">
        <v>45611</v>
      </c>
      <c r="C2690" s="1" t="n">
        <v>45811</v>
      </c>
      <c r="D2690" t="inlineStr">
        <is>
          <t>GÄVLEBORGS LÄN</t>
        </is>
      </c>
      <c r="E2690" t="inlineStr">
        <is>
          <t>LJUSDAL</t>
        </is>
      </c>
      <c r="F2690" t="inlineStr">
        <is>
          <t>Allmännings- och besparingsskogar</t>
        </is>
      </c>
      <c r="G2690" t="n">
        <v>4.7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52967-2024</t>
        </is>
      </c>
      <c r="B2691" s="1" t="n">
        <v>45611</v>
      </c>
      <c r="C2691" s="1" t="n">
        <v>45811</v>
      </c>
      <c r="D2691" t="inlineStr">
        <is>
          <t>GÄVLEBORGS LÄN</t>
        </is>
      </c>
      <c r="E2691" t="inlineStr">
        <is>
          <t>LJUSDAL</t>
        </is>
      </c>
      <c r="G2691" t="n">
        <v>5.4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53007-2024</t>
        </is>
      </c>
      <c r="B2692" s="1" t="n">
        <v>45611</v>
      </c>
      <c r="C2692" s="1" t="n">
        <v>45811</v>
      </c>
      <c r="D2692" t="inlineStr">
        <is>
          <t>GÄVLEBORGS LÄN</t>
        </is>
      </c>
      <c r="E2692" t="inlineStr">
        <is>
          <t>LJUSDAL</t>
        </is>
      </c>
      <c r="G2692" t="n">
        <v>2.5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52970-2024</t>
        </is>
      </c>
      <c r="B2693" s="1" t="n">
        <v>45611</v>
      </c>
      <c r="C2693" s="1" t="n">
        <v>45811</v>
      </c>
      <c r="D2693" t="inlineStr">
        <is>
          <t>GÄVLEBORGS LÄN</t>
        </is>
      </c>
      <c r="E2693" t="inlineStr">
        <is>
          <t>LJUSDAL</t>
        </is>
      </c>
      <c r="G2693" t="n">
        <v>1.9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53050-2024</t>
        </is>
      </c>
      <c r="B2694" s="1" t="n">
        <v>45611</v>
      </c>
      <c r="C2694" s="1" t="n">
        <v>45811</v>
      </c>
      <c r="D2694" t="inlineStr">
        <is>
          <t>GÄVLEBORGS LÄN</t>
        </is>
      </c>
      <c r="E2694" t="inlineStr">
        <is>
          <t>LJUSDAL</t>
        </is>
      </c>
      <c r="G2694" t="n">
        <v>5.2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53001-2024</t>
        </is>
      </c>
      <c r="B2695" s="1" t="n">
        <v>45611</v>
      </c>
      <c r="C2695" s="1" t="n">
        <v>45811</v>
      </c>
      <c r="D2695" t="inlineStr">
        <is>
          <t>GÄVLEBORGS LÄN</t>
        </is>
      </c>
      <c r="E2695" t="inlineStr">
        <is>
          <t>LJUSDAL</t>
        </is>
      </c>
      <c r="F2695" t="inlineStr">
        <is>
          <t>Allmännings- och besparingsskogar</t>
        </is>
      </c>
      <c r="G2695" t="n">
        <v>5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52981-2024</t>
        </is>
      </c>
      <c r="B2696" s="1" t="n">
        <v>45611</v>
      </c>
      <c r="C2696" s="1" t="n">
        <v>45811</v>
      </c>
      <c r="D2696" t="inlineStr">
        <is>
          <t>GÄVLEBORGS LÄN</t>
        </is>
      </c>
      <c r="E2696" t="inlineStr">
        <is>
          <t>LJUSDAL</t>
        </is>
      </c>
      <c r="G2696" t="n">
        <v>1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52973-2024</t>
        </is>
      </c>
      <c r="B2697" s="1" t="n">
        <v>45611</v>
      </c>
      <c r="C2697" s="1" t="n">
        <v>45811</v>
      </c>
      <c r="D2697" t="inlineStr">
        <is>
          <t>GÄVLEBORGS LÄN</t>
        </is>
      </c>
      <c r="E2697" t="inlineStr">
        <is>
          <t>LJUSDAL</t>
        </is>
      </c>
      <c r="G2697" t="n">
        <v>8.1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53205-2024</t>
        </is>
      </c>
      <c r="B2698" s="1" t="n">
        <v>45612</v>
      </c>
      <c r="C2698" s="1" t="n">
        <v>45811</v>
      </c>
      <c r="D2698" t="inlineStr">
        <is>
          <t>GÄVLEBORGS LÄN</t>
        </is>
      </c>
      <c r="E2698" t="inlineStr">
        <is>
          <t>LJUSDAL</t>
        </is>
      </c>
      <c r="F2698" t="inlineStr">
        <is>
          <t>Bergvik skog väst AB</t>
        </is>
      </c>
      <c r="G2698" t="n">
        <v>10.8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53410-2024</t>
        </is>
      </c>
      <c r="B2699" s="1" t="n">
        <v>45614</v>
      </c>
      <c r="C2699" s="1" t="n">
        <v>45811</v>
      </c>
      <c r="D2699" t="inlineStr">
        <is>
          <t>GÄVLEBORGS LÄN</t>
        </is>
      </c>
      <c r="E2699" t="inlineStr">
        <is>
          <t>LJUSDAL</t>
        </is>
      </c>
      <c r="F2699" t="inlineStr">
        <is>
          <t>Sveaskog</t>
        </is>
      </c>
      <c r="G2699" t="n">
        <v>2.4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53450-2024</t>
        </is>
      </c>
      <c r="B2700" s="1" t="n">
        <v>45614</v>
      </c>
      <c r="C2700" s="1" t="n">
        <v>45811</v>
      </c>
      <c r="D2700" t="inlineStr">
        <is>
          <t>GÄVLEBORGS LÄN</t>
        </is>
      </c>
      <c r="E2700" t="inlineStr">
        <is>
          <t>LJUSDAL</t>
        </is>
      </c>
      <c r="F2700" t="inlineStr">
        <is>
          <t>Sveaskog</t>
        </is>
      </c>
      <c r="G2700" t="n">
        <v>0.1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53804-2024</t>
        </is>
      </c>
      <c r="B2701" s="1" t="n">
        <v>45615</v>
      </c>
      <c r="C2701" s="1" t="n">
        <v>45811</v>
      </c>
      <c r="D2701" t="inlineStr">
        <is>
          <t>GÄVLEBORGS LÄN</t>
        </is>
      </c>
      <c r="E2701" t="inlineStr">
        <is>
          <t>LJUSDAL</t>
        </is>
      </c>
      <c r="G2701" t="n">
        <v>34.2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53837-2024</t>
        </is>
      </c>
      <c r="B2702" s="1" t="n">
        <v>45615</v>
      </c>
      <c r="C2702" s="1" t="n">
        <v>45811</v>
      </c>
      <c r="D2702" t="inlineStr">
        <is>
          <t>GÄVLEBORGS LÄN</t>
        </is>
      </c>
      <c r="E2702" t="inlineStr">
        <is>
          <t>LJUSDAL</t>
        </is>
      </c>
      <c r="F2702" t="inlineStr">
        <is>
          <t>Sveaskog</t>
        </is>
      </c>
      <c r="G2702" t="n">
        <v>5.2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53751-2024</t>
        </is>
      </c>
      <c r="B2703" s="1" t="n">
        <v>45615</v>
      </c>
      <c r="C2703" s="1" t="n">
        <v>45811</v>
      </c>
      <c r="D2703" t="inlineStr">
        <is>
          <t>GÄVLEBORGS LÄN</t>
        </is>
      </c>
      <c r="E2703" t="inlineStr">
        <is>
          <t>LJUSDAL</t>
        </is>
      </c>
      <c r="G2703" t="n">
        <v>2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54350-2024</t>
        </is>
      </c>
      <c r="B2704" s="1" t="n">
        <v>45617</v>
      </c>
      <c r="C2704" s="1" t="n">
        <v>45811</v>
      </c>
      <c r="D2704" t="inlineStr">
        <is>
          <t>GÄVLEBORGS LÄN</t>
        </is>
      </c>
      <c r="E2704" t="inlineStr">
        <is>
          <t>LJUSDAL</t>
        </is>
      </c>
      <c r="G2704" t="n">
        <v>1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54820-2024</t>
        </is>
      </c>
      <c r="B2705" s="1" t="n">
        <v>45618</v>
      </c>
      <c r="C2705" s="1" t="n">
        <v>45811</v>
      </c>
      <c r="D2705" t="inlineStr">
        <is>
          <t>GÄVLEBORGS LÄN</t>
        </is>
      </c>
      <c r="E2705" t="inlineStr">
        <is>
          <t>LJUSDAL</t>
        </is>
      </c>
      <c r="G2705" t="n">
        <v>2.8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54897-2024</t>
        </is>
      </c>
      <c r="B2706" s="1" t="n">
        <v>45618</v>
      </c>
      <c r="C2706" s="1" t="n">
        <v>45811</v>
      </c>
      <c r="D2706" t="inlineStr">
        <is>
          <t>GÄVLEBORGS LÄN</t>
        </is>
      </c>
      <c r="E2706" t="inlineStr">
        <is>
          <t>LJUSDAL</t>
        </is>
      </c>
      <c r="G2706" t="n">
        <v>1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54906-2024</t>
        </is>
      </c>
      <c r="B2707" s="1" t="n">
        <v>45618</v>
      </c>
      <c r="C2707" s="1" t="n">
        <v>45811</v>
      </c>
      <c r="D2707" t="inlineStr">
        <is>
          <t>GÄVLEBORGS LÄN</t>
        </is>
      </c>
      <c r="E2707" t="inlineStr">
        <is>
          <t>LJUSDAL</t>
        </is>
      </c>
      <c r="F2707" t="inlineStr">
        <is>
          <t>SCA</t>
        </is>
      </c>
      <c r="G2707" t="n">
        <v>2.2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54918-2024</t>
        </is>
      </c>
      <c r="B2708" s="1" t="n">
        <v>45618</v>
      </c>
      <c r="C2708" s="1" t="n">
        <v>45811</v>
      </c>
      <c r="D2708" t="inlineStr">
        <is>
          <t>GÄVLEBORGS LÄN</t>
        </is>
      </c>
      <c r="E2708" t="inlineStr">
        <is>
          <t>LJUSDAL</t>
        </is>
      </c>
      <c r="F2708" t="inlineStr">
        <is>
          <t>SCA</t>
        </is>
      </c>
      <c r="G2708" t="n">
        <v>4.8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54926-2024</t>
        </is>
      </c>
      <c r="B2709" s="1" t="n">
        <v>45618</v>
      </c>
      <c r="C2709" s="1" t="n">
        <v>45811</v>
      </c>
      <c r="D2709" t="inlineStr">
        <is>
          <t>GÄVLEBORGS LÄN</t>
        </is>
      </c>
      <c r="E2709" t="inlineStr">
        <is>
          <t>LJUSDAL</t>
        </is>
      </c>
      <c r="F2709" t="inlineStr">
        <is>
          <t>SCA</t>
        </is>
      </c>
      <c r="G2709" t="n">
        <v>1.3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55291-2024</t>
        </is>
      </c>
      <c r="B2710" s="1" t="n">
        <v>45621</v>
      </c>
      <c r="C2710" s="1" t="n">
        <v>45811</v>
      </c>
      <c r="D2710" t="inlineStr">
        <is>
          <t>GÄVLEBORGS LÄN</t>
        </is>
      </c>
      <c r="E2710" t="inlineStr">
        <is>
          <t>LJUSDAL</t>
        </is>
      </c>
      <c r="F2710" t="inlineStr">
        <is>
          <t>Sveaskog</t>
        </is>
      </c>
      <c r="G2710" t="n">
        <v>4.5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55320-2024</t>
        </is>
      </c>
      <c r="B2711" s="1" t="n">
        <v>45621</v>
      </c>
      <c r="C2711" s="1" t="n">
        <v>45811</v>
      </c>
      <c r="D2711" t="inlineStr">
        <is>
          <t>GÄVLEBORGS LÄN</t>
        </is>
      </c>
      <c r="E2711" t="inlineStr">
        <is>
          <t>LJUSDAL</t>
        </is>
      </c>
      <c r="G2711" t="n">
        <v>9.6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55324-2024</t>
        </is>
      </c>
      <c r="B2712" s="1" t="n">
        <v>45621</v>
      </c>
      <c r="C2712" s="1" t="n">
        <v>45811</v>
      </c>
      <c r="D2712" t="inlineStr">
        <is>
          <t>GÄVLEBORGS LÄN</t>
        </is>
      </c>
      <c r="E2712" t="inlineStr">
        <is>
          <t>LJUSDAL</t>
        </is>
      </c>
      <c r="G2712" t="n">
        <v>6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55451-2024</t>
        </is>
      </c>
      <c r="B2713" s="1" t="n">
        <v>45622</v>
      </c>
      <c r="C2713" s="1" t="n">
        <v>45811</v>
      </c>
      <c r="D2713" t="inlineStr">
        <is>
          <t>GÄVLEBORGS LÄN</t>
        </is>
      </c>
      <c r="E2713" t="inlineStr">
        <is>
          <t>LJUSDAL</t>
        </is>
      </c>
      <c r="G2713" t="n">
        <v>2.2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55483-2024</t>
        </is>
      </c>
      <c r="B2714" s="1" t="n">
        <v>45622</v>
      </c>
      <c r="C2714" s="1" t="n">
        <v>45811</v>
      </c>
      <c r="D2714" t="inlineStr">
        <is>
          <t>GÄVLEBORGS LÄN</t>
        </is>
      </c>
      <c r="E2714" t="inlineStr">
        <is>
          <t>LJUSDAL</t>
        </is>
      </c>
      <c r="G2714" t="n">
        <v>21.3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55687-2024</t>
        </is>
      </c>
      <c r="B2715" s="1" t="n">
        <v>45622</v>
      </c>
      <c r="C2715" s="1" t="n">
        <v>45811</v>
      </c>
      <c r="D2715" t="inlineStr">
        <is>
          <t>GÄVLEBORGS LÄN</t>
        </is>
      </c>
      <c r="E2715" t="inlineStr">
        <is>
          <t>LJUSDAL</t>
        </is>
      </c>
      <c r="G2715" t="n">
        <v>5.2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55676-2024</t>
        </is>
      </c>
      <c r="B2716" s="1" t="n">
        <v>45622</v>
      </c>
      <c r="C2716" s="1" t="n">
        <v>45811</v>
      </c>
      <c r="D2716" t="inlineStr">
        <is>
          <t>GÄVLEBORGS LÄN</t>
        </is>
      </c>
      <c r="E2716" t="inlineStr">
        <is>
          <t>LJUSDAL</t>
        </is>
      </c>
      <c r="G2716" t="n">
        <v>11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55983-2024</t>
        </is>
      </c>
      <c r="B2717" s="1" t="n">
        <v>45623</v>
      </c>
      <c r="C2717" s="1" t="n">
        <v>45811</v>
      </c>
      <c r="D2717" t="inlineStr">
        <is>
          <t>GÄVLEBORGS LÄN</t>
        </is>
      </c>
      <c r="E2717" t="inlineStr">
        <is>
          <t>LJUSDAL</t>
        </is>
      </c>
      <c r="F2717" t="inlineStr">
        <is>
          <t>Holmen skog AB</t>
        </is>
      </c>
      <c r="G2717" t="n">
        <v>0.9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56018-2024</t>
        </is>
      </c>
      <c r="B2718" s="1" t="n">
        <v>45623</v>
      </c>
      <c r="C2718" s="1" t="n">
        <v>45811</v>
      </c>
      <c r="D2718" t="inlineStr">
        <is>
          <t>GÄVLEBORGS LÄN</t>
        </is>
      </c>
      <c r="E2718" t="inlineStr">
        <is>
          <t>LJUSDAL</t>
        </is>
      </c>
      <c r="G2718" t="n">
        <v>3.9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56008-2024</t>
        </is>
      </c>
      <c r="B2719" s="1" t="n">
        <v>45623</v>
      </c>
      <c r="C2719" s="1" t="n">
        <v>45811</v>
      </c>
      <c r="D2719" t="inlineStr">
        <is>
          <t>GÄVLEBORGS LÄN</t>
        </is>
      </c>
      <c r="E2719" t="inlineStr">
        <is>
          <t>LJUSDAL</t>
        </is>
      </c>
      <c r="G2719" t="n">
        <v>4.1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56075-2024</t>
        </is>
      </c>
      <c r="B2720" s="1" t="n">
        <v>45624</v>
      </c>
      <c r="C2720" s="1" t="n">
        <v>45811</v>
      </c>
      <c r="D2720" t="inlineStr">
        <is>
          <t>GÄVLEBORGS LÄN</t>
        </is>
      </c>
      <c r="E2720" t="inlineStr">
        <is>
          <t>LJUSDAL</t>
        </is>
      </c>
      <c r="F2720" t="inlineStr">
        <is>
          <t>SCA</t>
        </is>
      </c>
      <c r="G2720" t="n">
        <v>9.1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56082-2024</t>
        </is>
      </c>
      <c r="B2721" s="1" t="n">
        <v>45624</v>
      </c>
      <c r="C2721" s="1" t="n">
        <v>45811</v>
      </c>
      <c r="D2721" t="inlineStr">
        <is>
          <t>GÄVLEBORGS LÄN</t>
        </is>
      </c>
      <c r="E2721" t="inlineStr">
        <is>
          <t>LJUSDAL</t>
        </is>
      </c>
      <c r="G2721" t="n">
        <v>3.9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56158-2024</t>
        </is>
      </c>
      <c r="B2722" s="1" t="n">
        <v>45624</v>
      </c>
      <c r="C2722" s="1" t="n">
        <v>45811</v>
      </c>
      <c r="D2722" t="inlineStr">
        <is>
          <t>GÄVLEBORGS LÄN</t>
        </is>
      </c>
      <c r="E2722" t="inlineStr">
        <is>
          <t>LJUSDAL</t>
        </is>
      </c>
      <c r="G2722" t="n">
        <v>7.5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56267-2024</t>
        </is>
      </c>
      <c r="B2723" s="1" t="n">
        <v>45624</v>
      </c>
      <c r="C2723" s="1" t="n">
        <v>45811</v>
      </c>
      <c r="D2723" t="inlineStr">
        <is>
          <t>GÄVLEBORGS LÄN</t>
        </is>
      </c>
      <c r="E2723" t="inlineStr">
        <is>
          <t>LJUSDAL</t>
        </is>
      </c>
      <c r="G2723" t="n">
        <v>1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56264-2024</t>
        </is>
      </c>
      <c r="B2724" s="1" t="n">
        <v>45624</v>
      </c>
      <c r="C2724" s="1" t="n">
        <v>45811</v>
      </c>
      <c r="D2724" t="inlineStr">
        <is>
          <t>GÄVLEBORGS LÄN</t>
        </is>
      </c>
      <c r="E2724" t="inlineStr">
        <is>
          <t>LJUSDAL</t>
        </is>
      </c>
      <c r="G2724" t="n">
        <v>4.1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56272-2024</t>
        </is>
      </c>
      <c r="B2725" s="1" t="n">
        <v>45624</v>
      </c>
      <c r="C2725" s="1" t="n">
        <v>45811</v>
      </c>
      <c r="D2725" t="inlineStr">
        <is>
          <t>GÄVLEBORGS LÄN</t>
        </is>
      </c>
      <c r="E2725" t="inlineStr">
        <is>
          <t>LJUSDAL</t>
        </is>
      </c>
      <c r="G2725" t="n">
        <v>1.4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56035-2024</t>
        </is>
      </c>
      <c r="B2726" s="1" t="n">
        <v>45624</v>
      </c>
      <c r="C2726" s="1" t="n">
        <v>45811</v>
      </c>
      <c r="D2726" t="inlineStr">
        <is>
          <t>GÄVLEBORGS LÄN</t>
        </is>
      </c>
      <c r="E2726" t="inlineStr">
        <is>
          <t>LJUSDAL</t>
        </is>
      </c>
      <c r="G2726" t="n">
        <v>3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56356-2024</t>
        </is>
      </c>
      <c r="B2727" s="1" t="n">
        <v>45624</v>
      </c>
      <c r="C2727" s="1" t="n">
        <v>45811</v>
      </c>
      <c r="D2727" t="inlineStr">
        <is>
          <t>GÄVLEBORGS LÄN</t>
        </is>
      </c>
      <c r="E2727" t="inlineStr">
        <is>
          <t>LJUSDAL</t>
        </is>
      </c>
      <c r="G2727" t="n">
        <v>3.5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56355-2024</t>
        </is>
      </c>
      <c r="B2728" s="1" t="n">
        <v>45624</v>
      </c>
      <c r="C2728" s="1" t="n">
        <v>45811</v>
      </c>
      <c r="D2728" t="inlineStr">
        <is>
          <t>GÄVLEBORGS LÄN</t>
        </is>
      </c>
      <c r="E2728" t="inlineStr">
        <is>
          <t>LJUSDAL</t>
        </is>
      </c>
      <c r="G2728" t="n">
        <v>1.3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56380-2024</t>
        </is>
      </c>
      <c r="B2729" s="1" t="n">
        <v>45625</v>
      </c>
      <c r="C2729" s="1" t="n">
        <v>45811</v>
      </c>
      <c r="D2729" t="inlineStr">
        <is>
          <t>GÄVLEBORGS LÄN</t>
        </is>
      </c>
      <c r="E2729" t="inlineStr">
        <is>
          <t>LJUSDAL</t>
        </is>
      </c>
      <c r="F2729" t="inlineStr">
        <is>
          <t>Holmen skog AB</t>
        </is>
      </c>
      <c r="G2729" t="n">
        <v>1.7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56616-2024</t>
        </is>
      </c>
      <c r="B2730" s="1" t="n">
        <v>45625</v>
      </c>
      <c r="C2730" s="1" t="n">
        <v>45811</v>
      </c>
      <c r="D2730" t="inlineStr">
        <is>
          <t>GÄVLEBORGS LÄN</t>
        </is>
      </c>
      <c r="E2730" t="inlineStr">
        <is>
          <t>LJUSDAL</t>
        </is>
      </c>
      <c r="G2730" t="n">
        <v>2.8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56666-2024</t>
        </is>
      </c>
      <c r="B2731" s="1" t="n">
        <v>45626</v>
      </c>
      <c r="C2731" s="1" t="n">
        <v>45811</v>
      </c>
      <c r="D2731" t="inlineStr">
        <is>
          <t>GÄVLEBORGS LÄN</t>
        </is>
      </c>
      <c r="E2731" t="inlineStr">
        <is>
          <t>LJUSDAL</t>
        </is>
      </c>
      <c r="G2731" t="n">
        <v>4.1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57189-2024</t>
        </is>
      </c>
      <c r="B2732" s="1" t="n">
        <v>45629</v>
      </c>
      <c r="C2732" s="1" t="n">
        <v>45811</v>
      </c>
      <c r="D2732" t="inlineStr">
        <is>
          <t>GÄVLEBORGS LÄN</t>
        </is>
      </c>
      <c r="E2732" t="inlineStr">
        <is>
          <t>LJUSDAL</t>
        </is>
      </c>
      <c r="F2732" t="inlineStr">
        <is>
          <t>Holmen skog AB</t>
        </is>
      </c>
      <c r="G2732" t="n">
        <v>0.3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57072-2024</t>
        </is>
      </c>
      <c r="B2733" s="1" t="n">
        <v>45629</v>
      </c>
      <c r="C2733" s="1" t="n">
        <v>45811</v>
      </c>
      <c r="D2733" t="inlineStr">
        <is>
          <t>GÄVLEBORGS LÄN</t>
        </is>
      </c>
      <c r="E2733" t="inlineStr">
        <is>
          <t>LJUSDAL</t>
        </is>
      </c>
      <c r="F2733" t="inlineStr">
        <is>
          <t>SCA</t>
        </is>
      </c>
      <c r="G2733" t="n">
        <v>5.3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57106-2024</t>
        </is>
      </c>
      <c r="B2734" s="1" t="n">
        <v>45629</v>
      </c>
      <c r="C2734" s="1" t="n">
        <v>45811</v>
      </c>
      <c r="D2734" t="inlineStr">
        <is>
          <t>GÄVLEBORGS LÄN</t>
        </is>
      </c>
      <c r="E2734" t="inlineStr">
        <is>
          <t>LJUSDAL</t>
        </is>
      </c>
      <c r="F2734" t="inlineStr">
        <is>
          <t>SCA</t>
        </is>
      </c>
      <c r="G2734" t="n">
        <v>6.8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57091-2024</t>
        </is>
      </c>
      <c r="B2735" s="1" t="n">
        <v>45629</v>
      </c>
      <c r="C2735" s="1" t="n">
        <v>45811</v>
      </c>
      <c r="D2735" t="inlineStr">
        <is>
          <t>GÄVLEBORGS LÄN</t>
        </is>
      </c>
      <c r="E2735" t="inlineStr">
        <is>
          <t>LJUSDAL</t>
        </is>
      </c>
      <c r="F2735" t="inlineStr">
        <is>
          <t>SCA</t>
        </is>
      </c>
      <c r="G2735" t="n">
        <v>2.6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57113-2024</t>
        </is>
      </c>
      <c r="B2736" s="1" t="n">
        <v>45629</v>
      </c>
      <c r="C2736" s="1" t="n">
        <v>45811</v>
      </c>
      <c r="D2736" t="inlineStr">
        <is>
          <t>GÄVLEBORGS LÄN</t>
        </is>
      </c>
      <c r="E2736" t="inlineStr">
        <is>
          <t>LJUSDAL</t>
        </is>
      </c>
      <c r="G2736" t="n">
        <v>2.2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57315-2024</t>
        </is>
      </c>
      <c r="B2737" s="1" t="n">
        <v>45629</v>
      </c>
      <c r="C2737" s="1" t="n">
        <v>45811</v>
      </c>
      <c r="D2737" t="inlineStr">
        <is>
          <t>GÄVLEBORGS LÄN</t>
        </is>
      </c>
      <c r="E2737" t="inlineStr">
        <is>
          <t>LJUSDAL</t>
        </is>
      </c>
      <c r="G2737" t="n">
        <v>0.9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57164-2024</t>
        </is>
      </c>
      <c r="B2738" s="1" t="n">
        <v>45629</v>
      </c>
      <c r="C2738" s="1" t="n">
        <v>45811</v>
      </c>
      <c r="D2738" t="inlineStr">
        <is>
          <t>GÄVLEBORGS LÄN</t>
        </is>
      </c>
      <c r="E2738" t="inlineStr">
        <is>
          <t>LJUSDAL</t>
        </is>
      </c>
      <c r="F2738" t="inlineStr">
        <is>
          <t>Naturvårdsverket</t>
        </is>
      </c>
      <c r="G2738" t="n">
        <v>18.5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57193-2024</t>
        </is>
      </c>
      <c r="B2739" s="1" t="n">
        <v>45629</v>
      </c>
      <c r="C2739" s="1" t="n">
        <v>45811</v>
      </c>
      <c r="D2739" t="inlineStr">
        <is>
          <t>GÄVLEBORGS LÄN</t>
        </is>
      </c>
      <c r="E2739" t="inlineStr">
        <is>
          <t>LJUSDAL</t>
        </is>
      </c>
      <c r="F2739" t="inlineStr">
        <is>
          <t>Naturvårdsverket</t>
        </is>
      </c>
      <c r="G2739" t="n">
        <v>6.4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57356-2024</t>
        </is>
      </c>
      <c r="B2740" s="1" t="n">
        <v>45629</v>
      </c>
      <c r="C2740" s="1" t="n">
        <v>45811</v>
      </c>
      <c r="D2740" t="inlineStr">
        <is>
          <t>GÄVLEBORGS LÄN</t>
        </is>
      </c>
      <c r="E2740" t="inlineStr">
        <is>
          <t>LJUSDAL</t>
        </is>
      </c>
      <c r="G2740" t="n">
        <v>3.8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57664-2024</t>
        </is>
      </c>
      <c r="B2741" s="1" t="n">
        <v>45630</v>
      </c>
      <c r="C2741" s="1" t="n">
        <v>45811</v>
      </c>
      <c r="D2741" t="inlineStr">
        <is>
          <t>GÄVLEBORGS LÄN</t>
        </is>
      </c>
      <c r="E2741" t="inlineStr">
        <is>
          <t>LJUSDAL</t>
        </is>
      </c>
      <c r="G2741" t="n">
        <v>1.7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57673-2024</t>
        </is>
      </c>
      <c r="B2742" s="1" t="n">
        <v>45630</v>
      </c>
      <c r="C2742" s="1" t="n">
        <v>45811</v>
      </c>
      <c r="D2742" t="inlineStr">
        <is>
          <t>GÄVLEBORGS LÄN</t>
        </is>
      </c>
      <c r="E2742" t="inlineStr">
        <is>
          <t>LJUSDAL</t>
        </is>
      </c>
      <c r="G2742" t="n">
        <v>1.1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57758-2024</t>
        </is>
      </c>
      <c r="B2743" s="1" t="n">
        <v>45630</v>
      </c>
      <c r="C2743" s="1" t="n">
        <v>45811</v>
      </c>
      <c r="D2743" t="inlineStr">
        <is>
          <t>GÄVLEBORGS LÄN</t>
        </is>
      </c>
      <c r="E2743" t="inlineStr">
        <is>
          <t>LJUSDAL</t>
        </is>
      </c>
      <c r="G2743" t="n">
        <v>1.1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57784-2024</t>
        </is>
      </c>
      <c r="B2744" s="1" t="n">
        <v>45631</v>
      </c>
      <c r="C2744" s="1" t="n">
        <v>45811</v>
      </c>
      <c r="D2744" t="inlineStr">
        <is>
          <t>GÄVLEBORGS LÄN</t>
        </is>
      </c>
      <c r="E2744" t="inlineStr">
        <is>
          <t>LJUSDAL</t>
        </is>
      </c>
      <c r="G2744" t="n">
        <v>1.9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57886-2024</t>
        </is>
      </c>
      <c r="B2745" s="1" t="n">
        <v>45631</v>
      </c>
      <c r="C2745" s="1" t="n">
        <v>45811</v>
      </c>
      <c r="D2745" t="inlineStr">
        <is>
          <t>GÄVLEBORGS LÄN</t>
        </is>
      </c>
      <c r="E2745" t="inlineStr">
        <is>
          <t>LJUSDAL</t>
        </is>
      </c>
      <c r="G2745" t="n">
        <v>2.9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58053-2024</t>
        </is>
      </c>
      <c r="B2746" s="1" t="n">
        <v>45631</v>
      </c>
      <c r="C2746" s="1" t="n">
        <v>45811</v>
      </c>
      <c r="D2746" t="inlineStr">
        <is>
          <t>GÄVLEBORGS LÄN</t>
        </is>
      </c>
      <c r="E2746" t="inlineStr">
        <is>
          <t>LJUSDAL</t>
        </is>
      </c>
      <c r="G2746" t="n">
        <v>2.2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58322-2024</t>
        </is>
      </c>
      <c r="B2747" s="1" t="n">
        <v>45632</v>
      </c>
      <c r="C2747" s="1" t="n">
        <v>45811</v>
      </c>
      <c r="D2747" t="inlineStr">
        <is>
          <t>GÄVLEBORGS LÄN</t>
        </is>
      </c>
      <c r="E2747" t="inlineStr">
        <is>
          <t>LJUSDAL</t>
        </is>
      </c>
      <c r="G2747" t="n">
        <v>0.6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58372-2024</t>
        </is>
      </c>
      <c r="B2748" s="1" t="n">
        <v>45632</v>
      </c>
      <c r="C2748" s="1" t="n">
        <v>45811</v>
      </c>
      <c r="D2748" t="inlineStr">
        <is>
          <t>GÄVLEBORGS LÄN</t>
        </is>
      </c>
      <c r="E2748" t="inlineStr">
        <is>
          <t>LJUSDAL</t>
        </is>
      </c>
      <c r="G2748" t="n">
        <v>1.5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58173-2024</t>
        </is>
      </c>
      <c r="B2749" s="1" t="n">
        <v>45632</v>
      </c>
      <c r="C2749" s="1" t="n">
        <v>45811</v>
      </c>
      <c r="D2749" t="inlineStr">
        <is>
          <t>GÄVLEBORGS LÄN</t>
        </is>
      </c>
      <c r="E2749" t="inlineStr">
        <is>
          <t>LJUSDAL</t>
        </is>
      </c>
      <c r="G2749" t="n">
        <v>1.4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58168-2024</t>
        </is>
      </c>
      <c r="B2750" s="1" t="n">
        <v>45632</v>
      </c>
      <c r="C2750" s="1" t="n">
        <v>45811</v>
      </c>
      <c r="D2750" t="inlineStr">
        <is>
          <t>GÄVLEBORGS LÄN</t>
        </is>
      </c>
      <c r="E2750" t="inlineStr">
        <is>
          <t>LJUSDAL</t>
        </is>
      </c>
      <c r="G2750" t="n">
        <v>1.4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58320-2024</t>
        </is>
      </c>
      <c r="B2751" s="1" t="n">
        <v>45632</v>
      </c>
      <c r="C2751" s="1" t="n">
        <v>45811</v>
      </c>
      <c r="D2751" t="inlineStr">
        <is>
          <t>GÄVLEBORGS LÄN</t>
        </is>
      </c>
      <c r="E2751" t="inlineStr">
        <is>
          <t>LJUSDAL</t>
        </is>
      </c>
      <c r="G2751" t="n">
        <v>0.8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58604-2024</t>
        </is>
      </c>
      <c r="B2752" s="1" t="n">
        <v>45632</v>
      </c>
      <c r="C2752" s="1" t="n">
        <v>45811</v>
      </c>
      <c r="D2752" t="inlineStr">
        <is>
          <t>GÄVLEBORGS LÄN</t>
        </is>
      </c>
      <c r="E2752" t="inlineStr">
        <is>
          <t>LJUSDAL</t>
        </is>
      </c>
      <c r="G2752" t="n">
        <v>5.6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58599-2024</t>
        </is>
      </c>
      <c r="B2753" s="1" t="n">
        <v>45635</v>
      </c>
      <c r="C2753" s="1" t="n">
        <v>45811</v>
      </c>
      <c r="D2753" t="inlineStr">
        <is>
          <t>GÄVLEBORGS LÄN</t>
        </is>
      </c>
      <c r="E2753" t="inlineStr">
        <is>
          <t>LJUSDAL</t>
        </is>
      </c>
      <c r="F2753" t="inlineStr">
        <is>
          <t>Allmännings- och besparingsskogar</t>
        </is>
      </c>
      <c r="G2753" t="n">
        <v>3.2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58718-2024</t>
        </is>
      </c>
      <c r="B2754" s="1" t="n">
        <v>45635</v>
      </c>
      <c r="C2754" s="1" t="n">
        <v>45811</v>
      </c>
      <c r="D2754" t="inlineStr">
        <is>
          <t>GÄVLEBORGS LÄN</t>
        </is>
      </c>
      <c r="E2754" t="inlineStr">
        <is>
          <t>LJUSDAL</t>
        </is>
      </c>
      <c r="G2754" t="n">
        <v>6.4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58598-2024</t>
        </is>
      </c>
      <c r="B2755" s="1" t="n">
        <v>45635</v>
      </c>
      <c r="C2755" s="1" t="n">
        <v>45811</v>
      </c>
      <c r="D2755" t="inlineStr">
        <is>
          <t>GÄVLEBORGS LÄN</t>
        </is>
      </c>
      <c r="E2755" t="inlineStr">
        <is>
          <t>LJUSDAL</t>
        </is>
      </c>
      <c r="F2755" t="inlineStr">
        <is>
          <t>Allmännings- och besparingsskogar</t>
        </is>
      </c>
      <c r="G2755" t="n">
        <v>0.5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58602-2024</t>
        </is>
      </c>
      <c r="B2756" s="1" t="n">
        <v>45635</v>
      </c>
      <c r="C2756" s="1" t="n">
        <v>45811</v>
      </c>
      <c r="D2756" t="inlineStr">
        <is>
          <t>GÄVLEBORGS LÄN</t>
        </is>
      </c>
      <c r="E2756" t="inlineStr">
        <is>
          <t>LJUSDAL</t>
        </is>
      </c>
      <c r="F2756" t="inlineStr">
        <is>
          <t>Allmännings- och besparingsskogar</t>
        </is>
      </c>
      <c r="G2756" t="n">
        <v>1.2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58894-2024</t>
        </is>
      </c>
      <c r="B2757" s="1" t="n">
        <v>45636</v>
      </c>
      <c r="C2757" s="1" t="n">
        <v>45811</v>
      </c>
      <c r="D2757" t="inlineStr">
        <is>
          <t>GÄVLEBORGS LÄN</t>
        </is>
      </c>
      <c r="E2757" t="inlineStr">
        <is>
          <t>LJUSDAL</t>
        </is>
      </c>
      <c r="G2757" t="n">
        <v>4.4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58802-2024</t>
        </is>
      </c>
      <c r="B2758" s="1" t="n">
        <v>45636</v>
      </c>
      <c r="C2758" s="1" t="n">
        <v>45811</v>
      </c>
      <c r="D2758" t="inlineStr">
        <is>
          <t>GÄVLEBORGS LÄN</t>
        </is>
      </c>
      <c r="E2758" t="inlineStr">
        <is>
          <t>LJUSDAL</t>
        </is>
      </c>
      <c r="G2758" t="n">
        <v>2.4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58900-2024</t>
        </is>
      </c>
      <c r="B2759" s="1" t="n">
        <v>45636</v>
      </c>
      <c r="C2759" s="1" t="n">
        <v>45811</v>
      </c>
      <c r="D2759" t="inlineStr">
        <is>
          <t>GÄVLEBORGS LÄN</t>
        </is>
      </c>
      <c r="E2759" t="inlineStr">
        <is>
          <t>LJUSDAL</t>
        </is>
      </c>
      <c r="G2759" t="n">
        <v>9.9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59251-2024</t>
        </is>
      </c>
      <c r="B2760" s="1" t="n">
        <v>45637</v>
      </c>
      <c r="C2760" s="1" t="n">
        <v>45811</v>
      </c>
      <c r="D2760" t="inlineStr">
        <is>
          <t>GÄVLEBORGS LÄN</t>
        </is>
      </c>
      <c r="E2760" t="inlineStr">
        <is>
          <t>LJUSDAL</t>
        </is>
      </c>
      <c r="G2760" t="n">
        <v>0.4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59252-2024</t>
        </is>
      </c>
      <c r="B2761" s="1" t="n">
        <v>45637</v>
      </c>
      <c r="C2761" s="1" t="n">
        <v>45811</v>
      </c>
      <c r="D2761" t="inlineStr">
        <is>
          <t>GÄVLEBORGS LÄN</t>
        </is>
      </c>
      <c r="E2761" t="inlineStr">
        <is>
          <t>LJUSDAL</t>
        </is>
      </c>
      <c r="G2761" t="n">
        <v>0.2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60197-2024</t>
        </is>
      </c>
      <c r="B2762" s="1" t="n">
        <v>45642</v>
      </c>
      <c r="C2762" s="1" t="n">
        <v>45811</v>
      </c>
      <c r="D2762" t="inlineStr">
        <is>
          <t>GÄVLEBORGS LÄN</t>
        </is>
      </c>
      <c r="E2762" t="inlineStr">
        <is>
          <t>LJUSDAL</t>
        </is>
      </c>
      <c r="G2762" t="n">
        <v>4.9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60289-2024</t>
        </is>
      </c>
      <c r="B2763" s="1" t="n">
        <v>45643</v>
      </c>
      <c r="C2763" s="1" t="n">
        <v>45811</v>
      </c>
      <c r="D2763" t="inlineStr">
        <is>
          <t>GÄVLEBORGS LÄN</t>
        </is>
      </c>
      <c r="E2763" t="inlineStr">
        <is>
          <t>LJUSDAL</t>
        </is>
      </c>
      <c r="G2763" t="n">
        <v>2.8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60282-2024</t>
        </is>
      </c>
      <c r="B2764" s="1" t="n">
        <v>45642</v>
      </c>
      <c r="C2764" s="1" t="n">
        <v>45811</v>
      </c>
      <c r="D2764" t="inlineStr">
        <is>
          <t>GÄVLEBORGS LÄN</t>
        </is>
      </c>
      <c r="E2764" t="inlineStr">
        <is>
          <t>LJUSDAL</t>
        </is>
      </c>
      <c r="G2764" t="n">
        <v>0.6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60288-2024</t>
        </is>
      </c>
      <c r="B2765" s="1" t="n">
        <v>45643</v>
      </c>
      <c r="C2765" s="1" t="n">
        <v>45811</v>
      </c>
      <c r="D2765" t="inlineStr">
        <is>
          <t>GÄVLEBORGS LÄN</t>
        </is>
      </c>
      <c r="E2765" t="inlineStr">
        <is>
          <t>LJUSDAL</t>
        </is>
      </c>
      <c r="G2765" t="n">
        <v>3.8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60257-2024</t>
        </is>
      </c>
      <c r="B2766" s="1" t="n">
        <v>45642</v>
      </c>
      <c r="C2766" s="1" t="n">
        <v>45811</v>
      </c>
      <c r="D2766" t="inlineStr">
        <is>
          <t>GÄVLEBORGS LÄN</t>
        </is>
      </c>
      <c r="E2766" t="inlineStr">
        <is>
          <t>LJUSDAL</t>
        </is>
      </c>
      <c r="G2766" t="n">
        <v>4.5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60464-2024</t>
        </is>
      </c>
      <c r="B2767" s="1" t="n">
        <v>45643</v>
      </c>
      <c r="C2767" s="1" t="n">
        <v>45811</v>
      </c>
      <c r="D2767" t="inlineStr">
        <is>
          <t>GÄVLEBORGS LÄN</t>
        </is>
      </c>
      <c r="E2767" t="inlineStr">
        <is>
          <t>LJUSDAL</t>
        </is>
      </c>
      <c r="G2767" t="n">
        <v>4.8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60565-2024</t>
        </is>
      </c>
      <c r="B2768" s="1" t="n">
        <v>45644</v>
      </c>
      <c r="C2768" s="1" t="n">
        <v>45811</v>
      </c>
      <c r="D2768" t="inlineStr">
        <is>
          <t>GÄVLEBORGS LÄN</t>
        </is>
      </c>
      <c r="E2768" t="inlineStr">
        <is>
          <t>LJUSDAL</t>
        </is>
      </c>
      <c r="G2768" t="n">
        <v>23.8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60833-2024</t>
        </is>
      </c>
      <c r="B2769" s="1" t="n">
        <v>45644</v>
      </c>
      <c r="C2769" s="1" t="n">
        <v>45811</v>
      </c>
      <c r="D2769" t="inlineStr">
        <is>
          <t>GÄVLEBORGS LÄN</t>
        </is>
      </c>
      <c r="E2769" t="inlineStr">
        <is>
          <t>LJUSDAL</t>
        </is>
      </c>
      <c r="G2769" t="n">
        <v>11.7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60793-2024</t>
        </is>
      </c>
      <c r="B2770" s="1" t="n">
        <v>45644</v>
      </c>
      <c r="C2770" s="1" t="n">
        <v>45811</v>
      </c>
      <c r="D2770" t="inlineStr">
        <is>
          <t>GÄVLEBORGS LÄN</t>
        </is>
      </c>
      <c r="E2770" t="inlineStr">
        <is>
          <t>LJUSDAL</t>
        </is>
      </c>
      <c r="G2770" t="n">
        <v>19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60896-2024</t>
        </is>
      </c>
      <c r="B2771" s="1" t="n">
        <v>45645</v>
      </c>
      <c r="C2771" s="1" t="n">
        <v>45811</v>
      </c>
      <c r="D2771" t="inlineStr">
        <is>
          <t>GÄVLEBORGS LÄN</t>
        </is>
      </c>
      <c r="E2771" t="inlineStr">
        <is>
          <t>LJUSDAL</t>
        </is>
      </c>
      <c r="G2771" t="n">
        <v>2.6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60914-2024</t>
        </is>
      </c>
      <c r="B2772" s="1" t="n">
        <v>45645</v>
      </c>
      <c r="C2772" s="1" t="n">
        <v>45811</v>
      </c>
      <c r="D2772" t="inlineStr">
        <is>
          <t>GÄVLEBORGS LÄN</t>
        </is>
      </c>
      <c r="E2772" t="inlineStr">
        <is>
          <t>LJUSDAL</t>
        </is>
      </c>
      <c r="G2772" t="n">
        <v>6.9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61091-2024</t>
        </is>
      </c>
      <c r="B2773" s="1" t="n">
        <v>45645</v>
      </c>
      <c r="C2773" s="1" t="n">
        <v>45811</v>
      </c>
      <c r="D2773" t="inlineStr">
        <is>
          <t>GÄVLEBORGS LÄN</t>
        </is>
      </c>
      <c r="E2773" t="inlineStr">
        <is>
          <t>LJUSDAL</t>
        </is>
      </c>
      <c r="G2773" t="n">
        <v>1.5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61189-2024</t>
        </is>
      </c>
      <c r="B2774" s="1" t="n">
        <v>45645</v>
      </c>
      <c r="C2774" s="1" t="n">
        <v>45811</v>
      </c>
      <c r="D2774" t="inlineStr">
        <is>
          <t>GÄVLEBORGS LÄN</t>
        </is>
      </c>
      <c r="E2774" t="inlineStr">
        <is>
          <t>LJUSDAL</t>
        </is>
      </c>
      <c r="G2774" t="n">
        <v>2.2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61416-2024</t>
        </is>
      </c>
      <c r="B2775" s="1" t="n">
        <v>45646</v>
      </c>
      <c r="C2775" s="1" t="n">
        <v>45811</v>
      </c>
      <c r="D2775" t="inlineStr">
        <is>
          <t>GÄVLEBORGS LÄN</t>
        </is>
      </c>
      <c r="E2775" t="inlineStr">
        <is>
          <t>LJUSDAL</t>
        </is>
      </c>
      <c r="F2775" t="inlineStr">
        <is>
          <t>Sveaskog</t>
        </is>
      </c>
      <c r="G2775" t="n">
        <v>0.7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61420-2024</t>
        </is>
      </c>
      <c r="B2776" s="1" t="n">
        <v>45646</v>
      </c>
      <c r="C2776" s="1" t="n">
        <v>45811</v>
      </c>
      <c r="D2776" t="inlineStr">
        <is>
          <t>GÄVLEBORGS LÄN</t>
        </is>
      </c>
      <c r="E2776" t="inlineStr">
        <is>
          <t>LJUSDAL</t>
        </is>
      </c>
      <c r="F2776" t="inlineStr">
        <is>
          <t>Sveaskog</t>
        </is>
      </c>
      <c r="G2776" t="n">
        <v>3.1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61474-2024</t>
        </is>
      </c>
      <c r="B2777" s="1" t="n">
        <v>45646</v>
      </c>
      <c r="C2777" s="1" t="n">
        <v>45811</v>
      </c>
      <c r="D2777" t="inlineStr">
        <is>
          <t>GÄVLEBORGS LÄN</t>
        </is>
      </c>
      <c r="E2777" t="inlineStr">
        <is>
          <t>LJUSDAL</t>
        </is>
      </c>
      <c r="G2777" t="n">
        <v>1.4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62162-2024</t>
        </is>
      </c>
      <c r="B2778" s="1" t="n">
        <v>45656</v>
      </c>
      <c r="C2778" s="1" t="n">
        <v>45811</v>
      </c>
      <c r="D2778" t="inlineStr">
        <is>
          <t>GÄVLEBORGS LÄN</t>
        </is>
      </c>
      <c r="E2778" t="inlineStr">
        <is>
          <t>LJUSDAL</t>
        </is>
      </c>
      <c r="G2778" t="n">
        <v>1.7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77-2025</t>
        </is>
      </c>
      <c r="B2779" s="1" t="n">
        <v>45659</v>
      </c>
      <c r="C2779" s="1" t="n">
        <v>45811</v>
      </c>
      <c r="D2779" t="inlineStr">
        <is>
          <t>GÄVLEBORGS LÄN</t>
        </is>
      </c>
      <c r="E2779" t="inlineStr">
        <is>
          <t>LJUSDAL</t>
        </is>
      </c>
      <c r="F2779" t="inlineStr">
        <is>
          <t>Allmännings- och besparingsskogar</t>
        </is>
      </c>
      <c r="G2779" t="n">
        <v>15.6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167-2025</t>
        </is>
      </c>
      <c r="B2780" s="1" t="n">
        <v>45659</v>
      </c>
      <c r="C2780" s="1" t="n">
        <v>45811</v>
      </c>
      <c r="D2780" t="inlineStr">
        <is>
          <t>GÄVLEBORGS LÄN</t>
        </is>
      </c>
      <c r="E2780" t="inlineStr">
        <is>
          <t>LJUSDAL</t>
        </is>
      </c>
      <c r="G2780" t="n">
        <v>3.4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173-2025</t>
        </is>
      </c>
      <c r="B2781" s="1" t="n">
        <v>45659</v>
      </c>
      <c r="C2781" s="1" t="n">
        <v>45811</v>
      </c>
      <c r="D2781" t="inlineStr">
        <is>
          <t>GÄVLEBORGS LÄN</t>
        </is>
      </c>
      <c r="E2781" t="inlineStr">
        <is>
          <t>LJUSDAL</t>
        </is>
      </c>
      <c r="G2781" t="n">
        <v>1.9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209-2025</t>
        </is>
      </c>
      <c r="B2782" s="1" t="n">
        <v>45660</v>
      </c>
      <c r="C2782" s="1" t="n">
        <v>45811</v>
      </c>
      <c r="D2782" t="inlineStr">
        <is>
          <t>GÄVLEBORGS LÄN</t>
        </is>
      </c>
      <c r="E2782" t="inlineStr">
        <is>
          <t>LJUSDAL</t>
        </is>
      </c>
      <c r="G2782" t="n">
        <v>2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205-2025</t>
        </is>
      </c>
      <c r="B2783" s="1" t="n">
        <v>45660</v>
      </c>
      <c r="C2783" s="1" t="n">
        <v>45811</v>
      </c>
      <c r="D2783" t="inlineStr">
        <is>
          <t>GÄVLEBORGS LÄN</t>
        </is>
      </c>
      <c r="E2783" t="inlineStr">
        <is>
          <t>LJUSDAL</t>
        </is>
      </c>
      <c r="G2783" t="n">
        <v>1.7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268-2025</t>
        </is>
      </c>
      <c r="B2784" s="1" t="n">
        <v>45660</v>
      </c>
      <c r="C2784" s="1" t="n">
        <v>45811</v>
      </c>
      <c r="D2784" t="inlineStr">
        <is>
          <t>GÄVLEBORGS LÄN</t>
        </is>
      </c>
      <c r="E2784" t="inlineStr">
        <is>
          <t>LJUSDAL</t>
        </is>
      </c>
      <c r="G2784" t="n">
        <v>4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206-2025</t>
        </is>
      </c>
      <c r="B2785" s="1" t="n">
        <v>45660</v>
      </c>
      <c r="C2785" s="1" t="n">
        <v>45811</v>
      </c>
      <c r="D2785" t="inlineStr">
        <is>
          <t>GÄVLEBORGS LÄN</t>
        </is>
      </c>
      <c r="E2785" t="inlineStr">
        <is>
          <t>LJUSDAL</t>
        </is>
      </c>
      <c r="G2785" t="n">
        <v>5.8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256-2025</t>
        </is>
      </c>
      <c r="B2786" s="1" t="n">
        <v>45660</v>
      </c>
      <c r="C2786" s="1" t="n">
        <v>45811</v>
      </c>
      <c r="D2786" t="inlineStr">
        <is>
          <t>GÄVLEBORGS LÄN</t>
        </is>
      </c>
      <c r="E2786" t="inlineStr">
        <is>
          <t>LJUSDAL</t>
        </is>
      </c>
      <c r="G2786" t="n">
        <v>1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208-2025</t>
        </is>
      </c>
      <c r="B2787" s="1" t="n">
        <v>45660</v>
      </c>
      <c r="C2787" s="1" t="n">
        <v>45811</v>
      </c>
      <c r="D2787" t="inlineStr">
        <is>
          <t>GÄVLEBORGS LÄN</t>
        </is>
      </c>
      <c r="E2787" t="inlineStr">
        <is>
          <t>LJUSDAL</t>
        </is>
      </c>
      <c r="G2787" t="n">
        <v>2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204-2025</t>
        </is>
      </c>
      <c r="B2788" s="1" t="n">
        <v>45660</v>
      </c>
      <c r="C2788" s="1" t="n">
        <v>45811</v>
      </c>
      <c r="D2788" t="inlineStr">
        <is>
          <t>GÄVLEBORGS LÄN</t>
        </is>
      </c>
      <c r="E2788" t="inlineStr">
        <is>
          <t>LJUSDAL</t>
        </is>
      </c>
      <c r="G2788" t="n">
        <v>2.3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203-2025</t>
        </is>
      </c>
      <c r="B2789" s="1" t="n">
        <v>45660</v>
      </c>
      <c r="C2789" s="1" t="n">
        <v>45811</v>
      </c>
      <c r="D2789" t="inlineStr">
        <is>
          <t>GÄVLEBORGS LÄN</t>
        </is>
      </c>
      <c r="E2789" t="inlineStr">
        <is>
          <t>LJUSDAL</t>
        </is>
      </c>
      <c r="G2789" t="n">
        <v>2.8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574-2025</t>
        </is>
      </c>
      <c r="B2790" s="1" t="n">
        <v>45664</v>
      </c>
      <c r="C2790" s="1" t="n">
        <v>45811</v>
      </c>
      <c r="D2790" t="inlineStr">
        <is>
          <t>GÄVLEBORGS LÄN</t>
        </is>
      </c>
      <c r="E2790" t="inlineStr">
        <is>
          <t>LJUSDAL</t>
        </is>
      </c>
      <c r="F2790" t="inlineStr">
        <is>
          <t>Bergvik skog väst AB</t>
        </is>
      </c>
      <c r="G2790" t="n">
        <v>18.1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593-2025</t>
        </is>
      </c>
      <c r="B2791" s="1" t="n">
        <v>45664</v>
      </c>
      <c r="C2791" s="1" t="n">
        <v>45811</v>
      </c>
      <c r="D2791" t="inlineStr">
        <is>
          <t>GÄVLEBORGS LÄN</t>
        </is>
      </c>
      <c r="E2791" t="inlineStr">
        <is>
          <t>LJUSDAL</t>
        </is>
      </c>
      <c r="G2791" t="n">
        <v>17.9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462-2025</t>
        </is>
      </c>
      <c r="B2792" s="1" t="n">
        <v>45664</v>
      </c>
      <c r="C2792" s="1" t="n">
        <v>45811</v>
      </c>
      <c r="D2792" t="inlineStr">
        <is>
          <t>GÄVLEBORGS LÄN</t>
        </is>
      </c>
      <c r="E2792" t="inlineStr">
        <is>
          <t>LJUSDAL</t>
        </is>
      </c>
      <c r="G2792" t="n">
        <v>4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1332-2025</t>
        </is>
      </c>
      <c r="B2793" s="1" t="n">
        <v>45667</v>
      </c>
      <c r="C2793" s="1" t="n">
        <v>45811</v>
      </c>
      <c r="D2793" t="inlineStr">
        <is>
          <t>GÄVLEBORGS LÄN</t>
        </is>
      </c>
      <c r="E2793" t="inlineStr">
        <is>
          <t>LJUSDAL</t>
        </is>
      </c>
      <c r="F2793" t="inlineStr">
        <is>
          <t>Holmen skog AB</t>
        </is>
      </c>
      <c r="G2793" t="n">
        <v>4.4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1222-2025</t>
        </is>
      </c>
      <c r="B2794" s="1" t="n">
        <v>45667</v>
      </c>
      <c r="C2794" s="1" t="n">
        <v>45811</v>
      </c>
      <c r="D2794" t="inlineStr">
        <is>
          <t>GÄVLEBORGS LÄN</t>
        </is>
      </c>
      <c r="E2794" t="inlineStr">
        <is>
          <t>LJUSDAL</t>
        </is>
      </c>
      <c r="F2794" t="inlineStr">
        <is>
          <t>Bergvik skog väst AB</t>
        </is>
      </c>
      <c r="G2794" t="n">
        <v>3.5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1226-2025</t>
        </is>
      </c>
      <c r="B2795" s="1" t="n">
        <v>45667</v>
      </c>
      <c r="C2795" s="1" t="n">
        <v>45811</v>
      </c>
      <c r="D2795" t="inlineStr">
        <is>
          <t>GÄVLEBORGS LÄN</t>
        </is>
      </c>
      <c r="E2795" t="inlineStr">
        <is>
          <t>LJUSDAL</t>
        </is>
      </c>
      <c r="F2795" t="inlineStr">
        <is>
          <t>Bergvik skog väst AB</t>
        </is>
      </c>
      <c r="G2795" t="n">
        <v>0.7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1570-2025</t>
        </is>
      </c>
      <c r="B2796" s="1" t="n">
        <v>45670</v>
      </c>
      <c r="C2796" s="1" t="n">
        <v>45811</v>
      </c>
      <c r="D2796" t="inlineStr">
        <is>
          <t>GÄVLEBORGS LÄN</t>
        </is>
      </c>
      <c r="E2796" t="inlineStr">
        <is>
          <t>LJUSDAL</t>
        </is>
      </c>
      <c r="G2796" t="n">
        <v>0.7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2066-2025</t>
        </is>
      </c>
      <c r="B2797" s="1" t="n">
        <v>45672</v>
      </c>
      <c r="C2797" s="1" t="n">
        <v>45811</v>
      </c>
      <c r="D2797" t="inlineStr">
        <is>
          <t>GÄVLEBORGS LÄN</t>
        </is>
      </c>
      <c r="E2797" t="inlineStr">
        <is>
          <t>LJUSDAL</t>
        </is>
      </c>
      <c r="G2797" t="n">
        <v>12.8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2056-2025</t>
        </is>
      </c>
      <c r="B2798" s="1" t="n">
        <v>45672</v>
      </c>
      <c r="C2798" s="1" t="n">
        <v>45811</v>
      </c>
      <c r="D2798" t="inlineStr">
        <is>
          <t>GÄVLEBORGS LÄN</t>
        </is>
      </c>
      <c r="E2798" t="inlineStr">
        <is>
          <t>LJUSDAL</t>
        </is>
      </c>
      <c r="G2798" t="n">
        <v>1.2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2057-2025</t>
        </is>
      </c>
      <c r="B2799" s="1" t="n">
        <v>45672</v>
      </c>
      <c r="C2799" s="1" t="n">
        <v>45811</v>
      </c>
      <c r="D2799" t="inlineStr">
        <is>
          <t>GÄVLEBORGS LÄN</t>
        </is>
      </c>
      <c r="E2799" t="inlineStr">
        <is>
          <t>LJUSDAL</t>
        </is>
      </c>
      <c r="G2799" t="n">
        <v>0.7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2584-2025</t>
        </is>
      </c>
      <c r="B2800" s="1" t="n">
        <v>45674</v>
      </c>
      <c r="C2800" s="1" t="n">
        <v>45811</v>
      </c>
      <c r="D2800" t="inlineStr">
        <is>
          <t>GÄVLEBORGS LÄN</t>
        </is>
      </c>
      <c r="E2800" t="inlineStr">
        <is>
          <t>LJUSDAL</t>
        </is>
      </c>
      <c r="F2800" t="inlineStr">
        <is>
          <t>Sveaskog</t>
        </is>
      </c>
      <c r="G2800" t="n">
        <v>4.1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2412-2025</t>
        </is>
      </c>
      <c r="B2801" s="1" t="n">
        <v>45674</v>
      </c>
      <c r="C2801" s="1" t="n">
        <v>45811</v>
      </c>
      <c r="D2801" t="inlineStr">
        <is>
          <t>GÄVLEBORGS LÄN</t>
        </is>
      </c>
      <c r="E2801" t="inlineStr">
        <is>
          <t>LJUSDAL</t>
        </is>
      </c>
      <c r="F2801" t="inlineStr">
        <is>
          <t>Sveaskog</t>
        </is>
      </c>
      <c r="G2801" t="n">
        <v>0.6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3028-2025</t>
        </is>
      </c>
      <c r="B2802" s="1" t="n">
        <v>45678</v>
      </c>
      <c r="C2802" s="1" t="n">
        <v>45811</v>
      </c>
      <c r="D2802" t="inlineStr">
        <is>
          <t>GÄVLEBORGS LÄN</t>
        </is>
      </c>
      <c r="E2802" t="inlineStr">
        <is>
          <t>LJUSDAL</t>
        </is>
      </c>
      <c r="G2802" t="n">
        <v>8.699999999999999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2937-2025</t>
        </is>
      </c>
      <c r="B2803" s="1" t="n">
        <v>45678</v>
      </c>
      <c r="C2803" s="1" t="n">
        <v>45811</v>
      </c>
      <c r="D2803" t="inlineStr">
        <is>
          <t>GÄVLEBORGS LÄN</t>
        </is>
      </c>
      <c r="E2803" t="inlineStr">
        <is>
          <t>LJUSDAL</t>
        </is>
      </c>
      <c r="F2803" t="inlineStr">
        <is>
          <t>Holmen skog AB</t>
        </is>
      </c>
      <c r="G2803" t="n">
        <v>20.2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3001-2025</t>
        </is>
      </c>
      <c r="B2804" s="1" t="n">
        <v>45678</v>
      </c>
      <c r="C2804" s="1" t="n">
        <v>45811</v>
      </c>
      <c r="D2804" t="inlineStr">
        <is>
          <t>GÄVLEBORGS LÄN</t>
        </is>
      </c>
      <c r="E2804" t="inlineStr">
        <is>
          <t>LJUSDAL</t>
        </is>
      </c>
      <c r="G2804" t="n">
        <v>7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3299-2025</t>
        </is>
      </c>
      <c r="B2805" s="1" t="n">
        <v>45679</v>
      </c>
      <c r="C2805" s="1" t="n">
        <v>45811</v>
      </c>
      <c r="D2805" t="inlineStr">
        <is>
          <t>GÄVLEBORGS LÄN</t>
        </is>
      </c>
      <c r="E2805" t="inlineStr">
        <is>
          <t>LJUSDAL</t>
        </is>
      </c>
      <c r="F2805" t="inlineStr">
        <is>
          <t>Holmen skog AB</t>
        </is>
      </c>
      <c r="G2805" t="n">
        <v>12.6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3233-2025</t>
        </is>
      </c>
      <c r="B2806" s="1" t="n">
        <v>45679</v>
      </c>
      <c r="C2806" s="1" t="n">
        <v>45811</v>
      </c>
      <c r="D2806" t="inlineStr">
        <is>
          <t>GÄVLEBORGS LÄN</t>
        </is>
      </c>
      <c r="E2806" t="inlineStr">
        <is>
          <t>LJUSDAL</t>
        </is>
      </c>
      <c r="G2806" t="n">
        <v>1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3666-2025</t>
        </is>
      </c>
      <c r="B2807" s="1" t="n">
        <v>45681</v>
      </c>
      <c r="C2807" s="1" t="n">
        <v>45811</v>
      </c>
      <c r="D2807" t="inlineStr">
        <is>
          <t>GÄVLEBORGS LÄN</t>
        </is>
      </c>
      <c r="E2807" t="inlineStr">
        <is>
          <t>LJUSDAL</t>
        </is>
      </c>
      <c r="F2807" t="inlineStr">
        <is>
          <t>SCA</t>
        </is>
      </c>
      <c r="G2807" t="n">
        <v>8.800000000000001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3597-2025</t>
        </is>
      </c>
      <c r="B2808" s="1" t="n">
        <v>45681</v>
      </c>
      <c r="C2808" s="1" t="n">
        <v>45811</v>
      </c>
      <c r="D2808" t="inlineStr">
        <is>
          <t>GÄVLEBORGS LÄN</t>
        </is>
      </c>
      <c r="E2808" t="inlineStr">
        <is>
          <t>LJUSDAL</t>
        </is>
      </c>
      <c r="F2808" t="inlineStr">
        <is>
          <t>Holmen skog AB</t>
        </is>
      </c>
      <c r="G2808" t="n">
        <v>4.6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3928-2025</t>
        </is>
      </c>
      <c r="B2809" s="1" t="n">
        <v>45684</v>
      </c>
      <c r="C2809" s="1" t="n">
        <v>45811</v>
      </c>
      <c r="D2809" t="inlineStr">
        <is>
          <t>GÄVLEBORGS LÄN</t>
        </is>
      </c>
      <c r="E2809" t="inlineStr">
        <is>
          <t>LJUSDAL</t>
        </is>
      </c>
      <c r="G2809" t="n">
        <v>1.7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4110-2025</t>
        </is>
      </c>
      <c r="B2810" s="1" t="n">
        <v>45684</v>
      </c>
      <c r="C2810" s="1" t="n">
        <v>45811</v>
      </c>
      <c r="D2810" t="inlineStr">
        <is>
          <t>GÄVLEBORGS LÄN</t>
        </is>
      </c>
      <c r="E2810" t="inlineStr">
        <is>
          <t>LJUSDAL</t>
        </is>
      </c>
      <c r="G2810" t="n">
        <v>15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4212-2025</t>
        </is>
      </c>
      <c r="B2811" s="1" t="n">
        <v>45685</v>
      </c>
      <c r="C2811" s="1" t="n">
        <v>45811</v>
      </c>
      <c r="D2811" t="inlineStr">
        <is>
          <t>GÄVLEBORGS LÄN</t>
        </is>
      </c>
      <c r="E2811" t="inlineStr">
        <is>
          <t>LJUSDAL</t>
        </is>
      </c>
      <c r="G2811" t="n">
        <v>1.7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4977-2025</t>
        </is>
      </c>
      <c r="B2812" s="1" t="n">
        <v>45690</v>
      </c>
      <c r="C2812" s="1" t="n">
        <v>45811</v>
      </c>
      <c r="D2812" t="inlineStr">
        <is>
          <t>GÄVLEBORGS LÄN</t>
        </is>
      </c>
      <c r="E2812" t="inlineStr">
        <is>
          <t>LJUSDAL</t>
        </is>
      </c>
      <c r="G2812" t="n">
        <v>1.7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5034-2025</t>
        </is>
      </c>
      <c r="B2813" s="1" t="n">
        <v>45691</v>
      </c>
      <c r="C2813" s="1" t="n">
        <v>45811</v>
      </c>
      <c r="D2813" t="inlineStr">
        <is>
          <t>GÄVLEBORGS LÄN</t>
        </is>
      </c>
      <c r="E2813" t="inlineStr">
        <is>
          <t>LJUSDAL</t>
        </is>
      </c>
      <c r="F2813" t="inlineStr">
        <is>
          <t>SCA</t>
        </is>
      </c>
      <c r="G2813" t="n">
        <v>2.5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5036-2025</t>
        </is>
      </c>
      <c r="B2814" s="1" t="n">
        <v>45691</v>
      </c>
      <c r="C2814" s="1" t="n">
        <v>45811</v>
      </c>
      <c r="D2814" t="inlineStr">
        <is>
          <t>GÄVLEBORGS LÄN</t>
        </is>
      </c>
      <c r="E2814" t="inlineStr">
        <is>
          <t>LJUSDAL</t>
        </is>
      </c>
      <c r="F2814" t="inlineStr">
        <is>
          <t>SCA</t>
        </is>
      </c>
      <c r="G2814" t="n">
        <v>2.5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5415-2025</t>
        </is>
      </c>
      <c r="B2815" s="1" t="n">
        <v>45692</v>
      </c>
      <c r="C2815" s="1" t="n">
        <v>45811</v>
      </c>
      <c r="D2815" t="inlineStr">
        <is>
          <t>GÄVLEBORGS LÄN</t>
        </is>
      </c>
      <c r="E2815" t="inlineStr">
        <is>
          <t>LJUSDAL</t>
        </is>
      </c>
      <c r="F2815" t="inlineStr">
        <is>
          <t>SCA</t>
        </is>
      </c>
      <c r="G2815" t="n">
        <v>3.3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5316-2025</t>
        </is>
      </c>
      <c r="B2816" s="1" t="n">
        <v>45692</v>
      </c>
      <c r="C2816" s="1" t="n">
        <v>45811</v>
      </c>
      <c r="D2816" t="inlineStr">
        <is>
          <t>GÄVLEBORGS LÄN</t>
        </is>
      </c>
      <c r="E2816" t="inlineStr">
        <is>
          <t>LJUSDAL</t>
        </is>
      </c>
      <c r="G2816" t="n">
        <v>0.9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5330-2025</t>
        </is>
      </c>
      <c r="B2817" s="1" t="n">
        <v>45692</v>
      </c>
      <c r="C2817" s="1" t="n">
        <v>45811</v>
      </c>
      <c r="D2817" t="inlineStr">
        <is>
          <t>GÄVLEBORGS LÄN</t>
        </is>
      </c>
      <c r="E2817" t="inlineStr">
        <is>
          <t>LJUSDAL</t>
        </is>
      </c>
      <c r="G2817" t="n">
        <v>2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5701-2025</t>
        </is>
      </c>
      <c r="B2818" s="1" t="n">
        <v>45694</v>
      </c>
      <c r="C2818" s="1" t="n">
        <v>45811</v>
      </c>
      <c r="D2818" t="inlineStr">
        <is>
          <t>GÄVLEBORGS LÄN</t>
        </is>
      </c>
      <c r="E2818" t="inlineStr">
        <is>
          <t>LJUSDAL</t>
        </is>
      </c>
      <c r="F2818" t="inlineStr">
        <is>
          <t>Bergvik skog väst AB</t>
        </is>
      </c>
      <c r="G2818" t="n">
        <v>7.1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5760-2025</t>
        </is>
      </c>
      <c r="B2819" s="1" t="n">
        <v>45694</v>
      </c>
      <c r="C2819" s="1" t="n">
        <v>45811</v>
      </c>
      <c r="D2819" t="inlineStr">
        <is>
          <t>GÄVLEBORGS LÄN</t>
        </is>
      </c>
      <c r="E2819" t="inlineStr">
        <is>
          <t>LJUSDAL</t>
        </is>
      </c>
      <c r="G2819" t="n">
        <v>2.9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6016-2025</t>
        </is>
      </c>
      <c r="B2820" s="1" t="n">
        <v>45695</v>
      </c>
      <c r="C2820" s="1" t="n">
        <v>45811</v>
      </c>
      <c r="D2820" t="inlineStr">
        <is>
          <t>GÄVLEBORGS LÄN</t>
        </is>
      </c>
      <c r="E2820" t="inlineStr">
        <is>
          <t>LJUSDAL</t>
        </is>
      </c>
      <c r="G2820" t="n">
        <v>8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5995-2025</t>
        </is>
      </c>
      <c r="B2821" s="1" t="n">
        <v>45695</v>
      </c>
      <c r="C2821" s="1" t="n">
        <v>45811</v>
      </c>
      <c r="D2821" t="inlineStr">
        <is>
          <t>GÄVLEBORGS LÄN</t>
        </is>
      </c>
      <c r="E2821" t="inlineStr">
        <is>
          <t>LJUSDAL</t>
        </is>
      </c>
      <c r="G2821" t="n">
        <v>1.7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6013-2025</t>
        </is>
      </c>
      <c r="B2822" s="1" t="n">
        <v>45695</v>
      </c>
      <c r="C2822" s="1" t="n">
        <v>45811</v>
      </c>
      <c r="D2822" t="inlineStr">
        <is>
          <t>GÄVLEBORGS LÄN</t>
        </is>
      </c>
      <c r="E2822" t="inlineStr">
        <is>
          <t>LJUSDAL</t>
        </is>
      </c>
      <c r="G2822" t="n">
        <v>1.6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6225-2025</t>
        </is>
      </c>
      <c r="B2823" s="1" t="n">
        <v>45698</v>
      </c>
      <c r="C2823" s="1" t="n">
        <v>45811</v>
      </c>
      <c r="D2823" t="inlineStr">
        <is>
          <t>GÄVLEBORGS LÄN</t>
        </is>
      </c>
      <c r="E2823" t="inlineStr">
        <is>
          <t>LJUSDAL</t>
        </is>
      </c>
      <c r="G2823" t="n">
        <v>2.9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6116-2025</t>
        </is>
      </c>
      <c r="B2824" s="1" t="n">
        <v>45698</v>
      </c>
      <c r="C2824" s="1" t="n">
        <v>45811</v>
      </c>
      <c r="D2824" t="inlineStr">
        <is>
          <t>GÄVLEBORGS LÄN</t>
        </is>
      </c>
      <c r="E2824" t="inlineStr">
        <is>
          <t>LJUSDAL</t>
        </is>
      </c>
      <c r="F2824" t="inlineStr">
        <is>
          <t>Bergvik skog väst AB</t>
        </is>
      </c>
      <c r="G2824" t="n">
        <v>10.9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6498-2025</t>
        </is>
      </c>
      <c r="B2825" s="1" t="n">
        <v>45699</v>
      </c>
      <c r="C2825" s="1" t="n">
        <v>45811</v>
      </c>
      <c r="D2825" t="inlineStr">
        <is>
          <t>GÄVLEBORGS LÄN</t>
        </is>
      </c>
      <c r="E2825" t="inlineStr">
        <is>
          <t>LJUSDAL</t>
        </is>
      </c>
      <c r="F2825" t="inlineStr">
        <is>
          <t>Holmen skog AB</t>
        </is>
      </c>
      <c r="G2825" t="n">
        <v>9.199999999999999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6468-2025</t>
        </is>
      </c>
      <c r="B2826" s="1" t="n">
        <v>45699</v>
      </c>
      <c r="C2826" s="1" t="n">
        <v>45811</v>
      </c>
      <c r="D2826" t="inlineStr">
        <is>
          <t>GÄVLEBORGS LÄN</t>
        </is>
      </c>
      <c r="E2826" t="inlineStr">
        <is>
          <t>LJUSDAL</t>
        </is>
      </c>
      <c r="G2826" t="n">
        <v>10.5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6417-2025</t>
        </is>
      </c>
      <c r="B2827" s="1" t="n">
        <v>45699</v>
      </c>
      <c r="C2827" s="1" t="n">
        <v>45811</v>
      </c>
      <c r="D2827" t="inlineStr">
        <is>
          <t>GÄVLEBORGS LÄN</t>
        </is>
      </c>
      <c r="E2827" t="inlineStr">
        <is>
          <t>LJUSDAL</t>
        </is>
      </c>
      <c r="F2827" t="inlineStr">
        <is>
          <t>Holmen skog AB</t>
        </is>
      </c>
      <c r="G2827" t="n">
        <v>42.3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6339-2025</t>
        </is>
      </c>
      <c r="B2828" s="1" t="n">
        <v>45699</v>
      </c>
      <c r="C2828" s="1" t="n">
        <v>45811</v>
      </c>
      <c r="D2828" t="inlineStr">
        <is>
          <t>GÄVLEBORGS LÄN</t>
        </is>
      </c>
      <c r="E2828" t="inlineStr">
        <is>
          <t>LJUSDAL</t>
        </is>
      </c>
      <c r="G2828" t="n">
        <v>3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6734-2025</t>
        </is>
      </c>
      <c r="B2829" s="1" t="n">
        <v>45700</v>
      </c>
      <c r="C2829" s="1" t="n">
        <v>45811</v>
      </c>
      <c r="D2829" t="inlineStr">
        <is>
          <t>GÄVLEBORGS LÄN</t>
        </is>
      </c>
      <c r="E2829" t="inlineStr">
        <is>
          <t>LJUSDAL</t>
        </is>
      </c>
      <c r="G2829" t="n">
        <v>26.1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6987-2025</t>
        </is>
      </c>
      <c r="B2830" s="1" t="n">
        <v>45701</v>
      </c>
      <c r="C2830" s="1" t="n">
        <v>45811</v>
      </c>
      <c r="D2830" t="inlineStr">
        <is>
          <t>GÄVLEBORGS LÄN</t>
        </is>
      </c>
      <c r="E2830" t="inlineStr">
        <is>
          <t>LJUSDAL</t>
        </is>
      </c>
      <c r="G2830" t="n">
        <v>7.7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6964-2025</t>
        </is>
      </c>
      <c r="B2831" s="1" t="n">
        <v>45701</v>
      </c>
      <c r="C2831" s="1" t="n">
        <v>45811</v>
      </c>
      <c r="D2831" t="inlineStr">
        <is>
          <t>GÄVLEBORGS LÄN</t>
        </is>
      </c>
      <c r="E2831" t="inlineStr">
        <is>
          <t>LJUSDAL</t>
        </is>
      </c>
      <c r="G2831" t="n">
        <v>4.2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7177-2025</t>
        </is>
      </c>
      <c r="B2832" s="1" t="n">
        <v>45702</v>
      </c>
      <c r="C2832" s="1" t="n">
        <v>45811</v>
      </c>
      <c r="D2832" t="inlineStr">
        <is>
          <t>GÄVLEBORGS LÄN</t>
        </is>
      </c>
      <c r="E2832" t="inlineStr">
        <is>
          <t>LJUSDAL</t>
        </is>
      </c>
      <c r="F2832" t="inlineStr">
        <is>
          <t>Kommuner</t>
        </is>
      </c>
      <c r="G2832" t="n">
        <v>4.1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7179-2025</t>
        </is>
      </c>
      <c r="B2833" s="1" t="n">
        <v>45702</v>
      </c>
      <c r="C2833" s="1" t="n">
        <v>45811</v>
      </c>
      <c r="D2833" t="inlineStr">
        <is>
          <t>GÄVLEBORGS LÄN</t>
        </is>
      </c>
      <c r="E2833" t="inlineStr">
        <is>
          <t>LJUSDAL</t>
        </is>
      </c>
      <c r="F2833" t="inlineStr">
        <is>
          <t>Kommuner</t>
        </is>
      </c>
      <c r="G2833" t="n">
        <v>1.4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7600-2025</t>
        </is>
      </c>
      <c r="B2834" s="1" t="n">
        <v>45705</v>
      </c>
      <c r="C2834" s="1" t="n">
        <v>45811</v>
      </c>
      <c r="D2834" t="inlineStr">
        <is>
          <t>GÄVLEBORGS LÄN</t>
        </is>
      </c>
      <c r="E2834" t="inlineStr">
        <is>
          <t>LJUSDAL</t>
        </is>
      </c>
      <c r="G2834" t="n">
        <v>3.9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7483-2025</t>
        </is>
      </c>
      <c r="B2835" s="1" t="n">
        <v>45705</v>
      </c>
      <c r="C2835" s="1" t="n">
        <v>45811</v>
      </c>
      <c r="D2835" t="inlineStr">
        <is>
          <t>GÄVLEBORGS LÄN</t>
        </is>
      </c>
      <c r="E2835" t="inlineStr">
        <is>
          <t>LJUSDAL</t>
        </is>
      </c>
      <c r="G2835" t="n">
        <v>5.2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7495-2025</t>
        </is>
      </c>
      <c r="B2836" s="1" t="n">
        <v>45705</v>
      </c>
      <c r="C2836" s="1" t="n">
        <v>45811</v>
      </c>
      <c r="D2836" t="inlineStr">
        <is>
          <t>GÄVLEBORGS LÄN</t>
        </is>
      </c>
      <c r="E2836" t="inlineStr">
        <is>
          <t>LJUSDAL</t>
        </is>
      </c>
      <c r="G2836" t="n">
        <v>2.5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7461-2025</t>
        </is>
      </c>
      <c r="B2837" s="1" t="n">
        <v>45705</v>
      </c>
      <c r="C2837" s="1" t="n">
        <v>45811</v>
      </c>
      <c r="D2837" t="inlineStr">
        <is>
          <t>GÄVLEBORGS LÄN</t>
        </is>
      </c>
      <c r="E2837" t="inlineStr">
        <is>
          <t>LJUSDAL</t>
        </is>
      </c>
      <c r="G2837" t="n">
        <v>26.4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7775-2025</t>
        </is>
      </c>
      <c r="B2838" s="1" t="n">
        <v>45706</v>
      </c>
      <c r="C2838" s="1" t="n">
        <v>45811</v>
      </c>
      <c r="D2838" t="inlineStr">
        <is>
          <t>GÄVLEBORGS LÄN</t>
        </is>
      </c>
      <c r="E2838" t="inlineStr">
        <is>
          <t>LJUSDAL</t>
        </is>
      </c>
      <c r="F2838" t="inlineStr">
        <is>
          <t>Övriga Aktiebolag</t>
        </is>
      </c>
      <c r="G2838" t="n">
        <v>8.6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7721-2025</t>
        </is>
      </c>
      <c r="B2839" s="1" t="n">
        <v>45706</v>
      </c>
      <c r="C2839" s="1" t="n">
        <v>45811</v>
      </c>
      <c r="D2839" t="inlineStr">
        <is>
          <t>GÄVLEBORGS LÄN</t>
        </is>
      </c>
      <c r="E2839" t="inlineStr">
        <is>
          <t>LJUSDAL</t>
        </is>
      </c>
      <c r="F2839" t="inlineStr">
        <is>
          <t>Övriga Aktiebolag</t>
        </is>
      </c>
      <c r="G2839" t="n">
        <v>8.4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7899-2025</t>
        </is>
      </c>
      <c r="B2840" s="1" t="n">
        <v>45707</v>
      </c>
      <c r="C2840" s="1" t="n">
        <v>45811</v>
      </c>
      <c r="D2840" t="inlineStr">
        <is>
          <t>GÄVLEBORGS LÄN</t>
        </is>
      </c>
      <c r="E2840" t="inlineStr">
        <is>
          <t>LJUSDAL</t>
        </is>
      </c>
      <c r="F2840" t="inlineStr">
        <is>
          <t>Övriga Aktiebolag</t>
        </is>
      </c>
      <c r="G2840" t="n">
        <v>2.6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8434-2025</t>
        </is>
      </c>
      <c r="B2841" s="1" t="n">
        <v>45709</v>
      </c>
      <c r="C2841" s="1" t="n">
        <v>45811</v>
      </c>
      <c r="D2841" t="inlineStr">
        <is>
          <t>GÄVLEBORGS LÄN</t>
        </is>
      </c>
      <c r="E2841" t="inlineStr">
        <is>
          <t>LJUSDAL</t>
        </is>
      </c>
      <c r="F2841" t="inlineStr">
        <is>
          <t>Holmen skog AB</t>
        </is>
      </c>
      <c r="G2841" t="n">
        <v>17.5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8751-2025</t>
        </is>
      </c>
      <c r="B2842" s="1" t="n">
        <v>45712</v>
      </c>
      <c r="C2842" s="1" t="n">
        <v>45811</v>
      </c>
      <c r="D2842" t="inlineStr">
        <is>
          <t>GÄVLEBORGS LÄN</t>
        </is>
      </c>
      <c r="E2842" t="inlineStr">
        <is>
          <t>LJUSDAL</t>
        </is>
      </c>
      <c r="F2842" t="inlineStr">
        <is>
          <t>Holmen skog AB</t>
        </is>
      </c>
      <c r="G2842" t="n">
        <v>3.9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9021-2025</t>
        </is>
      </c>
      <c r="B2843" s="1" t="n">
        <v>45713</v>
      </c>
      <c r="C2843" s="1" t="n">
        <v>45811</v>
      </c>
      <c r="D2843" t="inlineStr">
        <is>
          <t>GÄVLEBORGS LÄN</t>
        </is>
      </c>
      <c r="E2843" t="inlineStr">
        <is>
          <t>LJUSDAL</t>
        </is>
      </c>
      <c r="G2843" t="n">
        <v>16.5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9139-2025</t>
        </is>
      </c>
      <c r="B2844" s="1" t="n">
        <v>45714</v>
      </c>
      <c r="C2844" s="1" t="n">
        <v>45811</v>
      </c>
      <c r="D2844" t="inlineStr">
        <is>
          <t>GÄVLEBORGS LÄN</t>
        </is>
      </c>
      <c r="E2844" t="inlineStr">
        <is>
          <t>LJUSDAL</t>
        </is>
      </c>
      <c r="G2844" t="n">
        <v>5.2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9271-2025</t>
        </is>
      </c>
      <c r="B2845" s="1" t="n">
        <v>45714</v>
      </c>
      <c r="C2845" s="1" t="n">
        <v>45811</v>
      </c>
      <c r="D2845" t="inlineStr">
        <is>
          <t>GÄVLEBORGS LÄN</t>
        </is>
      </c>
      <c r="E2845" t="inlineStr">
        <is>
          <t>LJUSDAL</t>
        </is>
      </c>
      <c r="G2845" t="n">
        <v>7.4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9298-2025</t>
        </is>
      </c>
      <c r="B2846" s="1" t="n">
        <v>45714</v>
      </c>
      <c r="C2846" s="1" t="n">
        <v>45811</v>
      </c>
      <c r="D2846" t="inlineStr">
        <is>
          <t>GÄVLEBORGS LÄN</t>
        </is>
      </c>
      <c r="E2846" t="inlineStr">
        <is>
          <t>LJUSDAL</t>
        </is>
      </c>
      <c r="G2846" t="n">
        <v>1.1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9780-2025</t>
        </is>
      </c>
      <c r="B2847" s="1" t="n">
        <v>45716</v>
      </c>
      <c r="C2847" s="1" t="n">
        <v>45811</v>
      </c>
      <c r="D2847" t="inlineStr">
        <is>
          <t>GÄVLEBORGS LÄN</t>
        </is>
      </c>
      <c r="E2847" t="inlineStr">
        <is>
          <t>LJUSDAL</t>
        </is>
      </c>
      <c r="F2847" t="inlineStr">
        <is>
          <t>Holmen skog AB</t>
        </is>
      </c>
      <c r="G2847" t="n">
        <v>7.2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9836-2025</t>
        </is>
      </c>
      <c r="B2848" s="1" t="n">
        <v>45716</v>
      </c>
      <c r="C2848" s="1" t="n">
        <v>45811</v>
      </c>
      <c r="D2848" t="inlineStr">
        <is>
          <t>GÄVLEBORGS LÄN</t>
        </is>
      </c>
      <c r="E2848" t="inlineStr">
        <is>
          <t>LJUSDAL</t>
        </is>
      </c>
      <c r="G2848" t="n">
        <v>0.7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9812-2025</t>
        </is>
      </c>
      <c r="B2849" s="1" t="n">
        <v>45716</v>
      </c>
      <c r="C2849" s="1" t="n">
        <v>45811</v>
      </c>
      <c r="D2849" t="inlineStr">
        <is>
          <t>GÄVLEBORGS LÄN</t>
        </is>
      </c>
      <c r="E2849" t="inlineStr">
        <is>
          <t>LJUSDAL</t>
        </is>
      </c>
      <c r="F2849" t="inlineStr">
        <is>
          <t>Holmen skog AB</t>
        </is>
      </c>
      <c r="G2849" t="n">
        <v>2.3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10066-2025</t>
        </is>
      </c>
      <c r="B2850" s="1" t="n">
        <v>45719</v>
      </c>
      <c r="C2850" s="1" t="n">
        <v>45811</v>
      </c>
      <c r="D2850" t="inlineStr">
        <is>
          <t>GÄVLEBORGS LÄN</t>
        </is>
      </c>
      <c r="E2850" t="inlineStr">
        <is>
          <t>LJUSDAL</t>
        </is>
      </c>
      <c r="G2850" t="n">
        <v>0.7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10062-2025</t>
        </is>
      </c>
      <c r="B2851" s="1" t="n">
        <v>45719</v>
      </c>
      <c r="C2851" s="1" t="n">
        <v>45811</v>
      </c>
      <c r="D2851" t="inlineStr">
        <is>
          <t>GÄVLEBORGS LÄN</t>
        </is>
      </c>
      <c r="E2851" t="inlineStr">
        <is>
          <t>LJUSDAL</t>
        </is>
      </c>
      <c r="G2851" t="n">
        <v>3.5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10416-2025</t>
        </is>
      </c>
      <c r="B2852" s="1" t="n">
        <v>45720</v>
      </c>
      <c r="C2852" s="1" t="n">
        <v>45811</v>
      </c>
      <c r="D2852" t="inlineStr">
        <is>
          <t>GÄVLEBORGS LÄN</t>
        </is>
      </c>
      <c r="E2852" t="inlineStr">
        <is>
          <t>LJUSDAL</t>
        </is>
      </c>
      <c r="G2852" t="n">
        <v>3.4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10521-2025</t>
        </is>
      </c>
      <c r="B2853" s="1" t="n">
        <v>45721</v>
      </c>
      <c r="C2853" s="1" t="n">
        <v>45811</v>
      </c>
      <c r="D2853" t="inlineStr">
        <is>
          <t>GÄVLEBORGS LÄN</t>
        </is>
      </c>
      <c r="E2853" t="inlineStr">
        <is>
          <t>LJUSDAL</t>
        </is>
      </c>
      <c r="F2853" t="inlineStr">
        <is>
          <t>SCA</t>
        </is>
      </c>
      <c r="G2853" t="n">
        <v>14.5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11199-2025</t>
        </is>
      </c>
      <c r="B2854" s="1" t="n">
        <v>45725</v>
      </c>
      <c r="C2854" s="1" t="n">
        <v>45811</v>
      </c>
      <c r="D2854" t="inlineStr">
        <is>
          <t>GÄVLEBORGS LÄN</t>
        </is>
      </c>
      <c r="E2854" t="inlineStr">
        <is>
          <t>LJUSDAL</t>
        </is>
      </c>
      <c r="G2854" t="n">
        <v>2.6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11222-2025</t>
        </is>
      </c>
      <c r="B2855" s="1" t="n">
        <v>45726</v>
      </c>
      <c r="C2855" s="1" t="n">
        <v>45811</v>
      </c>
      <c r="D2855" t="inlineStr">
        <is>
          <t>GÄVLEBORGS LÄN</t>
        </is>
      </c>
      <c r="E2855" t="inlineStr">
        <is>
          <t>LJUSDAL</t>
        </is>
      </c>
      <c r="F2855" t="inlineStr">
        <is>
          <t>SCA</t>
        </is>
      </c>
      <c r="G2855" t="n">
        <v>6.3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11225-2025</t>
        </is>
      </c>
      <c r="B2856" s="1" t="n">
        <v>45726</v>
      </c>
      <c r="C2856" s="1" t="n">
        <v>45811</v>
      </c>
      <c r="D2856" t="inlineStr">
        <is>
          <t>GÄVLEBORGS LÄN</t>
        </is>
      </c>
      <c r="E2856" t="inlineStr">
        <is>
          <t>LJUSDAL</t>
        </is>
      </c>
      <c r="F2856" t="inlineStr">
        <is>
          <t>SCA</t>
        </is>
      </c>
      <c r="G2856" t="n">
        <v>0.9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11223-2025</t>
        </is>
      </c>
      <c r="B2857" s="1" t="n">
        <v>45726</v>
      </c>
      <c r="C2857" s="1" t="n">
        <v>45811</v>
      </c>
      <c r="D2857" t="inlineStr">
        <is>
          <t>GÄVLEBORGS LÄN</t>
        </is>
      </c>
      <c r="E2857" t="inlineStr">
        <is>
          <t>LJUSDAL</t>
        </is>
      </c>
      <c r="F2857" t="inlineStr">
        <is>
          <t>SCA</t>
        </is>
      </c>
      <c r="G2857" t="n">
        <v>10.8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11618-2025</t>
        </is>
      </c>
      <c r="B2858" s="1" t="n">
        <v>45727</v>
      </c>
      <c r="C2858" s="1" t="n">
        <v>45811</v>
      </c>
      <c r="D2858" t="inlineStr">
        <is>
          <t>GÄVLEBORGS LÄN</t>
        </is>
      </c>
      <c r="E2858" t="inlineStr">
        <is>
          <t>LJUSDAL</t>
        </is>
      </c>
      <c r="G2858" t="n">
        <v>1.6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11920-2025</t>
        </is>
      </c>
      <c r="B2859" s="1" t="n">
        <v>45728</v>
      </c>
      <c r="C2859" s="1" t="n">
        <v>45811</v>
      </c>
      <c r="D2859" t="inlineStr">
        <is>
          <t>GÄVLEBORGS LÄN</t>
        </is>
      </c>
      <c r="E2859" t="inlineStr">
        <is>
          <t>LJUSDAL</t>
        </is>
      </c>
      <c r="G2859" t="n">
        <v>3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12224-2025</t>
        </is>
      </c>
      <c r="B2860" s="1" t="n">
        <v>45729</v>
      </c>
      <c r="C2860" s="1" t="n">
        <v>45811</v>
      </c>
      <c r="D2860" t="inlineStr">
        <is>
          <t>GÄVLEBORGS LÄN</t>
        </is>
      </c>
      <c r="E2860" t="inlineStr">
        <is>
          <t>LJUSDAL</t>
        </is>
      </c>
      <c r="G2860" t="n">
        <v>2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12586-2025</t>
        </is>
      </c>
      <c r="B2861" s="1" t="n">
        <v>45732</v>
      </c>
      <c r="C2861" s="1" t="n">
        <v>45811</v>
      </c>
      <c r="D2861" t="inlineStr">
        <is>
          <t>GÄVLEBORGS LÄN</t>
        </is>
      </c>
      <c r="E2861" t="inlineStr">
        <is>
          <t>LJUSDAL</t>
        </is>
      </c>
      <c r="G2861" t="n">
        <v>3.8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12886-2025</t>
        </is>
      </c>
      <c r="B2862" s="1" t="n">
        <v>45733</v>
      </c>
      <c r="C2862" s="1" t="n">
        <v>45811</v>
      </c>
      <c r="D2862" t="inlineStr">
        <is>
          <t>GÄVLEBORGS LÄN</t>
        </is>
      </c>
      <c r="E2862" t="inlineStr">
        <is>
          <t>LJUSDAL</t>
        </is>
      </c>
      <c r="F2862" t="inlineStr">
        <is>
          <t>SCA</t>
        </is>
      </c>
      <c r="G2862" t="n">
        <v>9.199999999999999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12597-2025</t>
        </is>
      </c>
      <c r="B2863" s="1" t="n">
        <v>45733</v>
      </c>
      <c r="C2863" s="1" t="n">
        <v>45811</v>
      </c>
      <c r="D2863" t="inlineStr">
        <is>
          <t>GÄVLEBORGS LÄN</t>
        </is>
      </c>
      <c r="E2863" t="inlineStr">
        <is>
          <t>LJUSDAL</t>
        </is>
      </c>
      <c r="G2863" t="n">
        <v>13.6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12768-2025</t>
        </is>
      </c>
      <c r="B2864" s="1" t="n">
        <v>45733</v>
      </c>
      <c r="C2864" s="1" t="n">
        <v>45811</v>
      </c>
      <c r="D2864" t="inlineStr">
        <is>
          <t>GÄVLEBORGS LÄN</t>
        </is>
      </c>
      <c r="E2864" t="inlineStr">
        <is>
          <t>LJUSDAL</t>
        </is>
      </c>
      <c r="G2864" t="n">
        <v>5.4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13199-2025</t>
        </is>
      </c>
      <c r="B2865" s="1" t="n">
        <v>45735</v>
      </c>
      <c r="C2865" s="1" t="n">
        <v>45811</v>
      </c>
      <c r="D2865" t="inlineStr">
        <is>
          <t>GÄVLEBORGS LÄN</t>
        </is>
      </c>
      <c r="E2865" t="inlineStr">
        <is>
          <t>LJUSDAL</t>
        </is>
      </c>
      <c r="F2865" t="inlineStr">
        <is>
          <t>SCA</t>
        </is>
      </c>
      <c r="G2865" t="n">
        <v>9.6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13211-2025</t>
        </is>
      </c>
      <c r="B2866" s="1" t="n">
        <v>45735</v>
      </c>
      <c r="C2866" s="1" t="n">
        <v>45811</v>
      </c>
      <c r="D2866" t="inlineStr">
        <is>
          <t>GÄVLEBORGS LÄN</t>
        </is>
      </c>
      <c r="E2866" t="inlineStr">
        <is>
          <t>LJUSDAL</t>
        </is>
      </c>
      <c r="G2866" t="n">
        <v>1.2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13246-2025</t>
        </is>
      </c>
      <c r="B2867" s="1" t="n">
        <v>45735</v>
      </c>
      <c r="C2867" s="1" t="n">
        <v>45811</v>
      </c>
      <c r="D2867" t="inlineStr">
        <is>
          <t>GÄVLEBORGS LÄN</t>
        </is>
      </c>
      <c r="E2867" t="inlineStr">
        <is>
          <t>LJUSDAL</t>
        </is>
      </c>
      <c r="G2867" t="n">
        <v>3.7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13508-2025</t>
        </is>
      </c>
      <c r="B2868" s="1" t="n">
        <v>45736</v>
      </c>
      <c r="C2868" s="1" t="n">
        <v>45811</v>
      </c>
      <c r="D2868" t="inlineStr">
        <is>
          <t>GÄVLEBORGS LÄN</t>
        </is>
      </c>
      <c r="E2868" t="inlineStr">
        <is>
          <t>LJUSDAL</t>
        </is>
      </c>
      <c r="G2868" t="n">
        <v>3.6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13421-2025</t>
        </is>
      </c>
      <c r="B2869" s="1" t="n">
        <v>45736</v>
      </c>
      <c r="C2869" s="1" t="n">
        <v>45811</v>
      </c>
      <c r="D2869" t="inlineStr">
        <is>
          <t>GÄVLEBORGS LÄN</t>
        </is>
      </c>
      <c r="E2869" t="inlineStr">
        <is>
          <t>LJUSDAL</t>
        </is>
      </c>
      <c r="G2869" t="n">
        <v>2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13633-2025</t>
        </is>
      </c>
      <c r="B2870" s="1" t="n">
        <v>45736</v>
      </c>
      <c r="C2870" s="1" t="n">
        <v>45811</v>
      </c>
      <c r="D2870" t="inlineStr">
        <is>
          <t>GÄVLEBORGS LÄN</t>
        </is>
      </c>
      <c r="E2870" t="inlineStr">
        <is>
          <t>LJUSDAL</t>
        </is>
      </c>
      <c r="G2870" t="n">
        <v>0.7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13623-2025</t>
        </is>
      </c>
      <c r="B2871" s="1" t="n">
        <v>45736</v>
      </c>
      <c r="C2871" s="1" t="n">
        <v>45811</v>
      </c>
      <c r="D2871" t="inlineStr">
        <is>
          <t>GÄVLEBORGS LÄN</t>
        </is>
      </c>
      <c r="E2871" t="inlineStr">
        <is>
          <t>LJUSDAL</t>
        </is>
      </c>
      <c r="G2871" t="n">
        <v>2.4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13557-2025</t>
        </is>
      </c>
      <c r="B2872" s="1" t="n">
        <v>45736</v>
      </c>
      <c r="C2872" s="1" t="n">
        <v>45811</v>
      </c>
      <c r="D2872" t="inlineStr">
        <is>
          <t>GÄVLEBORGS LÄN</t>
        </is>
      </c>
      <c r="E2872" t="inlineStr">
        <is>
          <t>LJUSDAL</t>
        </is>
      </c>
      <c r="G2872" t="n">
        <v>2.4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13505-2025</t>
        </is>
      </c>
      <c r="B2873" s="1" t="n">
        <v>45736</v>
      </c>
      <c r="C2873" s="1" t="n">
        <v>45811</v>
      </c>
      <c r="D2873" t="inlineStr">
        <is>
          <t>GÄVLEBORGS LÄN</t>
        </is>
      </c>
      <c r="E2873" t="inlineStr">
        <is>
          <t>LJUSDAL</t>
        </is>
      </c>
      <c r="G2873" t="n">
        <v>3.5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13551-2025</t>
        </is>
      </c>
      <c r="B2874" s="1" t="n">
        <v>45736</v>
      </c>
      <c r="C2874" s="1" t="n">
        <v>45811</v>
      </c>
      <c r="D2874" t="inlineStr">
        <is>
          <t>GÄVLEBORGS LÄN</t>
        </is>
      </c>
      <c r="E2874" t="inlineStr">
        <is>
          <t>LJUSDAL</t>
        </is>
      </c>
      <c r="G2874" t="n">
        <v>2.5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13701-2025</t>
        </is>
      </c>
      <c r="B2875" s="1" t="n">
        <v>45737</v>
      </c>
      <c r="C2875" s="1" t="n">
        <v>45811</v>
      </c>
      <c r="D2875" t="inlineStr">
        <is>
          <t>GÄVLEBORGS LÄN</t>
        </is>
      </c>
      <c r="E2875" t="inlineStr">
        <is>
          <t>LJUSDAL</t>
        </is>
      </c>
      <c r="G2875" t="n">
        <v>0.8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13884-2025</t>
        </is>
      </c>
      <c r="B2876" s="1" t="n">
        <v>45737</v>
      </c>
      <c r="C2876" s="1" t="n">
        <v>45811</v>
      </c>
      <c r="D2876" t="inlineStr">
        <is>
          <t>GÄVLEBORGS LÄN</t>
        </is>
      </c>
      <c r="E2876" t="inlineStr">
        <is>
          <t>LJUSDAL</t>
        </is>
      </c>
      <c r="G2876" t="n">
        <v>1.1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13844-2025</t>
        </is>
      </c>
      <c r="B2877" s="1" t="n">
        <v>45737</v>
      </c>
      <c r="C2877" s="1" t="n">
        <v>45811</v>
      </c>
      <c r="D2877" t="inlineStr">
        <is>
          <t>GÄVLEBORGS LÄN</t>
        </is>
      </c>
      <c r="E2877" t="inlineStr">
        <is>
          <t>LJUSDAL</t>
        </is>
      </c>
      <c r="G2877" t="n">
        <v>3.5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13843-2025</t>
        </is>
      </c>
      <c r="B2878" s="1" t="n">
        <v>45737</v>
      </c>
      <c r="C2878" s="1" t="n">
        <v>45811</v>
      </c>
      <c r="D2878" t="inlineStr">
        <is>
          <t>GÄVLEBORGS LÄN</t>
        </is>
      </c>
      <c r="E2878" t="inlineStr">
        <is>
          <t>LJUSDAL</t>
        </is>
      </c>
      <c r="G2878" t="n">
        <v>1.5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13885-2025</t>
        </is>
      </c>
      <c r="B2879" s="1" t="n">
        <v>45737</v>
      </c>
      <c r="C2879" s="1" t="n">
        <v>45811</v>
      </c>
      <c r="D2879" t="inlineStr">
        <is>
          <t>GÄVLEBORGS LÄN</t>
        </is>
      </c>
      <c r="E2879" t="inlineStr">
        <is>
          <t>LJUSDAL</t>
        </is>
      </c>
      <c r="G2879" t="n">
        <v>1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13894-2025</t>
        </is>
      </c>
      <c r="B2880" s="1" t="n">
        <v>45737</v>
      </c>
      <c r="C2880" s="1" t="n">
        <v>45811</v>
      </c>
      <c r="D2880" t="inlineStr">
        <is>
          <t>GÄVLEBORGS LÄN</t>
        </is>
      </c>
      <c r="E2880" t="inlineStr">
        <is>
          <t>LJUSDAL</t>
        </is>
      </c>
      <c r="G2880" t="n">
        <v>5.2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13882-2025</t>
        </is>
      </c>
      <c r="B2881" s="1" t="n">
        <v>45737</v>
      </c>
      <c r="C2881" s="1" t="n">
        <v>45811</v>
      </c>
      <c r="D2881" t="inlineStr">
        <is>
          <t>GÄVLEBORGS LÄN</t>
        </is>
      </c>
      <c r="E2881" t="inlineStr">
        <is>
          <t>LJUSDAL</t>
        </is>
      </c>
      <c r="G2881" t="n">
        <v>0.8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13849-2025</t>
        </is>
      </c>
      <c r="B2882" s="1" t="n">
        <v>45737</v>
      </c>
      <c r="C2882" s="1" t="n">
        <v>45811</v>
      </c>
      <c r="D2882" t="inlineStr">
        <is>
          <t>GÄVLEBORGS LÄN</t>
        </is>
      </c>
      <c r="E2882" t="inlineStr">
        <is>
          <t>LJUSDAL</t>
        </is>
      </c>
      <c r="G2882" t="n">
        <v>0.5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14002-2025</t>
        </is>
      </c>
      <c r="B2883" s="1" t="n">
        <v>45740</v>
      </c>
      <c r="C2883" s="1" t="n">
        <v>45811</v>
      </c>
      <c r="D2883" t="inlineStr">
        <is>
          <t>GÄVLEBORGS LÄN</t>
        </is>
      </c>
      <c r="E2883" t="inlineStr">
        <is>
          <t>LJUSDAL</t>
        </is>
      </c>
      <c r="G2883" t="n">
        <v>1.7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14654-2025</t>
        </is>
      </c>
      <c r="B2884" s="1" t="n">
        <v>45742</v>
      </c>
      <c r="C2884" s="1" t="n">
        <v>45811</v>
      </c>
      <c r="D2884" t="inlineStr">
        <is>
          <t>GÄVLEBORGS LÄN</t>
        </is>
      </c>
      <c r="E2884" t="inlineStr">
        <is>
          <t>LJUSDAL</t>
        </is>
      </c>
      <c r="G2884" t="n">
        <v>1.1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14595-2025</t>
        </is>
      </c>
      <c r="B2885" s="1" t="n">
        <v>45742</v>
      </c>
      <c r="C2885" s="1" t="n">
        <v>45811</v>
      </c>
      <c r="D2885" t="inlineStr">
        <is>
          <t>GÄVLEBORGS LÄN</t>
        </is>
      </c>
      <c r="E2885" t="inlineStr">
        <is>
          <t>LJUSDAL</t>
        </is>
      </c>
      <c r="G2885" t="n">
        <v>7.1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14825-2025</t>
        </is>
      </c>
      <c r="B2886" s="1" t="n">
        <v>45743</v>
      </c>
      <c r="C2886" s="1" t="n">
        <v>45811</v>
      </c>
      <c r="D2886" t="inlineStr">
        <is>
          <t>GÄVLEBORGS LÄN</t>
        </is>
      </c>
      <c r="E2886" t="inlineStr">
        <is>
          <t>LJUSDAL</t>
        </is>
      </c>
      <c r="G2886" t="n">
        <v>3.5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14872-2025</t>
        </is>
      </c>
      <c r="B2887" s="1" t="n">
        <v>45743</v>
      </c>
      <c r="C2887" s="1" t="n">
        <v>45811</v>
      </c>
      <c r="D2887" t="inlineStr">
        <is>
          <t>GÄVLEBORGS LÄN</t>
        </is>
      </c>
      <c r="E2887" t="inlineStr">
        <is>
          <t>LJUSDAL</t>
        </is>
      </c>
      <c r="F2887" t="inlineStr">
        <is>
          <t>Bergvik skog väst AB</t>
        </is>
      </c>
      <c r="G2887" t="n">
        <v>31.6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14871-2025</t>
        </is>
      </c>
      <c r="B2888" s="1" t="n">
        <v>45743</v>
      </c>
      <c r="C2888" s="1" t="n">
        <v>45811</v>
      </c>
      <c r="D2888" t="inlineStr">
        <is>
          <t>GÄVLEBORGS LÄN</t>
        </is>
      </c>
      <c r="E2888" t="inlineStr">
        <is>
          <t>LJUSDAL</t>
        </is>
      </c>
      <c r="G2888" t="n">
        <v>10.9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15204-2025</t>
        </is>
      </c>
      <c r="B2889" s="1" t="n">
        <v>45744</v>
      </c>
      <c r="C2889" s="1" t="n">
        <v>45811</v>
      </c>
      <c r="D2889" t="inlineStr">
        <is>
          <t>GÄVLEBORGS LÄN</t>
        </is>
      </c>
      <c r="E2889" t="inlineStr">
        <is>
          <t>LJUSDAL</t>
        </is>
      </c>
      <c r="F2889" t="inlineStr">
        <is>
          <t>Bergvik skog väst AB</t>
        </is>
      </c>
      <c r="G2889" t="n">
        <v>22.4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15211-2025</t>
        </is>
      </c>
      <c r="B2890" s="1" t="n">
        <v>45744</v>
      </c>
      <c r="C2890" s="1" t="n">
        <v>45811</v>
      </c>
      <c r="D2890" t="inlineStr">
        <is>
          <t>GÄVLEBORGS LÄN</t>
        </is>
      </c>
      <c r="E2890" t="inlineStr">
        <is>
          <t>LJUSDAL</t>
        </is>
      </c>
      <c r="F2890" t="inlineStr">
        <is>
          <t>Bergvik skog väst AB</t>
        </is>
      </c>
      <c r="G2890" t="n">
        <v>6.4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15199-2025</t>
        </is>
      </c>
      <c r="B2891" s="1" t="n">
        <v>45744</v>
      </c>
      <c r="C2891" s="1" t="n">
        <v>45811</v>
      </c>
      <c r="D2891" t="inlineStr">
        <is>
          <t>GÄVLEBORGS LÄN</t>
        </is>
      </c>
      <c r="E2891" t="inlineStr">
        <is>
          <t>LJUSDAL</t>
        </is>
      </c>
      <c r="F2891" t="inlineStr">
        <is>
          <t>Bergvik skog väst AB</t>
        </is>
      </c>
      <c r="G2891" t="n">
        <v>13.1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15238-2025</t>
        </is>
      </c>
      <c r="B2892" s="1" t="n">
        <v>45744</v>
      </c>
      <c r="C2892" s="1" t="n">
        <v>45811</v>
      </c>
      <c r="D2892" t="inlineStr">
        <is>
          <t>GÄVLEBORGS LÄN</t>
        </is>
      </c>
      <c r="E2892" t="inlineStr">
        <is>
          <t>LJUSDAL</t>
        </is>
      </c>
      <c r="G2892" t="n">
        <v>1.5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15181-2025</t>
        </is>
      </c>
      <c r="B2893" s="1" t="n">
        <v>45744</v>
      </c>
      <c r="C2893" s="1" t="n">
        <v>45811</v>
      </c>
      <c r="D2893" t="inlineStr">
        <is>
          <t>GÄVLEBORGS LÄN</t>
        </is>
      </c>
      <c r="E2893" t="inlineStr">
        <is>
          <t>LJUSDAL</t>
        </is>
      </c>
      <c r="F2893" t="inlineStr">
        <is>
          <t>Holmen skog AB</t>
        </is>
      </c>
      <c r="G2893" t="n">
        <v>1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15091-2025</t>
        </is>
      </c>
      <c r="B2894" s="1" t="n">
        <v>45744</v>
      </c>
      <c r="C2894" s="1" t="n">
        <v>45811</v>
      </c>
      <c r="D2894" t="inlineStr">
        <is>
          <t>GÄVLEBORGS LÄN</t>
        </is>
      </c>
      <c r="E2894" t="inlineStr">
        <is>
          <t>LJUSDAL</t>
        </is>
      </c>
      <c r="G2894" t="n">
        <v>4.7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15197-2025</t>
        </is>
      </c>
      <c r="B2895" s="1" t="n">
        <v>45744</v>
      </c>
      <c r="C2895" s="1" t="n">
        <v>45811</v>
      </c>
      <c r="D2895" t="inlineStr">
        <is>
          <t>GÄVLEBORGS LÄN</t>
        </is>
      </c>
      <c r="E2895" t="inlineStr">
        <is>
          <t>LJUSDAL</t>
        </is>
      </c>
      <c r="F2895" t="inlineStr">
        <is>
          <t>Bergvik skog väst AB</t>
        </is>
      </c>
      <c r="G2895" t="n">
        <v>31.3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15295-2025</t>
        </is>
      </c>
      <c r="B2896" s="1" t="n">
        <v>45745</v>
      </c>
      <c r="C2896" s="1" t="n">
        <v>45811</v>
      </c>
      <c r="D2896" t="inlineStr">
        <is>
          <t>GÄVLEBORGS LÄN</t>
        </is>
      </c>
      <c r="E2896" t="inlineStr">
        <is>
          <t>LJUSDAL</t>
        </is>
      </c>
      <c r="G2896" t="n">
        <v>0.5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15580-2025</t>
        </is>
      </c>
      <c r="B2897" s="1" t="n">
        <v>45747</v>
      </c>
      <c r="C2897" s="1" t="n">
        <v>45811</v>
      </c>
      <c r="D2897" t="inlineStr">
        <is>
          <t>GÄVLEBORGS LÄN</t>
        </is>
      </c>
      <c r="E2897" t="inlineStr">
        <is>
          <t>LJUSDAL</t>
        </is>
      </c>
      <c r="G2897" t="n">
        <v>5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15825-2025</t>
        </is>
      </c>
      <c r="B2898" s="1" t="n">
        <v>45748</v>
      </c>
      <c r="C2898" s="1" t="n">
        <v>45811</v>
      </c>
      <c r="D2898" t="inlineStr">
        <is>
          <t>GÄVLEBORGS LÄN</t>
        </is>
      </c>
      <c r="E2898" t="inlineStr">
        <is>
          <t>LJUSDAL</t>
        </is>
      </c>
      <c r="F2898" t="inlineStr">
        <is>
          <t>SCA</t>
        </is>
      </c>
      <c r="G2898" t="n">
        <v>9.9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  <c r="U2898">
        <f>HYPERLINK("https://klasma.github.io/Logging_212161/knärot/A 15825-2025 karta knärot.png", "A 15825-2025")</f>
        <v/>
      </c>
      <c r="V2898">
        <f>HYPERLINK("https://klasma.github.io/Logging_212161/klagomål/A 15825-2025 FSC-klagomål.docx", "A 15825-2025")</f>
        <v/>
      </c>
      <c r="W2898">
        <f>HYPERLINK("https://klasma.github.io/Logging_212161/klagomålsmail/A 15825-2025 FSC-klagomål mail.docx", "A 15825-2025")</f>
        <v/>
      </c>
      <c r="X2898">
        <f>HYPERLINK("https://klasma.github.io/Logging_212161/tillsyn/A 15825-2025 tillsynsbegäran.docx", "A 15825-2025")</f>
        <v/>
      </c>
      <c r="Y2898">
        <f>HYPERLINK("https://klasma.github.io/Logging_212161/tillsynsmail/A 15825-2025 tillsynsbegäran mail.docx", "A 15825-2025")</f>
        <v/>
      </c>
    </row>
    <row r="2899" ht="15" customHeight="1">
      <c r="A2899" t="inlineStr">
        <is>
          <t>A 15708-2025</t>
        </is>
      </c>
      <c r="B2899" s="1" t="n">
        <v>45748</v>
      </c>
      <c r="C2899" s="1" t="n">
        <v>45811</v>
      </c>
      <c r="D2899" t="inlineStr">
        <is>
          <t>GÄVLEBORGS LÄN</t>
        </is>
      </c>
      <c r="E2899" t="inlineStr">
        <is>
          <t>LJUSDAL</t>
        </is>
      </c>
      <c r="G2899" t="n">
        <v>4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15645-2025</t>
        </is>
      </c>
      <c r="B2900" s="1" t="n">
        <v>45748</v>
      </c>
      <c r="C2900" s="1" t="n">
        <v>45811</v>
      </c>
      <c r="D2900" t="inlineStr">
        <is>
          <t>GÄVLEBORGS LÄN</t>
        </is>
      </c>
      <c r="E2900" t="inlineStr">
        <is>
          <t>LJUSDAL</t>
        </is>
      </c>
      <c r="G2900" t="n">
        <v>0.8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15864-2025</t>
        </is>
      </c>
      <c r="B2901" s="1" t="n">
        <v>45749</v>
      </c>
      <c r="C2901" s="1" t="n">
        <v>45811</v>
      </c>
      <c r="D2901" t="inlineStr">
        <is>
          <t>GÄVLEBORGS LÄN</t>
        </is>
      </c>
      <c r="E2901" t="inlineStr">
        <is>
          <t>LJUSDAL</t>
        </is>
      </c>
      <c r="F2901" t="inlineStr">
        <is>
          <t>SCA</t>
        </is>
      </c>
      <c r="G2901" t="n">
        <v>3.6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16054-2025</t>
        </is>
      </c>
      <c r="B2902" s="1" t="n">
        <v>45749</v>
      </c>
      <c r="C2902" s="1" t="n">
        <v>45811</v>
      </c>
      <c r="D2902" t="inlineStr">
        <is>
          <t>GÄVLEBORGS LÄN</t>
        </is>
      </c>
      <c r="E2902" t="inlineStr">
        <is>
          <t>LJUSDAL</t>
        </is>
      </c>
      <c r="F2902" t="inlineStr">
        <is>
          <t>Bergvik skog väst AB</t>
        </is>
      </c>
      <c r="G2902" t="n">
        <v>3.1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16498-2025</t>
        </is>
      </c>
      <c r="B2903" s="1" t="n">
        <v>45751</v>
      </c>
      <c r="C2903" s="1" t="n">
        <v>45811</v>
      </c>
      <c r="D2903" t="inlineStr">
        <is>
          <t>GÄVLEBORGS LÄN</t>
        </is>
      </c>
      <c r="E2903" t="inlineStr">
        <is>
          <t>LJUSDAL</t>
        </is>
      </c>
      <c r="G2903" t="n">
        <v>9.9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16797-2025</t>
        </is>
      </c>
      <c r="B2904" s="1" t="n">
        <v>45754</v>
      </c>
      <c r="C2904" s="1" t="n">
        <v>45811</v>
      </c>
      <c r="D2904" t="inlineStr">
        <is>
          <t>GÄVLEBORGS LÄN</t>
        </is>
      </c>
      <c r="E2904" t="inlineStr">
        <is>
          <t>LJUSDAL</t>
        </is>
      </c>
      <c r="F2904" t="inlineStr">
        <is>
          <t>Bergvik skog väst AB</t>
        </is>
      </c>
      <c r="G2904" t="n">
        <v>3.6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17067-2025</t>
        </is>
      </c>
      <c r="B2905" s="1" t="n">
        <v>45755</v>
      </c>
      <c r="C2905" s="1" t="n">
        <v>45811</v>
      </c>
      <c r="D2905" t="inlineStr">
        <is>
          <t>GÄVLEBORGS LÄN</t>
        </is>
      </c>
      <c r="E2905" t="inlineStr">
        <is>
          <t>LJUSDAL</t>
        </is>
      </c>
      <c r="F2905" t="inlineStr">
        <is>
          <t>SCA</t>
        </is>
      </c>
      <c r="G2905" t="n">
        <v>1.2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16962-2025</t>
        </is>
      </c>
      <c r="B2906" s="1" t="n">
        <v>45755</v>
      </c>
      <c r="C2906" s="1" t="n">
        <v>45811</v>
      </c>
      <c r="D2906" t="inlineStr">
        <is>
          <t>GÄVLEBORGS LÄN</t>
        </is>
      </c>
      <c r="E2906" t="inlineStr">
        <is>
          <t>LJUSDAL</t>
        </is>
      </c>
      <c r="F2906" t="inlineStr">
        <is>
          <t>Bergvik skog väst AB</t>
        </is>
      </c>
      <c r="G2906" t="n">
        <v>2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17372-2025</t>
        </is>
      </c>
      <c r="B2907" s="1" t="n">
        <v>45756</v>
      </c>
      <c r="C2907" s="1" t="n">
        <v>45811</v>
      </c>
      <c r="D2907" t="inlineStr">
        <is>
          <t>GÄVLEBORGS LÄN</t>
        </is>
      </c>
      <c r="E2907" t="inlineStr">
        <is>
          <t>LJUSDAL</t>
        </is>
      </c>
      <c r="F2907" t="inlineStr">
        <is>
          <t>Bergvik skog väst AB</t>
        </is>
      </c>
      <c r="G2907" t="n">
        <v>3.3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17475-2025</t>
        </is>
      </c>
      <c r="B2908" s="1" t="n">
        <v>45757</v>
      </c>
      <c r="C2908" s="1" t="n">
        <v>45811</v>
      </c>
      <c r="D2908" t="inlineStr">
        <is>
          <t>GÄVLEBORGS LÄN</t>
        </is>
      </c>
      <c r="E2908" t="inlineStr">
        <is>
          <t>LJUSDAL</t>
        </is>
      </c>
      <c r="G2908" t="n">
        <v>8.199999999999999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17461-2025</t>
        </is>
      </c>
      <c r="B2909" s="1" t="n">
        <v>45757</v>
      </c>
      <c r="C2909" s="1" t="n">
        <v>45811</v>
      </c>
      <c r="D2909" t="inlineStr">
        <is>
          <t>GÄVLEBORGS LÄN</t>
        </is>
      </c>
      <c r="E2909" t="inlineStr">
        <is>
          <t>LJUSDAL</t>
        </is>
      </c>
      <c r="F2909" t="inlineStr">
        <is>
          <t>Bergvik skog väst AB</t>
        </is>
      </c>
      <c r="G2909" t="n">
        <v>3.7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17515-2025</t>
        </is>
      </c>
      <c r="B2910" s="1" t="n">
        <v>45757</v>
      </c>
      <c r="C2910" s="1" t="n">
        <v>45811</v>
      </c>
      <c r="D2910" t="inlineStr">
        <is>
          <t>GÄVLEBORGS LÄN</t>
        </is>
      </c>
      <c r="E2910" t="inlineStr">
        <is>
          <t>LJUSDAL</t>
        </is>
      </c>
      <c r="F2910" t="inlineStr">
        <is>
          <t>Bergvik skog väst AB</t>
        </is>
      </c>
      <c r="G2910" t="n">
        <v>1.5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17539-2025</t>
        </is>
      </c>
      <c r="B2911" s="1" t="n">
        <v>45757</v>
      </c>
      <c r="C2911" s="1" t="n">
        <v>45811</v>
      </c>
      <c r="D2911" t="inlineStr">
        <is>
          <t>GÄVLEBORGS LÄN</t>
        </is>
      </c>
      <c r="E2911" t="inlineStr">
        <is>
          <t>LJUSDAL</t>
        </is>
      </c>
      <c r="F2911" t="inlineStr">
        <is>
          <t>Sveaskog</t>
        </is>
      </c>
      <c r="G2911" t="n">
        <v>4.3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17783-2025</t>
        </is>
      </c>
      <c r="B2912" s="1" t="n">
        <v>45758</v>
      </c>
      <c r="C2912" s="1" t="n">
        <v>45811</v>
      </c>
      <c r="D2912" t="inlineStr">
        <is>
          <t>GÄVLEBORGS LÄN</t>
        </is>
      </c>
      <c r="E2912" t="inlineStr">
        <is>
          <t>LJUSDAL</t>
        </is>
      </c>
      <c r="G2912" t="n">
        <v>15.3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18181-2025</t>
        </is>
      </c>
      <c r="B2913" s="1" t="n">
        <v>45761</v>
      </c>
      <c r="C2913" s="1" t="n">
        <v>45811</v>
      </c>
      <c r="D2913" t="inlineStr">
        <is>
          <t>GÄVLEBORGS LÄN</t>
        </is>
      </c>
      <c r="E2913" t="inlineStr">
        <is>
          <t>LJUSDAL</t>
        </is>
      </c>
      <c r="G2913" t="n">
        <v>4.2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18014-2025</t>
        </is>
      </c>
      <c r="B2914" s="1" t="n">
        <v>45761</v>
      </c>
      <c r="C2914" s="1" t="n">
        <v>45811</v>
      </c>
      <c r="D2914" t="inlineStr">
        <is>
          <t>GÄVLEBORGS LÄN</t>
        </is>
      </c>
      <c r="E2914" t="inlineStr">
        <is>
          <t>LJUSDAL</t>
        </is>
      </c>
      <c r="F2914" t="inlineStr">
        <is>
          <t>Bergvik skog väst AB</t>
        </is>
      </c>
      <c r="G2914" t="n">
        <v>21.9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18025-2025</t>
        </is>
      </c>
      <c r="B2915" s="1" t="n">
        <v>45761</v>
      </c>
      <c r="C2915" s="1" t="n">
        <v>45811</v>
      </c>
      <c r="D2915" t="inlineStr">
        <is>
          <t>GÄVLEBORGS LÄN</t>
        </is>
      </c>
      <c r="E2915" t="inlineStr">
        <is>
          <t>LJUSDAL</t>
        </is>
      </c>
      <c r="G2915" t="n">
        <v>1.3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18102-2025</t>
        </is>
      </c>
      <c r="B2916" s="1" t="n">
        <v>45761</v>
      </c>
      <c r="C2916" s="1" t="n">
        <v>45811</v>
      </c>
      <c r="D2916" t="inlineStr">
        <is>
          <t>GÄVLEBORGS LÄN</t>
        </is>
      </c>
      <c r="E2916" t="inlineStr">
        <is>
          <t>LJUSDAL</t>
        </is>
      </c>
      <c r="G2916" t="n">
        <v>8.1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18123-2025</t>
        </is>
      </c>
      <c r="B2917" s="1" t="n">
        <v>45761</v>
      </c>
      <c r="C2917" s="1" t="n">
        <v>45811</v>
      </c>
      <c r="D2917" t="inlineStr">
        <is>
          <t>GÄVLEBORGS LÄN</t>
        </is>
      </c>
      <c r="E2917" t="inlineStr">
        <is>
          <t>LJUSDAL</t>
        </is>
      </c>
      <c r="G2917" t="n">
        <v>3.2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18011-2025</t>
        </is>
      </c>
      <c r="B2918" s="1" t="n">
        <v>45761</v>
      </c>
      <c r="C2918" s="1" t="n">
        <v>45811</v>
      </c>
      <c r="D2918" t="inlineStr">
        <is>
          <t>GÄVLEBORGS LÄN</t>
        </is>
      </c>
      <c r="E2918" t="inlineStr">
        <is>
          <t>LJUSDAL</t>
        </is>
      </c>
      <c r="F2918" t="inlineStr">
        <is>
          <t>Bergvik skog väst AB</t>
        </is>
      </c>
      <c r="G2918" t="n">
        <v>5.6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18008-2025</t>
        </is>
      </c>
      <c r="B2919" s="1" t="n">
        <v>45761</v>
      </c>
      <c r="C2919" s="1" t="n">
        <v>45811</v>
      </c>
      <c r="D2919" t="inlineStr">
        <is>
          <t>GÄVLEBORGS LÄN</t>
        </is>
      </c>
      <c r="E2919" t="inlineStr">
        <is>
          <t>LJUSDAL</t>
        </is>
      </c>
      <c r="G2919" t="n">
        <v>4.5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18250-2025</t>
        </is>
      </c>
      <c r="B2920" s="1" t="n">
        <v>45762</v>
      </c>
      <c r="C2920" s="1" t="n">
        <v>45811</v>
      </c>
      <c r="D2920" t="inlineStr">
        <is>
          <t>GÄVLEBORGS LÄN</t>
        </is>
      </c>
      <c r="E2920" t="inlineStr">
        <is>
          <t>LJUSDAL</t>
        </is>
      </c>
      <c r="G2920" t="n">
        <v>1.9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18453-2025</t>
        </is>
      </c>
      <c r="B2921" s="1" t="n">
        <v>45762</v>
      </c>
      <c r="C2921" s="1" t="n">
        <v>45811</v>
      </c>
      <c r="D2921" t="inlineStr">
        <is>
          <t>GÄVLEBORGS LÄN</t>
        </is>
      </c>
      <c r="E2921" t="inlineStr">
        <is>
          <t>LJUSDAL</t>
        </is>
      </c>
      <c r="F2921" t="inlineStr">
        <is>
          <t>Kommuner</t>
        </is>
      </c>
      <c r="G2921" t="n">
        <v>5.5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18757-2025</t>
        </is>
      </c>
      <c r="B2922" s="1" t="n">
        <v>45763</v>
      </c>
      <c r="C2922" s="1" t="n">
        <v>45811</v>
      </c>
      <c r="D2922" t="inlineStr">
        <is>
          <t>GÄVLEBORGS LÄN</t>
        </is>
      </c>
      <c r="E2922" t="inlineStr">
        <is>
          <t>LJUSDAL</t>
        </is>
      </c>
      <c r="F2922" t="inlineStr">
        <is>
          <t>Holmen skog AB</t>
        </is>
      </c>
      <c r="G2922" t="n">
        <v>4.3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19000-2025</t>
        </is>
      </c>
      <c r="B2923" s="1" t="n">
        <v>45764</v>
      </c>
      <c r="C2923" s="1" t="n">
        <v>45811</v>
      </c>
      <c r="D2923" t="inlineStr">
        <is>
          <t>GÄVLEBORGS LÄN</t>
        </is>
      </c>
      <c r="E2923" t="inlineStr">
        <is>
          <t>LJUSDAL</t>
        </is>
      </c>
      <c r="G2923" t="n">
        <v>4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18854-2025</t>
        </is>
      </c>
      <c r="B2924" s="1" t="n">
        <v>45764</v>
      </c>
      <c r="C2924" s="1" t="n">
        <v>45811</v>
      </c>
      <c r="D2924" t="inlineStr">
        <is>
          <t>GÄVLEBORGS LÄN</t>
        </is>
      </c>
      <c r="E2924" t="inlineStr">
        <is>
          <t>LJUSDAL</t>
        </is>
      </c>
      <c r="F2924" t="inlineStr">
        <is>
          <t>Sveaskog</t>
        </is>
      </c>
      <c r="G2924" t="n">
        <v>6.5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18800-2025</t>
        </is>
      </c>
      <c r="B2925" s="1" t="n">
        <v>45764</v>
      </c>
      <c r="C2925" s="1" t="n">
        <v>45811</v>
      </c>
      <c r="D2925" t="inlineStr">
        <is>
          <t>GÄVLEBORGS LÄN</t>
        </is>
      </c>
      <c r="E2925" t="inlineStr">
        <is>
          <t>LJUSDAL</t>
        </is>
      </c>
      <c r="F2925" t="inlineStr">
        <is>
          <t>Sveaskog</t>
        </is>
      </c>
      <c r="G2925" t="n">
        <v>2.5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18808-2025</t>
        </is>
      </c>
      <c r="B2926" s="1" t="n">
        <v>45764</v>
      </c>
      <c r="C2926" s="1" t="n">
        <v>45811</v>
      </c>
      <c r="D2926" t="inlineStr">
        <is>
          <t>GÄVLEBORGS LÄN</t>
        </is>
      </c>
      <c r="E2926" t="inlineStr">
        <is>
          <t>LJUSDAL</t>
        </is>
      </c>
      <c r="G2926" t="n">
        <v>1.7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18911-2025</t>
        </is>
      </c>
      <c r="B2927" s="1" t="n">
        <v>45764</v>
      </c>
      <c r="C2927" s="1" t="n">
        <v>45811</v>
      </c>
      <c r="D2927" t="inlineStr">
        <is>
          <t>GÄVLEBORGS LÄN</t>
        </is>
      </c>
      <c r="E2927" t="inlineStr">
        <is>
          <t>LJUSDAL</t>
        </is>
      </c>
      <c r="G2927" t="n">
        <v>2.8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18971-2025</t>
        </is>
      </c>
      <c r="B2928" s="1" t="n">
        <v>45764</v>
      </c>
      <c r="C2928" s="1" t="n">
        <v>45811</v>
      </c>
      <c r="D2928" t="inlineStr">
        <is>
          <t>GÄVLEBORGS LÄN</t>
        </is>
      </c>
      <c r="E2928" t="inlineStr">
        <is>
          <t>LJUSDAL</t>
        </is>
      </c>
      <c r="F2928" t="inlineStr">
        <is>
          <t>Sveaskog</t>
        </is>
      </c>
      <c r="G2928" t="n">
        <v>2.6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18802-2025</t>
        </is>
      </c>
      <c r="B2929" s="1" t="n">
        <v>45764</v>
      </c>
      <c r="C2929" s="1" t="n">
        <v>45811</v>
      </c>
      <c r="D2929" t="inlineStr">
        <is>
          <t>GÄVLEBORGS LÄN</t>
        </is>
      </c>
      <c r="E2929" t="inlineStr">
        <is>
          <t>LJUSDAL</t>
        </is>
      </c>
      <c r="F2929" t="inlineStr">
        <is>
          <t>Sveaskog</t>
        </is>
      </c>
      <c r="G2929" t="n">
        <v>13.1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18763-2025</t>
        </is>
      </c>
      <c r="B2930" s="1" t="n">
        <v>45764</v>
      </c>
      <c r="C2930" s="1" t="n">
        <v>45811</v>
      </c>
      <c r="D2930" t="inlineStr">
        <is>
          <t>GÄVLEBORGS LÄN</t>
        </is>
      </c>
      <c r="E2930" t="inlineStr">
        <is>
          <t>LJUSDAL</t>
        </is>
      </c>
      <c r="G2930" t="n">
        <v>2.9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19064-2025</t>
        </is>
      </c>
      <c r="B2931" s="1" t="n">
        <v>45765</v>
      </c>
      <c r="C2931" s="1" t="n">
        <v>45811</v>
      </c>
      <c r="D2931" t="inlineStr">
        <is>
          <t>GÄVLEBORGS LÄN</t>
        </is>
      </c>
      <c r="E2931" t="inlineStr">
        <is>
          <t>LJUSDAL</t>
        </is>
      </c>
      <c r="F2931" t="inlineStr">
        <is>
          <t>SCA</t>
        </is>
      </c>
      <c r="G2931" t="n">
        <v>6.9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19066-2025</t>
        </is>
      </c>
      <c r="B2932" s="1" t="n">
        <v>45765</v>
      </c>
      <c r="C2932" s="1" t="n">
        <v>45811</v>
      </c>
      <c r="D2932" t="inlineStr">
        <is>
          <t>GÄVLEBORGS LÄN</t>
        </is>
      </c>
      <c r="E2932" t="inlineStr">
        <is>
          <t>LJUSDAL</t>
        </is>
      </c>
      <c r="F2932" t="inlineStr">
        <is>
          <t>SCA</t>
        </is>
      </c>
      <c r="G2932" t="n">
        <v>3.5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19276-2025</t>
        </is>
      </c>
      <c r="B2933" s="1" t="n">
        <v>45769</v>
      </c>
      <c r="C2933" s="1" t="n">
        <v>45811</v>
      </c>
      <c r="D2933" t="inlineStr">
        <is>
          <t>GÄVLEBORGS LÄN</t>
        </is>
      </c>
      <c r="E2933" t="inlineStr">
        <is>
          <t>LJUSDAL</t>
        </is>
      </c>
      <c r="F2933" t="inlineStr">
        <is>
          <t>SCA</t>
        </is>
      </c>
      <c r="G2933" t="n">
        <v>5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19277-2025</t>
        </is>
      </c>
      <c r="B2934" s="1" t="n">
        <v>45769</v>
      </c>
      <c r="C2934" s="1" t="n">
        <v>45811</v>
      </c>
      <c r="D2934" t="inlineStr">
        <is>
          <t>GÄVLEBORGS LÄN</t>
        </is>
      </c>
      <c r="E2934" t="inlineStr">
        <is>
          <t>LJUSDAL</t>
        </is>
      </c>
      <c r="F2934" t="inlineStr">
        <is>
          <t>SCA</t>
        </is>
      </c>
      <c r="G2934" t="n">
        <v>7.6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19314-2025</t>
        </is>
      </c>
      <c r="B2935" s="1" t="n">
        <v>45769</v>
      </c>
      <c r="C2935" s="1" t="n">
        <v>45811</v>
      </c>
      <c r="D2935" t="inlineStr">
        <is>
          <t>GÄVLEBORGS LÄN</t>
        </is>
      </c>
      <c r="E2935" t="inlineStr">
        <is>
          <t>LJUSDAL</t>
        </is>
      </c>
      <c r="F2935" t="inlineStr">
        <is>
          <t>SCA</t>
        </is>
      </c>
      <c r="G2935" t="n">
        <v>6.6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19498-2025</t>
        </is>
      </c>
      <c r="B2936" s="1" t="n">
        <v>45770</v>
      </c>
      <c r="C2936" s="1" t="n">
        <v>45811</v>
      </c>
      <c r="D2936" t="inlineStr">
        <is>
          <t>GÄVLEBORGS LÄN</t>
        </is>
      </c>
      <c r="E2936" t="inlineStr">
        <is>
          <t>LJUSDAL</t>
        </is>
      </c>
      <c r="G2936" t="n">
        <v>6.4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19452-2025</t>
        </is>
      </c>
      <c r="B2937" s="1" t="n">
        <v>45770</v>
      </c>
      <c r="C2937" s="1" t="n">
        <v>45811</v>
      </c>
      <c r="D2937" t="inlineStr">
        <is>
          <t>GÄVLEBORGS LÄN</t>
        </is>
      </c>
      <c r="E2937" t="inlineStr">
        <is>
          <t>LJUSDAL</t>
        </is>
      </c>
      <c r="F2937" t="inlineStr">
        <is>
          <t>SCA</t>
        </is>
      </c>
      <c r="G2937" t="n">
        <v>7.8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19564-2025</t>
        </is>
      </c>
      <c r="B2938" s="1" t="n">
        <v>45770</v>
      </c>
      <c r="C2938" s="1" t="n">
        <v>45811</v>
      </c>
      <c r="D2938" t="inlineStr">
        <is>
          <t>GÄVLEBORGS LÄN</t>
        </is>
      </c>
      <c r="E2938" t="inlineStr">
        <is>
          <t>LJUSDAL</t>
        </is>
      </c>
      <c r="G2938" t="n">
        <v>2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19490-2025</t>
        </is>
      </c>
      <c r="B2939" s="1" t="n">
        <v>45770</v>
      </c>
      <c r="C2939" s="1" t="n">
        <v>45811</v>
      </c>
      <c r="D2939" t="inlineStr">
        <is>
          <t>GÄVLEBORGS LÄN</t>
        </is>
      </c>
      <c r="E2939" t="inlineStr">
        <is>
          <t>LJUSDAL</t>
        </is>
      </c>
      <c r="G2939" t="n">
        <v>4.3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19471-2025</t>
        </is>
      </c>
      <c r="B2940" s="1" t="n">
        <v>45770</v>
      </c>
      <c r="C2940" s="1" t="n">
        <v>45811</v>
      </c>
      <c r="D2940" t="inlineStr">
        <is>
          <t>GÄVLEBORGS LÄN</t>
        </is>
      </c>
      <c r="E2940" t="inlineStr">
        <is>
          <t>LJUSDAL</t>
        </is>
      </c>
      <c r="G2940" t="n">
        <v>8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19451-2025</t>
        </is>
      </c>
      <c r="B2941" s="1" t="n">
        <v>45770</v>
      </c>
      <c r="C2941" s="1" t="n">
        <v>45811</v>
      </c>
      <c r="D2941" t="inlineStr">
        <is>
          <t>GÄVLEBORGS LÄN</t>
        </is>
      </c>
      <c r="E2941" t="inlineStr">
        <is>
          <t>LJUSDAL</t>
        </is>
      </c>
      <c r="F2941" t="inlineStr">
        <is>
          <t>SCA</t>
        </is>
      </c>
      <c r="G2941" t="n">
        <v>6.5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19574-2025</t>
        </is>
      </c>
      <c r="B2942" s="1" t="n">
        <v>45770</v>
      </c>
      <c r="C2942" s="1" t="n">
        <v>45811</v>
      </c>
      <c r="D2942" t="inlineStr">
        <is>
          <t>GÄVLEBORGS LÄN</t>
        </is>
      </c>
      <c r="E2942" t="inlineStr">
        <is>
          <t>LJUSDAL</t>
        </is>
      </c>
      <c r="G2942" t="n">
        <v>1.6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19897-2025</t>
        </is>
      </c>
      <c r="B2943" s="1" t="n">
        <v>45771</v>
      </c>
      <c r="C2943" s="1" t="n">
        <v>45811</v>
      </c>
      <c r="D2943" t="inlineStr">
        <is>
          <t>GÄVLEBORGS LÄN</t>
        </is>
      </c>
      <c r="E2943" t="inlineStr">
        <is>
          <t>LJUSDAL</t>
        </is>
      </c>
      <c r="G2943" t="n">
        <v>11.3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19918-2025</t>
        </is>
      </c>
      <c r="B2944" s="1" t="n">
        <v>45771</v>
      </c>
      <c r="C2944" s="1" t="n">
        <v>45811</v>
      </c>
      <c r="D2944" t="inlineStr">
        <is>
          <t>GÄVLEBORGS LÄN</t>
        </is>
      </c>
      <c r="E2944" t="inlineStr">
        <is>
          <t>LJUSDAL</t>
        </is>
      </c>
      <c r="G2944" t="n">
        <v>6.9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19718-2025</t>
        </is>
      </c>
      <c r="B2945" s="1" t="n">
        <v>45771</v>
      </c>
      <c r="C2945" s="1" t="n">
        <v>45811</v>
      </c>
      <c r="D2945" t="inlineStr">
        <is>
          <t>GÄVLEBORGS LÄN</t>
        </is>
      </c>
      <c r="E2945" t="inlineStr">
        <is>
          <t>LJUSDAL</t>
        </is>
      </c>
      <c r="G2945" t="n">
        <v>2.8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19855-2025</t>
        </is>
      </c>
      <c r="B2946" s="1" t="n">
        <v>45771</v>
      </c>
      <c r="C2946" s="1" t="n">
        <v>45811</v>
      </c>
      <c r="D2946" t="inlineStr">
        <is>
          <t>GÄVLEBORGS LÄN</t>
        </is>
      </c>
      <c r="E2946" t="inlineStr">
        <is>
          <t>LJUSDAL</t>
        </is>
      </c>
      <c r="F2946" t="inlineStr">
        <is>
          <t>Bergvik skog väst AB</t>
        </is>
      </c>
      <c r="G2946" t="n">
        <v>0.6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20109-2025</t>
        </is>
      </c>
      <c r="B2947" s="1" t="n">
        <v>45772</v>
      </c>
      <c r="C2947" s="1" t="n">
        <v>45811</v>
      </c>
      <c r="D2947" t="inlineStr">
        <is>
          <t>GÄVLEBORGS LÄN</t>
        </is>
      </c>
      <c r="E2947" t="inlineStr">
        <is>
          <t>LJUSDAL</t>
        </is>
      </c>
      <c r="F2947" t="inlineStr">
        <is>
          <t>Sveaskog</t>
        </is>
      </c>
      <c r="G2947" t="n">
        <v>6.8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20023-2025</t>
        </is>
      </c>
      <c r="B2948" s="1" t="n">
        <v>45772</v>
      </c>
      <c r="C2948" s="1" t="n">
        <v>45811</v>
      </c>
      <c r="D2948" t="inlineStr">
        <is>
          <t>GÄVLEBORGS LÄN</t>
        </is>
      </c>
      <c r="E2948" t="inlineStr">
        <is>
          <t>LJUSDAL</t>
        </is>
      </c>
      <c r="F2948" t="inlineStr">
        <is>
          <t>SCA</t>
        </is>
      </c>
      <c r="G2948" t="n">
        <v>2.1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20147-2025</t>
        </is>
      </c>
      <c r="B2949" s="1" t="n">
        <v>45772</v>
      </c>
      <c r="C2949" s="1" t="n">
        <v>45811</v>
      </c>
      <c r="D2949" t="inlineStr">
        <is>
          <t>GÄVLEBORGS LÄN</t>
        </is>
      </c>
      <c r="E2949" t="inlineStr">
        <is>
          <t>LJUSDAL</t>
        </is>
      </c>
      <c r="F2949" t="inlineStr">
        <is>
          <t>Bergvik skog väst AB</t>
        </is>
      </c>
      <c r="G2949" t="n">
        <v>2.3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20025-2025</t>
        </is>
      </c>
      <c r="B2950" s="1" t="n">
        <v>45772</v>
      </c>
      <c r="C2950" s="1" t="n">
        <v>45811</v>
      </c>
      <c r="D2950" t="inlineStr">
        <is>
          <t>GÄVLEBORGS LÄN</t>
        </is>
      </c>
      <c r="E2950" t="inlineStr">
        <is>
          <t>LJUSDAL</t>
        </is>
      </c>
      <c r="F2950" t="inlineStr">
        <is>
          <t>SCA</t>
        </is>
      </c>
      <c r="G2950" t="n">
        <v>11.5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20122-2025</t>
        </is>
      </c>
      <c r="B2951" s="1" t="n">
        <v>45772</v>
      </c>
      <c r="C2951" s="1" t="n">
        <v>45811</v>
      </c>
      <c r="D2951" t="inlineStr">
        <is>
          <t>GÄVLEBORGS LÄN</t>
        </is>
      </c>
      <c r="E2951" t="inlineStr">
        <is>
          <t>LJUSDAL</t>
        </is>
      </c>
      <c r="F2951" t="inlineStr">
        <is>
          <t>Bergvik skog väst AB</t>
        </is>
      </c>
      <c r="G2951" t="n">
        <v>7.8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20048-2025</t>
        </is>
      </c>
      <c r="B2952" s="1" t="n">
        <v>45772</v>
      </c>
      <c r="C2952" s="1" t="n">
        <v>45811</v>
      </c>
      <c r="D2952" t="inlineStr">
        <is>
          <t>GÄVLEBORGS LÄN</t>
        </is>
      </c>
      <c r="E2952" t="inlineStr">
        <is>
          <t>LJUSDAL</t>
        </is>
      </c>
      <c r="G2952" t="n">
        <v>3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20477-2025</t>
        </is>
      </c>
      <c r="B2953" s="1" t="n">
        <v>45775</v>
      </c>
      <c r="C2953" s="1" t="n">
        <v>45811</v>
      </c>
      <c r="D2953" t="inlineStr">
        <is>
          <t>GÄVLEBORGS LÄN</t>
        </is>
      </c>
      <c r="E2953" t="inlineStr">
        <is>
          <t>LJUSDAL</t>
        </is>
      </c>
      <c r="G2953" t="n">
        <v>12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20351-2025</t>
        </is>
      </c>
      <c r="B2954" s="1" t="n">
        <v>45775</v>
      </c>
      <c r="C2954" s="1" t="n">
        <v>45811</v>
      </c>
      <c r="D2954" t="inlineStr">
        <is>
          <t>GÄVLEBORGS LÄN</t>
        </is>
      </c>
      <c r="E2954" t="inlineStr">
        <is>
          <t>LJUSDAL</t>
        </is>
      </c>
      <c r="F2954" t="inlineStr">
        <is>
          <t>Holmen skog AB</t>
        </is>
      </c>
      <c r="G2954" t="n">
        <v>1.7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20513-2025</t>
        </is>
      </c>
      <c r="B2955" s="1" t="n">
        <v>45775</v>
      </c>
      <c r="C2955" s="1" t="n">
        <v>45811</v>
      </c>
      <c r="D2955" t="inlineStr">
        <is>
          <t>GÄVLEBORGS LÄN</t>
        </is>
      </c>
      <c r="E2955" t="inlineStr">
        <is>
          <t>LJUSDAL</t>
        </is>
      </c>
      <c r="F2955" t="inlineStr">
        <is>
          <t>Sveaskog</t>
        </is>
      </c>
      <c r="G2955" t="n">
        <v>13.1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20813-2025</t>
        </is>
      </c>
      <c r="B2956" s="1" t="n">
        <v>45776</v>
      </c>
      <c r="C2956" s="1" t="n">
        <v>45811</v>
      </c>
      <c r="D2956" t="inlineStr">
        <is>
          <t>GÄVLEBORGS LÄN</t>
        </is>
      </c>
      <c r="E2956" t="inlineStr">
        <is>
          <t>LJUSDAL</t>
        </is>
      </c>
      <c r="F2956" t="inlineStr">
        <is>
          <t>SCA</t>
        </is>
      </c>
      <c r="G2956" t="n">
        <v>3.5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20806-2025</t>
        </is>
      </c>
      <c r="B2957" s="1" t="n">
        <v>45776</v>
      </c>
      <c r="C2957" s="1" t="n">
        <v>45811</v>
      </c>
      <c r="D2957" t="inlineStr">
        <is>
          <t>GÄVLEBORGS LÄN</t>
        </is>
      </c>
      <c r="E2957" t="inlineStr">
        <is>
          <t>LJUSDAL</t>
        </is>
      </c>
      <c r="F2957" t="inlineStr">
        <is>
          <t>SCA</t>
        </is>
      </c>
      <c r="G2957" t="n">
        <v>6.5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20967-2025</t>
        </is>
      </c>
      <c r="B2958" s="1" t="n">
        <v>45777</v>
      </c>
      <c r="C2958" s="1" t="n">
        <v>45811</v>
      </c>
      <c r="D2958" t="inlineStr">
        <is>
          <t>GÄVLEBORGS LÄN</t>
        </is>
      </c>
      <c r="E2958" t="inlineStr">
        <is>
          <t>LJUSDAL</t>
        </is>
      </c>
      <c r="G2958" t="n">
        <v>4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21098-2025</t>
        </is>
      </c>
      <c r="B2959" s="1" t="n">
        <v>45777</v>
      </c>
      <c r="C2959" s="1" t="n">
        <v>45811</v>
      </c>
      <c r="D2959" t="inlineStr">
        <is>
          <t>GÄVLEBORGS LÄN</t>
        </is>
      </c>
      <c r="E2959" t="inlineStr">
        <is>
          <t>LJUSDAL</t>
        </is>
      </c>
      <c r="F2959" t="inlineStr">
        <is>
          <t>Sveaskog</t>
        </is>
      </c>
      <c r="G2959" t="n">
        <v>30.7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20847-2025</t>
        </is>
      </c>
      <c r="B2960" s="1" t="n">
        <v>45777</v>
      </c>
      <c r="C2960" s="1" t="n">
        <v>45811</v>
      </c>
      <c r="D2960" t="inlineStr">
        <is>
          <t>GÄVLEBORGS LÄN</t>
        </is>
      </c>
      <c r="E2960" t="inlineStr">
        <is>
          <t>LJUSDAL</t>
        </is>
      </c>
      <c r="G2960" t="n">
        <v>21.6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20959-2025</t>
        </is>
      </c>
      <c r="B2961" s="1" t="n">
        <v>45777</v>
      </c>
      <c r="C2961" s="1" t="n">
        <v>45811</v>
      </c>
      <c r="D2961" t="inlineStr">
        <is>
          <t>GÄVLEBORGS LÄN</t>
        </is>
      </c>
      <c r="E2961" t="inlineStr">
        <is>
          <t>LJUSDAL</t>
        </is>
      </c>
      <c r="F2961" t="inlineStr">
        <is>
          <t>Allmännings- och besparingsskogar</t>
        </is>
      </c>
      <c r="G2961" t="n">
        <v>21.6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21071-2025</t>
        </is>
      </c>
      <c r="B2962" s="1" t="n">
        <v>45777</v>
      </c>
      <c r="C2962" s="1" t="n">
        <v>45811</v>
      </c>
      <c r="D2962" t="inlineStr">
        <is>
          <t>GÄVLEBORGS LÄN</t>
        </is>
      </c>
      <c r="E2962" t="inlineStr">
        <is>
          <t>LJUSDAL</t>
        </is>
      </c>
      <c r="F2962" t="inlineStr">
        <is>
          <t>SCA</t>
        </is>
      </c>
      <c r="G2962" t="n">
        <v>3.1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21334-2025</t>
        </is>
      </c>
      <c r="B2963" s="1" t="n">
        <v>45782</v>
      </c>
      <c r="C2963" s="1" t="n">
        <v>45811</v>
      </c>
      <c r="D2963" t="inlineStr">
        <is>
          <t>GÄVLEBORGS LÄN</t>
        </is>
      </c>
      <c r="E2963" t="inlineStr">
        <is>
          <t>LJUSDAL</t>
        </is>
      </c>
      <c r="G2963" t="n">
        <v>6.8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21592-2025</t>
        </is>
      </c>
      <c r="B2964" s="1" t="n">
        <v>45783</v>
      </c>
      <c r="C2964" s="1" t="n">
        <v>45811</v>
      </c>
      <c r="D2964" t="inlineStr">
        <is>
          <t>GÄVLEBORGS LÄN</t>
        </is>
      </c>
      <c r="E2964" t="inlineStr">
        <is>
          <t>LJUSDAL</t>
        </is>
      </c>
      <c r="F2964" t="inlineStr">
        <is>
          <t>SCA</t>
        </is>
      </c>
      <c r="G2964" t="n">
        <v>2.1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21588-2025</t>
        </is>
      </c>
      <c r="B2965" s="1" t="n">
        <v>45783</v>
      </c>
      <c r="C2965" s="1" t="n">
        <v>45811</v>
      </c>
      <c r="D2965" t="inlineStr">
        <is>
          <t>GÄVLEBORGS LÄN</t>
        </is>
      </c>
      <c r="E2965" t="inlineStr">
        <is>
          <t>LJUSDAL</t>
        </is>
      </c>
      <c r="G2965" t="n">
        <v>1.4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21598-2025</t>
        </is>
      </c>
      <c r="B2966" s="1" t="n">
        <v>45783</v>
      </c>
      <c r="C2966" s="1" t="n">
        <v>45811</v>
      </c>
      <c r="D2966" t="inlineStr">
        <is>
          <t>GÄVLEBORGS LÄN</t>
        </is>
      </c>
      <c r="E2966" t="inlineStr">
        <is>
          <t>LJUSDAL</t>
        </is>
      </c>
      <c r="F2966" t="inlineStr">
        <is>
          <t>Kommuner</t>
        </is>
      </c>
      <c r="G2966" t="n">
        <v>12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21940-2025</t>
        </is>
      </c>
      <c r="B2967" s="1" t="n">
        <v>45784</v>
      </c>
      <c r="C2967" s="1" t="n">
        <v>45811</v>
      </c>
      <c r="D2967" t="inlineStr">
        <is>
          <t>GÄVLEBORGS LÄN</t>
        </is>
      </c>
      <c r="E2967" t="inlineStr">
        <is>
          <t>LJUSDAL</t>
        </is>
      </c>
      <c r="G2967" t="n">
        <v>4.1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21957-2025</t>
        </is>
      </c>
      <c r="B2968" s="1" t="n">
        <v>45784</v>
      </c>
      <c r="C2968" s="1" t="n">
        <v>45811</v>
      </c>
      <c r="D2968" t="inlineStr">
        <is>
          <t>GÄVLEBORGS LÄN</t>
        </is>
      </c>
      <c r="E2968" t="inlineStr">
        <is>
          <t>LJUSDAL</t>
        </is>
      </c>
      <c r="G2968" t="n">
        <v>5.5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21925-2025</t>
        </is>
      </c>
      <c r="B2969" s="1" t="n">
        <v>45784</v>
      </c>
      <c r="C2969" s="1" t="n">
        <v>45811</v>
      </c>
      <c r="D2969" t="inlineStr">
        <is>
          <t>GÄVLEBORGS LÄN</t>
        </is>
      </c>
      <c r="E2969" t="inlineStr">
        <is>
          <t>LJUSDAL</t>
        </is>
      </c>
      <c r="F2969" t="inlineStr">
        <is>
          <t>Sveaskog</t>
        </is>
      </c>
      <c r="G2969" t="n">
        <v>8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22163-2025</t>
        </is>
      </c>
      <c r="B2970" s="1" t="n">
        <v>45785</v>
      </c>
      <c r="C2970" s="1" t="n">
        <v>45811</v>
      </c>
      <c r="D2970" t="inlineStr">
        <is>
          <t>GÄVLEBORGS LÄN</t>
        </is>
      </c>
      <c r="E2970" t="inlineStr">
        <is>
          <t>LJUSDAL</t>
        </is>
      </c>
      <c r="G2970" t="n">
        <v>2.6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22194-2025</t>
        </is>
      </c>
      <c r="B2971" s="1" t="n">
        <v>45785</v>
      </c>
      <c r="C2971" s="1" t="n">
        <v>45811</v>
      </c>
      <c r="D2971" t="inlineStr">
        <is>
          <t>GÄVLEBORGS LÄN</t>
        </is>
      </c>
      <c r="E2971" t="inlineStr">
        <is>
          <t>LJUSDAL</t>
        </is>
      </c>
      <c r="G2971" t="n">
        <v>0.7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22062-2025</t>
        </is>
      </c>
      <c r="B2972" s="1" t="n">
        <v>45785</v>
      </c>
      <c r="C2972" s="1" t="n">
        <v>45811</v>
      </c>
      <c r="D2972" t="inlineStr">
        <is>
          <t>GÄVLEBORGS LÄN</t>
        </is>
      </c>
      <c r="E2972" t="inlineStr">
        <is>
          <t>LJUSDAL</t>
        </is>
      </c>
      <c r="G2972" t="n">
        <v>3.7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22756-2025</t>
        </is>
      </c>
      <c r="B2973" s="1" t="n">
        <v>45789</v>
      </c>
      <c r="C2973" s="1" t="n">
        <v>45811</v>
      </c>
      <c r="D2973" t="inlineStr">
        <is>
          <t>GÄVLEBORGS LÄN</t>
        </is>
      </c>
      <c r="E2973" t="inlineStr">
        <is>
          <t>LJUSDAL</t>
        </is>
      </c>
      <c r="F2973" t="inlineStr">
        <is>
          <t>Sveaskog</t>
        </is>
      </c>
      <c r="G2973" t="n">
        <v>6.7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22598-2025</t>
        </is>
      </c>
      <c r="B2974" s="1" t="n">
        <v>45789</v>
      </c>
      <c r="C2974" s="1" t="n">
        <v>45811</v>
      </c>
      <c r="D2974" t="inlineStr">
        <is>
          <t>GÄVLEBORGS LÄN</t>
        </is>
      </c>
      <c r="E2974" t="inlineStr">
        <is>
          <t>LJUSDAL</t>
        </is>
      </c>
      <c r="G2974" t="n">
        <v>1.7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23016-2025</t>
        </is>
      </c>
      <c r="B2975" s="1" t="n">
        <v>45790</v>
      </c>
      <c r="C2975" s="1" t="n">
        <v>45811</v>
      </c>
      <c r="D2975" t="inlineStr">
        <is>
          <t>GÄVLEBORGS LÄN</t>
        </is>
      </c>
      <c r="E2975" t="inlineStr">
        <is>
          <t>LJUSDAL</t>
        </is>
      </c>
      <c r="G2975" t="n">
        <v>3.7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23036-2025</t>
        </is>
      </c>
      <c r="B2976" s="1" t="n">
        <v>45790</v>
      </c>
      <c r="C2976" s="1" t="n">
        <v>45811</v>
      </c>
      <c r="D2976" t="inlineStr">
        <is>
          <t>GÄVLEBORGS LÄN</t>
        </is>
      </c>
      <c r="E2976" t="inlineStr">
        <is>
          <t>LJUSDAL</t>
        </is>
      </c>
      <c r="G2976" t="n">
        <v>2.2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23079-2025</t>
        </is>
      </c>
      <c r="B2977" s="1" t="n">
        <v>45791</v>
      </c>
      <c r="C2977" s="1" t="n">
        <v>45811</v>
      </c>
      <c r="D2977" t="inlineStr">
        <is>
          <t>GÄVLEBORGS LÄN</t>
        </is>
      </c>
      <c r="E2977" t="inlineStr">
        <is>
          <t>LJUSDAL</t>
        </is>
      </c>
      <c r="F2977" t="inlineStr">
        <is>
          <t>Bergvik skog väst AB</t>
        </is>
      </c>
      <c r="G2977" t="n">
        <v>3.5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23350-2025</t>
        </is>
      </c>
      <c r="B2978" s="1" t="n">
        <v>45791</v>
      </c>
      <c r="C2978" s="1" t="n">
        <v>45811</v>
      </c>
      <c r="D2978" t="inlineStr">
        <is>
          <t>GÄVLEBORGS LÄN</t>
        </is>
      </c>
      <c r="E2978" t="inlineStr">
        <is>
          <t>LJUSDAL</t>
        </is>
      </c>
      <c r="F2978" t="inlineStr">
        <is>
          <t>Bergvik skog väst AB</t>
        </is>
      </c>
      <c r="G2978" t="n">
        <v>2.6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23353-2025</t>
        </is>
      </c>
      <c r="B2979" s="1" t="n">
        <v>45791</v>
      </c>
      <c r="C2979" s="1" t="n">
        <v>45811</v>
      </c>
      <c r="D2979" t="inlineStr">
        <is>
          <t>GÄVLEBORGS LÄN</t>
        </is>
      </c>
      <c r="E2979" t="inlineStr">
        <is>
          <t>LJUSDAL</t>
        </is>
      </c>
      <c r="F2979" t="inlineStr">
        <is>
          <t>Bergvik skog väst AB</t>
        </is>
      </c>
      <c r="G2979" t="n">
        <v>3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23340-2025</t>
        </is>
      </c>
      <c r="B2980" s="1" t="n">
        <v>45791</v>
      </c>
      <c r="C2980" s="1" t="n">
        <v>45811</v>
      </c>
      <c r="D2980" t="inlineStr">
        <is>
          <t>GÄVLEBORGS LÄN</t>
        </is>
      </c>
      <c r="E2980" t="inlineStr">
        <is>
          <t>LJUSDAL</t>
        </is>
      </c>
      <c r="F2980" t="inlineStr">
        <is>
          <t>Bergvik skog väst AB</t>
        </is>
      </c>
      <c r="G2980" t="n">
        <v>1.9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23477-2025</t>
        </is>
      </c>
      <c r="B2981" s="1" t="n">
        <v>45792</v>
      </c>
      <c r="C2981" s="1" t="n">
        <v>45811</v>
      </c>
      <c r="D2981" t="inlineStr">
        <is>
          <t>GÄVLEBORGS LÄN</t>
        </is>
      </c>
      <c r="E2981" t="inlineStr">
        <is>
          <t>LJUSDAL</t>
        </is>
      </c>
      <c r="G2981" t="n">
        <v>1.9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23594-2025</t>
        </is>
      </c>
      <c r="B2982" s="1" t="n">
        <v>45792</v>
      </c>
      <c r="C2982" s="1" t="n">
        <v>45811</v>
      </c>
      <c r="D2982" t="inlineStr">
        <is>
          <t>GÄVLEBORGS LÄN</t>
        </is>
      </c>
      <c r="E2982" t="inlineStr">
        <is>
          <t>LJUSDAL</t>
        </is>
      </c>
      <c r="F2982" t="inlineStr">
        <is>
          <t>Bergvik skog väst AB</t>
        </is>
      </c>
      <c r="G2982" t="n">
        <v>10.6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23571-2025</t>
        </is>
      </c>
      <c r="B2983" s="1" t="n">
        <v>45792</v>
      </c>
      <c r="C2983" s="1" t="n">
        <v>45811</v>
      </c>
      <c r="D2983" t="inlineStr">
        <is>
          <t>GÄVLEBORGS LÄN</t>
        </is>
      </c>
      <c r="E2983" t="inlineStr">
        <is>
          <t>LJUSDAL</t>
        </is>
      </c>
      <c r="F2983" t="inlineStr">
        <is>
          <t>Sveaskog</t>
        </is>
      </c>
      <c r="G2983" t="n">
        <v>3.1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23591-2025</t>
        </is>
      </c>
      <c r="B2984" s="1" t="n">
        <v>45792</v>
      </c>
      <c r="C2984" s="1" t="n">
        <v>45811</v>
      </c>
      <c r="D2984" t="inlineStr">
        <is>
          <t>GÄVLEBORGS LÄN</t>
        </is>
      </c>
      <c r="E2984" t="inlineStr">
        <is>
          <t>LJUSDAL</t>
        </is>
      </c>
      <c r="F2984" t="inlineStr">
        <is>
          <t>SCA</t>
        </is>
      </c>
      <c r="G2984" t="n">
        <v>0.5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23429-2025</t>
        </is>
      </c>
      <c r="B2985" s="1" t="n">
        <v>45792</v>
      </c>
      <c r="C2985" s="1" t="n">
        <v>45811</v>
      </c>
      <c r="D2985" t="inlineStr">
        <is>
          <t>GÄVLEBORGS LÄN</t>
        </is>
      </c>
      <c r="E2985" t="inlineStr">
        <is>
          <t>LJUSDAL</t>
        </is>
      </c>
      <c r="F2985" t="inlineStr">
        <is>
          <t>SCA</t>
        </is>
      </c>
      <c r="G2985" t="n">
        <v>4.9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23603-2025</t>
        </is>
      </c>
      <c r="B2986" s="1" t="n">
        <v>45792</v>
      </c>
      <c r="C2986" s="1" t="n">
        <v>45811</v>
      </c>
      <c r="D2986" t="inlineStr">
        <is>
          <t>GÄVLEBORGS LÄN</t>
        </is>
      </c>
      <c r="E2986" t="inlineStr">
        <is>
          <t>LJUSDAL</t>
        </is>
      </c>
      <c r="F2986" t="inlineStr">
        <is>
          <t>Bergvik skog väst AB</t>
        </is>
      </c>
      <c r="G2986" t="n">
        <v>5.6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23656-2025</t>
        </is>
      </c>
      <c r="B2987" s="1" t="n">
        <v>45792</v>
      </c>
      <c r="C2987" s="1" t="n">
        <v>45811</v>
      </c>
      <c r="D2987" t="inlineStr">
        <is>
          <t>GÄVLEBORGS LÄN</t>
        </is>
      </c>
      <c r="E2987" t="inlineStr">
        <is>
          <t>LJUSDAL</t>
        </is>
      </c>
      <c r="F2987" t="inlineStr">
        <is>
          <t>Sveaskog</t>
        </is>
      </c>
      <c r="G2987" t="n">
        <v>4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23595-2025</t>
        </is>
      </c>
      <c r="B2988" s="1" t="n">
        <v>45792</v>
      </c>
      <c r="C2988" s="1" t="n">
        <v>45811</v>
      </c>
      <c r="D2988" t="inlineStr">
        <is>
          <t>GÄVLEBORGS LÄN</t>
        </is>
      </c>
      <c r="E2988" t="inlineStr">
        <is>
          <t>LJUSDAL</t>
        </is>
      </c>
      <c r="G2988" t="n">
        <v>2.3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23528-2025</t>
        </is>
      </c>
      <c r="B2989" s="1" t="n">
        <v>45792</v>
      </c>
      <c r="C2989" s="1" t="n">
        <v>45811</v>
      </c>
      <c r="D2989" t="inlineStr">
        <is>
          <t>GÄVLEBORGS LÄN</t>
        </is>
      </c>
      <c r="E2989" t="inlineStr">
        <is>
          <t>LJUSDAL</t>
        </is>
      </c>
      <c r="G2989" t="n">
        <v>1.8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23710-2025</t>
        </is>
      </c>
      <c r="B2990" s="1" t="n">
        <v>45793</v>
      </c>
      <c r="C2990" s="1" t="n">
        <v>45811</v>
      </c>
      <c r="D2990" t="inlineStr">
        <is>
          <t>GÄVLEBORGS LÄN</t>
        </is>
      </c>
      <c r="E2990" t="inlineStr">
        <is>
          <t>LJUSDAL</t>
        </is>
      </c>
      <c r="F2990" t="inlineStr">
        <is>
          <t>Bergvik skog väst AB</t>
        </is>
      </c>
      <c r="G2990" t="n">
        <v>11.7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23914-2025</t>
        </is>
      </c>
      <c r="B2991" s="1" t="n">
        <v>45795</v>
      </c>
      <c r="C2991" s="1" t="n">
        <v>45811</v>
      </c>
      <c r="D2991" t="inlineStr">
        <is>
          <t>GÄVLEBORGS LÄN</t>
        </is>
      </c>
      <c r="E2991" t="inlineStr">
        <is>
          <t>LJUSDAL</t>
        </is>
      </c>
      <c r="F2991" t="inlineStr">
        <is>
          <t>SCA</t>
        </is>
      </c>
      <c r="G2991" t="n">
        <v>1.5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23918-2025</t>
        </is>
      </c>
      <c r="B2992" s="1" t="n">
        <v>45795</v>
      </c>
      <c r="C2992" s="1" t="n">
        <v>45811</v>
      </c>
      <c r="D2992" t="inlineStr">
        <is>
          <t>GÄVLEBORGS LÄN</t>
        </is>
      </c>
      <c r="E2992" t="inlineStr">
        <is>
          <t>LJUSDAL</t>
        </is>
      </c>
      <c r="F2992" t="inlineStr">
        <is>
          <t>SCA</t>
        </is>
      </c>
      <c r="G2992" t="n">
        <v>3.7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23922-2025</t>
        </is>
      </c>
      <c r="B2993" s="1" t="n">
        <v>45795</v>
      </c>
      <c r="C2993" s="1" t="n">
        <v>45811</v>
      </c>
      <c r="D2993" t="inlineStr">
        <is>
          <t>GÄVLEBORGS LÄN</t>
        </is>
      </c>
      <c r="E2993" t="inlineStr">
        <is>
          <t>LJUSDAL</t>
        </is>
      </c>
      <c r="F2993" t="inlineStr">
        <is>
          <t>SCA</t>
        </is>
      </c>
      <c r="G2993" t="n">
        <v>1.5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24256-2025</t>
        </is>
      </c>
      <c r="B2994" s="1" t="n">
        <v>45797</v>
      </c>
      <c r="C2994" s="1" t="n">
        <v>45811</v>
      </c>
      <c r="D2994" t="inlineStr">
        <is>
          <t>GÄVLEBORGS LÄN</t>
        </is>
      </c>
      <c r="E2994" t="inlineStr">
        <is>
          <t>LJUSDAL</t>
        </is>
      </c>
      <c r="G2994" t="n">
        <v>14.9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24257-2025</t>
        </is>
      </c>
      <c r="B2995" s="1" t="n">
        <v>45797</v>
      </c>
      <c r="C2995" s="1" t="n">
        <v>45811</v>
      </c>
      <c r="D2995" t="inlineStr">
        <is>
          <t>GÄVLEBORGS LÄN</t>
        </is>
      </c>
      <c r="E2995" t="inlineStr">
        <is>
          <t>LJUSDAL</t>
        </is>
      </c>
      <c r="G2995" t="n">
        <v>26.5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24400-2025</t>
        </is>
      </c>
      <c r="B2996" s="1" t="n">
        <v>45797</v>
      </c>
      <c r="C2996" s="1" t="n">
        <v>45811</v>
      </c>
      <c r="D2996" t="inlineStr">
        <is>
          <t>GÄVLEBORGS LÄN</t>
        </is>
      </c>
      <c r="E2996" t="inlineStr">
        <is>
          <t>LJUSDAL</t>
        </is>
      </c>
      <c r="G2996" t="n">
        <v>4.9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24405-2025</t>
        </is>
      </c>
      <c r="B2997" s="1" t="n">
        <v>45797</v>
      </c>
      <c r="C2997" s="1" t="n">
        <v>45811</v>
      </c>
      <c r="D2997" t="inlineStr">
        <is>
          <t>GÄVLEBORGS LÄN</t>
        </is>
      </c>
      <c r="E2997" t="inlineStr">
        <is>
          <t>LJUSDAL</t>
        </is>
      </c>
      <c r="G2997" t="n">
        <v>9.1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24219-2025</t>
        </is>
      </c>
      <c r="B2998" s="1" t="n">
        <v>45797</v>
      </c>
      <c r="C2998" s="1" t="n">
        <v>45811</v>
      </c>
      <c r="D2998" t="inlineStr">
        <is>
          <t>GÄVLEBORGS LÄN</t>
        </is>
      </c>
      <c r="E2998" t="inlineStr">
        <is>
          <t>LJUSDAL</t>
        </is>
      </c>
      <c r="F2998" t="inlineStr">
        <is>
          <t>Allmännings- och besparingsskogar</t>
        </is>
      </c>
      <c r="G2998" t="n">
        <v>27.3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24286-2025</t>
        </is>
      </c>
      <c r="B2999" s="1" t="n">
        <v>45797</v>
      </c>
      <c r="C2999" s="1" t="n">
        <v>45811</v>
      </c>
      <c r="D2999" t="inlineStr">
        <is>
          <t>GÄVLEBORGS LÄN</t>
        </is>
      </c>
      <c r="E2999" t="inlineStr">
        <is>
          <t>LJUSDAL</t>
        </is>
      </c>
      <c r="G2999" t="n">
        <v>1.9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24398-2025</t>
        </is>
      </c>
      <c r="B3000" s="1" t="n">
        <v>45797</v>
      </c>
      <c r="C3000" s="1" t="n">
        <v>45811</v>
      </c>
      <c r="D3000" t="inlineStr">
        <is>
          <t>GÄVLEBORGS LÄN</t>
        </is>
      </c>
      <c r="E3000" t="inlineStr">
        <is>
          <t>LJUSDAL</t>
        </is>
      </c>
      <c r="G3000" t="n">
        <v>3.5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24452-2025</t>
        </is>
      </c>
      <c r="B3001" s="1" t="n">
        <v>45798</v>
      </c>
      <c r="C3001" s="1" t="n">
        <v>45811</v>
      </c>
      <c r="D3001" t="inlineStr">
        <is>
          <t>GÄVLEBORGS LÄN</t>
        </is>
      </c>
      <c r="E3001" t="inlineStr">
        <is>
          <t>LJUSDAL</t>
        </is>
      </c>
      <c r="F3001" t="inlineStr">
        <is>
          <t>Holmen skog AB</t>
        </is>
      </c>
      <c r="G3001" t="n">
        <v>19.7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24713-2025</t>
        </is>
      </c>
      <c r="B3002" s="1" t="n">
        <v>45799</v>
      </c>
      <c r="C3002" s="1" t="n">
        <v>45811</v>
      </c>
      <c r="D3002" t="inlineStr">
        <is>
          <t>GÄVLEBORGS LÄN</t>
        </is>
      </c>
      <c r="E3002" t="inlineStr">
        <is>
          <t>LJUSDAL</t>
        </is>
      </c>
      <c r="G3002" t="n">
        <v>7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24945-2025</t>
        </is>
      </c>
      <c r="B3003" s="1" t="n">
        <v>45799</v>
      </c>
      <c r="C3003" s="1" t="n">
        <v>45811</v>
      </c>
      <c r="D3003" t="inlineStr">
        <is>
          <t>GÄVLEBORGS LÄN</t>
        </is>
      </c>
      <c r="E3003" t="inlineStr">
        <is>
          <t>LJUSDAL</t>
        </is>
      </c>
      <c r="F3003" t="inlineStr">
        <is>
          <t>Sveaskog</t>
        </is>
      </c>
      <c r="G3003" t="n">
        <v>3.1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24778-2025</t>
        </is>
      </c>
      <c r="B3004" s="1" t="n">
        <v>45799</v>
      </c>
      <c r="C3004" s="1" t="n">
        <v>45811</v>
      </c>
      <c r="D3004" t="inlineStr">
        <is>
          <t>GÄVLEBORGS LÄN</t>
        </is>
      </c>
      <c r="E3004" t="inlineStr">
        <is>
          <t>LJUSDAL</t>
        </is>
      </c>
      <c r="G3004" t="n">
        <v>6.3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25037-2025</t>
        </is>
      </c>
      <c r="B3005" s="1" t="n">
        <v>45799</v>
      </c>
      <c r="C3005" s="1" t="n">
        <v>45811</v>
      </c>
      <c r="D3005" t="inlineStr">
        <is>
          <t>GÄVLEBORGS LÄN</t>
        </is>
      </c>
      <c r="E3005" t="inlineStr">
        <is>
          <t>LJUSDAL</t>
        </is>
      </c>
      <c r="G3005" t="n">
        <v>12.3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24959-2025</t>
        </is>
      </c>
      <c r="B3006" s="1" t="n">
        <v>45799</v>
      </c>
      <c r="C3006" s="1" t="n">
        <v>45811</v>
      </c>
      <c r="D3006" t="inlineStr">
        <is>
          <t>GÄVLEBORGS LÄN</t>
        </is>
      </c>
      <c r="E3006" t="inlineStr">
        <is>
          <t>LJUSDAL</t>
        </is>
      </c>
      <c r="F3006" t="inlineStr">
        <is>
          <t>Sveaskog</t>
        </is>
      </c>
      <c r="G3006" t="n">
        <v>21.9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24881-2025</t>
        </is>
      </c>
      <c r="B3007" s="1" t="n">
        <v>45799</v>
      </c>
      <c r="C3007" s="1" t="n">
        <v>45811</v>
      </c>
      <c r="D3007" t="inlineStr">
        <is>
          <t>GÄVLEBORGS LÄN</t>
        </is>
      </c>
      <c r="E3007" t="inlineStr">
        <is>
          <t>LJUSDAL</t>
        </is>
      </c>
      <c r="F3007" t="inlineStr">
        <is>
          <t>Holmen skog AB</t>
        </is>
      </c>
      <c r="G3007" t="n">
        <v>3.4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24949-2025</t>
        </is>
      </c>
      <c r="B3008" s="1" t="n">
        <v>45799</v>
      </c>
      <c r="C3008" s="1" t="n">
        <v>45811</v>
      </c>
      <c r="D3008" t="inlineStr">
        <is>
          <t>GÄVLEBORGS LÄN</t>
        </is>
      </c>
      <c r="E3008" t="inlineStr">
        <is>
          <t>LJUSDAL</t>
        </is>
      </c>
      <c r="F3008" t="inlineStr">
        <is>
          <t>Sveaskog</t>
        </is>
      </c>
      <c r="G3008" t="n">
        <v>3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24810-2025</t>
        </is>
      </c>
      <c r="B3009" s="1" t="n">
        <v>45799</v>
      </c>
      <c r="C3009" s="1" t="n">
        <v>45811</v>
      </c>
      <c r="D3009" t="inlineStr">
        <is>
          <t>GÄVLEBORGS LÄN</t>
        </is>
      </c>
      <c r="E3009" t="inlineStr">
        <is>
          <t>LJUSDAL</t>
        </is>
      </c>
      <c r="G3009" t="n">
        <v>3.5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24840-2025</t>
        </is>
      </c>
      <c r="B3010" s="1" t="n">
        <v>45799</v>
      </c>
      <c r="C3010" s="1" t="n">
        <v>45811</v>
      </c>
      <c r="D3010" t="inlineStr">
        <is>
          <t>GÄVLEBORGS LÄN</t>
        </is>
      </c>
      <c r="E3010" t="inlineStr">
        <is>
          <t>LJUSDAL</t>
        </is>
      </c>
      <c r="G3010" t="n">
        <v>1.9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24824-2025</t>
        </is>
      </c>
      <c r="B3011" s="1" t="n">
        <v>45799</v>
      </c>
      <c r="C3011" s="1" t="n">
        <v>45811</v>
      </c>
      <c r="D3011" t="inlineStr">
        <is>
          <t>GÄVLEBORGS LÄN</t>
        </is>
      </c>
      <c r="E3011" t="inlineStr">
        <is>
          <t>LJUSDAL</t>
        </is>
      </c>
      <c r="F3011" t="inlineStr">
        <is>
          <t>Sveaskog</t>
        </is>
      </c>
      <c r="G3011" t="n">
        <v>7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25047-2025</t>
        </is>
      </c>
      <c r="B3012" s="1" t="n">
        <v>45799</v>
      </c>
      <c r="C3012" s="1" t="n">
        <v>45811</v>
      </c>
      <c r="D3012" t="inlineStr">
        <is>
          <t>GÄVLEBORGS LÄN</t>
        </is>
      </c>
      <c r="E3012" t="inlineStr">
        <is>
          <t>LJUSDAL</t>
        </is>
      </c>
      <c r="F3012" t="inlineStr">
        <is>
          <t>Holmen skog AB</t>
        </is>
      </c>
      <c r="G3012" t="n">
        <v>24.1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25057-2025</t>
        </is>
      </c>
      <c r="B3013" s="1" t="n">
        <v>45799</v>
      </c>
      <c r="C3013" s="1" t="n">
        <v>45811</v>
      </c>
      <c r="D3013" t="inlineStr">
        <is>
          <t>GÄVLEBORGS LÄN</t>
        </is>
      </c>
      <c r="E3013" t="inlineStr">
        <is>
          <t>LJUSDAL</t>
        </is>
      </c>
      <c r="G3013" t="n">
        <v>2.7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24943-2025</t>
        </is>
      </c>
      <c r="B3014" s="1" t="n">
        <v>45799</v>
      </c>
      <c r="C3014" s="1" t="n">
        <v>45811</v>
      </c>
      <c r="D3014" t="inlineStr">
        <is>
          <t>GÄVLEBORGS LÄN</t>
        </is>
      </c>
      <c r="E3014" t="inlineStr">
        <is>
          <t>LJUSDAL</t>
        </is>
      </c>
      <c r="F3014" t="inlineStr">
        <is>
          <t>Sveaskog</t>
        </is>
      </c>
      <c r="G3014" t="n">
        <v>5.5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25048-2025</t>
        </is>
      </c>
      <c r="B3015" s="1" t="n">
        <v>45799</v>
      </c>
      <c r="C3015" s="1" t="n">
        <v>45811</v>
      </c>
      <c r="D3015" t="inlineStr">
        <is>
          <t>GÄVLEBORGS LÄN</t>
        </is>
      </c>
      <c r="E3015" t="inlineStr">
        <is>
          <t>LJUSDAL</t>
        </is>
      </c>
      <c r="F3015" t="inlineStr">
        <is>
          <t>Holmen skog AB</t>
        </is>
      </c>
      <c r="G3015" t="n">
        <v>0.7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24777-2025</t>
        </is>
      </c>
      <c r="B3016" s="1" t="n">
        <v>45799</v>
      </c>
      <c r="C3016" s="1" t="n">
        <v>45811</v>
      </c>
      <c r="D3016" t="inlineStr">
        <is>
          <t>GÄVLEBORGS LÄN</t>
        </is>
      </c>
      <c r="E3016" t="inlineStr">
        <is>
          <t>LJUSDAL</t>
        </is>
      </c>
      <c r="F3016" t="inlineStr">
        <is>
          <t>Allmännings- och besparingsskogar</t>
        </is>
      </c>
      <c r="G3016" t="n">
        <v>18.4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25389-2025</t>
        </is>
      </c>
      <c r="B3017" s="1" t="n">
        <v>45800</v>
      </c>
      <c r="C3017" s="1" t="n">
        <v>45811</v>
      </c>
      <c r="D3017" t="inlineStr">
        <is>
          <t>GÄVLEBORGS LÄN</t>
        </is>
      </c>
      <c r="E3017" t="inlineStr">
        <is>
          <t>LJUSDAL</t>
        </is>
      </c>
      <c r="F3017" t="inlineStr">
        <is>
          <t>Allmännings- och besparingsskogar</t>
        </is>
      </c>
      <c r="G3017" t="n">
        <v>41.1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25602-2025</t>
        </is>
      </c>
      <c r="B3018" s="1" t="n">
        <v>45800</v>
      </c>
      <c r="C3018" s="1" t="n">
        <v>45811</v>
      </c>
      <c r="D3018" t="inlineStr">
        <is>
          <t>GÄVLEBORGS LÄN</t>
        </is>
      </c>
      <c r="E3018" t="inlineStr">
        <is>
          <t>LJUSDAL</t>
        </is>
      </c>
      <c r="G3018" t="n">
        <v>4.7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25613-2025</t>
        </is>
      </c>
      <c r="B3019" s="1" t="n">
        <v>45800</v>
      </c>
      <c r="C3019" s="1" t="n">
        <v>45811</v>
      </c>
      <c r="D3019" t="inlineStr">
        <is>
          <t>GÄVLEBORGS LÄN</t>
        </is>
      </c>
      <c r="E3019" t="inlineStr">
        <is>
          <t>LJUSDAL</t>
        </is>
      </c>
      <c r="G3019" t="n">
        <v>5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25569-2025</t>
        </is>
      </c>
      <c r="B3020" s="1" t="n">
        <v>45803</v>
      </c>
      <c r="C3020" s="1" t="n">
        <v>45811</v>
      </c>
      <c r="D3020" t="inlineStr">
        <is>
          <t>GÄVLEBORGS LÄN</t>
        </is>
      </c>
      <c r="E3020" t="inlineStr">
        <is>
          <t>LJUSDAL</t>
        </is>
      </c>
      <c r="F3020" t="inlineStr">
        <is>
          <t>Bergvik skog väst AB</t>
        </is>
      </c>
      <c r="G3020" t="n">
        <v>2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25539-2025</t>
        </is>
      </c>
      <c r="B3021" s="1" t="n">
        <v>45803</v>
      </c>
      <c r="C3021" s="1" t="n">
        <v>45811</v>
      </c>
      <c r="D3021" t="inlineStr">
        <is>
          <t>GÄVLEBORGS LÄN</t>
        </is>
      </c>
      <c r="E3021" t="inlineStr">
        <is>
          <t>LJUSDAL</t>
        </is>
      </c>
      <c r="F3021" t="inlineStr">
        <is>
          <t>Holmen skog AB</t>
        </is>
      </c>
      <c r="G3021" t="n">
        <v>12.9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25614-2025</t>
        </is>
      </c>
      <c r="B3022" s="1" t="n">
        <v>45803</v>
      </c>
      <c r="C3022" s="1" t="n">
        <v>45811</v>
      </c>
      <c r="D3022" t="inlineStr">
        <is>
          <t>GÄVLEBORGS LÄN</t>
        </is>
      </c>
      <c r="E3022" t="inlineStr">
        <is>
          <t>LJUSDAL</t>
        </is>
      </c>
      <c r="F3022" t="inlineStr">
        <is>
          <t>Holmen skog AB</t>
        </is>
      </c>
      <c r="G3022" t="n">
        <v>16.3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25504-2025</t>
        </is>
      </c>
      <c r="B3023" s="1" t="n">
        <v>45803</v>
      </c>
      <c r="C3023" s="1" t="n">
        <v>45811</v>
      </c>
      <c r="D3023" t="inlineStr">
        <is>
          <t>GÄVLEBORGS LÄN</t>
        </is>
      </c>
      <c r="E3023" t="inlineStr">
        <is>
          <t>LJUSDAL</t>
        </is>
      </c>
      <c r="G3023" t="n">
        <v>3.1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25684-2025</t>
        </is>
      </c>
      <c r="B3024" s="1" t="n">
        <v>45803</v>
      </c>
      <c r="C3024" s="1" t="n">
        <v>45811</v>
      </c>
      <c r="D3024" t="inlineStr">
        <is>
          <t>GÄVLEBORGS LÄN</t>
        </is>
      </c>
      <c r="E3024" t="inlineStr">
        <is>
          <t>LJUSDAL</t>
        </is>
      </c>
      <c r="F3024" t="inlineStr">
        <is>
          <t>Holmen skog AB</t>
        </is>
      </c>
      <c r="G3024" t="n">
        <v>22.6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25595-2025</t>
        </is>
      </c>
      <c r="B3025" s="1" t="n">
        <v>45803</v>
      </c>
      <c r="C3025" s="1" t="n">
        <v>45811</v>
      </c>
      <c r="D3025" t="inlineStr">
        <is>
          <t>GÄVLEBORGS LÄN</t>
        </is>
      </c>
      <c r="E3025" t="inlineStr">
        <is>
          <t>LJUSDAL</t>
        </is>
      </c>
      <c r="G3025" t="n">
        <v>7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25898-2025</t>
        </is>
      </c>
      <c r="B3026" s="1" t="n">
        <v>45804</v>
      </c>
      <c r="C3026" s="1" t="n">
        <v>45811</v>
      </c>
      <c r="D3026" t="inlineStr">
        <is>
          <t>GÄVLEBORGS LÄN</t>
        </is>
      </c>
      <c r="E3026" t="inlineStr">
        <is>
          <t>LJUSDAL</t>
        </is>
      </c>
      <c r="G3026" t="n">
        <v>0.8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25993-2025</t>
        </is>
      </c>
      <c r="B3027" s="1" t="n">
        <v>45804</v>
      </c>
      <c r="C3027" s="1" t="n">
        <v>45811</v>
      </c>
      <c r="D3027" t="inlineStr">
        <is>
          <t>GÄVLEBORGS LÄN</t>
        </is>
      </c>
      <c r="E3027" t="inlineStr">
        <is>
          <t>LJUSDAL</t>
        </is>
      </c>
      <c r="F3027" t="inlineStr">
        <is>
          <t>Holmen skog AB</t>
        </is>
      </c>
      <c r="G3027" t="n">
        <v>26.6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25832-2025</t>
        </is>
      </c>
      <c r="B3028" s="1" t="n">
        <v>45804</v>
      </c>
      <c r="C3028" s="1" t="n">
        <v>45811</v>
      </c>
      <c r="D3028" t="inlineStr">
        <is>
          <t>GÄVLEBORGS LÄN</t>
        </is>
      </c>
      <c r="E3028" t="inlineStr">
        <is>
          <t>LJUSDAL</t>
        </is>
      </c>
      <c r="F3028" t="inlineStr">
        <is>
          <t>Holmen skog AB</t>
        </is>
      </c>
      <c r="G3028" t="n">
        <v>23.1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25756-2025</t>
        </is>
      </c>
      <c r="B3029" s="1" t="n">
        <v>45804</v>
      </c>
      <c r="C3029" s="1" t="n">
        <v>45811</v>
      </c>
      <c r="D3029" t="inlineStr">
        <is>
          <t>GÄVLEBORGS LÄN</t>
        </is>
      </c>
      <c r="E3029" t="inlineStr">
        <is>
          <t>LJUSDAL</t>
        </is>
      </c>
      <c r="F3029" t="inlineStr">
        <is>
          <t>Holmen skog AB</t>
        </is>
      </c>
      <c r="G3029" t="n">
        <v>7.5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25884-2025</t>
        </is>
      </c>
      <c r="B3030" s="1" t="n">
        <v>45804</v>
      </c>
      <c r="C3030" s="1" t="n">
        <v>45811</v>
      </c>
      <c r="D3030" t="inlineStr">
        <is>
          <t>GÄVLEBORGS LÄN</t>
        </is>
      </c>
      <c r="E3030" t="inlineStr">
        <is>
          <t>LJUSDAL</t>
        </is>
      </c>
      <c r="F3030" t="inlineStr">
        <is>
          <t>Holmen skog AB</t>
        </is>
      </c>
      <c r="G3030" t="n">
        <v>11.4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25771-2025</t>
        </is>
      </c>
      <c r="B3031" s="1" t="n">
        <v>45804</v>
      </c>
      <c r="C3031" s="1" t="n">
        <v>45811</v>
      </c>
      <c r="D3031" t="inlineStr">
        <is>
          <t>GÄVLEBORGS LÄN</t>
        </is>
      </c>
      <c r="E3031" t="inlineStr">
        <is>
          <t>LJUSDAL</t>
        </is>
      </c>
      <c r="F3031" t="inlineStr">
        <is>
          <t>Naturvårdsverket</t>
        </is>
      </c>
      <c r="G3031" t="n">
        <v>9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26091-2025</t>
        </is>
      </c>
      <c r="B3032" s="1" t="n">
        <v>45805</v>
      </c>
      <c r="C3032" s="1" t="n">
        <v>45811</v>
      </c>
      <c r="D3032" t="inlineStr">
        <is>
          <t>GÄVLEBORGS LÄN</t>
        </is>
      </c>
      <c r="E3032" t="inlineStr">
        <is>
          <t>LJUSDAL</t>
        </is>
      </c>
      <c r="F3032" t="inlineStr">
        <is>
          <t>SCA</t>
        </is>
      </c>
      <c r="G3032" t="n">
        <v>5.2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26103-2025</t>
        </is>
      </c>
      <c r="B3033" s="1" t="n">
        <v>45805</v>
      </c>
      <c r="C3033" s="1" t="n">
        <v>45811</v>
      </c>
      <c r="D3033" t="inlineStr">
        <is>
          <t>GÄVLEBORGS LÄN</t>
        </is>
      </c>
      <c r="E3033" t="inlineStr">
        <is>
          <t>LJUSDAL</t>
        </is>
      </c>
      <c r="G3033" t="n">
        <v>2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26268-2025</t>
        </is>
      </c>
      <c r="B3034" s="1" t="n">
        <v>45805</v>
      </c>
      <c r="C3034" s="1" t="n">
        <v>45811</v>
      </c>
      <c r="D3034" t="inlineStr">
        <is>
          <t>GÄVLEBORGS LÄN</t>
        </is>
      </c>
      <c r="E3034" t="inlineStr">
        <is>
          <t>LJUSDAL</t>
        </is>
      </c>
      <c r="F3034" t="inlineStr">
        <is>
          <t>Kommuner</t>
        </is>
      </c>
      <c r="G3034" t="n">
        <v>4.9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26223-2025</t>
        </is>
      </c>
      <c r="B3035" s="1" t="n">
        <v>45805</v>
      </c>
      <c r="C3035" s="1" t="n">
        <v>45811</v>
      </c>
      <c r="D3035" t="inlineStr">
        <is>
          <t>GÄVLEBORGS LÄN</t>
        </is>
      </c>
      <c r="E3035" t="inlineStr">
        <is>
          <t>LJUSDAL</t>
        </is>
      </c>
      <c r="G3035" t="n">
        <v>1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26180-2025</t>
        </is>
      </c>
      <c r="B3036" s="1" t="n">
        <v>45805</v>
      </c>
      <c r="C3036" s="1" t="n">
        <v>45811</v>
      </c>
      <c r="D3036" t="inlineStr">
        <is>
          <t>GÄVLEBORGS LÄN</t>
        </is>
      </c>
      <c r="E3036" t="inlineStr">
        <is>
          <t>LJUSDAL</t>
        </is>
      </c>
      <c r="F3036" t="inlineStr">
        <is>
          <t>Allmännings- och besparingsskogar</t>
        </is>
      </c>
      <c r="G3036" t="n">
        <v>25.4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26538-2025</t>
        </is>
      </c>
      <c r="B3037" s="1" t="n">
        <v>45807</v>
      </c>
      <c r="C3037" s="1" t="n">
        <v>45811</v>
      </c>
      <c r="D3037" t="inlineStr">
        <is>
          <t>GÄVLEBORGS LÄN</t>
        </is>
      </c>
      <c r="E3037" t="inlineStr">
        <is>
          <t>LJUSDAL</t>
        </is>
      </c>
      <c r="G3037" t="n">
        <v>10.5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26578-2025</t>
        </is>
      </c>
      <c r="B3038" s="1" t="n">
        <v>45807</v>
      </c>
      <c r="C3038" s="1" t="n">
        <v>45811</v>
      </c>
      <c r="D3038" t="inlineStr">
        <is>
          <t>GÄVLEBORGS LÄN</t>
        </is>
      </c>
      <c r="E3038" t="inlineStr">
        <is>
          <t>LJUSDAL</t>
        </is>
      </c>
      <c r="G3038" t="n">
        <v>1.9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26579-2025</t>
        </is>
      </c>
      <c r="B3039" s="1" t="n">
        <v>45807</v>
      </c>
      <c r="C3039" s="1" t="n">
        <v>45811</v>
      </c>
      <c r="D3039" t="inlineStr">
        <is>
          <t>GÄVLEBORGS LÄN</t>
        </is>
      </c>
      <c r="E3039" t="inlineStr">
        <is>
          <t>LJUSDAL</t>
        </is>
      </c>
      <c r="G3039" t="n">
        <v>2.3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26399-2025</t>
        </is>
      </c>
      <c r="B3040" s="1" t="n">
        <v>45807</v>
      </c>
      <c r="C3040" s="1" t="n">
        <v>45811</v>
      </c>
      <c r="D3040" t="inlineStr">
        <is>
          <t>GÄVLEBORGS LÄN</t>
        </is>
      </c>
      <c r="E3040" t="inlineStr">
        <is>
          <t>LJUSDAL</t>
        </is>
      </c>
      <c r="G3040" t="n">
        <v>2.7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26557-2025</t>
        </is>
      </c>
      <c r="B3041" s="1" t="n">
        <v>45807</v>
      </c>
      <c r="C3041" s="1" t="n">
        <v>45811</v>
      </c>
      <c r="D3041" t="inlineStr">
        <is>
          <t>GÄVLEBORGS LÄN</t>
        </is>
      </c>
      <c r="E3041" t="inlineStr">
        <is>
          <t>LJUSDAL</t>
        </is>
      </c>
      <c r="G3041" t="n">
        <v>4.4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26580-2025</t>
        </is>
      </c>
      <c r="B3042" s="1" t="n">
        <v>45807</v>
      </c>
      <c r="C3042" s="1" t="n">
        <v>45811</v>
      </c>
      <c r="D3042" t="inlineStr">
        <is>
          <t>GÄVLEBORGS LÄN</t>
        </is>
      </c>
      <c r="E3042" t="inlineStr">
        <is>
          <t>LJUSDAL</t>
        </is>
      </c>
      <c r="G3042" t="n">
        <v>0.2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26649-2025</t>
        </is>
      </c>
      <c r="B3043" s="1" t="n">
        <v>45810</v>
      </c>
      <c r="C3043" s="1" t="n">
        <v>45811</v>
      </c>
      <c r="D3043" t="inlineStr">
        <is>
          <t>GÄVLEBORGS LÄN</t>
        </is>
      </c>
      <c r="E3043" t="inlineStr">
        <is>
          <t>LJUSDAL</t>
        </is>
      </c>
      <c r="F3043" t="inlineStr">
        <is>
          <t>Allmännings- och besparingsskogar</t>
        </is>
      </c>
      <c r="G3043" t="n">
        <v>10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26816-2025</t>
        </is>
      </c>
      <c r="B3044" s="1" t="n">
        <v>45810</v>
      </c>
      <c r="C3044" s="1" t="n">
        <v>45811</v>
      </c>
      <c r="D3044" t="inlineStr">
        <is>
          <t>GÄVLEBORGS LÄN</t>
        </is>
      </c>
      <c r="E3044" t="inlineStr">
        <is>
          <t>LJUSDAL</t>
        </is>
      </c>
      <c r="F3044" t="inlineStr">
        <is>
          <t>SCA</t>
        </is>
      </c>
      <c r="G3044" t="n">
        <v>1.4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26819-2025</t>
        </is>
      </c>
      <c r="B3045" s="1" t="n">
        <v>45810</v>
      </c>
      <c r="C3045" s="1" t="n">
        <v>45811</v>
      </c>
      <c r="D3045" t="inlineStr">
        <is>
          <t>GÄVLEBORGS LÄN</t>
        </is>
      </c>
      <c r="E3045" t="inlineStr">
        <is>
          <t>LJUSDAL</t>
        </is>
      </c>
      <c r="F3045" t="inlineStr">
        <is>
          <t>SCA</t>
        </is>
      </c>
      <c r="G3045" t="n">
        <v>2.3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>
      <c r="A3046" t="inlineStr">
        <is>
          <t>A 26864-2025</t>
        </is>
      </c>
      <c r="B3046" s="1" t="n">
        <v>45810</v>
      </c>
      <c r="C3046" s="1" t="n">
        <v>45811</v>
      </c>
      <c r="D3046" t="inlineStr">
        <is>
          <t>GÄVLEBORGS LÄN</t>
        </is>
      </c>
      <c r="E3046" t="inlineStr">
        <is>
          <t>LJUSDAL</t>
        </is>
      </c>
      <c r="F3046" t="inlineStr">
        <is>
          <t>SCA</t>
        </is>
      </c>
      <c r="G3046" t="n">
        <v>2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2025-06-03T18:09:21Z</dcterms:created>
  <dcterms:modified xmlns:dcterms="http://purl.org/dc/terms/" xmlns:xsi="http://www.w3.org/2001/XMLSchema-instance" xsi:type="dcterms:W3CDTF">2025-06-03T18:09:24Z</dcterms:modified>
</cp:coreProperties>
</file>