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45648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45648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45648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45648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45648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45648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45648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45648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45648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45648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45648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45648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45648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45648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45648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45648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45648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45648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45648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45648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45648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45648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45648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45648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45648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45648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45648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45648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45648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45648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45648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45648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45648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45648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45648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45648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45648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45648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45648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45648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45648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45648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45648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45648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45648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45648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45648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45648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45648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45648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45648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45648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45648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45648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45648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45648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45648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45648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45648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45648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45648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45648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45648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45648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45648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45648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45648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45648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45648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45648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45648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45648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45648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45648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45648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45648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45648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45648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45648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55326-2024</t>
        </is>
      </c>
      <c r="B266" s="1" t="n">
        <v>45621</v>
      </c>
      <c r="C266" s="1" t="n">
        <v>45648</v>
      </c>
      <c r="D266" t="inlineStr">
        <is>
          <t>GÄVLEBORGS LÄN</t>
        </is>
      </c>
      <c r="E266" t="inlineStr">
        <is>
          <t>LJUSDAL</t>
        </is>
      </c>
      <c r="G266" t="n">
        <v>11.1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Vedskivlav</t>
        </is>
      </c>
      <c r="S266">
        <f>HYPERLINK("https://klasma.github.io/Logging_2161/artfynd/A 55326-2024 artfynd.xlsx", "A 55326-2024")</f>
        <v/>
      </c>
      <c r="T266">
        <f>HYPERLINK("https://klasma.github.io/Logging_2161/kartor/A 55326-2024 karta.png", "A 55326-2024")</f>
        <v/>
      </c>
      <c r="U266">
        <f>HYPERLINK("https://klasma.github.io/Logging_2161/knärot/A 55326-2024 karta knärot.png", "A 55326-2024")</f>
        <v/>
      </c>
      <c r="V266">
        <f>HYPERLINK("https://klasma.github.io/Logging_2161/klagomål/A 55326-2024 FSC-klagomål.docx", "A 55326-2024")</f>
        <v/>
      </c>
      <c r="W266">
        <f>HYPERLINK("https://klasma.github.io/Logging_2161/klagomålsmail/A 55326-2024 FSC-klagomål mail.docx", "A 55326-2024")</f>
        <v/>
      </c>
      <c r="X266">
        <f>HYPERLINK("https://klasma.github.io/Logging_2161/tillsyn/A 55326-2024 tillsynsbegäran.docx", "A 55326-2024")</f>
        <v/>
      </c>
      <c r="Y266">
        <f>HYPERLINK("https://klasma.github.io/Logging_2161/tillsynsmail/A 55326-2024 tillsynsbegäran mail.docx", "A 55326-2024")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45648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45648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45648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45648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45648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45648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45648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45648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45648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45648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45648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45648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45648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45648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45648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45648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45648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45648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45648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45648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45648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45648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45648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45648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45648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45648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45648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45648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45648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45648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45648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45648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45648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45648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45648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45648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45648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45648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45648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45648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45648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45648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45648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45648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45648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45648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45648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45648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45648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45648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45648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45648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45648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45648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45648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45648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45648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45648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45648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45648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45648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45648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45648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45648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45648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45648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45648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45648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45648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45648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45648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45648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45648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45648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45648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45648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45648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45648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45648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45648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45648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45648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45648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45648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45648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45648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45648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45648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45648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45648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45648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45648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45648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45648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45648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45648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45648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45648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45648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45648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45648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45648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45648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45648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45648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45648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45648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45648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45648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45648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45648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45648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45648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45648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45648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45648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45648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45648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45648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45648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45648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45648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45648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45648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45648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45648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45648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45648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45648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45648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45648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45648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45648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45648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45648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45648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45648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45648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45648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45648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45648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45648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45648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45648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45648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45648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45648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45648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45648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45648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45648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45648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45648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45648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45648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45648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45648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45648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45648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45648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45648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45648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45648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45648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45648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45648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45648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45648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45648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45648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45648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45648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45648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45648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45648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45648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45648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45648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45648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45648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45648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45648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45648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45648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45648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45648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45648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45648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45648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45648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45648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45648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45648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45648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45648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45648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45648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45648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45648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45648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45648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45648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45648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45648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45648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45648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45648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45648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45648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45648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45648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45648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45648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45648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45648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45648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45648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45648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45648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45648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45648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45648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45648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45648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45648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45648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45648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45648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45648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45648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45648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45648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45648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45648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45648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45648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45648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45648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45648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45648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45648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45648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45648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45648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45648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45648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45648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45648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45648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45648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45648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45648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45648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45648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45648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45648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45648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45648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45648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45648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45648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45648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45648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45648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45648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45648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45648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45648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45648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45648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45648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45648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45648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45648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45648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45648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45648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45648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45648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45648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45648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45648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45648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45648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45648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45648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45648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45648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45648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45648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45648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45648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45648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45648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45648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45648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45648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45648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45648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45648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45648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45648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45648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45648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45648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45648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45648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45648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45648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45648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45648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45648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45648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45648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45648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45648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45648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45648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45648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45648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45648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45648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45648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45648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45648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45648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45648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45648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45648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45648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45648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45648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45648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45648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45648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45648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45648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45648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45648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45648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45648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45648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45648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45648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45648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45648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45648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45648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45648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45648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45648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45648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45648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45648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45648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45648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45648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45648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45648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45648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45648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45648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45648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45648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45648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45648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45648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45648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45648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45648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45648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45648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45648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45648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45648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45648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45648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45648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45648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45648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45648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45648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45648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45648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45648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45648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45648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45648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45648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45648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45648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45648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45648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45648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45648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45648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45648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45648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45648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45648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45648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45648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45648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45648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45648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45648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45648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45648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45648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45648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45648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45648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45648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45648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45648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45648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45648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45648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45648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45648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45648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45648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45648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45648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45648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45648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45648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45648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45648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45648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45648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45648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45648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45648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45648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45648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45648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45648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45648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45648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45648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45648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45648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45648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45648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45648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45648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45648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45648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45648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45648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45648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45648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45648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45648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45648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45648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45648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45648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45648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45648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45648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45648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45648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45648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45648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45648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45648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45648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45648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45648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45648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45648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45648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45648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45648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45648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45648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45648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45648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45648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45648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45648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45648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45648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45648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45648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45648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45648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45648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45648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45648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45648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45648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45648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45648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45648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45648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45648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45648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45648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45648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45648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45648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45648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45648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45648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45648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45648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45648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45648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45648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45648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45648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45648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45648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45648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45648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45648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45648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45648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45648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45648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45648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45648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45648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45648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45648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45648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45648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45648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45648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45648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45648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45648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45648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45648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45648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45648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45648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45648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45648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45648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45648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45648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45648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45648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45648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45648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45648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45648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45648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45648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45648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45648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45648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45648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45648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45648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45648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45648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45648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45648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45648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45648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45648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45648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45648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45648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45648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45648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45648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45648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45648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45648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45648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45648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45648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45648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45648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45648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45648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45648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45648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45648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45648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45648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45648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45648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45648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45648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45648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45648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45648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45648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45648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45648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45648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45648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45648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45648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45648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45648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45648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45648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45648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45648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45648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45648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45648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45648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45648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45648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45648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45648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45648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45648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45648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45648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45648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45648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45648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45648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45648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45648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45648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45648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45648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45648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45648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45648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45648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45648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45648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45648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45648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45648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45648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45648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45648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45648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45648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45648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45648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45648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45648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45648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45648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45648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45648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45648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45648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45648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45648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45648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45648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45648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45648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45648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45648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45648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45648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45648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45648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45648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45648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45648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45648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45648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45648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45648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45648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45648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45648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45648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45648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45648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45648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45648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45648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45648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45648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45648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45648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45648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45648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45648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45648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45648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45648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45648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45648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45648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45648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45648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45648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45648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45648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45648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45648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45648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45648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45648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45648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45648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45648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45648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45648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45648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45648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45648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45648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45648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45648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45648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45648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45648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45648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45648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45648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45648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45648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45648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45648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45648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45648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45648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45648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45648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45648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45648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45648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45648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45648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45648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45648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45648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45648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45648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45648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45648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45648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45648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45648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45648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45648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45648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45648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45648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45648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45648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45648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45648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45648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45648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45648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45648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45648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45648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45648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45648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45648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45648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45648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45648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45648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45648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45648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45648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45648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45648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45648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45648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45648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45648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45648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45648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45648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45648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45648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45648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45648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45648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45648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45648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45648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45648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45648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45648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45648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45648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45648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45648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45648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45648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45648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45648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45648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45648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45648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45648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45648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45648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45648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45648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45648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45648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45648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45648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45648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45648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45648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45648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45648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45648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45648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45648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45648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45648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45648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45648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45648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45648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45648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45648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45648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45648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45648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45648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45648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45648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45648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45648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45648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45648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45648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45648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45648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45648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45648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45648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45648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45648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45648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45648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45648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45648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45648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45648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45648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45648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45648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45648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45648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45648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45648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45648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45648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45648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45648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45648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45648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45648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45648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45648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45648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45648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45648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45648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45648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45648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45648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45648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45648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45648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45648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45648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45648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45648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45648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45648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45648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45648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45648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45648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45648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45648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45648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45648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45648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45648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45648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45648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45648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45648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45648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45648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45648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45648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45648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45648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45648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45648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45648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45648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45648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45648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45648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45648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45648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45648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45648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45648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45648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45648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45648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45648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45648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45648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45648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45648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45648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45648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45648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45648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45648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45648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45648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45648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45648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45648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45648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45648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45648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45648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45648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45648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45648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45648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45648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45648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45648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45648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45648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45648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45648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45648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45648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45648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45648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45648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45648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45648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45648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45648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45648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45648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45648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45648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45648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45648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45648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45648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45648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45648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45648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45648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45648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45648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45648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45648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45648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45648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45648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45648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45648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45648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45648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45648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45648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45648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45648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45648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45648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45648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45648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45648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45648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45648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45648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45648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45648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45648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45648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45648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45648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45648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45648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45648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45648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45648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45648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45648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45648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45648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45648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45648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45648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45648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45648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45648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45648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45648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45648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45648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45648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45648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45648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45648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45648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45648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45648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45648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45648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45648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45648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45648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45648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45648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45648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45648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45648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45648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45648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45648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45648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45648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45648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45648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45648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45648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45648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45648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45648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45648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45648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45648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45648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45648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45648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45648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45648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45648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45648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45648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45648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45648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45648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45648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45648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45648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45648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45648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45648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45648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45648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45648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45648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45648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45648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45648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45648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45648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45648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45648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45648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45648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45648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45648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45648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45648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45648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45648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45648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45648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45648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45648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45648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45648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45648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45648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45648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45648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45648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45648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45648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45648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45648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45648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45648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45648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45648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45648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45648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45648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45648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45648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45648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45648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45648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45648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45648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45648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45648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45648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45648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45648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45648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45648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45648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45648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45648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45648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45648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45648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45648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45648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45648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45648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45648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45648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45648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45648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45648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45648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45648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45648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45648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45648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45648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45648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45648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45648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45648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45648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45648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45648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45648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45648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45648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45648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45648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45648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45648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45648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45648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45648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45648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45648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45648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45648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45648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45648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45648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45648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45648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45648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45648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45648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45648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45648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45648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45648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45648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45648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45648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45648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45648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45648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45648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45648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45648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45648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45648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45648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45648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45648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45648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45648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45648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45648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45648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45648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45648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45648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45648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45648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45648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45648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45648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45648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45648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45648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45648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45648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45648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45648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45648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45648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45648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45648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45648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45648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45648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45648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45648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45648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45648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45648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45648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45648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45648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45648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45648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45648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45648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45648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45648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45648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45648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45648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45648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45648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45648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45648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45648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45648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45648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45648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45648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45648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45648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45648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45648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45648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45648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45648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45648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45648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45648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45648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45648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45648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45648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45648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45648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45648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45648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45648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45648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45648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45648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45648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45648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45648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45648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45648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45648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45648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45648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45648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45648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45648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45648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45648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45648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45648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45648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45648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45648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45648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45648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45648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45648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45648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45648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45648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45648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45648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45648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45648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45648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45648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45648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45648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45648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45648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45648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45648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45648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45648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45648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45648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45648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45648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45648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45648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45648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45648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45648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45648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45648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45648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45648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45648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45648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45648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45648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45648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45648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45648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45648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45648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45648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45648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45648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45648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45648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45648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45648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45648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45648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45648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45648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45648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45648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45648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45648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45648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45648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45648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45648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45648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45648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45648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45648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45648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45648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45648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45648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45648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45648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45648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45648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45648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45648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45648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45648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45648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45648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45648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45648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45648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45648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45648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45648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45648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45648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45648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45648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45648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45648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45648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45648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45648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45648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45648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45648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45648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45648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45648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45648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45648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45648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45648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45648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45648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45648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45648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45648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45648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45648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45648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45648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45648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45648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45648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45648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45648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45648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45648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45648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45648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45648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45648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45648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45648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45648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45648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45648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45648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45648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45648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45648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45648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45648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45648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45648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45648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45648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45648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45648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45648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45648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45648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45648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45648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45648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45648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45648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45648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45648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45648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45648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45648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45648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45648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45648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45648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45648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45648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45648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45648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45648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45648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45648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45648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45648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45648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45648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45648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45648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45648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45648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45648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45648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45648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45648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45648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45648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45648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45648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45648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45648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45648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45648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45648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45648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45648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45648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45648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45648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45648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45648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45648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45648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45648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45648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45648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45648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45648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45648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45648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45648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45648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45648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45648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45648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45648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45648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45648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45648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45648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45648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45648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45648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45648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45648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45648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45648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45648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45648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45648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45648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45648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45648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45648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45648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45648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45648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45648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45648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45648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45648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45648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45648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45648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45648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45648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45648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45648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45648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45648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45648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45648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45648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45648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45648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45648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45648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45648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45648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45648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45648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45648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45648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45648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45648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45648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45648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45648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45648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45648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45648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45648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45648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45648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45648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45648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45648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45648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45648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45648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45648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45648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45648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45648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45648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45648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45648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45648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45648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45648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45648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45648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45648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45648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45648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45648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45648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45648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45648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45648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45648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45648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45648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45648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45648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45648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45648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45648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45648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45648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45648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45648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45648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45648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45648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45648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45648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45648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45648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45648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45648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45648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45648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45648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45648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45648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45648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45648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45648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45648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45648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45648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45648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45648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45648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45648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45648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45648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45648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45648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45648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45648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45648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45648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45648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45648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45648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45648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45648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45648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45648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45648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45648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45648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45648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45648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45648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45648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45648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45648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45648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45648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45648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45648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45648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45648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45648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45648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45648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45648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45648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45648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45648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45648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45648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45648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45648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45648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45648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45648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45648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45648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45648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45648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45648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45648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45648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45648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45648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45648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45648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45648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45648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45648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45648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45648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45648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45648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45648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45648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45648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45648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45648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45648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45648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45648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45648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45648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45648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45648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45648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45648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45648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45648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45648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45648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45648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45648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45648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45648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45648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45648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45648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45648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45648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55320-2024</t>
        </is>
      </c>
      <c r="B2672" s="1" t="n">
        <v>45621</v>
      </c>
      <c r="C2672" s="1" t="n">
        <v>45648</v>
      </c>
      <c r="D2672" t="inlineStr">
        <is>
          <t>GÄVLEBORGS LÄN</t>
        </is>
      </c>
      <c r="E2672" t="inlineStr">
        <is>
          <t>LJUSDAL</t>
        </is>
      </c>
      <c r="G2672" t="n">
        <v>9.6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55324-2024</t>
        </is>
      </c>
      <c r="B2673" s="1" t="n">
        <v>45621</v>
      </c>
      <c r="C2673" s="1" t="n">
        <v>45648</v>
      </c>
      <c r="D2673" t="inlineStr">
        <is>
          <t>GÄVLEBORGS LÄN</t>
        </is>
      </c>
      <c r="E2673" t="inlineStr">
        <is>
          <t>LJUSDAL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45648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55483-2024</t>
        </is>
      </c>
      <c r="B2675" s="1" t="n">
        <v>45622</v>
      </c>
      <c r="C2675" s="1" t="n">
        <v>45648</v>
      </c>
      <c r="D2675" t="inlineStr">
        <is>
          <t>GÄVLEBORGS LÄN</t>
        </is>
      </c>
      <c r="E2675" t="inlineStr">
        <is>
          <t>LJUSDAL</t>
        </is>
      </c>
      <c r="G2675" t="n">
        <v>21.3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45648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45648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45648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45648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56008-2024</t>
        </is>
      </c>
      <c r="B2680" s="1" t="n">
        <v>45623</v>
      </c>
      <c r="C2680" s="1" t="n">
        <v>45648</v>
      </c>
      <c r="D2680" t="inlineStr">
        <is>
          <t>GÄVLEBORGS LÄN</t>
        </is>
      </c>
      <c r="E2680" t="inlineStr">
        <is>
          <t>LJUSDAL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45648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45648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56035-2024</t>
        </is>
      </c>
      <c r="B2683" s="1" t="n">
        <v>45624</v>
      </c>
      <c r="C2683" s="1" t="n">
        <v>45648</v>
      </c>
      <c r="D2683" t="inlineStr">
        <is>
          <t>GÄVLEBORGS LÄN</t>
        </is>
      </c>
      <c r="E2683" t="inlineStr">
        <is>
          <t>LJUSDAL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45648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45648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45648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45648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56267-2024</t>
        </is>
      </c>
      <c r="B2688" s="1" t="n">
        <v>45624</v>
      </c>
      <c r="C2688" s="1" t="n">
        <v>45648</v>
      </c>
      <c r="D2688" t="inlineStr">
        <is>
          <t>GÄVLEBORGS LÄN</t>
        </is>
      </c>
      <c r="E2688" t="inlineStr">
        <is>
          <t>LJUSDAL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45648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45648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45648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45648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45648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45648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57106-2024</t>
        </is>
      </c>
      <c r="B2695" s="1" t="n">
        <v>45629</v>
      </c>
      <c r="C2695" s="1" t="n">
        <v>45648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6.8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45648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57315-2024</t>
        </is>
      </c>
      <c r="B2697" s="1" t="n">
        <v>45629</v>
      </c>
      <c r="C2697" s="1" t="n">
        <v>45648</v>
      </c>
      <c r="D2697" t="inlineStr">
        <is>
          <t>GÄVLEBORGS LÄN</t>
        </is>
      </c>
      <c r="E2697" t="inlineStr">
        <is>
          <t>LJUSDAL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45648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57164-2024</t>
        </is>
      </c>
      <c r="B2699" s="1" t="n">
        <v>45629</v>
      </c>
      <c r="C2699" s="1" t="n">
        <v>45648</v>
      </c>
      <c r="D2699" t="inlineStr">
        <is>
          <t>GÄVLEBORGS LÄN</t>
        </is>
      </c>
      <c r="E2699" t="inlineStr">
        <is>
          <t>LJUSDAL</t>
        </is>
      </c>
      <c r="F2699" t="inlineStr">
        <is>
          <t>Naturvårdsverket</t>
        </is>
      </c>
      <c r="G2699" t="n">
        <v>18.5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45648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57193-2024</t>
        </is>
      </c>
      <c r="B2701" s="1" t="n">
        <v>45629</v>
      </c>
      <c r="C2701" s="1" t="n">
        <v>45648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57356-2024</t>
        </is>
      </c>
      <c r="B2702" s="1" t="n">
        <v>45629</v>
      </c>
      <c r="C2702" s="1" t="n">
        <v>45648</v>
      </c>
      <c r="D2702" t="inlineStr">
        <is>
          <t>GÄVLEBORGS LÄN</t>
        </is>
      </c>
      <c r="E2702" t="inlineStr">
        <is>
          <t>LJUSDAL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57664-2024</t>
        </is>
      </c>
      <c r="B2703" s="1" t="n">
        <v>45630</v>
      </c>
      <c r="C2703" s="1" t="n">
        <v>45648</v>
      </c>
      <c r="D2703" t="inlineStr">
        <is>
          <t>GÄVLEBORGS LÄN</t>
        </is>
      </c>
      <c r="E2703" t="inlineStr">
        <is>
          <t>LJUSDAL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45648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45648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45648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45648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45648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58173-2024</t>
        </is>
      </c>
      <c r="B2709" s="1" t="n">
        <v>45632</v>
      </c>
      <c r="C2709" s="1" t="n">
        <v>45648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58168-2024</t>
        </is>
      </c>
      <c r="B2710" s="1" t="n">
        <v>45632</v>
      </c>
      <c r="C2710" s="1" t="n">
        <v>45648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58320-2024</t>
        </is>
      </c>
      <c r="B2711" s="1" t="n">
        <v>45632</v>
      </c>
      <c r="C2711" s="1" t="n">
        <v>45648</v>
      </c>
      <c r="D2711" t="inlineStr">
        <is>
          <t>GÄVLEBORGS LÄN</t>
        </is>
      </c>
      <c r="E2711" t="inlineStr">
        <is>
          <t>LJUSDAL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45648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58604-2024</t>
        </is>
      </c>
      <c r="B2713" s="1" t="n">
        <v>45632</v>
      </c>
      <c r="C2713" s="1" t="n">
        <v>45648</v>
      </c>
      <c r="D2713" t="inlineStr">
        <is>
          <t>GÄVLEBORGS LÄN</t>
        </is>
      </c>
      <c r="E2713" t="inlineStr">
        <is>
          <t>LJUSDAL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58322-2024</t>
        </is>
      </c>
      <c r="B2714" s="1" t="n">
        <v>45632</v>
      </c>
      <c r="C2714" s="1" t="n">
        <v>45648</v>
      </c>
      <c r="D2714" t="inlineStr">
        <is>
          <t>GÄVLEBORGS LÄN</t>
        </is>
      </c>
      <c r="E2714" t="inlineStr">
        <is>
          <t>LJUSDAL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45648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45648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45648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45648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58802-2024</t>
        </is>
      </c>
      <c r="B2719" s="1" t="n">
        <v>45636</v>
      </c>
      <c r="C2719" s="1" t="n">
        <v>45648</v>
      </c>
      <c r="D2719" t="inlineStr">
        <is>
          <t>GÄVLEBORGS LÄN</t>
        </is>
      </c>
      <c r="E2719" t="inlineStr">
        <is>
          <t>LJUSDAL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45648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45648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59252-2024</t>
        </is>
      </c>
      <c r="B2722" s="1" t="n">
        <v>45637</v>
      </c>
      <c r="C2722" s="1" t="n">
        <v>45648</v>
      </c>
      <c r="D2722" t="inlineStr">
        <is>
          <t>GÄVLEBORGS LÄN</t>
        </is>
      </c>
      <c r="E2722" t="inlineStr">
        <is>
          <t>LJUSDAL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45648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60257-2024</t>
        </is>
      </c>
      <c r="B2724" s="1" t="n">
        <v>45642</v>
      </c>
      <c r="C2724" s="1" t="n">
        <v>45648</v>
      </c>
      <c r="D2724" t="inlineStr">
        <is>
          <t>GÄVLEBORGS LÄN</t>
        </is>
      </c>
      <c r="E2724" t="inlineStr">
        <is>
          <t>LJUSDAL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60288-2024</t>
        </is>
      </c>
      <c r="B2725" s="1" t="n">
        <v>45643</v>
      </c>
      <c r="C2725" s="1" t="n">
        <v>45648</v>
      </c>
      <c r="D2725" t="inlineStr">
        <is>
          <t>GÄVLEBORGS LÄN</t>
        </is>
      </c>
      <c r="E2725" t="inlineStr">
        <is>
          <t>LJUSDAL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60282-2024</t>
        </is>
      </c>
      <c r="B2726" s="1" t="n">
        <v>45642</v>
      </c>
      <c r="C2726" s="1" t="n">
        <v>45648</v>
      </c>
      <c r="D2726" t="inlineStr">
        <is>
          <t>GÄVLEBORGS LÄN</t>
        </is>
      </c>
      <c r="E2726" t="inlineStr">
        <is>
          <t>LJUSDAL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60197-2024</t>
        </is>
      </c>
      <c r="B2727" s="1" t="n">
        <v>45642</v>
      </c>
      <c r="C2727" s="1" t="n">
        <v>45648</v>
      </c>
      <c r="D2727" t="inlineStr">
        <is>
          <t>GÄVLEBORGS LÄN</t>
        </is>
      </c>
      <c r="E2727" t="inlineStr">
        <is>
          <t>LJUSDAL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60289-2024</t>
        </is>
      </c>
      <c r="B2728" s="1" t="n">
        <v>45643</v>
      </c>
      <c r="C2728" s="1" t="n">
        <v>45648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45648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60565-2024</t>
        </is>
      </c>
      <c r="B2730" s="1" t="n">
        <v>45644</v>
      </c>
      <c r="C2730" s="1" t="n">
        <v>45648</v>
      </c>
      <c r="D2730" t="inlineStr">
        <is>
          <t>GÄVLEBORGS LÄN</t>
        </is>
      </c>
      <c r="E2730" t="inlineStr">
        <is>
          <t>LJUSDAL</t>
        </is>
      </c>
      <c r="G2730" t="n">
        <v>23.8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60833-2024</t>
        </is>
      </c>
      <c r="B2731" s="1" t="n">
        <v>45644</v>
      </c>
      <c r="C2731" s="1" t="n">
        <v>45648</v>
      </c>
      <c r="D2731" t="inlineStr">
        <is>
          <t>GÄVLEBORGS LÄN</t>
        </is>
      </c>
      <c r="E2731" t="inlineStr">
        <is>
          <t>LJUSDAL</t>
        </is>
      </c>
      <c r="G2731" t="n">
        <v>11.7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60793-2024</t>
        </is>
      </c>
      <c r="B2732" s="1" t="n">
        <v>45644</v>
      </c>
      <c r="C2732" s="1" t="n">
        <v>45648</v>
      </c>
      <c r="D2732" t="inlineStr">
        <is>
          <t>GÄVLEBORGS LÄN</t>
        </is>
      </c>
      <c r="E2732" t="inlineStr">
        <is>
          <t>LJUSDAL</t>
        </is>
      </c>
      <c r="G2732" t="n">
        <v>19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60896-2024</t>
        </is>
      </c>
      <c r="B2733" s="1" t="n">
        <v>45645</v>
      </c>
      <c r="C2733" s="1" t="n">
        <v>45648</v>
      </c>
      <c r="D2733" t="inlineStr">
        <is>
          <t>GÄVLEBORGS LÄN</t>
        </is>
      </c>
      <c r="E2733" t="inlineStr">
        <is>
          <t>LJUSDAL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60914-2024</t>
        </is>
      </c>
      <c r="B2734" s="1" t="n">
        <v>45645</v>
      </c>
      <c r="C2734" s="1" t="n">
        <v>45648</v>
      </c>
      <c r="D2734" t="inlineStr">
        <is>
          <t>GÄVLEBORGS LÄN</t>
        </is>
      </c>
      <c r="E2734" t="inlineStr">
        <is>
          <t>LJUSDAL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61091-2024</t>
        </is>
      </c>
      <c r="B2735" s="1" t="n">
        <v>45645</v>
      </c>
      <c r="C2735" s="1" t="n">
        <v>45648</v>
      </c>
      <c r="D2735" t="inlineStr">
        <is>
          <t>GÄVLEBORGS LÄN</t>
        </is>
      </c>
      <c r="E2735" t="inlineStr">
        <is>
          <t>LJUSDAL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61189-2024</t>
        </is>
      </c>
      <c r="B2736" s="1" t="n">
        <v>45645</v>
      </c>
      <c r="C2736" s="1" t="n">
        <v>45648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61416-2024</t>
        </is>
      </c>
      <c r="B2737" s="1" t="n">
        <v>45646</v>
      </c>
      <c r="C2737" s="1" t="n">
        <v>45648</v>
      </c>
      <c r="D2737" t="inlineStr">
        <is>
          <t>GÄVLEBORGS LÄN</t>
        </is>
      </c>
      <c r="E2737" t="inlineStr">
        <is>
          <t>LJUSDAL</t>
        </is>
      </c>
      <c r="F2737" t="inlineStr">
        <is>
          <t>Sveaskog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61420-2024</t>
        </is>
      </c>
      <c r="B2738" s="1" t="n">
        <v>45646</v>
      </c>
      <c r="C2738" s="1" t="n">
        <v>45648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>
      <c r="A2739" t="inlineStr">
        <is>
          <t>A 61474-2024</t>
        </is>
      </c>
      <c r="B2739" s="1" t="n">
        <v>45646</v>
      </c>
      <c r="C2739" s="1" t="n">
        <v>45648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2024-12-22T15:58:48Z</dcterms:created>
  <dcterms:modified xmlns:dcterms="http://purl.org/dc/terms/" xmlns:xsi="http://www.w3.org/2001/XMLSchema-instance" xsi:type="dcterms:W3CDTF">2024-12-22T15:58:51Z</dcterms:modified>
</cp:coreProperties>
</file>