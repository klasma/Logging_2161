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45992</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45992</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45992</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45992</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45992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45992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45992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45992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45992</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45992</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45992</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45992</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45992</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45992</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45992</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45992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45992</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45992</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45992</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45992</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45992</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45992</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45992</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45992</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45992</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45992</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45992</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45992</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45992</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45992</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20596-2025</t>
        </is>
      </c>
      <c r="B35" s="1" t="n">
        <v>45775.74341435185</v>
      </c>
      <c r="C35" s="1" t="n">
        <v>45992</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45992</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45992</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45992</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45992</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45992</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45992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45992</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45992</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45992</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45992</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45992</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45992</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28859-2025</t>
        </is>
      </c>
      <c r="B48" s="1" t="n">
        <v>45820</v>
      </c>
      <c r="C48" s="1" t="n">
        <v>45992</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45992</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32574-2025</t>
        </is>
      </c>
      <c r="B50" s="1" t="n">
        <v>45838.58512731481</v>
      </c>
      <c r="C50" s="1" t="n">
        <v>45992</v>
      </c>
      <c r="D50" t="inlineStr">
        <is>
          <t>GÄVLEBORGS LÄN</t>
        </is>
      </c>
      <c r="E50" t="inlineStr">
        <is>
          <t>LJUSDAL</t>
        </is>
      </c>
      <c r="F50" t="inlineStr">
        <is>
          <t>Bergvik skog väst AB</t>
        </is>
      </c>
      <c r="G50" t="n">
        <v>8.6</v>
      </c>
      <c r="H50" t="n">
        <v>3</v>
      </c>
      <c r="I50" t="n">
        <v>0</v>
      </c>
      <c r="J50" t="n">
        <v>4</v>
      </c>
      <c r="K50" t="n">
        <v>0</v>
      </c>
      <c r="L50" t="n">
        <v>0</v>
      </c>
      <c r="M50" t="n">
        <v>0</v>
      </c>
      <c r="N50" t="n">
        <v>0</v>
      </c>
      <c r="O50" t="n">
        <v>4</v>
      </c>
      <c r="P50" t="n">
        <v>0</v>
      </c>
      <c r="Q50" t="n">
        <v>6</v>
      </c>
      <c r="R50" s="2" t="inlineStr">
        <is>
          <t>Garnlav
Kolflarnlav
Mörk kolflarnlav
Talltita
Grönsiska
Fläcknycklar</t>
        </is>
      </c>
      <c r="S50">
        <f>HYPERLINK("https://klasma.github.io/Logging_2161/artfynd/A 32574-2025 artfynd.xlsx", "A 32574-2025")</f>
        <v/>
      </c>
      <c r="T50">
        <f>HYPERLINK("https://klasma.github.io/Logging_2161/kartor/A 32574-2025 karta.png", "A 32574-2025")</f>
        <v/>
      </c>
      <c r="V50">
        <f>HYPERLINK("https://klasma.github.io/Logging_2161/klagomål/A 32574-2025 FSC-klagomål.docx", "A 32574-2025")</f>
        <v/>
      </c>
      <c r="W50">
        <f>HYPERLINK("https://klasma.github.io/Logging_2161/klagomålsmail/A 32574-2025 FSC-klagomål mail.docx", "A 32574-2025")</f>
        <v/>
      </c>
      <c r="X50">
        <f>HYPERLINK("https://klasma.github.io/Logging_2161/tillsyn/A 32574-2025 tillsynsbegäran.docx", "A 32574-2025")</f>
        <v/>
      </c>
      <c r="Y50">
        <f>HYPERLINK("https://klasma.github.io/Logging_2161/tillsynsmail/A 32574-2025 tillsynsbegäran mail.docx", "A 32574-2025")</f>
        <v/>
      </c>
      <c r="Z50">
        <f>HYPERLINK("https://klasma.github.io/Logging_2161/fåglar/A 32574-2025 prioriterade fågelarter.docx", "A 32574-2025")</f>
        <v/>
      </c>
    </row>
    <row r="51" ht="15" customHeight="1">
      <c r="A51" t="inlineStr">
        <is>
          <t>A 32579-2025</t>
        </is>
      </c>
      <c r="B51" s="1" t="n">
        <v>45838.59387731482</v>
      </c>
      <c r="C51" s="1" t="n">
        <v>45992</v>
      </c>
      <c r="D51" t="inlineStr">
        <is>
          <t>GÄVLEBORGS LÄN</t>
        </is>
      </c>
      <c r="E51" t="inlineStr">
        <is>
          <t>LJUSDAL</t>
        </is>
      </c>
      <c r="F51" t="inlineStr">
        <is>
          <t>Bergvik skog väst AB</t>
        </is>
      </c>
      <c r="G51" t="n">
        <v>10.5</v>
      </c>
      <c r="H51" t="n">
        <v>3</v>
      </c>
      <c r="I51" t="n">
        <v>3</v>
      </c>
      <c r="J51" t="n">
        <v>3</v>
      </c>
      <c r="K51" t="n">
        <v>0</v>
      </c>
      <c r="L51" t="n">
        <v>0</v>
      </c>
      <c r="M51" t="n">
        <v>0</v>
      </c>
      <c r="N51" t="n">
        <v>0</v>
      </c>
      <c r="O51" t="n">
        <v>3</v>
      </c>
      <c r="P51" t="n">
        <v>0</v>
      </c>
      <c r="Q51" t="n">
        <v>6</v>
      </c>
      <c r="R51" s="2" t="inlineStr">
        <is>
          <t>Lunglav
Skrovellav
Talltita
Plattlummer
Spindelblomster
Tibast</t>
        </is>
      </c>
      <c r="S51">
        <f>HYPERLINK("https://klasma.github.io/Logging_2161/artfynd/A 32579-2025 artfynd.xlsx", "A 32579-2025")</f>
        <v/>
      </c>
      <c r="T51">
        <f>HYPERLINK("https://klasma.github.io/Logging_2161/kartor/A 32579-2025 karta.png", "A 32579-2025")</f>
        <v/>
      </c>
      <c r="V51">
        <f>HYPERLINK("https://klasma.github.io/Logging_2161/klagomål/A 32579-2025 FSC-klagomål.docx", "A 32579-2025")</f>
        <v/>
      </c>
      <c r="W51">
        <f>HYPERLINK("https://klasma.github.io/Logging_2161/klagomålsmail/A 32579-2025 FSC-klagomål mail.docx", "A 32579-2025")</f>
        <v/>
      </c>
      <c r="X51">
        <f>HYPERLINK("https://klasma.github.io/Logging_2161/tillsyn/A 32579-2025 tillsynsbegäran.docx", "A 32579-2025")</f>
        <v/>
      </c>
      <c r="Y51">
        <f>HYPERLINK("https://klasma.github.io/Logging_2161/tillsynsmail/A 32579-2025 tillsynsbegäran mail.docx", "A 32579-2025")</f>
        <v/>
      </c>
      <c r="Z51">
        <f>HYPERLINK("https://klasma.github.io/Logging_2161/fåglar/A 32579-2025 prioriterade fågelarter.docx", "A 32579-2025")</f>
        <v/>
      </c>
    </row>
    <row r="52" ht="15" customHeight="1">
      <c r="A52" t="inlineStr">
        <is>
          <t>A 44198-2025</t>
        </is>
      </c>
      <c r="B52" s="1" t="n">
        <v>45915.62078703703</v>
      </c>
      <c r="C52" s="1" t="n">
        <v>45992</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45992</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34286-2025</t>
        </is>
      </c>
      <c r="B54" s="1" t="n">
        <v>45846</v>
      </c>
      <c r="C54" s="1" t="n">
        <v>45992</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35605-2025</t>
        </is>
      </c>
      <c r="B55" s="1" t="n">
        <v>45859.32651620371</v>
      </c>
      <c r="C55" s="1" t="n">
        <v>45992</v>
      </c>
      <c r="D55" t="inlineStr">
        <is>
          <t>GÄVLEBORGS LÄN</t>
        </is>
      </c>
      <c r="E55" t="inlineStr">
        <is>
          <t>LJUSDAL</t>
        </is>
      </c>
      <c r="F55" t="inlineStr">
        <is>
          <t>Bergvik skog väst AB</t>
        </is>
      </c>
      <c r="G55" t="n">
        <v>3.1</v>
      </c>
      <c r="H55" t="n">
        <v>3</v>
      </c>
      <c r="I55" t="n">
        <v>1</v>
      </c>
      <c r="J55" t="n">
        <v>3</v>
      </c>
      <c r="K55" t="n">
        <v>1</v>
      </c>
      <c r="L55" t="n">
        <v>0</v>
      </c>
      <c r="M55" t="n">
        <v>0</v>
      </c>
      <c r="N55" t="n">
        <v>0</v>
      </c>
      <c r="O55" t="n">
        <v>4</v>
      </c>
      <c r="P55" t="n">
        <v>1</v>
      </c>
      <c r="Q55" t="n">
        <v>6</v>
      </c>
      <c r="R55" s="2" t="inlineStr">
        <is>
          <t>Knärot
Lunglav
Spillkråka
Vitgrynig nållav
Skinnlav
Nattviol</t>
        </is>
      </c>
      <c r="S55">
        <f>HYPERLINK("https://klasma.github.io/Logging_2161/artfynd/A 35605-2025 artfynd.xlsx", "A 35605-2025")</f>
        <v/>
      </c>
      <c r="T55">
        <f>HYPERLINK("https://klasma.github.io/Logging_2161/kartor/A 35605-2025 karta.png", "A 35605-2025")</f>
        <v/>
      </c>
      <c r="U55">
        <f>HYPERLINK("https://klasma.github.io/Logging_2161/knärot/A 35605-2025 karta knärot.png", "A 35605-2025")</f>
        <v/>
      </c>
      <c r="V55">
        <f>HYPERLINK("https://klasma.github.io/Logging_2161/klagomål/A 35605-2025 FSC-klagomål.docx", "A 35605-2025")</f>
        <v/>
      </c>
      <c r="W55">
        <f>HYPERLINK("https://klasma.github.io/Logging_2161/klagomålsmail/A 35605-2025 FSC-klagomål mail.docx", "A 35605-2025")</f>
        <v/>
      </c>
      <c r="X55">
        <f>HYPERLINK("https://klasma.github.io/Logging_2161/tillsyn/A 35605-2025 tillsynsbegäran.docx", "A 35605-2025")</f>
        <v/>
      </c>
      <c r="Y55">
        <f>HYPERLINK("https://klasma.github.io/Logging_2161/tillsynsmail/A 35605-2025 tillsynsbegäran mail.docx", "A 35605-2025")</f>
        <v/>
      </c>
      <c r="Z55">
        <f>HYPERLINK("https://klasma.github.io/Logging_2161/fåglar/A 35605-2025 prioriterade fågelarter.docx", "A 35605-2025")</f>
        <v/>
      </c>
    </row>
    <row r="56" ht="15" customHeight="1">
      <c r="A56" t="inlineStr">
        <is>
          <t>A 53690-2025</t>
        </is>
      </c>
      <c r="B56" s="1" t="n">
        <v>45960.5815162037</v>
      </c>
      <c r="C56" s="1" t="n">
        <v>45992</v>
      </c>
      <c r="D56" t="inlineStr">
        <is>
          <t>GÄVLEBORGS LÄN</t>
        </is>
      </c>
      <c r="E56" t="inlineStr">
        <is>
          <t>LJUSDAL</t>
        </is>
      </c>
      <c r="F56" t="inlineStr">
        <is>
          <t>Allmännings- och besparingsskogar</t>
        </is>
      </c>
      <c r="G56" t="n">
        <v>4.3</v>
      </c>
      <c r="H56" t="n">
        <v>2</v>
      </c>
      <c r="I56" t="n">
        <v>0</v>
      </c>
      <c r="J56" t="n">
        <v>4</v>
      </c>
      <c r="K56" t="n">
        <v>0</v>
      </c>
      <c r="L56" t="n">
        <v>0</v>
      </c>
      <c r="M56" t="n">
        <v>0</v>
      </c>
      <c r="N56" t="n">
        <v>0</v>
      </c>
      <c r="O56" t="n">
        <v>4</v>
      </c>
      <c r="P56" t="n">
        <v>0</v>
      </c>
      <c r="Q56" t="n">
        <v>6</v>
      </c>
      <c r="R56" s="2" t="inlineStr">
        <is>
          <t>Garnlav
Kolflarnlav
Mörk kolflarnlav
Vedskivlav
Tjäder
Fläcknycklar</t>
        </is>
      </c>
      <c r="S56">
        <f>HYPERLINK("https://klasma.github.io/Logging_2161/artfynd/A 53690-2025 artfynd.xlsx", "A 53690-2025")</f>
        <v/>
      </c>
      <c r="T56">
        <f>HYPERLINK("https://klasma.github.io/Logging_2161/kartor/A 53690-2025 karta.png", "A 53690-2025")</f>
        <v/>
      </c>
      <c r="V56">
        <f>HYPERLINK("https://klasma.github.io/Logging_2161/klagomål/A 53690-2025 FSC-klagomål.docx", "A 53690-2025")</f>
        <v/>
      </c>
      <c r="W56">
        <f>HYPERLINK("https://klasma.github.io/Logging_2161/klagomålsmail/A 53690-2025 FSC-klagomål mail.docx", "A 53690-2025")</f>
        <v/>
      </c>
      <c r="X56">
        <f>HYPERLINK("https://klasma.github.io/Logging_2161/tillsyn/A 53690-2025 tillsynsbegäran.docx", "A 53690-2025")</f>
        <v/>
      </c>
      <c r="Y56">
        <f>HYPERLINK("https://klasma.github.io/Logging_2161/tillsynsmail/A 53690-2025 tillsynsbegäran mail.docx", "A 53690-2025")</f>
        <v/>
      </c>
      <c r="Z56">
        <f>HYPERLINK("https://klasma.github.io/Logging_2161/fåglar/A 53690-2025 prioriterade fågelarter.docx", "A 53690-2025")</f>
        <v/>
      </c>
    </row>
    <row r="57" ht="15" customHeight="1">
      <c r="A57" t="inlineStr">
        <is>
          <t>A 36356-2025</t>
        </is>
      </c>
      <c r="B57" s="1" t="n">
        <v>45868.5106712963</v>
      </c>
      <c r="C57" s="1" t="n">
        <v>45992</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45388-2024</t>
        </is>
      </c>
      <c r="B58" s="1" t="n">
        <v>45576.54619212963</v>
      </c>
      <c r="C58" s="1" t="n">
        <v>45992</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32783-2022</t>
        </is>
      </c>
      <c r="B59" s="1" t="n">
        <v>44784</v>
      </c>
      <c r="C59" s="1" t="n">
        <v>45992</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45992</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45992</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45992</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24824-2025</t>
        </is>
      </c>
      <c r="B63" s="1" t="n">
        <v>45799.45572916666</v>
      </c>
      <c r="C63" s="1" t="n">
        <v>45992</v>
      </c>
      <c r="D63" t="inlineStr">
        <is>
          <t>GÄVLEBORGS LÄN</t>
        </is>
      </c>
      <c r="E63" t="inlineStr">
        <is>
          <t>LJUSDAL</t>
        </is>
      </c>
      <c r="F63" t="inlineStr">
        <is>
          <t>Sveaskog</t>
        </is>
      </c>
      <c r="G63" t="n">
        <v>7</v>
      </c>
      <c r="H63" t="n">
        <v>2</v>
      </c>
      <c r="I63" t="n">
        <v>1</v>
      </c>
      <c r="J63" t="n">
        <v>3</v>
      </c>
      <c r="K63" t="n">
        <v>1</v>
      </c>
      <c r="L63" t="n">
        <v>0</v>
      </c>
      <c r="M63" t="n">
        <v>0</v>
      </c>
      <c r="N63" t="n">
        <v>0</v>
      </c>
      <c r="O63" t="n">
        <v>4</v>
      </c>
      <c r="P63" t="n">
        <v>1</v>
      </c>
      <c r="Q63" t="n">
        <v>5</v>
      </c>
      <c r="R63" s="2" t="inlineStr">
        <is>
          <t>Knärot
Garnlav
Lunglav
Skrovellav
Plattlummer</t>
        </is>
      </c>
      <c r="S63">
        <f>HYPERLINK("https://klasma.github.io/Logging_2161/artfynd/A 24824-2025 artfynd.xlsx", "A 24824-2025")</f>
        <v/>
      </c>
      <c r="T63">
        <f>HYPERLINK("https://klasma.github.io/Logging_2161/kartor/A 24824-2025 karta.png", "A 24824-2025")</f>
        <v/>
      </c>
      <c r="U63">
        <f>HYPERLINK("https://klasma.github.io/Logging_2161/knärot/A 24824-2025 karta knärot.png", "A 24824-2025")</f>
        <v/>
      </c>
      <c r="V63">
        <f>HYPERLINK("https://klasma.github.io/Logging_2161/klagomål/A 24824-2025 FSC-klagomål.docx", "A 24824-2025")</f>
        <v/>
      </c>
      <c r="W63">
        <f>HYPERLINK("https://klasma.github.io/Logging_2161/klagomålsmail/A 24824-2025 FSC-klagomål mail.docx", "A 24824-2025")</f>
        <v/>
      </c>
      <c r="X63">
        <f>HYPERLINK("https://klasma.github.io/Logging_2161/tillsyn/A 24824-2025 tillsynsbegäran.docx", "A 24824-2025")</f>
        <v/>
      </c>
      <c r="Y63">
        <f>HYPERLINK("https://klasma.github.io/Logging_2161/tillsynsmail/A 24824-2025 tillsynsbegäran mail.docx", "A 24824-2025")</f>
        <v/>
      </c>
    </row>
    <row r="64" ht="15" customHeight="1">
      <c r="A64" t="inlineStr">
        <is>
          <t>A 51955-2023</t>
        </is>
      </c>
      <c r="B64" s="1" t="n">
        <v>45223.53979166667</v>
      </c>
      <c r="C64" s="1" t="n">
        <v>45992</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26085-2025</t>
        </is>
      </c>
      <c r="B65" s="1" t="n">
        <v>45805.34453703704</v>
      </c>
      <c r="C65" s="1" t="n">
        <v>45992</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39028-2025</t>
        </is>
      </c>
      <c r="B66" s="1" t="n">
        <v>45888.40666666667</v>
      </c>
      <c r="C66" s="1" t="n">
        <v>45992</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26489-2025</t>
        </is>
      </c>
      <c r="B67" s="1" t="n">
        <v>45807.48326388889</v>
      </c>
      <c r="C67" s="1" t="n">
        <v>45992</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40143-2025</t>
        </is>
      </c>
      <c r="B68" s="1" t="n">
        <v>45894.57269675926</v>
      </c>
      <c r="C68" s="1" t="n">
        <v>45992</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28531-2025</t>
        </is>
      </c>
      <c r="B69" s="1" t="n">
        <v>45819.49947916667</v>
      </c>
      <c r="C69" s="1" t="n">
        <v>45992</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42179-2025</t>
        </is>
      </c>
      <c r="B70" s="1" t="n">
        <v>45904.45008101852</v>
      </c>
      <c r="C70" s="1" t="n">
        <v>45992</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32536-2025</t>
        </is>
      </c>
      <c r="B71" s="1" t="n">
        <v>45838.49390046296</v>
      </c>
      <c r="C71" s="1" t="n">
        <v>45992</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45992</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45992</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25953-2023</t>
        </is>
      </c>
      <c r="B74" s="1" t="n">
        <v>45090</v>
      </c>
      <c r="C74" s="1" t="n">
        <v>45992</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58628-2022</t>
        </is>
      </c>
      <c r="B75" s="1" t="n">
        <v>44902</v>
      </c>
      <c r="C75" s="1" t="n">
        <v>45992</v>
      </c>
      <c r="D75" t="inlineStr">
        <is>
          <t>GÄVLEBORGS LÄN</t>
        </is>
      </c>
      <c r="E75" t="inlineStr">
        <is>
          <t>LJUSDAL</t>
        </is>
      </c>
      <c r="G75" t="n">
        <v>2.6</v>
      </c>
      <c r="H75" t="n">
        <v>2</v>
      </c>
      <c r="I75" t="n">
        <v>2</v>
      </c>
      <c r="J75" t="n">
        <v>2</v>
      </c>
      <c r="K75" t="n">
        <v>1</v>
      </c>
      <c r="L75" t="n">
        <v>0</v>
      </c>
      <c r="M75" t="n">
        <v>0</v>
      </c>
      <c r="N75" t="n">
        <v>0</v>
      </c>
      <c r="O75" t="n">
        <v>3</v>
      </c>
      <c r="P75" t="n">
        <v>1</v>
      </c>
      <c r="Q75" t="n">
        <v>5</v>
      </c>
      <c r="R75" s="2" t="inlineStr">
        <is>
          <t>Knärot
Tretåig hackspett
Ullticka
Skinnlav
Stuplav</t>
        </is>
      </c>
      <c r="S75">
        <f>HYPERLINK("https://klasma.github.io/Logging_2161/artfynd/A 58628-2022 artfynd.xlsx", "A 58628-2022")</f>
        <v/>
      </c>
      <c r="T75">
        <f>HYPERLINK("https://klasma.github.io/Logging_2161/kartor/A 58628-2022 karta.png", "A 58628-2022")</f>
        <v/>
      </c>
      <c r="U75">
        <f>HYPERLINK("https://klasma.github.io/Logging_2161/knärot/A 58628-2022 karta knärot.png", "A 58628-2022")</f>
        <v/>
      </c>
      <c r="V75">
        <f>HYPERLINK("https://klasma.github.io/Logging_2161/klagomål/A 58628-2022 FSC-klagomål.docx", "A 58628-2022")</f>
        <v/>
      </c>
      <c r="W75">
        <f>HYPERLINK("https://klasma.github.io/Logging_2161/klagomålsmail/A 58628-2022 FSC-klagomål mail.docx", "A 58628-2022")</f>
        <v/>
      </c>
      <c r="X75">
        <f>HYPERLINK("https://klasma.github.io/Logging_2161/tillsyn/A 58628-2022 tillsynsbegäran.docx", "A 58628-2022")</f>
        <v/>
      </c>
      <c r="Y75">
        <f>HYPERLINK("https://klasma.github.io/Logging_2161/tillsynsmail/A 58628-2022 tillsynsbegäran mail.docx", "A 58628-2022")</f>
        <v/>
      </c>
      <c r="Z75">
        <f>HYPERLINK("https://klasma.github.io/Logging_2161/fåglar/A 58628-2022 prioriterade fågelarter.docx", "A 58628-2022")</f>
        <v/>
      </c>
    </row>
    <row r="76" ht="15" customHeight="1">
      <c r="A76" t="inlineStr">
        <is>
          <t>A 21038-2025</t>
        </is>
      </c>
      <c r="B76" s="1" t="n">
        <v>45777.53201388889</v>
      </c>
      <c r="C76" s="1" t="n">
        <v>45992</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45992</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45992</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31615-2024</t>
        </is>
      </c>
      <c r="B79" s="1" t="n">
        <v>45506.45282407408</v>
      </c>
      <c r="C79" s="1" t="n">
        <v>45992</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26446-2025</t>
        </is>
      </c>
      <c r="B80" s="1" t="n">
        <v>45807.4155787037</v>
      </c>
      <c r="C80" s="1" t="n">
        <v>45992</v>
      </c>
      <c r="D80" t="inlineStr">
        <is>
          <t>GÄVLEBORGS LÄN</t>
        </is>
      </c>
      <c r="E80" t="inlineStr">
        <is>
          <t>LJUSDAL</t>
        </is>
      </c>
      <c r="G80" t="n">
        <v>10.4</v>
      </c>
      <c r="H80" t="n">
        <v>2</v>
      </c>
      <c r="I80" t="n">
        <v>1</v>
      </c>
      <c r="J80" t="n">
        <v>2</v>
      </c>
      <c r="K80" t="n">
        <v>0</v>
      </c>
      <c r="L80" t="n">
        <v>0</v>
      </c>
      <c r="M80" t="n">
        <v>0</v>
      </c>
      <c r="N80" t="n">
        <v>0</v>
      </c>
      <c r="O80" t="n">
        <v>2</v>
      </c>
      <c r="P80" t="n">
        <v>0</v>
      </c>
      <c r="Q80" t="n">
        <v>4</v>
      </c>
      <c r="R80" s="2" t="inlineStr">
        <is>
          <t>Garnlav
Talltita
Skinnlav
Revlummer</t>
        </is>
      </c>
      <c r="S80">
        <f>HYPERLINK("https://klasma.github.io/Logging_2161/artfynd/A 26446-2025 artfynd.xlsx", "A 26446-2025")</f>
        <v/>
      </c>
      <c r="T80">
        <f>HYPERLINK("https://klasma.github.io/Logging_2161/kartor/A 26446-2025 karta.png", "A 26446-2025")</f>
        <v/>
      </c>
      <c r="V80">
        <f>HYPERLINK("https://klasma.github.io/Logging_2161/klagomål/A 26446-2025 FSC-klagomål.docx", "A 26446-2025")</f>
        <v/>
      </c>
      <c r="W80">
        <f>HYPERLINK("https://klasma.github.io/Logging_2161/klagomålsmail/A 26446-2025 FSC-klagomål mail.docx", "A 26446-2025")</f>
        <v/>
      </c>
      <c r="X80">
        <f>HYPERLINK("https://klasma.github.io/Logging_2161/tillsyn/A 26446-2025 tillsynsbegäran.docx", "A 26446-2025")</f>
        <v/>
      </c>
      <c r="Y80">
        <f>HYPERLINK("https://klasma.github.io/Logging_2161/tillsynsmail/A 26446-2025 tillsynsbegäran mail.docx", "A 26446-2025")</f>
        <v/>
      </c>
      <c r="Z80">
        <f>HYPERLINK("https://klasma.github.io/Logging_2161/fåglar/A 26446-2025 prioriterade fågelarter.docx", "A 26446-2025")</f>
        <v/>
      </c>
    </row>
    <row r="81" ht="15" customHeight="1">
      <c r="A81" t="inlineStr">
        <is>
          <t>A 27029-2025</t>
        </is>
      </c>
      <c r="B81" s="1" t="n">
        <v>45811.5847337963</v>
      </c>
      <c r="C81" s="1" t="n">
        <v>45992</v>
      </c>
      <c r="D81" t="inlineStr">
        <is>
          <t>GÄVLEBORGS LÄN</t>
        </is>
      </c>
      <c r="E81" t="inlineStr">
        <is>
          <t>LJUSDAL</t>
        </is>
      </c>
      <c r="F81" t="inlineStr">
        <is>
          <t>Allmännings- och besparingsskogar</t>
        </is>
      </c>
      <c r="G81" t="n">
        <v>1.6</v>
      </c>
      <c r="H81" t="n">
        <v>1</v>
      </c>
      <c r="I81" t="n">
        <v>0</v>
      </c>
      <c r="J81" t="n">
        <v>3</v>
      </c>
      <c r="K81" t="n">
        <v>0</v>
      </c>
      <c r="L81" t="n">
        <v>0</v>
      </c>
      <c r="M81" t="n">
        <v>0</v>
      </c>
      <c r="N81" t="n">
        <v>0</v>
      </c>
      <c r="O81" t="n">
        <v>3</v>
      </c>
      <c r="P81" t="n">
        <v>0</v>
      </c>
      <c r="Q81" t="n">
        <v>4</v>
      </c>
      <c r="R81" s="2" t="inlineStr">
        <is>
          <t>Garnlav
Tallticka
Vedskivlav
Tjäder</t>
        </is>
      </c>
      <c r="S81">
        <f>HYPERLINK("https://klasma.github.io/Logging_2161/artfynd/A 27029-2025 artfynd.xlsx", "A 27029-2025")</f>
        <v/>
      </c>
      <c r="T81">
        <f>HYPERLINK("https://klasma.github.io/Logging_2161/kartor/A 27029-2025 karta.png", "A 27029-2025")</f>
        <v/>
      </c>
      <c r="V81">
        <f>HYPERLINK("https://klasma.github.io/Logging_2161/klagomål/A 27029-2025 FSC-klagomål.docx", "A 27029-2025")</f>
        <v/>
      </c>
      <c r="W81">
        <f>HYPERLINK("https://klasma.github.io/Logging_2161/klagomålsmail/A 27029-2025 FSC-klagomål mail.docx", "A 27029-2025")</f>
        <v/>
      </c>
      <c r="X81">
        <f>HYPERLINK("https://klasma.github.io/Logging_2161/tillsyn/A 27029-2025 tillsynsbegäran.docx", "A 27029-2025")</f>
        <v/>
      </c>
      <c r="Y81">
        <f>HYPERLINK("https://klasma.github.io/Logging_2161/tillsynsmail/A 27029-2025 tillsynsbegäran mail.docx", "A 27029-2025")</f>
        <v/>
      </c>
      <c r="Z81">
        <f>HYPERLINK("https://klasma.github.io/Logging_2161/fåglar/A 27029-2025 prioriterade fågelarter.docx", "A 27029-2025")</f>
        <v/>
      </c>
    </row>
    <row r="82" ht="15" customHeight="1">
      <c r="A82" t="inlineStr">
        <is>
          <t>A 40791-2025</t>
        </is>
      </c>
      <c r="B82" s="1" t="n">
        <v>45897.4484375</v>
      </c>
      <c r="C82" s="1" t="n">
        <v>45992</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28058-2025</t>
        </is>
      </c>
      <c r="B83" s="1" t="n">
        <v>45817.66333333333</v>
      </c>
      <c r="C83" s="1" t="n">
        <v>45992</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28857-2025</t>
        </is>
      </c>
      <c r="B84" s="1" t="n">
        <v>45820</v>
      </c>
      <c r="C84" s="1" t="n">
        <v>45992</v>
      </c>
      <c r="D84" t="inlineStr">
        <is>
          <t>GÄVLEBORGS LÄN</t>
        </is>
      </c>
      <c r="E84" t="inlineStr">
        <is>
          <t>LJUSDAL</t>
        </is>
      </c>
      <c r="F84" t="inlineStr">
        <is>
          <t>Bergvik skog väst AB</t>
        </is>
      </c>
      <c r="G84" t="n">
        <v>12.5</v>
      </c>
      <c r="H84" t="n">
        <v>3</v>
      </c>
      <c r="I84" t="n">
        <v>0</v>
      </c>
      <c r="J84" t="n">
        <v>2</v>
      </c>
      <c r="K84" t="n">
        <v>0</v>
      </c>
      <c r="L84" t="n">
        <v>0</v>
      </c>
      <c r="M84" t="n">
        <v>0</v>
      </c>
      <c r="N84" t="n">
        <v>0</v>
      </c>
      <c r="O84" t="n">
        <v>2</v>
      </c>
      <c r="P84" t="n">
        <v>0</v>
      </c>
      <c r="Q84" t="n">
        <v>4</v>
      </c>
      <c r="R84" s="2" t="inlineStr">
        <is>
          <t>Garnlav
Järpe
Grönsiska
Tjäder</t>
        </is>
      </c>
      <c r="S84">
        <f>HYPERLINK("https://klasma.github.io/Logging_2161/artfynd/A 28857-2025 artfynd.xlsx", "A 28857-2025")</f>
        <v/>
      </c>
      <c r="T84">
        <f>HYPERLINK("https://klasma.github.io/Logging_2161/kartor/A 28857-2025 karta.png", "A 28857-2025")</f>
        <v/>
      </c>
      <c r="V84">
        <f>HYPERLINK("https://klasma.github.io/Logging_2161/klagomål/A 28857-2025 FSC-klagomål.docx", "A 28857-2025")</f>
        <v/>
      </c>
      <c r="W84">
        <f>HYPERLINK("https://klasma.github.io/Logging_2161/klagomålsmail/A 28857-2025 FSC-klagomål mail.docx", "A 28857-2025")</f>
        <v/>
      </c>
      <c r="X84">
        <f>HYPERLINK("https://klasma.github.io/Logging_2161/tillsyn/A 28857-2025 tillsynsbegäran.docx", "A 28857-2025")</f>
        <v/>
      </c>
      <c r="Y84">
        <f>HYPERLINK("https://klasma.github.io/Logging_2161/tillsynsmail/A 28857-2025 tillsynsbegäran mail.docx", "A 28857-2025")</f>
        <v/>
      </c>
      <c r="Z84">
        <f>HYPERLINK("https://klasma.github.io/Logging_2161/fåglar/A 28857-2025 prioriterade fågelarter.docx", "A 28857-2025")</f>
        <v/>
      </c>
    </row>
    <row r="85" ht="15" customHeight="1">
      <c r="A85" t="inlineStr">
        <is>
          <t>A 42022-2025</t>
        </is>
      </c>
      <c r="B85" s="1" t="n">
        <v>45903.59134259259</v>
      </c>
      <c r="C85" s="1" t="n">
        <v>45992</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45992</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42460-2025</t>
        </is>
      </c>
      <c r="B87" s="1" t="n">
        <v>45905.4566087963</v>
      </c>
      <c r="C87" s="1" t="n">
        <v>45992</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23393-2024</t>
        </is>
      </c>
      <c r="B88" s="1" t="n">
        <v>45453</v>
      </c>
      <c r="C88" s="1" t="n">
        <v>45992</v>
      </c>
      <c r="D88" t="inlineStr">
        <is>
          <t>GÄVLEBORGS LÄN</t>
        </is>
      </c>
      <c r="E88" t="inlineStr">
        <is>
          <t>LJUSDAL</t>
        </is>
      </c>
      <c r="G88" t="n">
        <v>4</v>
      </c>
      <c r="H88" t="n">
        <v>1</v>
      </c>
      <c r="I88" t="n">
        <v>0</v>
      </c>
      <c r="J88" t="n">
        <v>3</v>
      </c>
      <c r="K88" t="n">
        <v>0</v>
      </c>
      <c r="L88" t="n">
        <v>0</v>
      </c>
      <c r="M88" t="n">
        <v>0</v>
      </c>
      <c r="N88" t="n">
        <v>0</v>
      </c>
      <c r="O88" t="n">
        <v>3</v>
      </c>
      <c r="P88" t="n">
        <v>0</v>
      </c>
      <c r="Q88" t="n">
        <v>4</v>
      </c>
      <c r="R88" s="2" t="inlineStr">
        <is>
          <t>Kolflarnlav
Lunglav
Vedflamlav
Nattviol</t>
        </is>
      </c>
      <c r="S88">
        <f>HYPERLINK("https://klasma.github.io/Logging_2161/artfynd/A 23393-2024 artfynd.xlsx", "A 23393-2024")</f>
        <v/>
      </c>
      <c r="T88">
        <f>HYPERLINK("https://klasma.github.io/Logging_2161/kartor/A 23393-2024 karta.png", "A 23393-2024")</f>
        <v/>
      </c>
      <c r="V88">
        <f>HYPERLINK("https://klasma.github.io/Logging_2161/klagomål/A 23393-2024 FSC-klagomål.docx", "A 23393-2024")</f>
        <v/>
      </c>
      <c r="W88">
        <f>HYPERLINK("https://klasma.github.io/Logging_2161/klagomålsmail/A 23393-2024 FSC-klagomål mail.docx", "A 23393-2024")</f>
        <v/>
      </c>
      <c r="X88">
        <f>HYPERLINK("https://klasma.github.io/Logging_2161/tillsyn/A 23393-2024 tillsynsbegäran.docx", "A 23393-2024")</f>
        <v/>
      </c>
      <c r="Y88">
        <f>HYPERLINK("https://klasma.github.io/Logging_2161/tillsynsmail/A 23393-2024 tillsynsbegäran mail.docx", "A 23393-2024")</f>
        <v/>
      </c>
    </row>
    <row r="89" ht="15" customHeight="1">
      <c r="A89" t="inlineStr">
        <is>
          <t>A 34231-2024</t>
        </is>
      </c>
      <c r="B89" s="1" t="n">
        <v>45524.56362268519</v>
      </c>
      <c r="C89" s="1" t="n">
        <v>45992</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43829-2025</t>
        </is>
      </c>
      <c r="B90" s="1" t="n">
        <v>45912.62876157407</v>
      </c>
      <c r="C90" s="1" t="n">
        <v>45992</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53654-2025</t>
        </is>
      </c>
      <c r="B91" s="1" t="n">
        <v>45960.53219907408</v>
      </c>
      <c r="C91" s="1" t="n">
        <v>45992</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36150-2025</t>
        </is>
      </c>
      <c r="B92" s="1" t="n">
        <v>45867.29993055556</v>
      </c>
      <c r="C92" s="1" t="n">
        <v>45992</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45992</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37833-2025</t>
        </is>
      </c>
      <c r="B94" s="1" t="n">
        <v>45881.42224537037</v>
      </c>
      <c r="C94" s="1" t="n">
        <v>45992</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56800-2023</t>
        </is>
      </c>
      <c r="B95" s="1" t="n">
        <v>45244</v>
      </c>
      <c r="C95" s="1" t="n">
        <v>45992</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30608-2023</t>
        </is>
      </c>
      <c r="B96" s="1" t="n">
        <v>45112.39802083333</v>
      </c>
      <c r="C96" s="1" t="n">
        <v>45992</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38591-2025</t>
        </is>
      </c>
      <c r="B97" s="1" t="n">
        <v>45884.48002314815</v>
      </c>
      <c r="C97" s="1" t="n">
        <v>45992</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48925-2025</t>
        </is>
      </c>
      <c r="B98" s="1" t="n">
        <v>45937.50599537037</v>
      </c>
      <c r="C98" s="1" t="n">
        <v>45992</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45992</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49982-2025</t>
        </is>
      </c>
      <c r="B100" s="1" t="n">
        <v>45942</v>
      </c>
      <c r="C100" s="1" t="n">
        <v>45992</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56787-2023</t>
        </is>
      </c>
      <c r="B101" s="1" t="n">
        <v>45244</v>
      </c>
      <c r="C101" s="1" t="n">
        <v>45992</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45992</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45992</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45992</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45992</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45992</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45992</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45992</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45992</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45992</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45992</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56788-2023</t>
        </is>
      </c>
      <c r="B112" s="1" t="n">
        <v>45244</v>
      </c>
      <c r="C112" s="1" t="n">
        <v>45992</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28866-2025</t>
        </is>
      </c>
      <c r="B113" s="1" t="n">
        <v>45820</v>
      </c>
      <c r="C113" s="1" t="n">
        <v>45992</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41922-2025</t>
        </is>
      </c>
      <c r="B114" s="1" t="n">
        <v>45903.42525462963</v>
      </c>
      <c r="C114" s="1" t="n">
        <v>45992</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29239-2025</t>
        </is>
      </c>
      <c r="B115" s="1" t="n">
        <v>45824.35663194444</v>
      </c>
      <c r="C115" s="1" t="n">
        <v>45992</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42180-2025</t>
        </is>
      </c>
      <c r="B116" s="1" t="n">
        <v>45904.45078703704</v>
      </c>
      <c r="C116" s="1" t="n">
        <v>45992</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30295-2025</t>
        </is>
      </c>
      <c r="B117" s="1" t="n">
        <v>45827.47322916667</v>
      </c>
      <c r="C117" s="1" t="n">
        <v>45992</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32818-2025</t>
        </is>
      </c>
      <c r="B118" s="1" t="n">
        <v>45839.53280092592</v>
      </c>
      <c r="C118" s="1" t="n">
        <v>45992</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44207-2025</t>
        </is>
      </c>
      <c r="B119" s="1" t="n">
        <v>45915.62753472223</v>
      </c>
      <c r="C119" s="1" t="n">
        <v>45992</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34324-2025</t>
        </is>
      </c>
      <c r="B120" s="1" t="n">
        <v>45846.43172453704</v>
      </c>
      <c r="C120" s="1" t="n">
        <v>45992</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34376-2025</t>
        </is>
      </c>
      <c r="B121" s="1" t="n">
        <v>45846.53386574074</v>
      </c>
      <c r="C121" s="1" t="n">
        <v>45992</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39024-2024</t>
        </is>
      </c>
      <c r="B122" s="1" t="n">
        <v>45548</v>
      </c>
      <c r="C122" s="1" t="n">
        <v>45992</v>
      </c>
      <c r="D122" t="inlineStr">
        <is>
          <t>GÄVLEBORGS LÄN</t>
        </is>
      </c>
      <c r="E122" t="inlineStr">
        <is>
          <t>LJUSDAL</t>
        </is>
      </c>
      <c r="F122" t="inlineStr">
        <is>
          <t>Sveaskog</t>
        </is>
      </c>
      <c r="G122" t="n">
        <v>17</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39024-2024 artfynd.xlsx", "A 39024-2024")</f>
        <v/>
      </c>
      <c r="T122">
        <f>HYPERLINK("https://klasma.github.io/Logging_2161/kartor/A 39024-2024 karta.png", "A 39024-2024")</f>
        <v/>
      </c>
      <c r="V122">
        <f>HYPERLINK("https://klasma.github.io/Logging_2161/klagomål/A 39024-2024 FSC-klagomål.docx", "A 39024-2024")</f>
        <v/>
      </c>
      <c r="W122">
        <f>HYPERLINK("https://klasma.github.io/Logging_2161/klagomålsmail/A 39024-2024 FSC-klagomål mail.docx", "A 39024-2024")</f>
        <v/>
      </c>
      <c r="X122">
        <f>HYPERLINK("https://klasma.github.io/Logging_2161/tillsyn/A 39024-2024 tillsynsbegäran.docx", "A 39024-2024")</f>
        <v/>
      </c>
      <c r="Y122">
        <f>HYPERLINK("https://klasma.github.io/Logging_2161/tillsynsmail/A 39024-2024 tillsynsbegäran mail.docx", "A 39024-2024")</f>
        <v/>
      </c>
    </row>
    <row r="123" ht="15" customHeight="1">
      <c r="A123" t="inlineStr">
        <is>
          <t>A 35739-2025</t>
        </is>
      </c>
      <c r="B123" s="1" t="n">
        <v>45860.524375</v>
      </c>
      <c r="C123" s="1" t="n">
        <v>45992</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45992</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44451-2024</t>
        </is>
      </c>
      <c r="B125" s="1" t="n">
        <v>45574</v>
      </c>
      <c r="C125" s="1" t="n">
        <v>45992</v>
      </c>
      <c r="D125" t="inlineStr">
        <is>
          <t>GÄVLEBORGS LÄN</t>
        </is>
      </c>
      <c r="E125" t="inlineStr">
        <is>
          <t>LJUSDAL</t>
        </is>
      </c>
      <c r="G125" t="n">
        <v>1.4</v>
      </c>
      <c r="H125" t="n">
        <v>1</v>
      </c>
      <c r="I125" t="n">
        <v>1</v>
      </c>
      <c r="J125" t="n">
        <v>2</v>
      </c>
      <c r="K125" t="n">
        <v>0</v>
      </c>
      <c r="L125" t="n">
        <v>0</v>
      </c>
      <c r="M125" t="n">
        <v>0</v>
      </c>
      <c r="N125" t="n">
        <v>0</v>
      </c>
      <c r="O125" t="n">
        <v>2</v>
      </c>
      <c r="P125" t="n">
        <v>0</v>
      </c>
      <c r="Q125" t="n">
        <v>3</v>
      </c>
      <c r="R125" s="2" t="inlineStr">
        <is>
          <t>Kolflarnlav
Vedflamlav
Plattlummer</t>
        </is>
      </c>
      <c r="S125">
        <f>HYPERLINK("https://klasma.github.io/Logging_2161/artfynd/A 44451-2024 artfynd.xlsx", "A 44451-2024")</f>
        <v/>
      </c>
      <c r="T125">
        <f>HYPERLINK("https://klasma.github.io/Logging_2161/kartor/A 44451-2024 karta.png", "A 44451-2024")</f>
        <v/>
      </c>
      <c r="V125">
        <f>HYPERLINK("https://klasma.github.io/Logging_2161/klagomål/A 44451-2024 FSC-klagomål.docx", "A 44451-2024")</f>
        <v/>
      </c>
      <c r="W125">
        <f>HYPERLINK("https://klasma.github.io/Logging_2161/klagomålsmail/A 44451-2024 FSC-klagomål mail.docx", "A 44451-2024")</f>
        <v/>
      </c>
      <c r="X125">
        <f>HYPERLINK("https://klasma.github.io/Logging_2161/tillsyn/A 44451-2024 tillsynsbegäran.docx", "A 44451-2024")</f>
        <v/>
      </c>
      <c r="Y125">
        <f>HYPERLINK("https://klasma.github.io/Logging_2161/tillsynsmail/A 44451-2024 tillsynsbegäran mail.docx", "A 44451-2024")</f>
        <v/>
      </c>
    </row>
    <row r="126" ht="15" customHeight="1">
      <c r="A126" t="inlineStr">
        <is>
          <t>A 37835-2025</t>
        </is>
      </c>
      <c r="B126" s="1" t="n">
        <v>45881.42501157407</v>
      </c>
      <c r="C126" s="1" t="n">
        <v>45992</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30610-2023</t>
        </is>
      </c>
      <c r="B127" s="1" t="n">
        <v>45112.40128472223</v>
      </c>
      <c r="C127" s="1" t="n">
        <v>45992</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26606-2025</t>
        </is>
      </c>
      <c r="B128" s="1" t="n">
        <v>45809</v>
      </c>
      <c r="C128" s="1" t="n">
        <v>45992</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55108-2025</t>
        </is>
      </c>
      <c r="B129" s="1" t="n">
        <v>45968.37034722222</v>
      </c>
      <c r="C129" s="1" t="n">
        <v>45992</v>
      </c>
      <c r="D129" t="inlineStr">
        <is>
          <t>GÄVLEBORGS LÄN</t>
        </is>
      </c>
      <c r="E129" t="inlineStr">
        <is>
          <t>LJUSDAL</t>
        </is>
      </c>
      <c r="F129" t="inlineStr">
        <is>
          <t>Sveaskog</t>
        </is>
      </c>
      <c r="G129" t="n">
        <v>3.2</v>
      </c>
      <c r="H129" t="n">
        <v>0</v>
      </c>
      <c r="I129" t="n">
        <v>0</v>
      </c>
      <c r="J129" t="n">
        <v>3</v>
      </c>
      <c r="K129" t="n">
        <v>0</v>
      </c>
      <c r="L129" t="n">
        <v>0</v>
      </c>
      <c r="M129" t="n">
        <v>0</v>
      </c>
      <c r="N129" t="n">
        <v>0</v>
      </c>
      <c r="O129" t="n">
        <v>3</v>
      </c>
      <c r="P129" t="n">
        <v>0</v>
      </c>
      <c r="Q129" t="n">
        <v>3</v>
      </c>
      <c r="R129" s="2" t="inlineStr">
        <is>
          <t>Garnlav
Lunglav
Tallticka</t>
        </is>
      </c>
      <c r="S129">
        <f>HYPERLINK("https://klasma.github.io/Logging_2161/artfynd/A 55108-2025 artfynd.xlsx", "A 55108-2025")</f>
        <v/>
      </c>
      <c r="T129">
        <f>HYPERLINK("https://klasma.github.io/Logging_2161/kartor/A 55108-2025 karta.png", "A 55108-2025")</f>
        <v/>
      </c>
      <c r="V129">
        <f>HYPERLINK("https://klasma.github.io/Logging_2161/klagomål/A 55108-2025 FSC-klagomål.docx", "A 55108-2025")</f>
        <v/>
      </c>
      <c r="W129">
        <f>HYPERLINK("https://klasma.github.io/Logging_2161/klagomålsmail/A 55108-2025 FSC-klagomål mail.docx", "A 55108-2025")</f>
        <v/>
      </c>
      <c r="X129">
        <f>HYPERLINK("https://klasma.github.io/Logging_2161/tillsyn/A 55108-2025 tillsynsbegäran.docx", "A 55108-2025")</f>
        <v/>
      </c>
      <c r="Y129">
        <f>HYPERLINK("https://klasma.github.io/Logging_2161/tillsynsmail/A 55108-2025 tillsynsbegäran mail.docx", "A 55108-2025")</f>
        <v/>
      </c>
    </row>
    <row r="130" ht="15" customHeight="1">
      <c r="A130" t="inlineStr">
        <is>
          <t>A 55215-2025</t>
        </is>
      </c>
      <c r="B130" s="1" t="n">
        <v>45968.58435185185</v>
      </c>
      <c r="C130" s="1" t="n">
        <v>45992</v>
      </c>
      <c r="D130" t="inlineStr">
        <is>
          <t>GÄVLEBORGS LÄN</t>
        </is>
      </c>
      <c r="E130" t="inlineStr">
        <is>
          <t>LJUSDAL</t>
        </is>
      </c>
      <c r="F130" t="inlineStr">
        <is>
          <t>Holmen skog AB</t>
        </is>
      </c>
      <c r="G130" t="n">
        <v>3.6</v>
      </c>
      <c r="H130" t="n">
        <v>0</v>
      </c>
      <c r="I130" t="n">
        <v>0</v>
      </c>
      <c r="J130" t="n">
        <v>3</v>
      </c>
      <c r="K130" t="n">
        <v>0</v>
      </c>
      <c r="L130" t="n">
        <v>0</v>
      </c>
      <c r="M130" t="n">
        <v>0</v>
      </c>
      <c r="N130" t="n">
        <v>0</v>
      </c>
      <c r="O130" t="n">
        <v>3</v>
      </c>
      <c r="P130" t="n">
        <v>0</v>
      </c>
      <c r="Q130" t="n">
        <v>3</v>
      </c>
      <c r="R130" s="2" t="inlineStr">
        <is>
          <t>Garnlav
Kolflarnlav
Vedflamlav</t>
        </is>
      </c>
      <c r="S130">
        <f>HYPERLINK("https://klasma.github.io/Logging_2161/artfynd/A 55215-2025 artfynd.xlsx", "A 55215-2025")</f>
        <v/>
      </c>
      <c r="T130">
        <f>HYPERLINK("https://klasma.github.io/Logging_2161/kartor/A 55215-2025 karta.png", "A 55215-2025")</f>
        <v/>
      </c>
      <c r="V130">
        <f>HYPERLINK("https://klasma.github.io/Logging_2161/klagomål/A 55215-2025 FSC-klagomål.docx", "A 55215-2025")</f>
        <v/>
      </c>
      <c r="W130">
        <f>HYPERLINK("https://klasma.github.io/Logging_2161/klagomålsmail/A 55215-2025 FSC-klagomål mail.docx", "A 55215-2025")</f>
        <v/>
      </c>
      <c r="X130">
        <f>HYPERLINK("https://klasma.github.io/Logging_2161/tillsyn/A 55215-2025 tillsynsbegäran.docx", "A 55215-2025")</f>
        <v/>
      </c>
      <c r="Y130">
        <f>HYPERLINK("https://klasma.github.io/Logging_2161/tillsynsmail/A 55215-2025 tillsynsbegäran mail.docx", "A 55215-2025")</f>
        <v/>
      </c>
    </row>
    <row r="131" ht="15" customHeight="1">
      <c r="A131" t="inlineStr">
        <is>
          <t>A 38485-2025</t>
        </is>
      </c>
      <c r="B131" s="1" t="n">
        <v>45884.3415625</v>
      </c>
      <c r="C131" s="1" t="n">
        <v>45992</v>
      </c>
      <c r="D131" t="inlineStr">
        <is>
          <t>GÄVLEBORGS LÄN</t>
        </is>
      </c>
      <c r="E131" t="inlineStr">
        <is>
          <t>LJUSDAL</t>
        </is>
      </c>
      <c r="F131" t="inlineStr">
        <is>
          <t>Bergvik skog väst AB</t>
        </is>
      </c>
      <c r="G131" t="n">
        <v>9.300000000000001</v>
      </c>
      <c r="H131" t="n">
        <v>0</v>
      </c>
      <c r="I131" t="n">
        <v>1</v>
      </c>
      <c r="J131" t="n">
        <v>2</v>
      </c>
      <c r="K131" t="n">
        <v>0</v>
      </c>
      <c r="L131" t="n">
        <v>0</v>
      </c>
      <c r="M131" t="n">
        <v>0</v>
      </c>
      <c r="N131" t="n">
        <v>0</v>
      </c>
      <c r="O131" t="n">
        <v>2</v>
      </c>
      <c r="P131" t="n">
        <v>0</v>
      </c>
      <c r="Q131" t="n">
        <v>3</v>
      </c>
      <c r="R131" s="2" t="inlineStr">
        <is>
          <t>Kortskaftad ärgspik
Lunglav
Skinnlav</t>
        </is>
      </c>
      <c r="S131">
        <f>HYPERLINK("https://klasma.github.io/Logging_2161/artfynd/A 38485-2025 artfynd.xlsx", "A 38485-2025")</f>
        <v/>
      </c>
      <c r="T131">
        <f>HYPERLINK("https://klasma.github.io/Logging_2161/kartor/A 38485-2025 karta.png", "A 38485-2025")</f>
        <v/>
      </c>
      <c r="V131">
        <f>HYPERLINK("https://klasma.github.io/Logging_2161/klagomål/A 38485-2025 FSC-klagomål.docx", "A 38485-2025")</f>
        <v/>
      </c>
      <c r="W131">
        <f>HYPERLINK("https://klasma.github.io/Logging_2161/klagomålsmail/A 38485-2025 FSC-klagomål mail.docx", "A 38485-2025")</f>
        <v/>
      </c>
      <c r="X131">
        <f>HYPERLINK("https://klasma.github.io/Logging_2161/tillsyn/A 38485-2025 tillsynsbegäran.docx", "A 38485-2025")</f>
        <v/>
      </c>
      <c r="Y131">
        <f>HYPERLINK("https://klasma.github.io/Logging_2161/tillsynsmail/A 38485-2025 tillsynsbegäran mail.docx", "A 38485-2025")</f>
        <v/>
      </c>
    </row>
    <row r="132" ht="15" customHeight="1">
      <c r="A132" t="inlineStr">
        <is>
          <t>A 47876-2025</t>
        </is>
      </c>
      <c r="B132" s="1" t="n">
        <v>45932.45586805556</v>
      </c>
      <c r="C132" s="1" t="n">
        <v>45992</v>
      </c>
      <c r="D132" t="inlineStr">
        <is>
          <t>GÄVLEBORGS LÄN</t>
        </is>
      </c>
      <c r="E132" t="inlineStr">
        <is>
          <t>LJUSDAL</t>
        </is>
      </c>
      <c r="F132" t="inlineStr">
        <is>
          <t>Bergvik skog väst AB</t>
        </is>
      </c>
      <c r="G132" t="n">
        <v>0.9</v>
      </c>
      <c r="H132" t="n">
        <v>0</v>
      </c>
      <c r="I132" t="n">
        <v>0</v>
      </c>
      <c r="J132" t="n">
        <v>3</v>
      </c>
      <c r="K132" t="n">
        <v>0</v>
      </c>
      <c r="L132" t="n">
        <v>0</v>
      </c>
      <c r="M132" t="n">
        <v>0</v>
      </c>
      <c r="N132" t="n">
        <v>0</v>
      </c>
      <c r="O132" t="n">
        <v>3</v>
      </c>
      <c r="P132" t="n">
        <v>0</v>
      </c>
      <c r="Q132" t="n">
        <v>3</v>
      </c>
      <c r="R132" s="2" t="inlineStr">
        <is>
          <t>Garnlav
Kolflarnlav
Motaggsvamp</t>
        </is>
      </c>
      <c r="S132">
        <f>HYPERLINK("https://klasma.github.io/Logging_2161/artfynd/A 47876-2025 artfynd.xlsx", "A 47876-2025")</f>
        <v/>
      </c>
      <c r="T132">
        <f>HYPERLINK("https://klasma.github.io/Logging_2161/kartor/A 47876-2025 karta.png", "A 47876-2025")</f>
        <v/>
      </c>
      <c r="V132">
        <f>HYPERLINK("https://klasma.github.io/Logging_2161/klagomål/A 47876-2025 FSC-klagomål.docx", "A 47876-2025")</f>
        <v/>
      </c>
      <c r="W132">
        <f>HYPERLINK("https://klasma.github.io/Logging_2161/klagomålsmail/A 47876-2025 FSC-klagomål mail.docx", "A 47876-2025")</f>
        <v/>
      </c>
      <c r="X132">
        <f>HYPERLINK("https://klasma.github.io/Logging_2161/tillsyn/A 47876-2025 tillsynsbegäran.docx", "A 47876-2025")</f>
        <v/>
      </c>
      <c r="Y132">
        <f>HYPERLINK("https://klasma.github.io/Logging_2161/tillsynsmail/A 47876-2025 tillsynsbegäran mail.docx", "A 47876-2025")</f>
        <v/>
      </c>
    </row>
    <row r="133" ht="15" customHeight="1">
      <c r="A133" t="inlineStr">
        <is>
          <t>A 36621-2024</t>
        </is>
      </c>
      <c r="B133" s="1" t="n">
        <v>45537.58864583333</v>
      </c>
      <c r="C133" s="1" t="n">
        <v>45992</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45992</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50654-2025</t>
        </is>
      </c>
      <c r="B135" s="1" t="n">
        <v>45945.68238425926</v>
      </c>
      <c r="C135" s="1" t="n">
        <v>45992</v>
      </c>
      <c r="D135" t="inlineStr">
        <is>
          <t>GÄVLEBORGS LÄN</t>
        </is>
      </c>
      <c r="E135" t="inlineStr">
        <is>
          <t>LJUSDAL</t>
        </is>
      </c>
      <c r="F135" t="inlineStr">
        <is>
          <t>Sveaskog</t>
        </is>
      </c>
      <c r="G135" t="n">
        <v>6.3</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45945.69081018519</v>
      </c>
      <c r="C136" s="1" t="n">
        <v>45992</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17701-2025</t>
        </is>
      </c>
      <c r="B137" s="1" t="n">
        <v>45758</v>
      </c>
      <c r="C137" s="1" t="n">
        <v>45992</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17707-2025</t>
        </is>
      </c>
      <c r="B138" s="1" t="n">
        <v>45758</v>
      </c>
      <c r="C138" s="1" t="n">
        <v>45992</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22229-2024</t>
        </is>
      </c>
      <c r="B139" s="1" t="n">
        <v>45446.42638888889</v>
      </c>
      <c r="C139" s="1" t="n">
        <v>45992</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12105-2023</t>
        </is>
      </c>
      <c r="B140" s="1" t="n">
        <v>44998</v>
      </c>
      <c r="C140" s="1" t="n">
        <v>45992</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22239-2024</t>
        </is>
      </c>
      <c r="B141" s="1" t="n">
        <v>45446.44012731482</v>
      </c>
      <c r="C141" s="1" t="n">
        <v>45992</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45992</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36627-2024</t>
        </is>
      </c>
      <c r="B143" s="1" t="n">
        <v>45537</v>
      </c>
      <c r="C143" s="1" t="n">
        <v>45992</v>
      </c>
      <c r="D143" t="inlineStr">
        <is>
          <t>GÄVLEBORGS LÄN</t>
        </is>
      </c>
      <c r="E143" t="inlineStr">
        <is>
          <t>LJUSDAL</t>
        </is>
      </c>
      <c r="F143" t="inlineStr">
        <is>
          <t>Sveaskog</t>
        </is>
      </c>
      <c r="G143" t="n">
        <v>11.8</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36627-2024 artfynd.xlsx", "A 36627-2024")</f>
        <v/>
      </c>
      <c r="T143">
        <f>HYPERLINK("https://klasma.github.io/Logging_2161/kartor/A 36627-2024 karta.png", "A 36627-2024")</f>
        <v/>
      </c>
      <c r="V143">
        <f>HYPERLINK("https://klasma.github.io/Logging_2161/klagomål/A 36627-2024 FSC-klagomål.docx", "A 36627-2024")</f>
        <v/>
      </c>
      <c r="W143">
        <f>HYPERLINK("https://klasma.github.io/Logging_2161/klagomålsmail/A 36627-2024 FSC-klagomål mail.docx", "A 36627-2024")</f>
        <v/>
      </c>
      <c r="X143">
        <f>HYPERLINK("https://klasma.github.io/Logging_2161/tillsyn/A 36627-2024 tillsynsbegäran.docx", "A 36627-2024")</f>
        <v/>
      </c>
      <c r="Y143">
        <f>HYPERLINK("https://klasma.github.io/Logging_2161/tillsynsmail/A 36627-2024 tillsynsbegäran mail.docx", "A 36627-2024")</f>
        <v/>
      </c>
    </row>
    <row r="144" ht="15" customHeight="1">
      <c r="A144" t="inlineStr">
        <is>
          <t>A 46244-2024</t>
        </is>
      </c>
      <c r="B144" s="1" t="n">
        <v>45581.59032407407</v>
      </c>
      <c r="C144" s="1" t="n">
        <v>45992</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23643-2025</t>
        </is>
      </c>
      <c r="B145" s="1" t="n">
        <v>45792.68582175926</v>
      </c>
      <c r="C145" s="1" t="n">
        <v>45992</v>
      </c>
      <c r="D145" t="inlineStr">
        <is>
          <t>GÄVLEBORGS LÄN</t>
        </is>
      </c>
      <c r="E145" t="inlineStr">
        <is>
          <t>LJUSDAL</t>
        </is>
      </c>
      <c r="F145" t="inlineStr">
        <is>
          <t>Sveaskog</t>
        </is>
      </c>
      <c r="G145" t="n">
        <v>23.8</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HYPERLINK("https://klasma.github.io/Logging_2161/artfynd/A 23643-2025 artfynd.xlsx", "A 23643-2025")</f>
        <v/>
      </c>
      <c r="T145">
        <f>HYPERLINK("https://klasma.github.io/Logging_2161/kartor/A 23643-2025 karta.png", "A 23643-2025")</f>
        <v/>
      </c>
      <c r="V145">
        <f>HYPERLINK("https://klasma.github.io/Logging_2161/klagomål/A 23643-2025 FSC-klagomål.docx", "A 23643-2025")</f>
        <v/>
      </c>
      <c r="W145">
        <f>HYPERLINK("https://klasma.github.io/Logging_2161/klagomålsmail/A 23643-2025 FSC-klagomål mail.docx", "A 23643-2025")</f>
        <v/>
      </c>
      <c r="X145">
        <f>HYPERLINK("https://klasma.github.io/Logging_2161/tillsyn/A 23643-2025 tillsynsbegäran.docx", "A 23643-2025")</f>
        <v/>
      </c>
      <c r="Y145">
        <f>HYPERLINK("https://klasma.github.io/Logging_2161/tillsynsmail/A 23643-2025 tillsynsbegäran mail.docx", "A 23643-2025")</f>
        <v/>
      </c>
    </row>
    <row r="146" ht="15" customHeight="1">
      <c r="A146" t="inlineStr">
        <is>
          <t>A 44116-2022</t>
        </is>
      </c>
      <c r="B146" s="1" t="n">
        <v>44839</v>
      </c>
      <c r="C146" s="1" t="n">
        <v>45992</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45992</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45992</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45992</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45992</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45992</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45992</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45992</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45992</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24949-2025</t>
        </is>
      </c>
      <c r="B155" s="1" t="n">
        <v>45799.56797453704</v>
      </c>
      <c r="C155" s="1" t="n">
        <v>45992</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24949-2025 artfynd.xlsx", "A 24949-2025")</f>
        <v/>
      </c>
      <c r="T155">
        <f>HYPERLINK("https://klasma.github.io/Logging_2161/kartor/A 24949-2025 karta.png", "A 24949-2025")</f>
        <v/>
      </c>
      <c r="V155">
        <f>HYPERLINK("https://klasma.github.io/Logging_2161/klagomål/A 24949-2025 FSC-klagomål.docx", "A 24949-2025")</f>
        <v/>
      </c>
      <c r="W155">
        <f>HYPERLINK("https://klasma.github.io/Logging_2161/klagomålsmail/A 24949-2025 FSC-klagomål mail.docx", "A 24949-2025")</f>
        <v/>
      </c>
      <c r="X155">
        <f>HYPERLINK("https://klasma.github.io/Logging_2161/tillsyn/A 24949-2025 tillsynsbegäran.docx", "A 24949-2025")</f>
        <v/>
      </c>
      <c r="Y155">
        <f>HYPERLINK("https://klasma.github.io/Logging_2161/tillsynsmail/A 24949-2025 tillsynsbegäran mail.docx", "A 24949-2025")</f>
        <v/>
      </c>
    </row>
    <row r="156" ht="15" customHeight="1">
      <c r="A156" t="inlineStr">
        <is>
          <t>A 38698-2025</t>
        </is>
      </c>
      <c r="B156" s="1" t="n">
        <v>45884.78145833333</v>
      </c>
      <c r="C156" s="1" t="n">
        <v>45992</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23399-2024</t>
        </is>
      </c>
      <c r="B157" s="1" t="n">
        <v>45453</v>
      </c>
      <c r="C157" s="1" t="n">
        <v>45992</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26415-2025</t>
        </is>
      </c>
      <c r="B158" s="1" t="n">
        <v>45807.361875</v>
      </c>
      <c r="C158" s="1" t="n">
        <v>45992</v>
      </c>
      <c r="D158" t="inlineStr">
        <is>
          <t>GÄVLEBORGS LÄN</t>
        </is>
      </c>
      <c r="E158" t="inlineStr">
        <is>
          <t>LJUSDAL</t>
        </is>
      </c>
      <c r="F158" t="inlineStr">
        <is>
          <t>Naturvårdsverket</t>
        </is>
      </c>
      <c r="G158" t="n">
        <v>16.2</v>
      </c>
      <c r="H158" t="n">
        <v>2</v>
      </c>
      <c r="I158" t="n">
        <v>0</v>
      </c>
      <c r="J158" t="n">
        <v>1</v>
      </c>
      <c r="K158" t="n">
        <v>0</v>
      </c>
      <c r="L158" t="n">
        <v>0</v>
      </c>
      <c r="M158" t="n">
        <v>0</v>
      </c>
      <c r="N158" t="n">
        <v>0</v>
      </c>
      <c r="O158" t="n">
        <v>1</v>
      </c>
      <c r="P158" t="n">
        <v>0</v>
      </c>
      <c r="Q158" t="n">
        <v>2</v>
      </c>
      <c r="R158" s="2" t="inlineStr">
        <is>
          <t>Spillkråka
Revlummer</t>
        </is>
      </c>
      <c r="S158">
        <f>HYPERLINK("https://klasma.github.io/Logging_2161/artfynd/A 26415-2025 artfynd.xlsx", "A 26415-2025")</f>
        <v/>
      </c>
      <c r="T158">
        <f>HYPERLINK("https://klasma.github.io/Logging_2161/kartor/A 26415-2025 karta.png", "A 26415-2025")</f>
        <v/>
      </c>
      <c r="V158">
        <f>HYPERLINK("https://klasma.github.io/Logging_2161/klagomål/A 26415-2025 FSC-klagomål.docx", "A 26415-2025")</f>
        <v/>
      </c>
      <c r="W158">
        <f>HYPERLINK("https://klasma.github.io/Logging_2161/klagomålsmail/A 26415-2025 FSC-klagomål mail.docx", "A 26415-2025")</f>
        <v/>
      </c>
      <c r="X158">
        <f>HYPERLINK("https://klasma.github.io/Logging_2161/tillsyn/A 26415-2025 tillsynsbegäran.docx", "A 26415-2025")</f>
        <v/>
      </c>
      <c r="Y158">
        <f>HYPERLINK("https://klasma.github.io/Logging_2161/tillsynsmail/A 26415-2025 tillsynsbegäran mail.docx", "A 26415-2025")</f>
        <v/>
      </c>
      <c r="Z158">
        <f>HYPERLINK("https://klasma.github.io/Logging_2161/fåglar/A 26415-2025 prioriterade fågelarter.docx", "A 26415-2025")</f>
        <v/>
      </c>
    </row>
    <row r="159" ht="15" customHeight="1">
      <c r="A159" t="inlineStr">
        <is>
          <t>A 34997-2024</t>
        </is>
      </c>
      <c r="B159" s="1" t="n">
        <v>45527.56431712963</v>
      </c>
      <c r="C159" s="1" t="n">
        <v>45992</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22067-2024</t>
        </is>
      </c>
      <c r="B160" s="1" t="n">
        <v>45443.63162037037</v>
      </c>
      <c r="C160" s="1" t="n">
        <v>45992</v>
      </c>
      <c r="D160" t="inlineStr">
        <is>
          <t>GÄVLEBORGS LÄN</t>
        </is>
      </c>
      <c r="E160" t="inlineStr">
        <is>
          <t>LJUSDAL</t>
        </is>
      </c>
      <c r="F160" t="inlineStr">
        <is>
          <t>Sveaskog</t>
        </is>
      </c>
      <c r="G160" t="n">
        <v>2.9</v>
      </c>
      <c r="H160" t="n">
        <v>0</v>
      </c>
      <c r="I160" t="n">
        <v>0</v>
      </c>
      <c r="J160" t="n">
        <v>2</v>
      </c>
      <c r="K160" t="n">
        <v>0</v>
      </c>
      <c r="L160" t="n">
        <v>0</v>
      </c>
      <c r="M160" t="n">
        <v>0</v>
      </c>
      <c r="N160" t="n">
        <v>0</v>
      </c>
      <c r="O160" t="n">
        <v>2</v>
      </c>
      <c r="P160" t="n">
        <v>0</v>
      </c>
      <c r="Q160" t="n">
        <v>2</v>
      </c>
      <c r="R160" s="2" t="inlineStr">
        <is>
          <t>Garnlav
Skrovellav</t>
        </is>
      </c>
      <c r="S160">
        <f>HYPERLINK("https://klasma.github.io/Logging_2161/artfynd/A 22067-2024 artfynd.xlsx", "A 22067-2024")</f>
        <v/>
      </c>
      <c r="T160">
        <f>HYPERLINK("https://klasma.github.io/Logging_2161/kartor/A 22067-2024 karta.png", "A 22067-2024")</f>
        <v/>
      </c>
      <c r="V160">
        <f>HYPERLINK("https://klasma.github.io/Logging_2161/klagomål/A 22067-2024 FSC-klagomål.docx", "A 22067-2024")</f>
        <v/>
      </c>
      <c r="W160">
        <f>HYPERLINK("https://klasma.github.io/Logging_2161/klagomålsmail/A 22067-2024 FSC-klagomål mail.docx", "A 22067-2024")</f>
        <v/>
      </c>
      <c r="X160">
        <f>HYPERLINK("https://klasma.github.io/Logging_2161/tillsyn/A 22067-2024 tillsynsbegäran.docx", "A 22067-2024")</f>
        <v/>
      </c>
      <c r="Y160">
        <f>HYPERLINK("https://klasma.github.io/Logging_2161/tillsynsmail/A 22067-2024 tillsynsbegäran mail.docx", "A 22067-2024")</f>
        <v/>
      </c>
    </row>
    <row r="161" ht="15" customHeight="1">
      <c r="A161" t="inlineStr">
        <is>
          <t>A 69571-2020</t>
        </is>
      </c>
      <c r="B161" s="1" t="n">
        <v>44194</v>
      </c>
      <c r="C161" s="1" t="n">
        <v>45992</v>
      </c>
      <c r="D161" t="inlineStr">
        <is>
          <t>GÄVLEBORGS LÄN</t>
        </is>
      </c>
      <c r="E161" t="inlineStr">
        <is>
          <t>LJUSDAL</t>
        </is>
      </c>
      <c r="G161" t="n">
        <v>2.2</v>
      </c>
      <c r="H161" t="n">
        <v>0</v>
      </c>
      <c r="I161" t="n">
        <v>1</v>
      </c>
      <c r="J161" t="n">
        <v>1</v>
      </c>
      <c r="K161" t="n">
        <v>0</v>
      </c>
      <c r="L161" t="n">
        <v>0</v>
      </c>
      <c r="M161" t="n">
        <v>0</v>
      </c>
      <c r="N161" t="n">
        <v>0</v>
      </c>
      <c r="O161" t="n">
        <v>1</v>
      </c>
      <c r="P161" t="n">
        <v>0</v>
      </c>
      <c r="Q161" t="n">
        <v>2</v>
      </c>
      <c r="R161" s="2" t="inlineStr">
        <is>
          <t>Blek lundlav
Skinnlav</t>
        </is>
      </c>
      <c r="S161">
        <f>HYPERLINK("https://klasma.github.io/Logging_2161/artfynd/A 69571-2020 artfynd.xlsx", "A 69571-2020")</f>
        <v/>
      </c>
      <c r="T161">
        <f>HYPERLINK("https://klasma.github.io/Logging_2161/kartor/A 69571-2020 karta.png", "A 69571-2020")</f>
        <v/>
      </c>
      <c r="U161">
        <f>HYPERLINK("https://klasma.github.io/Logging_2161/knärot/A 69571-2020 karta knärot.png", "A 69571-2020")</f>
        <v/>
      </c>
      <c r="V161">
        <f>HYPERLINK("https://klasma.github.io/Logging_2161/klagomål/A 69571-2020 FSC-klagomål.docx", "A 69571-2020")</f>
        <v/>
      </c>
      <c r="W161">
        <f>HYPERLINK("https://klasma.github.io/Logging_2161/klagomålsmail/A 69571-2020 FSC-klagomål mail.docx", "A 69571-2020")</f>
        <v/>
      </c>
      <c r="X161">
        <f>HYPERLINK("https://klasma.github.io/Logging_2161/tillsyn/A 69571-2020 tillsynsbegäran.docx", "A 69571-2020")</f>
        <v/>
      </c>
      <c r="Y161">
        <f>HYPERLINK("https://klasma.github.io/Logging_2161/tillsynsmail/A 69571-2020 tillsynsbegäran mail.docx", "A 69571-2020")</f>
        <v/>
      </c>
    </row>
    <row r="162" ht="15" customHeight="1">
      <c r="A162" t="inlineStr">
        <is>
          <t>A 27122-2025</t>
        </is>
      </c>
      <c r="B162" s="1" t="n">
        <v>45811.77063657407</v>
      </c>
      <c r="C162" s="1" t="n">
        <v>45992</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45992</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45992</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30530-2025</t>
        </is>
      </c>
      <c r="B165" s="1" t="n">
        <v>45831.36056712963</v>
      </c>
      <c r="C165" s="1" t="n">
        <v>45992</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45992</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31078-2025</t>
        </is>
      </c>
      <c r="B167" s="1" t="n">
        <v>45832.5844212963</v>
      </c>
      <c r="C167" s="1" t="n">
        <v>45992</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31740-2025</t>
        </is>
      </c>
      <c r="B168" s="1" t="n">
        <v>45834.47508101852</v>
      </c>
      <c r="C168" s="1" t="n">
        <v>45992</v>
      </c>
      <c r="D168" t="inlineStr">
        <is>
          <t>GÄVLEBORGS LÄN</t>
        </is>
      </c>
      <c r="E168" t="inlineStr">
        <is>
          <t>LJUSDAL</t>
        </is>
      </c>
      <c r="F168" t="inlineStr">
        <is>
          <t>Allmännings- och besparingsskogar</t>
        </is>
      </c>
      <c r="G168" t="n">
        <v>7.3</v>
      </c>
      <c r="H168" t="n">
        <v>0</v>
      </c>
      <c r="I168" t="n">
        <v>0</v>
      </c>
      <c r="J168" t="n">
        <v>2</v>
      </c>
      <c r="K168" t="n">
        <v>0</v>
      </c>
      <c r="L168" t="n">
        <v>0</v>
      </c>
      <c r="M168" t="n">
        <v>0</v>
      </c>
      <c r="N168" t="n">
        <v>0</v>
      </c>
      <c r="O168" t="n">
        <v>2</v>
      </c>
      <c r="P168" t="n">
        <v>0</v>
      </c>
      <c r="Q168" t="n">
        <v>2</v>
      </c>
      <c r="R168" s="2" t="inlineStr">
        <is>
          <t>Garnlav
Vedskivlav</t>
        </is>
      </c>
      <c r="S168">
        <f>HYPERLINK("https://klasma.github.io/Logging_2161/artfynd/A 31740-2025 artfynd.xlsx", "A 31740-2025")</f>
        <v/>
      </c>
      <c r="T168">
        <f>HYPERLINK("https://klasma.github.io/Logging_2161/kartor/A 31740-2025 karta.png", "A 31740-2025")</f>
        <v/>
      </c>
      <c r="V168">
        <f>HYPERLINK("https://klasma.github.io/Logging_2161/klagomål/A 31740-2025 FSC-klagomål.docx", "A 31740-2025")</f>
        <v/>
      </c>
      <c r="W168">
        <f>HYPERLINK("https://klasma.github.io/Logging_2161/klagomålsmail/A 31740-2025 FSC-klagomål mail.docx", "A 31740-2025")</f>
        <v/>
      </c>
      <c r="X168">
        <f>HYPERLINK("https://klasma.github.io/Logging_2161/tillsyn/A 31740-2025 tillsynsbegäran.docx", "A 31740-2025")</f>
        <v/>
      </c>
      <c r="Y168">
        <f>HYPERLINK("https://klasma.github.io/Logging_2161/tillsynsmail/A 31740-2025 tillsynsbegäran mail.docx", "A 31740-2025")</f>
        <v/>
      </c>
    </row>
    <row r="169" ht="15" customHeight="1">
      <c r="A169" t="inlineStr">
        <is>
          <t>A 54108-2022</t>
        </is>
      </c>
      <c r="B169" s="1" t="n">
        <v>44881.55616898148</v>
      </c>
      <c r="C169" s="1" t="n">
        <v>45992</v>
      </c>
      <c r="D169" t="inlineStr">
        <is>
          <t>GÄVLEBORGS LÄN</t>
        </is>
      </c>
      <c r="E169" t="inlineStr">
        <is>
          <t>LJUSDAL</t>
        </is>
      </c>
      <c r="F169" t="inlineStr">
        <is>
          <t>Sveaskog</t>
        </is>
      </c>
      <c r="G169" t="n">
        <v>7.9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33332-2025</t>
        </is>
      </c>
      <c r="B170" s="1" t="n">
        <v>45841.35319444445</v>
      </c>
      <c r="C170" s="1" t="n">
        <v>45992</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43850-2025</t>
        </is>
      </c>
      <c r="B171" s="1" t="n">
        <v>45912.63934027778</v>
      </c>
      <c r="C171" s="1" t="n">
        <v>45992</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19848-2024</t>
        </is>
      </c>
      <c r="B172" s="1" t="n">
        <v>45433.39409722222</v>
      </c>
      <c r="C172" s="1" t="n">
        <v>45992</v>
      </c>
      <c r="D172" t="inlineStr">
        <is>
          <t>GÄVLEBORGS LÄN</t>
        </is>
      </c>
      <c r="E172" t="inlineStr">
        <is>
          <t>LJUSDAL</t>
        </is>
      </c>
      <c r="F172" t="inlineStr">
        <is>
          <t>Sveaskog</t>
        </is>
      </c>
      <c r="G172" t="n">
        <v>3.1</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19848-2024 artfynd.xlsx", "A 19848-2024")</f>
        <v/>
      </c>
      <c r="T172">
        <f>HYPERLINK("https://klasma.github.io/Logging_2161/kartor/A 19848-2024 karta.png", "A 19848-2024")</f>
        <v/>
      </c>
      <c r="V172">
        <f>HYPERLINK("https://klasma.github.io/Logging_2161/klagomål/A 19848-2024 FSC-klagomål.docx", "A 19848-2024")</f>
        <v/>
      </c>
      <c r="W172">
        <f>HYPERLINK("https://klasma.github.io/Logging_2161/klagomålsmail/A 19848-2024 FSC-klagomål mail.docx", "A 19848-2024")</f>
        <v/>
      </c>
      <c r="X172">
        <f>HYPERLINK("https://klasma.github.io/Logging_2161/tillsyn/A 19848-2024 tillsynsbegäran.docx", "A 19848-2024")</f>
        <v/>
      </c>
      <c r="Y172">
        <f>HYPERLINK("https://klasma.github.io/Logging_2161/tillsynsmail/A 19848-2024 tillsynsbegäran mail.docx", "A 19848-2024")</f>
        <v/>
      </c>
    </row>
    <row r="173" ht="15" customHeight="1">
      <c r="A173" t="inlineStr">
        <is>
          <t>A 18101-2024</t>
        </is>
      </c>
      <c r="B173" s="1" t="n">
        <v>45420</v>
      </c>
      <c r="C173" s="1" t="n">
        <v>45992</v>
      </c>
      <c r="D173" t="inlineStr">
        <is>
          <t>GÄVLEBORGS LÄN</t>
        </is>
      </c>
      <c r="E173" t="inlineStr">
        <is>
          <t>LJUSDAL</t>
        </is>
      </c>
      <c r="F173" t="inlineStr">
        <is>
          <t>Sveaskog</t>
        </is>
      </c>
      <c r="G173" t="n">
        <v>2.8</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18101-2024 artfynd.xlsx", "A 18101-2024")</f>
        <v/>
      </c>
      <c r="T173">
        <f>HYPERLINK("https://klasma.github.io/Logging_2161/kartor/A 18101-2024 karta.png", "A 18101-2024")</f>
        <v/>
      </c>
      <c r="V173">
        <f>HYPERLINK("https://klasma.github.io/Logging_2161/klagomål/A 18101-2024 FSC-klagomål.docx", "A 18101-2024")</f>
        <v/>
      </c>
      <c r="W173">
        <f>HYPERLINK("https://klasma.github.io/Logging_2161/klagomålsmail/A 18101-2024 FSC-klagomål mail.docx", "A 18101-2024")</f>
        <v/>
      </c>
      <c r="X173">
        <f>HYPERLINK("https://klasma.github.io/Logging_2161/tillsyn/A 18101-2024 tillsynsbegäran.docx", "A 18101-2024")</f>
        <v/>
      </c>
      <c r="Y173">
        <f>HYPERLINK("https://klasma.github.io/Logging_2161/tillsynsmail/A 18101-2024 tillsynsbegäran mail.docx", "A 18101-2024")</f>
        <v/>
      </c>
    </row>
    <row r="174" ht="15" customHeight="1">
      <c r="A174" t="inlineStr">
        <is>
          <t>A 46311-2025</t>
        </is>
      </c>
      <c r="B174" s="1" t="n">
        <v>45925.43980324074</v>
      </c>
      <c r="C174" s="1" t="n">
        <v>45992</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25992-2023</t>
        </is>
      </c>
      <c r="B175" s="1" t="n">
        <v>45090</v>
      </c>
      <c r="C175" s="1" t="n">
        <v>45992</v>
      </c>
      <c r="D175" t="inlineStr">
        <is>
          <t>GÄVLEBORGS LÄN</t>
        </is>
      </c>
      <c r="E175" t="inlineStr">
        <is>
          <t>LJUSDAL</t>
        </is>
      </c>
      <c r="G175" t="n">
        <v>3.8</v>
      </c>
      <c r="H175" t="n">
        <v>2</v>
      </c>
      <c r="I175" t="n">
        <v>0</v>
      </c>
      <c r="J175" t="n">
        <v>0</v>
      </c>
      <c r="K175" t="n">
        <v>0</v>
      </c>
      <c r="L175" t="n">
        <v>0</v>
      </c>
      <c r="M175" t="n">
        <v>0</v>
      </c>
      <c r="N175" t="n">
        <v>0</v>
      </c>
      <c r="O175" t="n">
        <v>0</v>
      </c>
      <c r="P175" t="n">
        <v>0</v>
      </c>
      <c r="Q175" t="n">
        <v>2</v>
      </c>
      <c r="R175" s="2" t="inlineStr">
        <is>
          <t>Järnsparv
Blåsippa</t>
        </is>
      </c>
      <c r="S175">
        <f>HYPERLINK("https://klasma.github.io/Logging_2161/artfynd/A 25992-2023 artfynd.xlsx", "A 25992-2023")</f>
        <v/>
      </c>
      <c r="T175">
        <f>HYPERLINK("https://klasma.github.io/Logging_2161/kartor/A 25992-2023 karta.png", "A 25992-2023")</f>
        <v/>
      </c>
      <c r="V175">
        <f>HYPERLINK("https://klasma.github.io/Logging_2161/klagomål/A 25992-2023 FSC-klagomål.docx", "A 25992-2023")</f>
        <v/>
      </c>
      <c r="W175">
        <f>HYPERLINK("https://klasma.github.io/Logging_2161/klagomålsmail/A 25992-2023 FSC-klagomål mail.docx", "A 25992-2023")</f>
        <v/>
      </c>
      <c r="X175">
        <f>HYPERLINK("https://klasma.github.io/Logging_2161/tillsyn/A 25992-2023 tillsynsbegäran.docx", "A 25992-2023")</f>
        <v/>
      </c>
      <c r="Y175">
        <f>HYPERLINK("https://klasma.github.io/Logging_2161/tillsynsmail/A 25992-2023 tillsynsbegäran mail.docx", "A 25992-2023")</f>
        <v/>
      </c>
      <c r="Z175">
        <f>HYPERLINK("https://klasma.github.io/Logging_2161/fåglar/A 25992-2023 prioriterade fågelarter.docx", "A 25992-2023")</f>
        <v/>
      </c>
    </row>
    <row r="176" ht="15" customHeight="1">
      <c r="A176" t="inlineStr">
        <is>
          <t>A 38084-2025</t>
        </is>
      </c>
      <c r="B176" s="1" t="n">
        <v>45882</v>
      </c>
      <c r="C176" s="1" t="n">
        <v>45992</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38088-2025</t>
        </is>
      </c>
      <c r="B177" s="1" t="n">
        <v>45882.47858796296</v>
      </c>
      <c r="C177" s="1" t="n">
        <v>45992</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38088-2025 artfynd.xlsx", "A 38088-2025")</f>
        <v/>
      </c>
      <c r="T177">
        <f>HYPERLINK("https://klasma.github.io/Logging_2161/kartor/A 38088-2025 karta.png", "A 38088-2025")</f>
        <v/>
      </c>
      <c r="V177">
        <f>HYPERLINK("https://klasma.github.io/Logging_2161/klagomål/A 38088-2025 FSC-klagomål.docx", "A 38088-2025")</f>
        <v/>
      </c>
      <c r="W177">
        <f>HYPERLINK("https://klasma.github.io/Logging_2161/klagomålsmail/A 38088-2025 FSC-klagomål mail.docx", "A 38088-2025")</f>
        <v/>
      </c>
      <c r="X177">
        <f>HYPERLINK("https://klasma.github.io/Logging_2161/tillsyn/A 38088-2025 tillsynsbegäran.docx", "A 38088-2025")</f>
        <v/>
      </c>
      <c r="Y177">
        <f>HYPERLINK("https://klasma.github.io/Logging_2161/tillsynsmail/A 38088-2025 tillsynsbegäran mail.docx", "A 38088-2025")</f>
        <v/>
      </c>
    </row>
    <row r="178" ht="15" customHeight="1">
      <c r="A178" t="inlineStr">
        <is>
          <t>A 38196-2025</t>
        </is>
      </c>
      <c r="B178" s="1" t="n">
        <v>45882.66326388889</v>
      </c>
      <c r="C178" s="1" t="n">
        <v>45992</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46651-2025</t>
        </is>
      </c>
      <c r="B179" s="1" t="n">
        <v>45926.48703703703</v>
      </c>
      <c r="C179" s="1" t="n">
        <v>45992</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20098-2025</t>
        </is>
      </c>
      <c r="B180" s="1" t="n">
        <v>45772.46837962963</v>
      </c>
      <c r="C180" s="1" t="n">
        <v>45992</v>
      </c>
      <c r="D180" t="inlineStr">
        <is>
          <t>GÄVLEBORGS LÄN</t>
        </is>
      </c>
      <c r="E180" t="inlineStr">
        <is>
          <t>LJUSDAL</t>
        </is>
      </c>
      <c r="F180" t="inlineStr">
        <is>
          <t>Sveaskog</t>
        </is>
      </c>
      <c r="G180" t="n">
        <v>14.7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20098-2025 artfynd.xlsx", "A 20098-2025")</f>
        <v/>
      </c>
      <c r="T180">
        <f>HYPERLINK("https://klasma.github.io/Logging_2161/kartor/A 20098-2025 karta.png", "A 20098-2025")</f>
        <v/>
      </c>
      <c r="V180">
        <f>HYPERLINK("https://klasma.github.io/Logging_2161/klagomål/A 20098-2025 FSC-klagomål.docx", "A 20098-2025")</f>
        <v/>
      </c>
      <c r="W180">
        <f>HYPERLINK("https://klasma.github.io/Logging_2161/klagomålsmail/A 20098-2025 FSC-klagomål mail.docx", "A 20098-2025")</f>
        <v/>
      </c>
      <c r="X180">
        <f>HYPERLINK("https://klasma.github.io/Logging_2161/tillsyn/A 20098-2025 tillsynsbegäran.docx", "A 20098-2025")</f>
        <v/>
      </c>
      <c r="Y180">
        <f>HYPERLINK("https://klasma.github.io/Logging_2161/tillsynsmail/A 20098-2025 tillsynsbegäran mail.docx", "A 20098-2025")</f>
        <v/>
      </c>
    </row>
    <row r="181" ht="15" customHeight="1">
      <c r="A181" t="inlineStr">
        <is>
          <t>A 60541-2022</t>
        </is>
      </c>
      <c r="B181" s="1" t="n">
        <v>44911</v>
      </c>
      <c r="C181" s="1" t="n">
        <v>45992</v>
      </c>
      <c r="D181" t="inlineStr">
        <is>
          <t>GÄVLEBORGS LÄN</t>
        </is>
      </c>
      <c r="E181" t="inlineStr">
        <is>
          <t>LJUSDAL</t>
        </is>
      </c>
      <c r="F181" t="inlineStr">
        <is>
          <t>Bergvik skog väst AB</t>
        </is>
      </c>
      <c r="G181" t="n">
        <v>5.4</v>
      </c>
      <c r="H181" t="n">
        <v>2</v>
      </c>
      <c r="I181" t="n">
        <v>0</v>
      </c>
      <c r="J181" t="n">
        <v>0</v>
      </c>
      <c r="K181" t="n">
        <v>0</v>
      </c>
      <c r="L181" t="n">
        <v>0</v>
      </c>
      <c r="M181" t="n">
        <v>0</v>
      </c>
      <c r="N181" t="n">
        <v>0</v>
      </c>
      <c r="O181" t="n">
        <v>0</v>
      </c>
      <c r="P181" t="n">
        <v>0</v>
      </c>
      <c r="Q181" t="n">
        <v>2</v>
      </c>
      <c r="R181" s="2" t="inlineStr">
        <is>
          <t>Orre
Pärluggla</t>
        </is>
      </c>
      <c r="S181">
        <f>HYPERLINK("https://klasma.github.io/Logging_2161/artfynd/A 60541-2022 artfynd.xlsx", "A 60541-2022")</f>
        <v/>
      </c>
      <c r="T181">
        <f>HYPERLINK("https://klasma.github.io/Logging_2161/kartor/A 60541-2022 karta.png", "A 60541-2022")</f>
        <v/>
      </c>
      <c r="V181">
        <f>HYPERLINK("https://klasma.github.io/Logging_2161/klagomål/A 60541-2022 FSC-klagomål.docx", "A 60541-2022")</f>
        <v/>
      </c>
      <c r="W181">
        <f>HYPERLINK("https://klasma.github.io/Logging_2161/klagomålsmail/A 60541-2022 FSC-klagomål mail.docx", "A 60541-2022")</f>
        <v/>
      </c>
      <c r="X181">
        <f>HYPERLINK("https://klasma.github.io/Logging_2161/tillsyn/A 60541-2022 tillsynsbegäran.docx", "A 60541-2022")</f>
        <v/>
      </c>
      <c r="Y181">
        <f>HYPERLINK("https://klasma.github.io/Logging_2161/tillsynsmail/A 60541-2022 tillsynsbegäran mail.docx", "A 60541-2022")</f>
        <v/>
      </c>
      <c r="Z181">
        <f>HYPERLINK("https://klasma.github.io/Logging_2161/fåglar/A 60541-2022 prioriterade fågelarter.docx", "A 60541-2022")</f>
        <v/>
      </c>
    </row>
    <row r="182" ht="15" customHeight="1">
      <c r="A182" t="inlineStr">
        <is>
          <t>A 48297-2025</t>
        </is>
      </c>
      <c r="B182" s="1" t="n">
        <v>45933.60915509259</v>
      </c>
      <c r="C182" s="1" t="n">
        <v>45992</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47877-2025</t>
        </is>
      </c>
      <c r="B183" s="1" t="n">
        <v>45932.45855324074</v>
      </c>
      <c r="C183" s="1" t="n">
        <v>45992</v>
      </c>
      <c r="D183" t="inlineStr">
        <is>
          <t>GÄVLEBORGS LÄN</t>
        </is>
      </c>
      <c r="E183" t="inlineStr">
        <is>
          <t>LJUSDAL</t>
        </is>
      </c>
      <c r="F183" t="inlineStr">
        <is>
          <t>Bergvik skog väst AB</t>
        </is>
      </c>
      <c r="G183" t="n">
        <v>1.1</v>
      </c>
      <c r="H183" t="n">
        <v>1</v>
      </c>
      <c r="I183" t="n">
        <v>0</v>
      </c>
      <c r="J183" t="n">
        <v>1</v>
      </c>
      <c r="K183" t="n">
        <v>1</v>
      </c>
      <c r="L183" t="n">
        <v>0</v>
      </c>
      <c r="M183" t="n">
        <v>0</v>
      </c>
      <c r="N183" t="n">
        <v>0</v>
      </c>
      <c r="O183" t="n">
        <v>2</v>
      </c>
      <c r="P183" t="n">
        <v>1</v>
      </c>
      <c r="Q183" t="n">
        <v>2</v>
      </c>
      <c r="R183" s="2" t="inlineStr">
        <is>
          <t>Knärot
Garnlav</t>
        </is>
      </c>
      <c r="S183">
        <f>HYPERLINK("https://klasma.github.io/Logging_2161/artfynd/A 47877-2025 artfynd.xlsx", "A 47877-2025")</f>
        <v/>
      </c>
      <c r="T183">
        <f>HYPERLINK("https://klasma.github.io/Logging_2161/kartor/A 47877-2025 karta.png", "A 47877-2025")</f>
        <v/>
      </c>
      <c r="U183">
        <f>HYPERLINK("https://klasma.github.io/Logging_2161/knärot/A 47877-2025 karta knärot.png", "A 47877-2025")</f>
        <v/>
      </c>
      <c r="V183">
        <f>HYPERLINK("https://klasma.github.io/Logging_2161/klagomål/A 47877-2025 FSC-klagomål.docx", "A 47877-2025")</f>
        <v/>
      </c>
      <c r="W183">
        <f>HYPERLINK("https://klasma.github.io/Logging_2161/klagomålsmail/A 47877-2025 FSC-klagomål mail.docx", "A 47877-2025")</f>
        <v/>
      </c>
      <c r="X183">
        <f>HYPERLINK("https://klasma.github.io/Logging_2161/tillsyn/A 47877-2025 tillsynsbegäran.docx", "A 47877-2025")</f>
        <v/>
      </c>
      <c r="Y183">
        <f>HYPERLINK("https://klasma.github.io/Logging_2161/tillsynsmail/A 47877-2025 tillsynsbegäran mail.docx", "A 47877-2025")</f>
        <v/>
      </c>
    </row>
    <row r="184" ht="15" customHeight="1">
      <c r="A184" t="inlineStr">
        <is>
          <t>A 39889-2024</t>
        </is>
      </c>
      <c r="B184" s="1" t="n">
        <v>45553</v>
      </c>
      <c r="C184" s="1" t="n">
        <v>45992</v>
      </c>
      <c r="D184" t="inlineStr">
        <is>
          <t>GÄVLEBORGS LÄN</t>
        </is>
      </c>
      <c r="E184" t="inlineStr">
        <is>
          <t>LJUSDAL</t>
        </is>
      </c>
      <c r="F184" t="inlineStr">
        <is>
          <t>Sveaskog</t>
        </is>
      </c>
      <c r="G184" t="n">
        <v>1.5</v>
      </c>
      <c r="H184" t="n">
        <v>1</v>
      </c>
      <c r="I184" t="n">
        <v>0</v>
      </c>
      <c r="J184" t="n">
        <v>1</v>
      </c>
      <c r="K184" t="n">
        <v>1</v>
      </c>
      <c r="L184" t="n">
        <v>0</v>
      </c>
      <c r="M184" t="n">
        <v>0</v>
      </c>
      <c r="N184" t="n">
        <v>0</v>
      </c>
      <c r="O184" t="n">
        <v>2</v>
      </c>
      <c r="P184" t="n">
        <v>1</v>
      </c>
      <c r="Q184" t="n">
        <v>2</v>
      </c>
      <c r="R184" s="2" t="inlineStr">
        <is>
          <t>Knärot
Ullticka</t>
        </is>
      </c>
      <c r="S184">
        <f>HYPERLINK("https://klasma.github.io/Logging_2161/artfynd/A 39889-2024 artfynd.xlsx", "A 39889-2024")</f>
        <v/>
      </c>
      <c r="T184">
        <f>HYPERLINK("https://klasma.github.io/Logging_2161/kartor/A 39889-2024 karta.png", "A 39889-2024")</f>
        <v/>
      </c>
      <c r="U184">
        <f>HYPERLINK("https://klasma.github.io/Logging_2161/knärot/A 39889-2024 karta knärot.png", "A 39889-2024")</f>
        <v/>
      </c>
      <c r="V184">
        <f>HYPERLINK("https://klasma.github.io/Logging_2161/klagomål/A 39889-2024 FSC-klagomål.docx", "A 39889-2024")</f>
        <v/>
      </c>
      <c r="W184">
        <f>HYPERLINK("https://klasma.github.io/Logging_2161/klagomålsmail/A 39889-2024 FSC-klagomål mail.docx", "A 39889-2024")</f>
        <v/>
      </c>
      <c r="X184">
        <f>HYPERLINK("https://klasma.github.io/Logging_2161/tillsyn/A 39889-2024 tillsynsbegäran.docx", "A 39889-2024")</f>
        <v/>
      </c>
      <c r="Y184">
        <f>HYPERLINK("https://klasma.github.io/Logging_2161/tillsynsmail/A 39889-2024 tillsynsbegäran mail.docx", "A 39889-2024")</f>
        <v/>
      </c>
    </row>
    <row r="185" ht="15" customHeight="1">
      <c r="A185" t="inlineStr">
        <is>
          <t>A 18731-2024</t>
        </is>
      </c>
      <c r="B185" s="1" t="n">
        <v>45426</v>
      </c>
      <c r="C185" s="1" t="n">
        <v>45992</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45270-2024</t>
        </is>
      </c>
      <c r="B186" s="1" t="n">
        <v>45576.35777777778</v>
      </c>
      <c r="C186" s="1" t="n">
        <v>45992</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58878-2025</t>
        </is>
      </c>
      <c r="B187" s="1" t="n">
        <v>45987.47013888889</v>
      </c>
      <c r="C187" s="1" t="n">
        <v>45992</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20247-2025</t>
        </is>
      </c>
      <c r="B188" s="1" t="n">
        <v>45772.7460300926</v>
      </c>
      <c r="C188" s="1" t="n">
        <v>45992</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18986-2024</t>
        </is>
      </c>
      <c r="B189" s="1" t="n">
        <v>45427</v>
      </c>
      <c r="C189" s="1" t="n">
        <v>45992</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45992</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45992</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45992</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45992</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45992</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45992</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45992</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45992</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45992</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45992</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45992</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45992</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45992</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45992</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45992</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45992</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45992</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45992</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45992</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45992</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45992</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45992</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45992</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45992</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38699-2025</t>
        </is>
      </c>
      <c r="B214" s="1" t="n">
        <v>45884.78680555556</v>
      </c>
      <c r="C214" s="1" t="n">
        <v>45992</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56782-2023</t>
        </is>
      </c>
      <c r="B215" s="1" t="n">
        <v>45244</v>
      </c>
      <c r="C215" s="1" t="n">
        <v>45992</v>
      </c>
      <c r="D215" t="inlineStr">
        <is>
          <t>GÄVLEBORGS LÄN</t>
        </is>
      </c>
      <c r="E215" t="inlineStr">
        <is>
          <t>LJUSDAL</t>
        </is>
      </c>
      <c r="F215" t="inlineStr">
        <is>
          <t>Sveaskog</t>
        </is>
      </c>
      <c r="G215" t="n">
        <v>0.8</v>
      </c>
      <c r="H215" t="n">
        <v>1</v>
      </c>
      <c r="I215" t="n">
        <v>0</v>
      </c>
      <c r="J215" t="n">
        <v>1</v>
      </c>
      <c r="K215" t="n">
        <v>0</v>
      </c>
      <c r="L215" t="n">
        <v>0</v>
      </c>
      <c r="M215" t="n">
        <v>0</v>
      </c>
      <c r="N215" t="n">
        <v>0</v>
      </c>
      <c r="O215" t="n">
        <v>1</v>
      </c>
      <c r="P215" t="n">
        <v>0</v>
      </c>
      <c r="Q215" t="n">
        <v>1</v>
      </c>
      <c r="R215" s="2" t="inlineStr">
        <is>
          <t>Järpe</t>
        </is>
      </c>
      <c r="S215">
        <f>HYPERLINK("https://klasma.github.io/Logging_2161/artfynd/A 56782-2023 artfynd.xlsx", "A 56782-2023")</f>
        <v/>
      </c>
      <c r="T215">
        <f>HYPERLINK("https://klasma.github.io/Logging_2161/kartor/A 56782-2023 karta.png", "A 56782-2023")</f>
        <v/>
      </c>
      <c r="U215">
        <f>HYPERLINK("https://klasma.github.io/Logging_2161/knärot/A 56782-2023 karta knärot.png", "A 56782-2023")</f>
        <v/>
      </c>
      <c r="V215">
        <f>HYPERLINK("https://klasma.github.io/Logging_2161/klagomål/A 56782-2023 FSC-klagomål.docx", "A 56782-2023")</f>
        <v/>
      </c>
      <c r="W215">
        <f>HYPERLINK("https://klasma.github.io/Logging_2161/klagomålsmail/A 56782-2023 FSC-klagomål mail.docx", "A 56782-2023")</f>
        <v/>
      </c>
      <c r="X215">
        <f>HYPERLINK("https://klasma.github.io/Logging_2161/tillsyn/A 56782-2023 tillsynsbegäran.docx", "A 56782-2023")</f>
        <v/>
      </c>
      <c r="Y215">
        <f>HYPERLINK("https://klasma.github.io/Logging_2161/tillsynsmail/A 56782-2023 tillsynsbegäran mail.docx", "A 56782-2023")</f>
        <v/>
      </c>
      <c r="Z215">
        <f>HYPERLINK("https://klasma.github.io/Logging_2161/fåglar/A 56782-2023 prioriterade fågelarter.docx", "A 56782-2023")</f>
        <v/>
      </c>
    </row>
    <row r="216" ht="15" customHeight="1">
      <c r="A216" t="inlineStr">
        <is>
          <t>A 31417-2024</t>
        </is>
      </c>
      <c r="B216" s="1" t="n">
        <v>45505.62011574074</v>
      </c>
      <c r="C216" s="1" t="n">
        <v>45992</v>
      </c>
      <c r="D216" t="inlineStr">
        <is>
          <t>GÄVLEBORGS LÄN</t>
        </is>
      </c>
      <c r="E216" t="inlineStr">
        <is>
          <t>LJUSDAL</t>
        </is>
      </c>
      <c r="F216" t="inlineStr">
        <is>
          <t>Sveaskog</t>
        </is>
      </c>
      <c r="G216" t="n">
        <v>3</v>
      </c>
      <c r="H216" t="n">
        <v>0</v>
      </c>
      <c r="I216" t="n">
        <v>0</v>
      </c>
      <c r="J216" t="n">
        <v>1</v>
      </c>
      <c r="K216" t="n">
        <v>0</v>
      </c>
      <c r="L216" t="n">
        <v>0</v>
      </c>
      <c r="M216" t="n">
        <v>0</v>
      </c>
      <c r="N216" t="n">
        <v>0</v>
      </c>
      <c r="O216" t="n">
        <v>1</v>
      </c>
      <c r="P216" t="n">
        <v>0</v>
      </c>
      <c r="Q216" t="n">
        <v>1</v>
      </c>
      <c r="R216" s="2" t="inlineStr">
        <is>
          <t>Kolflarnlav</t>
        </is>
      </c>
      <c r="S216">
        <f>HYPERLINK("https://klasma.github.io/Logging_2161/artfynd/A 31417-2024 artfynd.xlsx", "A 31417-2024")</f>
        <v/>
      </c>
      <c r="T216">
        <f>HYPERLINK("https://klasma.github.io/Logging_2161/kartor/A 31417-2024 karta.png", "A 31417-2024")</f>
        <v/>
      </c>
      <c r="V216">
        <f>HYPERLINK("https://klasma.github.io/Logging_2161/klagomål/A 31417-2024 FSC-klagomål.docx", "A 31417-2024")</f>
        <v/>
      </c>
      <c r="W216">
        <f>HYPERLINK("https://klasma.github.io/Logging_2161/klagomålsmail/A 31417-2024 FSC-klagomål mail.docx", "A 31417-2024")</f>
        <v/>
      </c>
      <c r="X216">
        <f>HYPERLINK("https://klasma.github.io/Logging_2161/tillsyn/A 31417-2024 tillsynsbegäran.docx", "A 31417-2024")</f>
        <v/>
      </c>
      <c r="Y216">
        <f>HYPERLINK("https://klasma.github.io/Logging_2161/tillsynsmail/A 31417-2024 tillsynsbegäran mail.docx", "A 31417-2024")</f>
        <v/>
      </c>
    </row>
    <row r="217" ht="15" customHeight="1">
      <c r="A217" t="inlineStr">
        <is>
          <t>A 26202-2025</t>
        </is>
      </c>
      <c r="B217" s="1" t="n">
        <v>45805.50910879629</v>
      </c>
      <c r="C217" s="1" t="n">
        <v>45992</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39545-2025</t>
        </is>
      </c>
      <c r="B218" s="1" t="n">
        <v>45890.45697916667</v>
      </c>
      <c r="C218" s="1" t="n">
        <v>45992</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45992</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40214-2025</t>
        </is>
      </c>
      <c r="B220" s="1" t="n">
        <v>45894.68690972222</v>
      </c>
      <c r="C220" s="1" t="n">
        <v>45992</v>
      </c>
      <c r="D220" t="inlineStr">
        <is>
          <t>GÄVLEBORGS LÄN</t>
        </is>
      </c>
      <c r="E220" t="inlineStr">
        <is>
          <t>LJUSDAL</t>
        </is>
      </c>
      <c r="F220" t="inlineStr">
        <is>
          <t>Sveaskog</t>
        </is>
      </c>
      <c r="G220" t="n">
        <v>7.3</v>
      </c>
      <c r="H220" t="n">
        <v>1</v>
      </c>
      <c r="I220" t="n">
        <v>1</v>
      </c>
      <c r="J220" t="n">
        <v>0</v>
      </c>
      <c r="K220" t="n">
        <v>0</v>
      </c>
      <c r="L220" t="n">
        <v>0</v>
      </c>
      <c r="M220" t="n">
        <v>0</v>
      </c>
      <c r="N220" t="n">
        <v>0</v>
      </c>
      <c r="O220" t="n">
        <v>0</v>
      </c>
      <c r="P220" t="n">
        <v>0</v>
      </c>
      <c r="Q220" t="n">
        <v>1</v>
      </c>
      <c r="R220" s="2" t="inlineStr">
        <is>
          <t>Plattlummer</t>
        </is>
      </c>
      <c r="S220">
        <f>HYPERLINK("https://klasma.github.io/Logging_2161/artfynd/A 40214-2025 artfynd.xlsx", "A 40214-2025")</f>
        <v/>
      </c>
      <c r="T220">
        <f>HYPERLINK("https://klasma.github.io/Logging_2161/kartor/A 40214-2025 karta.png", "A 40214-2025")</f>
        <v/>
      </c>
      <c r="U220">
        <f>HYPERLINK("https://klasma.github.io/Logging_2161/knärot/A 40214-2025 karta knärot.png", "A 40214-2025")</f>
        <v/>
      </c>
      <c r="V220">
        <f>HYPERLINK("https://klasma.github.io/Logging_2161/klagomål/A 40214-2025 FSC-klagomål.docx", "A 40214-2025")</f>
        <v/>
      </c>
      <c r="W220">
        <f>HYPERLINK("https://klasma.github.io/Logging_2161/klagomålsmail/A 40214-2025 FSC-klagomål mail.docx", "A 40214-2025")</f>
        <v/>
      </c>
      <c r="X220">
        <f>HYPERLINK("https://klasma.github.io/Logging_2161/tillsyn/A 40214-2025 tillsynsbegäran.docx", "A 40214-2025")</f>
        <v/>
      </c>
      <c r="Y220">
        <f>HYPERLINK("https://klasma.github.io/Logging_2161/tillsynsmail/A 40214-2025 tillsynsbegäran mail.docx", "A 40214-2025")</f>
        <v/>
      </c>
    </row>
    <row r="221" ht="15" customHeight="1">
      <c r="A221" t="inlineStr">
        <is>
          <t>A 40179-2025</t>
        </is>
      </c>
      <c r="B221" s="1" t="n">
        <v>45894.6367824074</v>
      </c>
      <c r="C221" s="1" t="n">
        <v>45992</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27884-2025</t>
        </is>
      </c>
      <c r="B222" s="1" t="n">
        <v>45817.44993055556</v>
      </c>
      <c r="C222" s="1" t="n">
        <v>45992</v>
      </c>
      <c r="D222" t="inlineStr">
        <is>
          <t>GÄVLEBORGS LÄN</t>
        </is>
      </c>
      <c r="E222" t="inlineStr">
        <is>
          <t>LJUSDAL</t>
        </is>
      </c>
      <c r="F222" t="inlineStr">
        <is>
          <t>Sveaskog</t>
        </is>
      </c>
      <c r="G222" t="n">
        <v>5.8</v>
      </c>
      <c r="H222" t="n">
        <v>0</v>
      </c>
      <c r="I222" t="n">
        <v>0</v>
      </c>
      <c r="J222" t="n">
        <v>1</v>
      </c>
      <c r="K222" t="n">
        <v>0</v>
      </c>
      <c r="L222" t="n">
        <v>0</v>
      </c>
      <c r="M222" t="n">
        <v>0</v>
      </c>
      <c r="N222" t="n">
        <v>0</v>
      </c>
      <c r="O222" t="n">
        <v>1</v>
      </c>
      <c r="P222" t="n">
        <v>0</v>
      </c>
      <c r="Q222" t="n">
        <v>1</v>
      </c>
      <c r="R222" s="2" t="inlineStr">
        <is>
          <t>Lunglav</t>
        </is>
      </c>
      <c r="S222">
        <f>HYPERLINK("https://klasma.github.io/Logging_2161/artfynd/A 27884-2025 artfynd.xlsx", "A 27884-2025")</f>
        <v/>
      </c>
      <c r="T222">
        <f>HYPERLINK("https://klasma.github.io/Logging_2161/kartor/A 27884-2025 karta.png", "A 27884-2025")</f>
        <v/>
      </c>
      <c r="V222">
        <f>HYPERLINK("https://klasma.github.io/Logging_2161/klagomål/A 27884-2025 FSC-klagomål.docx", "A 27884-2025")</f>
        <v/>
      </c>
      <c r="W222">
        <f>HYPERLINK("https://klasma.github.io/Logging_2161/klagomålsmail/A 27884-2025 FSC-klagomål mail.docx", "A 27884-2025")</f>
        <v/>
      </c>
      <c r="X222">
        <f>HYPERLINK("https://klasma.github.io/Logging_2161/tillsyn/A 27884-2025 tillsynsbegäran.docx", "A 27884-2025")</f>
        <v/>
      </c>
      <c r="Y222">
        <f>HYPERLINK("https://klasma.github.io/Logging_2161/tillsynsmail/A 27884-2025 tillsynsbegäran mail.docx", "A 27884-2025")</f>
        <v/>
      </c>
    </row>
    <row r="223" ht="15" customHeight="1">
      <c r="A223" t="inlineStr">
        <is>
          <t>A 40968-2025</t>
        </is>
      </c>
      <c r="B223" s="1" t="n">
        <v>45897.77994212963</v>
      </c>
      <c r="C223" s="1" t="n">
        <v>45992</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40968-2025 artfynd.xlsx", "A 40968-2025")</f>
        <v/>
      </c>
      <c r="T223">
        <f>HYPERLINK("https://klasma.github.io/Logging_2161/kartor/A 40968-2025 karta.png", "A 40968-2025")</f>
        <v/>
      </c>
      <c r="V223">
        <f>HYPERLINK("https://klasma.github.io/Logging_2161/klagomål/A 40968-2025 FSC-klagomål.docx", "A 40968-2025")</f>
        <v/>
      </c>
      <c r="W223">
        <f>HYPERLINK("https://klasma.github.io/Logging_2161/klagomålsmail/A 40968-2025 FSC-klagomål mail.docx", "A 40968-2025")</f>
        <v/>
      </c>
      <c r="X223">
        <f>HYPERLINK("https://klasma.github.io/Logging_2161/tillsyn/A 40968-2025 tillsynsbegäran.docx", "A 40968-2025")</f>
        <v/>
      </c>
      <c r="Y223">
        <f>HYPERLINK("https://klasma.github.io/Logging_2161/tillsynsmail/A 40968-2025 tillsynsbegäran mail.docx", "A 40968-2025")</f>
        <v/>
      </c>
    </row>
    <row r="224" ht="15" customHeight="1">
      <c r="A224" t="inlineStr">
        <is>
          <t>A 34233-2024</t>
        </is>
      </c>
      <c r="B224" s="1" t="n">
        <v>45524.56537037037</v>
      </c>
      <c r="C224" s="1" t="n">
        <v>45992</v>
      </c>
      <c r="D224" t="inlineStr">
        <is>
          <t>GÄVLEBORGS LÄN</t>
        </is>
      </c>
      <c r="E224" t="inlineStr">
        <is>
          <t>LJUSDAL</t>
        </is>
      </c>
      <c r="F224" t="inlineStr">
        <is>
          <t>Sveaskog</t>
        </is>
      </c>
      <c r="G224" t="n">
        <v>7.5</v>
      </c>
      <c r="H224" t="n">
        <v>1</v>
      </c>
      <c r="I224" t="n">
        <v>1</v>
      </c>
      <c r="J224" t="n">
        <v>0</v>
      </c>
      <c r="K224" t="n">
        <v>0</v>
      </c>
      <c r="L224" t="n">
        <v>0</v>
      </c>
      <c r="M224" t="n">
        <v>0</v>
      </c>
      <c r="N224" t="n">
        <v>0</v>
      </c>
      <c r="O224" t="n">
        <v>0</v>
      </c>
      <c r="P224" t="n">
        <v>0</v>
      </c>
      <c r="Q224" t="n">
        <v>1</v>
      </c>
      <c r="R224" s="2" t="inlineStr">
        <is>
          <t>Plattlummer</t>
        </is>
      </c>
      <c r="S224">
        <f>HYPERLINK("https://klasma.github.io/Logging_2161/artfynd/A 34233-2024 artfynd.xlsx", "A 34233-2024")</f>
        <v/>
      </c>
      <c r="T224">
        <f>HYPERLINK("https://klasma.github.io/Logging_2161/kartor/A 34233-2024 karta.png", "A 34233-2024")</f>
        <v/>
      </c>
      <c r="V224">
        <f>HYPERLINK("https://klasma.github.io/Logging_2161/klagomål/A 34233-2024 FSC-klagomål.docx", "A 34233-2024")</f>
        <v/>
      </c>
      <c r="W224">
        <f>HYPERLINK("https://klasma.github.io/Logging_2161/klagomålsmail/A 34233-2024 FSC-klagomål mail.docx", "A 34233-2024")</f>
        <v/>
      </c>
      <c r="X224">
        <f>HYPERLINK("https://klasma.github.io/Logging_2161/tillsyn/A 34233-2024 tillsynsbegäran.docx", "A 34233-2024")</f>
        <v/>
      </c>
      <c r="Y224">
        <f>HYPERLINK("https://klasma.github.io/Logging_2161/tillsynsmail/A 34233-2024 tillsynsbegäran mail.docx", "A 34233-2024")</f>
        <v/>
      </c>
    </row>
    <row r="225" ht="15" customHeight="1">
      <c r="A225" t="inlineStr">
        <is>
          <t>A 49803-2022</t>
        </is>
      </c>
      <c r="B225" s="1" t="n">
        <v>44862.66302083333</v>
      </c>
      <c r="C225" s="1" t="n">
        <v>45992</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41211-2025</t>
        </is>
      </c>
      <c r="B226" s="1" t="n">
        <v>45898.57900462963</v>
      </c>
      <c r="C226" s="1" t="n">
        <v>45992</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45992</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45992</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45992</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45992</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45992</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45992</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29292-2025</t>
        </is>
      </c>
      <c r="B233" s="1" t="n">
        <v>45824.44224537037</v>
      </c>
      <c r="C233" s="1" t="n">
        <v>45992</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29292-2025 artfynd.xlsx", "A 29292-2025")</f>
        <v/>
      </c>
      <c r="T233">
        <f>HYPERLINK("https://klasma.github.io/Logging_2161/kartor/A 29292-2025 karta.png", "A 29292-2025")</f>
        <v/>
      </c>
      <c r="V233">
        <f>HYPERLINK("https://klasma.github.io/Logging_2161/klagomål/A 29292-2025 FSC-klagomål.docx", "A 29292-2025")</f>
        <v/>
      </c>
      <c r="W233">
        <f>HYPERLINK("https://klasma.github.io/Logging_2161/klagomålsmail/A 29292-2025 FSC-klagomål mail.docx", "A 29292-2025")</f>
        <v/>
      </c>
      <c r="X233">
        <f>HYPERLINK("https://klasma.github.io/Logging_2161/tillsyn/A 29292-2025 tillsynsbegäran.docx", "A 29292-2025")</f>
        <v/>
      </c>
      <c r="Y233">
        <f>HYPERLINK("https://klasma.github.io/Logging_2161/tillsynsmail/A 29292-2025 tillsynsbegäran mail.docx", "A 29292-2025")</f>
        <v/>
      </c>
    </row>
    <row r="234" ht="15" customHeight="1">
      <c r="A234" t="inlineStr">
        <is>
          <t>A 30298-2025</t>
        </is>
      </c>
      <c r="B234" s="1" t="n">
        <v>45827.47530092593</v>
      </c>
      <c r="C234" s="1" t="n">
        <v>45992</v>
      </c>
      <c r="D234" t="inlineStr">
        <is>
          <t>GÄVLEBORGS LÄN</t>
        </is>
      </c>
      <c r="E234" t="inlineStr">
        <is>
          <t>LJUSDAL</t>
        </is>
      </c>
      <c r="F234" t="inlineStr">
        <is>
          <t>Sveaskog</t>
        </is>
      </c>
      <c r="G234" t="n">
        <v>8.800000000000001</v>
      </c>
      <c r="H234" t="n">
        <v>0</v>
      </c>
      <c r="I234" t="n">
        <v>0</v>
      </c>
      <c r="J234" t="n">
        <v>1</v>
      </c>
      <c r="K234" t="n">
        <v>0</v>
      </c>
      <c r="L234" t="n">
        <v>0</v>
      </c>
      <c r="M234" t="n">
        <v>0</v>
      </c>
      <c r="N234" t="n">
        <v>0</v>
      </c>
      <c r="O234" t="n">
        <v>1</v>
      </c>
      <c r="P234" t="n">
        <v>0</v>
      </c>
      <c r="Q234" t="n">
        <v>1</v>
      </c>
      <c r="R234" s="2" t="inlineStr">
        <is>
          <t>Kolflarnlav</t>
        </is>
      </c>
      <c r="S234">
        <f>HYPERLINK("https://klasma.github.io/Logging_2161/artfynd/A 30298-2025 artfynd.xlsx", "A 30298-2025")</f>
        <v/>
      </c>
      <c r="T234">
        <f>HYPERLINK("https://klasma.github.io/Logging_2161/kartor/A 30298-2025 karta.png", "A 30298-2025")</f>
        <v/>
      </c>
      <c r="V234">
        <f>HYPERLINK("https://klasma.github.io/Logging_2161/klagomål/A 30298-2025 FSC-klagomål.docx", "A 30298-2025")</f>
        <v/>
      </c>
      <c r="W234">
        <f>HYPERLINK("https://klasma.github.io/Logging_2161/klagomålsmail/A 30298-2025 FSC-klagomål mail.docx", "A 30298-2025")</f>
        <v/>
      </c>
      <c r="X234">
        <f>HYPERLINK("https://klasma.github.io/Logging_2161/tillsyn/A 30298-2025 tillsynsbegäran.docx", "A 30298-2025")</f>
        <v/>
      </c>
      <c r="Y234">
        <f>HYPERLINK("https://klasma.github.io/Logging_2161/tillsynsmail/A 30298-2025 tillsynsbegäran mail.docx", "A 30298-2025")</f>
        <v/>
      </c>
    </row>
    <row r="235" ht="15" customHeight="1">
      <c r="A235" t="inlineStr">
        <is>
          <t>A 30371-2025</t>
        </is>
      </c>
      <c r="B235" s="1" t="n">
        <v>45827.56134259259</v>
      </c>
      <c r="C235" s="1" t="n">
        <v>45992</v>
      </c>
      <c r="D235" t="inlineStr">
        <is>
          <t>GÄVLEBORGS LÄN</t>
        </is>
      </c>
      <c r="E235" t="inlineStr">
        <is>
          <t>LJUSDAL</t>
        </is>
      </c>
      <c r="F235" t="inlineStr">
        <is>
          <t>Sveaskog</t>
        </is>
      </c>
      <c r="G235" t="n">
        <v>4.6</v>
      </c>
      <c r="H235" t="n">
        <v>0</v>
      </c>
      <c r="I235" t="n">
        <v>0</v>
      </c>
      <c r="J235" t="n">
        <v>1</v>
      </c>
      <c r="K235" t="n">
        <v>0</v>
      </c>
      <c r="L235" t="n">
        <v>0</v>
      </c>
      <c r="M235" t="n">
        <v>0</v>
      </c>
      <c r="N235" t="n">
        <v>0</v>
      </c>
      <c r="O235" t="n">
        <v>1</v>
      </c>
      <c r="P235" t="n">
        <v>0</v>
      </c>
      <c r="Q235" t="n">
        <v>1</v>
      </c>
      <c r="R235" s="2" t="inlineStr">
        <is>
          <t>Kolflarnlav</t>
        </is>
      </c>
      <c r="S235">
        <f>HYPERLINK("https://klasma.github.io/Logging_2161/artfynd/A 30371-2025 artfynd.xlsx", "A 30371-2025")</f>
        <v/>
      </c>
      <c r="T235">
        <f>HYPERLINK("https://klasma.github.io/Logging_2161/kartor/A 30371-2025 karta.png", "A 30371-2025")</f>
        <v/>
      </c>
      <c r="V235">
        <f>HYPERLINK("https://klasma.github.io/Logging_2161/klagomål/A 30371-2025 FSC-klagomål.docx", "A 30371-2025")</f>
        <v/>
      </c>
      <c r="W235">
        <f>HYPERLINK("https://klasma.github.io/Logging_2161/klagomålsmail/A 30371-2025 FSC-klagomål mail.docx", "A 30371-2025")</f>
        <v/>
      </c>
      <c r="X235">
        <f>HYPERLINK("https://klasma.github.io/Logging_2161/tillsyn/A 30371-2025 tillsynsbegäran.docx", "A 30371-2025")</f>
        <v/>
      </c>
      <c r="Y235">
        <f>HYPERLINK("https://klasma.github.io/Logging_2161/tillsynsmail/A 30371-2025 tillsynsbegäran mail.docx", "A 30371-2025")</f>
        <v/>
      </c>
    </row>
    <row r="236" ht="15" customHeight="1">
      <c r="A236" t="inlineStr">
        <is>
          <t>A 42183-2025</t>
        </is>
      </c>
      <c r="B236" s="1" t="n">
        <v>45904.45236111111</v>
      </c>
      <c r="C236" s="1" t="n">
        <v>45992</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42182-2025</t>
        </is>
      </c>
      <c r="B237" s="1" t="n">
        <v>45904.4516087963</v>
      </c>
      <c r="C237" s="1" t="n">
        <v>45992</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30296-2025</t>
        </is>
      </c>
      <c r="B238" s="1" t="n">
        <v>45827.47434027777</v>
      </c>
      <c r="C238" s="1" t="n">
        <v>45992</v>
      </c>
      <c r="D238" t="inlineStr">
        <is>
          <t>GÄVLEBORGS LÄN</t>
        </is>
      </c>
      <c r="E238" t="inlineStr">
        <is>
          <t>LJUSDAL</t>
        </is>
      </c>
      <c r="F238" t="inlineStr">
        <is>
          <t>Sveaskog</t>
        </is>
      </c>
      <c r="G238" t="n">
        <v>5.5</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30296-2025 artfynd.xlsx", "A 30296-2025")</f>
        <v/>
      </c>
      <c r="T238">
        <f>HYPERLINK("https://klasma.github.io/Logging_2161/kartor/A 30296-2025 karta.png", "A 30296-2025")</f>
        <v/>
      </c>
      <c r="V238">
        <f>HYPERLINK("https://klasma.github.io/Logging_2161/klagomål/A 30296-2025 FSC-klagomål.docx", "A 30296-2025")</f>
        <v/>
      </c>
      <c r="W238">
        <f>HYPERLINK("https://klasma.github.io/Logging_2161/klagomålsmail/A 30296-2025 FSC-klagomål mail.docx", "A 30296-2025")</f>
        <v/>
      </c>
      <c r="X238">
        <f>HYPERLINK("https://klasma.github.io/Logging_2161/tillsyn/A 30296-2025 tillsynsbegäran.docx", "A 30296-2025")</f>
        <v/>
      </c>
      <c r="Y238">
        <f>HYPERLINK("https://klasma.github.io/Logging_2161/tillsynsmail/A 30296-2025 tillsynsbegäran mail.docx", "A 30296-2025")</f>
        <v/>
      </c>
    </row>
    <row r="239" ht="15" customHeight="1">
      <c r="A239" t="inlineStr">
        <is>
          <t>A 32499-2023</t>
        </is>
      </c>
      <c r="B239" s="1" t="n">
        <v>45121.30815972222</v>
      </c>
      <c r="C239" s="1" t="n">
        <v>45992</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34346-2024</t>
        </is>
      </c>
      <c r="B240" s="1" t="n">
        <v>45525.34310185185</v>
      </c>
      <c r="C240" s="1" t="n">
        <v>45992</v>
      </c>
      <c r="D240" t="inlineStr">
        <is>
          <t>GÄVLEBORGS LÄN</t>
        </is>
      </c>
      <c r="E240" t="inlineStr">
        <is>
          <t>LJUSDAL</t>
        </is>
      </c>
      <c r="F240" t="inlineStr">
        <is>
          <t>Holmen skog AB</t>
        </is>
      </c>
      <c r="G240" t="n">
        <v>6.8</v>
      </c>
      <c r="H240" t="n">
        <v>1</v>
      </c>
      <c r="I240" t="n">
        <v>0</v>
      </c>
      <c r="J240" t="n">
        <v>1</v>
      </c>
      <c r="K240" t="n">
        <v>0</v>
      </c>
      <c r="L240" t="n">
        <v>0</v>
      </c>
      <c r="M240" t="n">
        <v>0</v>
      </c>
      <c r="N240" t="n">
        <v>0</v>
      </c>
      <c r="O240" t="n">
        <v>1</v>
      </c>
      <c r="P240" t="n">
        <v>0</v>
      </c>
      <c r="Q240" t="n">
        <v>1</v>
      </c>
      <c r="R240" s="2" t="inlineStr">
        <is>
          <t>Talltita</t>
        </is>
      </c>
      <c r="S240">
        <f>HYPERLINK("https://klasma.github.io/Logging_2161/artfynd/A 34346-2024 artfynd.xlsx", "A 34346-2024")</f>
        <v/>
      </c>
      <c r="T240">
        <f>HYPERLINK("https://klasma.github.io/Logging_2161/kartor/A 34346-2024 karta.png", "A 34346-2024")</f>
        <v/>
      </c>
      <c r="V240">
        <f>HYPERLINK("https://klasma.github.io/Logging_2161/klagomål/A 34346-2024 FSC-klagomål.docx", "A 34346-2024")</f>
        <v/>
      </c>
      <c r="W240">
        <f>HYPERLINK("https://klasma.github.io/Logging_2161/klagomålsmail/A 34346-2024 FSC-klagomål mail.docx", "A 34346-2024")</f>
        <v/>
      </c>
      <c r="X240">
        <f>HYPERLINK("https://klasma.github.io/Logging_2161/tillsyn/A 34346-2024 tillsynsbegäran.docx", "A 34346-2024")</f>
        <v/>
      </c>
      <c r="Y240">
        <f>HYPERLINK("https://klasma.github.io/Logging_2161/tillsynsmail/A 34346-2024 tillsynsbegäran mail.docx", "A 34346-2024")</f>
        <v/>
      </c>
      <c r="Z240">
        <f>HYPERLINK("https://klasma.github.io/Logging_2161/fåglar/A 34346-2024 prioriterade fågelarter.docx", "A 34346-2024")</f>
        <v/>
      </c>
    </row>
    <row r="241" ht="15" customHeight="1">
      <c r="A241" t="inlineStr">
        <is>
          <t>A 31828-2025</t>
        </is>
      </c>
      <c r="B241" s="1" t="n">
        <v>45834.58667824074</v>
      </c>
      <c r="C241" s="1" t="n">
        <v>45992</v>
      </c>
      <c r="D241" t="inlineStr">
        <is>
          <t>GÄVLEBORGS LÄN</t>
        </is>
      </c>
      <c r="E241" t="inlineStr">
        <is>
          <t>LJUSDAL</t>
        </is>
      </c>
      <c r="F241" t="inlineStr">
        <is>
          <t>Sveaskog</t>
        </is>
      </c>
      <c r="G241" t="n">
        <v>4</v>
      </c>
      <c r="H241" t="n">
        <v>0</v>
      </c>
      <c r="I241" t="n">
        <v>0</v>
      </c>
      <c r="J241" t="n">
        <v>1</v>
      </c>
      <c r="K241" t="n">
        <v>0</v>
      </c>
      <c r="L241" t="n">
        <v>0</v>
      </c>
      <c r="M241" t="n">
        <v>0</v>
      </c>
      <c r="N241" t="n">
        <v>0</v>
      </c>
      <c r="O241" t="n">
        <v>1</v>
      </c>
      <c r="P241" t="n">
        <v>0</v>
      </c>
      <c r="Q241" t="n">
        <v>1</v>
      </c>
      <c r="R241" s="2" t="inlineStr">
        <is>
          <t>Blå taggsvamp</t>
        </is>
      </c>
      <c r="S241">
        <f>HYPERLINK("https://klasma.github.io/Logging_2161/artfynd/A 31828-2025 artfynd.xlsx", "A 31828-2025")</f>
        <v/>
      </c>
      <c r="T241">
        <f>HYPERLINK("https://klasma.github.io/Logging_2161/kartor/A 31828-2025 karta.png", "A 31828-2025")</f>
        <v/>
      </c>
      <c r="V241">
        <f>HYPERLINK("https://klasma.github.io/Logging_2161/klagomål/A 31828-2025 FSC-klagomål.docx", "A 31828-2025")</f>
        <v/>
      </c>
      <c r="W241">
        <f>HYPERLINK("https://klasma.github.io/Logging_2161/klagomålsmail/A 31828-2025 FSC-klagomål mail.docx", "A 31828-2025")</f>
        <v/>
      </c>
      <c r="X241">
        <f>HYPERLINK("https://klasma.github.io/Logging_2161/tillsyn/A 31828-2025 tillsynsbegäran.docx", "A 31828-2025")</f>
        <v/>
      </c>
      <c r="Y241">
        <f>HYPERLINK("https://klasma.github.io/Logging_2161/tillsynsmail/A 31828-2025 tillsynsbegäran mail.docx", "A 31828-2025")</f>
        <v/>
      </c>
    </row>
    <row r="242" ht="15" customHeight="1">
      <c r="A242" t="inlineStr">
        <is>
          <t>A 32152-2025</t>
        </is>
      </c>
      <c r="B242" s="1" t="n">
        <v>45835.53287037037</v>
      </c>
      <c r="C242" s="1" t="n">
        <v>45992</v>
      </c>
      <c r="D242" t="inlineStr">
        <is>
          <t>GÄVLEBORGS LÄN</t>
        </is>
      </c>
      <c r="E242" t="inlineStr">
        <is>
          <t>LJUSDAL</t>
        </is>
      </c>
      <c r="F242" t="inlineStr">
        <is>
          <t>Allmännings- och besparingsskogar</t>
        </is>
      </c>
      <c r="G242" t="n">
        <v>3.1</v>
      </c>
      <c r="H242" t="n">
        <v>1</v>
      </c>
      <c r="I242" t="n">
        <v>0</v>
      </c>
      <c r="J242" t="n">
        <v>1</v>
      </c>
      <c r="K242" t="n">
        <v>0</v>
      </c>
      <c r="L242" t="n">
        <v>0</v>
      </c>
      <c r="M242" t="n">
        <v>0</v>
      </c>
      <c r="N242" t="n">
        <v>0</v>
      </c>
      <c r="O242" t="n">
        <v>1</v>
      </c>
      <c r="P242" t="n">
        <v>0</v>
      </c>
      <c r="Q242" t="n">
        <v>1</v>
      </c>
      <c r="R242" s="2" t="inlineStr">
        <is>
          <t>Talltita</t>
        </is>
      </c>
      <c r="S242">
        <f>HYPERLINK("https://klasma.github.io/Logging_2161/artfynd/A 32152-2025 artfynd.xlsx", "A 32152-2025")</f>
        <v/>
      </c>
      <c r="T242">
        <f>HYPERLINK("https://klasma.github.io/Logging_2161/kartor/A 32152-2025 karta.png", "A 32152-2025")</f>
        <v/>
      </c>
      <c r="V242">
        <f>HYPERLINK("https://klasma.github.io/Logging_2161/klagomål/A 32152-2025 FSC-klagomål.docx", "A 32152-2025")</f>
        <v/>
      </c>
      <c r="W242">
        <f>HYPERLINK("https://klasma.github.io/Logging_2161/klagomålsmail/A 32152-2025 FSC-klagomål mail.docx", "A 32152-2025")</f>
        <v/>
      </c>
      <c r="X242">
        <f>HYPERLINK("https://klasma.github.io/Logging_2161/tillsyn/A 32152-2025 tillsynsbegäran.docx", "A 32152-2025")</f>
        <v/>
      </c>
      <c r="Y242">
        <f>HYPERLINK("https://klasma.github.io/Logging_2161/tillsynsmail/A 32152-2025 tillsynsbegäran mail.docx", "A 32152-2025")</f>
        <v/>
      </c>
      <c r="Z242">
        <f>HYPERLINK("https://klasma.github.io/Logging_2161/fåglar/A 32152-2025 prioriterade fågelarter.docx", "A 32152-2025")</f>
        <v/>
      </c>
    </row>
    <row r="243" ht="15" customHeight="1">
      <c r="A243" t="inlineStr">
        <is>
          <t>A 38495-2025</t>
        </is>
      </c>
      <c r="B243" s="1" t="n">
        <v>45884.36899305556</v>
      </c>
      <c r="C243" s="1" t="n">
        <v>45992</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32489-2025</t>
        </is>
      </c>
      <c r="B244" s="1" t="n">
        <v>45838</v>
      </c>
      <c r="C244" s="1" t="n">
        <v>45992</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33338-2025</t>
        </is>
      </c>
      <c r="B245" s="1" t="n">
        <v>45841.35872685185</v>
      </c>
      <c r="C245" s="1" t="n">
        <v>45992</v>
      </c>
      <c r="D245" t="inlineStr">
        <is>
          <t>GÄVLEBORGS LÄN</t>
        </is>
      </c>
      <c r="E245" t="inlineStr">
        <is>
          <t>LJUSDAL</t>
        </is>
      </c>
      <c r="F245" t="inlineStr">
        <is>
          <t>Sveaskog</t>
        </is>
      </c>
      <c r="G245" t="n">
        <v>1.6</v>
      </c>
      <c r="H245" t="n">
        <v>1</v>
      </c>
      <c r="I245" t="n">
        <v>0</v>
      </c>
      <c r="J245" t="n">
        <v>0</v>
      </c>
      <c r="K245" t="n">
        <v>0</v>
      </c>
      <c r="L245" t="n">
        <v>0</v>
      </c>
      <c r="M245" t="n">
        <v>0</v>
      </c>
      <c r="N245" t="n">
        <v>0</v>
      </c>
      <c r="O245" t="n">
        <v>0</v>
      </c>
      <c r="P245" t="n">
        <v>0</v>
      </c>
      <c r="Q245" t="n">
        <v>1</v>
      </c>
      <c r="R245" s="2" t="inlineStr">
        <is>
          <t>Fläcknycklar</t>
        </is>
      </c>
      <c r="S245">
        <f>HYPERLINK("https://klasma.github.io/Logging_2161/artfynd/A 33338-2025 artfynd.xlsx", "A 33338-2025")</f>
        <v/>
      </c>
      <c r="T245">
        <f>HYPERLINK("https://klasma.github.io/Logging_2161/kartor/A 33338-2025 karta.png", "A 33338-2025")</f>
        <v/>
      </c>
      <c r="V245">
        <f>HYPERLINK("https://klasma.github.io/Logging_2161/klagomål/A 33338-2025 FSC-klagomål.docx", "A 33338-2025")</f>
        <v/>
      </c>
      <c r="W245">
        <f>HYPERLINK("https://klasma.github.io/Logging_2161/klagomålsmail/A 33338-2025 FSC-klagomål mail.docx", "A 33338-2025")</f>
        <v/>
      </c>
      <c r="X245">
        <f>HYPERLINK("https://klasma.github.io/Logging_2161/tillsyn/A 33338-2025 tillsynsbegäran.docx", "A 33338-2025")</f>
        <v/>
      </c>
      <c r="Y245">
        <f>HYPERLINK("https://klasma.github.io/Logging_2161/tillsynsmail/A 33338-2025 tillsynsbegäran mail.docx", "A 33338-2025")</f>
        <v/>
      </c>
    </row>
    <row r="246" ht="15" customHeight="1">
      <c r="A246" t="inlineStr">
        <is>
          <t>A 33933-2025</t>
        </is>
      </c>
      <c r="B246" s="1" t="n">
        <v>45842.63458333333</v>
      </c>
      <c r="C246" s="1" t="n">
        <v>45992</v>
      </c>
      <c r="D246" t="inlineStr">
        <is>
          <t>GÄVLEBORGS LÄN</t>
        </is>
      </c>
      <c r="E246" t="inlineStr">
        <is>
          <t>LJUSDAL</t>
        </is>
      </c>
      <c r="F246" t="inlineStr">
        <is>
          <t>Sveaskog</t>
        </is>
      </c>
      <c r="G246" t="n">
        <v>16.3</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33933-2025 artfynd.xlsx", "A 33933-2025")</f>
        <v/>
      </c>
      <c r="T246">
        <f>HYPERLINK("https://klasma.github.io/Logging_2161/kartor/A 33933-2025 karta.png", "A 33933-2025")</f>
        <v/>
      </c>
      <c r="V246">
        <f>HYPERLINK("https://klasma.github.io/Logging_2161/klagomål/A 33933-2025 FSC-klagomål.docx", "A 33933-2025")</f>
        <v/>
      </c>
      <c r="W246">
        <f>HYPERLINK("https://klasma.github.io/Logging_2161/klagomålsmail/A 33933-2025 FSC-klagomål mail.docx", "A 33933-2025")</f>
        <v/>
      </c>
      <c r="X246">
        <f>HYPERLINK("https://klasma.github.io/Logging_2161/tillsyn/A 33933-2025 tillsynsbegäran.docx", "A 33933-2025")</f>
        <v/>
      </c>
      <c r="Y246">
        <f>HYPERLINK("https://klasma.github.io/Logging_2161/tillsynsmail/A 33933-2025 tillsynsbegäran mail.docx", "A 33933-2025")</f>
        <v/>
      </c>
    </row>
    <row r="247" ht="15" customHeight="1">
      <c r="A247" t="inlineStr">
        <is>
          <t>A 18967-2025</t>
        </is>
      </c>
      <c r="B247" s="1" t="n">
        <v>45764.53628472222</v>
      </c>
      <c r="C247" s="1" t="n">
        <v>45992</v>
      </c>
      <c r="D247" t="inlineStr">
        <is>
          <t>GÄVLEBORGS LÄN</t>
        </is>
      </c>
      <c r="E247" t="inlineStr">
        <is>
          <t>LJUSDAL</t>
        </is>
      </c>
      <c r="F247" t="inlineStr">
        <is>
          <t>Sveaskog</t>
        </is>
      </c>
      <c r="G247" t="n">
        <v>6.8</v>
      </c>
      <c r="H247" t="n">
        <v>0</v>
      </c>
      <c r="I247" t="n">
        <v>0</v>
      </c>
      <c r="J247" t="n">
        <v>1</v>
      </c>
      <c r="K247" t="n">
        <v>0</v>
      </c>
      <c r="L247" t="n">
        <v>0</v>
      </c>
      <c r="M247" t="n">
        <v>0</v>
      </c>
      <c r="N247" t="n">
        <v>0</v>
      </c>
      <c r="O247" t="n">
        <v>1</v>
      </c>
      <c r="P247" t="n">
        <v>0</v>
      </c>
      <c r="Q247" t="n">
        <v>1</v>
      </c>
      <c r="R247" s="2" t="inlineStr">
        <is>
          <t>Lunglav</t>
        </is>
      </c>
      <c r="S247">
        <f>HYPERLINK("https://klasma.github.io/Logging_2161/artfynd/A 18967-2025 artfynd.xlsx", "A 18967-2025")</f>
        <v/>
      </c>
      <c r="T247">
        <f>HYPERLINK("https://klasma.github.io/Logging_2161/kartor/A 18967-2025 karta.png", "A 18967-2025")</f>
        <v/>
      </c>
      <c r="V247">
        <f>HYPERLINK("https://klasma.github.io/Logging_2161/klagomål/A 18967-2025 FSC-klagomål.docx", "A 18967-2025")</f>
        <v/>
      </c>
      <c r="W247">
        <f>HYPERLINK("https://klasma.github.io/Logging_2161/klagomålsmail/A 18967-2025 FSC-klagomål mail.docx", "A 18967-2025")</f>
        <v/>
      </c>
      <c r="X247">
        <f>HYPERLINK("https://klasma.github.io/Logging_2161/tillsyn/A 18967-2025 tillsynsbegäran.docx", "A 18967-2025")</f>
        <v/>
      </c>
      <c r="Y247">
        <f>HYPERLINK("https://klasma.github.io/Logging_2161/tillsynsmail/A 18967-2025 tillsynsbegäran mail.docx", "A 18967-2025")</f>
        <v/>
      </c>
    </row>
    <row r="248" ht="15" customHeight="1">
      <c r="A248" t="inlineStr">
        <is>
          <t>A 34343-2025</t>
        </is>
      </c>
      <c r="B248" s="1" t="n">
        <v>45846.46173611111</v>
      </c>
      <c r="C248" s="1" t="n">
        <v>45992</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58900-2021</t>
        </is>
      </c>
      <c r="B249" s="1" t="n">
        <v>44489</v>
      </c>
      <c r="C249" s="1" t="n">
        <v>45992</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44835-2025</t>
        </is>
      </c>
      <c r="B250" s="1" t="n">
        <v>45918.41619212963</v>
      </c>
      <c r="C250" s="1" t="n">
        <v>45992</v>
      </c>
      <c r="D250" t="inlineStr">
        <is>
          <t>GÄVLEBORGS LÄN</t>
        </is>
      </c>
      <c r="E250" t="inlineStr">
        <is>
          <t>LJUSDAL</t>
        </is>
      </c>
      <c r="F250" t="inlineStr">
        <is>
          <t>Sveaskog</t>
        </is>
      </c>
      <c r="G250" t="n">
        <v>7.7</v>
      </c>
      <c r="H250" t="n">
        <v>0</v>
      </c>
      <c r="I250" t="n">
        <v>1</v>
      </c>
      <c r="J250" t="n">
        <v>0</v>
      </c>
      <c r="K250" t="n">
        <v>0</v>
      </c>
      <c r="L250" t="n">
        <v>0</v>
      </c>
      <c r="M250" t="n">
        <v>0</v>
      </c>
      <c r="N250" t="n">
        <v>0</v>
      </c>
      <c r="O250" t="n">
        <v>0</v>
      </c>
      <c r="P250" t="n">
        <v>0</v>
      </c>
      <c r="Q250" t="n">
        <v>1</v>
      </c>
      <c r="R250" s="2" t="inlineStr">
        <is>
          <t>Skarp dropptaggsvamp</t>
        </is>
      </c>
      <c r="S250">
        <f>HYPERLINK("https://klasma.github.io/Logging_2161/artfynd/A 44835-2025 artfynd.xlsx", "A 44835-2025")</f>
        <v/>
      </c>
      <c r="T250">
        <f>HYPERLINK("https://klasma.github.io/Logging_2161/kartor/A 44835-2025 karta.png", "A 44835-2025")</f>
        <v/>
      </c>
      <c r="V250">
        <f>HYPERLINK("https://klasma.github.io/Logging_2161/klagomål/A 44835-2025 FSC-klagomål.docx", "A 44835-2025")</f>
        <v/>
      </c>
      <c r="W250">
        <f>HYPERLINK("https://klasma.github.io/Logging_2161/klagomålsmail/A 44835-2025 FSC-klagomål mail.docx", "A 44835-2025")</f>
        <v/>
      </c>
      <c r="X250">
        <f>HYPERLINK("https://klasma.github.io/Logging_2161/tillsyn/A 44835-2025 tillsynsbegäran.docx", "A 44835-2025")</f>
        <v/>
      </c>
      <c r="Y250">
        <f>HYPERLINK("https://klasma.github.io/Logging_2161/tillsynsmail/A 44835-2025 tillsynsbegäran mail.docx", "A 44835-2025")</f>
        <v/>
      </c>
    </row>
    <row r="251" ht="15" customHeight="1">
      <c r="A251" t="inlineStr">
        <is>
          <t>A 55289-2024</t>
        </is>
      </c>
      <c r="B251" s="1" t="n">
        <v>45621.63445601852</v>
      </c>
      <c r="C251" s="1" t="n">
        <v>45992</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45895-2025</t>
        </is>
      </c>
      <c r="B252" s="1" t="n">
        <v>45923.67833333334</v>
      </c>
      <c r="C252" s="1" t="n">
        <v>45992</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36737-2025</t>
        </is>
      </c>
      <c r="B253" s="1" t="n">
        <v>45873.52961805555</v>
      </c>
      <c r="C253" s="1" t="n">
        <v>45992</v>
      </c>
      <c r="D253" t="inlineStr">
        <is>
          <t>GÄVLEBORGS LÄN</t>
        </is>
      </c>
      <c r="E253" t="inlineStr">
        <is>
          <t>LJUSDAL</t>
        </is>
      </c>
      <c r="G253" t="n">
        <v>2.8</v>
      </c>
      <c r="H253" t="n">
        <v>1</v>
      </c>
      <c r="I253" t="n">
        <v>0</v>
      </c>
      <c r="J253" t="n">
        <v>1</v>
      </c>
      <c r="K253" t="n">
        <v>0</v>
      </c>
      <c r="L253" t="n">
        <v>0</v>
      </c>
      <c r="M253" t="n">
        <v>0</v>
      </c>
      <c r="N253" t="n">
        <v>0</v>
      </c>
      <c r="O253" t="n">
        <v>1</v>
      </c>
      <c r="P253" t="n">
        <v>0</v>
      </c>
      <c r="Q253" t="n">
        <v>1</v>
      </c>
      <c r="R253" s="2" t="inlineStr">
        <is>
          <t>Nordfladdermus</t>
        </is>
      </c>
      <c r="S253">
        <f>HYPERLINK("https://klasma.github.io/Logging_2161/artfynd/A 36737-2025 artfynd.xlsx", "A 36737-2025")</f>
        <v/>
      </c>
      <c r="T253">
        <f>HYPERLINK("https://klasma.github.io/Logging_2161/kartor/A 36737-2025 karta.png", "A 36737-2025")</f>
        <v/>
      </c>
      <c r="V253">
        <f>HYPERLINK("https://klasma.github.io/Logging_2161/klagomål/A 36737-2025 FSC-klagomål.docx", "A 36737-2025")</f>
        <v/>
      </c>
      <c r="W253">
        <f>HYPERLINK("https://klasma.github.io/Logging_2161/klagomålsmail/A 36737-2025 FSC-klagomål mail.docx", "A 36737-2025")</f>
        <v/>
      </c>
      <c r="X253">
        <f>HYPERLINK("https://klasma.github.io/Logging_2161/tillsyn/A 36737-2025 tillsynsbegäran.docx", "A 36737-2025")</f>
        <v/>
      </c>
      <c r="Y253">
        <f>HYPERLINK("https://klasma.github.io/Logging_2161/tillsynsmail/A 36737-2025 tillsynsbegäran mail.docx", "A 36737-2025")</f>
        <v/>
      </c>
    </row>
    <row r="254" ht="15" customHeight="1">
      <c r="A254" t="inlineStr">
        <is>
          <t>A 32807-2024</t>
        </is>
      </c>
      <c r="B254" s="1" t="n">
        <v>45516</v>
      </c>
      <c r="C254" s="1" t="n">
        <v>45992</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46741-2025</t>
        </is>
      </c>
      <c r="B255" s="1" t="n">
        <v>45926.60802083334</v>
      </c>
      <c r="C255" s="1" t="n">
        <v>45992</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38105-2025</t>
        </is>
      </c>
      <c r="B256" s="1" t="n">
        <v>45882</v>
      </c>
      <c r="C256" s="1" t="n">
        <v>45992</v>
      </c>
      <c r="D256" t="inlineStr">
        <is>
          <t>GÄVLEBORGS LÄN</t>
        </is>
      </c>
      <c r="E256" t="inlineStr">
        <is>
          <t>LJUSDAL</t>
        </is>
      </c>
      <c r="F256" t="inlineStr">
        <is>
          <t>Bergvik skog väst AB</t>
        </is>
      </c>
      <c r="G256" t="n">
        <v>11.7</v>
      </c>
      <c r="H256" t="n">
        <v>0</v>
      </c>
      <c r="I256" t="n">
        <v>0</v>
      </c>
      <c r="J256" t="n">
        <v>1</v>
      </c>
      <c r="K256" t="n">
        <v>0</v>
      </c>
      <c r="L256" t="n">
        <v>0</v>
      </c>
      <c r="M256" t="n">
        <v>0</v>
      </c>
      <c r="N256" t="n">
        <v>0</v>
      </c>
      <c r="O256" t="n">
        <v>1</v>
      </c>
      <c r="P256" t="n">
        <v>0</v>
      </c>
      <c r="Q256" t="n">
        <v>1</v>
      </c>
      <c r="R256" s="2" t="inlineStr">
        <is>
          <t>Lunglav</t>
        </is>
      </c>
      <c r="S256">
        <f>HYPERLINK("https://klasma.github.io/Logging_2161/artfynd/A 38105-2025 artfynd.xlsx", "A 38105-2025")</f>
        <v/>
      </c>
      <c r="T256">
        <f>HYPERLINK("https://klasma.github.io/Logging_2161/kartor/A 38105-2025 karta.png", "A 38105-2025")</f>
        <v/>
      </c>
      <c r="V256">
        <f>HYPERLINK("https://klasma.github.io/Logging_2161/klagomål/A 38105-2025 FSC-klagomål.docx", "A 38105-2025")</f>
        <v/>
      </c>
      <c r="W256">
        <f>HYPERLINK("https://klasma.github.io/Logging_2161/klagomålsmail/A 38105-2025 FSC-klagomål mail.docx", "A 38105-2025")</f>
        <v/>
      </c>
      <c r="X256">
        <f>HYPERLINK("https://klasma.github.io/Logging_2161/tillsyn/A 38105-2025 tillsynsbegäran.docx", "A 38105-2025")</f>
        <v/>
      </c>
      <c r="Y256">
        <f>HYPERLINK("https://klasma.github.io/Logging_2161/tillsynsmail/A 38105-2025 tillsynsbegäran mail.docx", "A 38105-2025")</f>
        <v/>
      </c>
    </row>
    <row r="257" ht="15" customHeight="1">
      <c r="A257" t="inlineStr">
        <is>
          <t>A 55498-2025</t>
        </is>
      </c>
      <c r="B257" s="1" t="n">
        <v>45971.5841087963</v>
      </c>
      <c r="C257" s="1" t="n">
        <v>45992</v>
      </c>
      <c r="D257" t="inlineStr">
        <is>
          <t>GÄVLEBORGS LÄN</t>
        </is>
      </c>
      <c r="E257" t="inlineStr">
        <is>
          <t>LJUSDAL</t>
        </is>
      </c>
      <c r="F257" t="inlineStr">
        <is>
          <t>Sveaskog</t>
        </is>
      </c>
      <c r="G257" t="n">
        <v>22.6</v>
      </c>
      <c r="H257" t="n">
        <v>0</v>
      </c>
      <c r="I257" t="n">
        <v>0</v>
      </c>
      <c r="J257" t="n">
        <v>1</v>
      </c>
      <c r="K257" t="n">
        <v>0</v>
      </c>
      <c r="L257" t="n">
        <v>0</v>
      </c>
      <c r="M257" t="n">
        <v>0</v>
      </c>
      <c r="N257" t="n">
        <v>0</v>
      </c>
      <c r="O257" t="n">
        <v>1</v>
      </c>
      <c r="P257" t="n">
        <v>0</v>
      </c>
      <c r="Q257" t="n">
        <v>1</v>
      </c>
      <c r="R257" s="2" t="inlineStr">
        <is>
          <t>Kolflarnlav</t>
        </is>
      </c>
      <c r="S257">
        <f>HYPERLINK("https://klasma.github.io/Logging_2161/artfynd/A 55498-2025 artfynd.xlsx", "A 55498-2025")</f>
        <v/>
      </c>
      <c r="T257">
        <f>HYPERLINK("https://klasma.github.io/Logging_2161/kartor/A 55498-2025 karta.png", "A 55498-2025")</f>
        <v/>
      </c>
      <c r="V257">
        <f>HYPERLINK("https://klasma.github.io/Logging_2161/klagomål/A 55498-2025 FSC-klagomål.docx", "A 55498-2025")</f>
        <v/>
      </c>
      <c r="W257">
        <f>HYPERLINK("https://klasma.github.io/Logging_2161/klagomålsmail/A 55498-2025 FSC-klagomål mail.docx", "A 55498-2025")</f>
        <v/>
      </c>
      <c r="X257">
        <f>HYPERLINK("https://klasma.github.io/Logging_2161/tillsyn/A 55498-2025 tillsynsbegäran.docx", "A 55498-2025")</f>
        <v/>
      </c>
      <c r="Y257">
        <f>HYPERLINK("https://klasma.github.io/Logging_2161/tillsynsmail/A 55498-2025 tillsynsbegäran mail.docx", "A 55498-2025")</f>
        <v/>
      </c>
    </row>
    <row r="258" ht="15" customHeight="1">
      <c r="A258" t="inlineStr">
        <is>
          <t>A 48300-2025</t>
        </is>
      </c>
      <c r="B258" s="1" t="n">
        <v>45933.61099537037</v>
      </c>
      <c r="C258" s="1" t="n">
        <v>45992</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Garnlav</t>
        </is>
      </c>
      <c r="S258">
        <f>HYPERLINK("https://klasma.github.io/Logging_2161/artfynd/A 48300-2025 artfynd.xlsx", "A 48300-2025")</f>
        <v/>
      </c>
      <c r="T258">
        <f>HYPERLINK("https://klasma.github.io/Logging_2161/kartor/A 48300-2025 karta.png", "A 48300-2025")</f>
        <v/>
      </c>
      <c r="V258">
        <f>HYPERLINK("https://klasma.github.io/Logging_2161/klagomål/A 48300-2025 FSC-klagomål.docx", "A 48300-2025")</f>
        <v/>
      </c>
      <c r="W258">
        <f>HYPERLINK("https://klasma.github.io/Logging_2161/klagomålsmail/A 48300-2025 FSC-klagomål mail.docx", "A 48300-2025")</f>
        <v/>
      </c>
      <c r="X258">
        <f>HYPERLINK("https://klasma.github.io/Logging_2161/tillsyn/A 48300-2025 tillsynsbegäran.docx", "A 48300-2025")</f>
        <v/>
      </c>
      <c r="Y258">
        <f>HYPERLINK("https://klasma.github.io/Logging_2161/tillsynsmail/A 48300-2025 tillsynsbegäran mail.docx", "A 48300-2025")</f>
        <v/>
      </c>
    </row>
    <row r="259" ht="15" customHeight="1">
      <c r="A259" t="inlineStr">
        <is>
          <t>A 48330-2025</t>
        </is>
      </c>
      <c r="B259" s="1" t="n">
        <v>45933.63387731482</v>
      </c>
      <c r="C259" s="1" t="n">
        <v>45992</v>
      </c>
      <c r="D259" t="inlineStr">
        <is>
          <t>GÄVLEBORGS LÄN</t>
        </is>
      </c>
      <c r="E259" t="inlineStr">
        <is>
          <t>LJUSDAL</t>
        </is>
      </c>
      <c r="F259" t="inlineStr">
        <is>
          <t>Sveaskog</t>
        </is>
      </c>
      <c r="G259" t="n">
        <v>4.1</v>
      </c>
      <c r="H259" t="n">
        <v>1</v>
      </c>
      <c r="I259" t="n">
        <v>0</v>
      </c>
      <c r="J259" t="n">
        <v>1</v>
      </c>
      <c r="K259" t="n">
        <v>0</v>
      </c>
      <c r="L259" t="n">
        <v>0</v>
      </c>
      <c r="M259" t="n">
        <v>0</v>
      </c>
      <c r="N259" t="n">
        <v>0</v>
      </c>
      <c r="O259" t="n">
        <v>1</v>
      </c>
      <c r="P259" t="n">
        <v>0</v>
      </c>
      <c r="Q259" t="n">
        <v>1</v>
      </c>
      <c r="R259" s="2" t="inlineStr">
        <is>
          <t>Talltita</t>
        </is>
      </c>
      <c r="S259">
        <f>HYPERLINK("https://klasma.github.io/Logging_2161/artfynd/A 48330-2025 artfynd.xlsx", "A 48330-2025")</f>
        <v/>
      </c>
      <c r="T259">
        <f>HYPERLINK("https://klasma.github.io/Logging_2161/kartor/A 48330-2025 karta.png", "A 48330-2025")</f>
        <v/>
      </c>
      <c r="V259">
        <f>HYPERLINK("https://klasma.github.io/Logging_2161/klagomål/A 48330-2025 FSC-klagomål.docx", "A 48330-2025")</f>
        <v/>
      </c>
      <c r="W259">
        <f>HYPERLINK("https://klasma.github.io/Logging_2161/klagomålsmail/A 48330-2025 FSC-klagomål mail.docx", "A 48330-2025")</f>
        <v/>
      </c>
      <c r="X259">
        <f>HYPERLINK("https://klasma.github.io/Logging_2161/tillsyn/A 48330-2025 tillsynsbegäran.docx", "A 48330-2025")</f>
        <v/>
      </c>
      <c r="Y259">
        <f>HYPERLINK("https://klasma.github.io/Logging_2161/tillsynsmail/A 48330-2025 tillsynsbegäran mail.docx", "A 48330-2025")</f>
        <v/>
      </c>
      <c r="Z259">
        <f>HYPERLINK("https://klasma.github.io/Logging_2161/fåglar/A 48330-2025 prioriterade fågelarter.docx", "A 48330-2025")</f>
        <v/>
      </c>
    </row>
    <row r="260" ht="15" customHeight="1">
      <c r="A260" t="inlineStr">
        <is>
          <t>A 34974-2024</t>
        </is>
      </c>
      <c r="B260" s="1" t="n">
        <v>45527.54129629629</v>
      </c>
      <c r="C260" s="1" t="n">
        <v>45992</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56822-2025</t>
        </is>
      </c>
      <c r="B261" s="1" t="n">
        <v>45978.46439814815</v>
      </c>
      <c r="C261" s="1" t="n">
        <v>45992</v>
      </c>
      <c r="D261" t="inlineStr">
        <is>
          <t>GÄVLEBORGS LÄN</t>
        </is>
      </c>
      <c r="E261" t="inlineStr">
        <is>
          <t>LJUSDAL</t>
        </is>
      </c>
      <c r="F261" t="inlineStr">
        <is>
          <t>Allmännings- och besparingsskogar</t>
        </is>
      </c>
      <c r="G261" t="n">
        <v>17.2</v>
      </c>
      <c r="H261" t="n">
        <v>1</v>
      </c>
      <c r="I261" t="n">
        <v>0</v>
      </c>
      <c r="J261" t="n">
        <v>0</v>
      </c>
      <c r="K261" t="n">
        <v>1</v>
      </c>
      <c r="L261" t="n">
        <v>0</v>
      </c>
      <c r="M261" t="n">
        <v>0</v>
      </c>
      <c r="N261" t="n">
        <v>0</v>
      </c>
      <c r="O261" t="n">
        <v>1</v>
      </c>
      <c r="P261" t="n">
        <v>1</v>
      </c>
      <c r="Q261" t="n">
        <v>1</v>
      </c>
      <c r="R261" s="2" t="inlineStr">
        <is>
          <t>Knärot</t>
        </is>
      </c>
      <c r="S261">
        <f>HYPERLINK("https://klasma.github.io/Logging_2161/artfynd/A 56822-2025 artfynd.xlsx", "A 56822-2025")</f>
        <v/>
      </c>
      <c r="T261">
        <f>HYPERLINK("https://klasma.github.io/Logging_2161/kartor/A 56822-2025 karta.png", "A 56822-2025")</f>
        <v/>
      </c>
      <c r="U261">
        <f>HYPERLINK("https://klasma.github.io/Logging_2161/knärot/A 56822-2025 karta knärot.png", "A 56822-2025")</f>
        <v/>
      </c>
      <c r="V261">
        <f>HYPERLINK("https://klasma.github.io/Logging_2161/klagomål/A 56822-2025 FSC-klagomål.docx", "A 56822-2025")</f>
        <v/>
      </c>
      <c r="W261">
        <f>HYPERLINK("https://klasma.github.io/Logging_2161/klagomålsmail/A 56822-2025 FSC-klagomål mail.docx", "A 56822-2025")</f>
        <v/>
      </c>
      <c r="X261">
        <f>HYPERLINK("https://klasma.github.io/Logging_2161/tillsyn/A 56822-2025 tillsynsbegäran.docx", "A 56822-2025")</f>
        <v/>
      </c>
      <c r="Y261">
        <f>HYPERLINK("https://klasma.github.io/Logging_2161/tillsynsmail/A 56822-2025 tillsynsbegäran mail.docx", "A 56822-2025")</f>
        <v/>
      </c>
    </row>
    <row r="262" ht="15" customHeight="1">
      <c r="A262" t="inlineStr">
        <is>
          <t>A 18734-2024</t>
        </is>
      </c>
      <c r="B262" s="1" t="n">
        <v>45426.48722222223</v>
      </c>
      <c r="C262" s="1" t="n">
        <v>45992</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45992</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37088-2024</t>
        </is>
      </c>
      <c r="B264" s="1" t="n">
        <v>45539.49841435185</v>
      </c>
      <c r="C264" s="1" t="n">
        <v>45992</v>
      </c>
      <c r="D264" t="inlineStr">
        <is>
          <t>GÄVLEBORGS LÄN</t>
        </is>
      </c>
      <c r="E264" t="inlineStr">
        <is>
          <t>LJUSDAL</t>
        </is>
      </c>
      <c r="F264" t="inlineStr">
        <is>
          <t>Sveaskog</t>
        </is>
      </c>
      <c r="G264" t="n">
        <v>9.699999999999999</v>
      </c>
      <c r="H264" t="n">
        <v>0</v>
      </c>
      <c r="I264" t="n">
        <v>0</v>
      </c>
      <c r="J264" t="n">
        <v>1</v>
      </c>
      <c r="K264" t="n">
        <v>0</v>
      </c>
      <c r="L264" t="n">
        <v>0</v>
      </c>
      <c r="M264" t="n">
        <v>0</v>
      </c>
      <c r="N264" t="n">
        <v>0</v>
      </c>
      <c r="O264" t="n">
        <v>1</v>
      </c>
      <c r="P264" t="n">
        <v>0</v>
      </c>
      <c r="Q264" t="n">
        <v>1</v>
      </c>
      <c r="R264" s="2" t="inlineStr">
        <is>
          <t>Skrovellav</t>
        </is>
      </c>
      <c r="S264">
        <f>HYPERLINK("https://klasma.github.io/Logging_2161/artfynd/A 37088-2024 artfynd.xlsx", "A 37088-2024")</f>
        <v/>
      </c>
      <c r="T264">
        <f>HYPERLINK("https://klasma.github.io/Logging_2161/kartor/A 37088-2024 karta.png", "A 37088-2024")</f>
        <v/>
      </c>
      <c r="V264">
        <f>HYPERLINK("https://klasma.github.io/Logging_2161/klagomål/A 37088-2024 FSC-klagomål.docx", "A 37088-2024")</f>
        <v/>
      </c>
      <c r="W264">
        <f>HYPERLINK("https://klasma.github.io/Logging_2161/klagomålsmail/A 37088-2024 FSC-klagomål mail.docx", "A 37088-2024")</f>
        <v/>
      </c>
      <c r="X264">
        <f>HYPERLINK("https://klasma.github.io/Logging_2161/tillsyn/A 37088-2024 tillsynsbegäran.docx", "A 37088-2024")</f>
        <v/>
      </c>
      <c r="Y264">
        <f>HYPERLINK("https://klasma.github.io/Logging_2161/tillsynsmail/A 37088-2024 tillsynsbegäran mail.docx", "A 37088-2024")</f>
        <v/>
      </c>
    </row>
    <row r="265" ht="15" customHeight="1">
      <c r="A265" t="inlineStr">
        <is>
          <t>A 34744-2024</t>
        </is>
      </c>
      <c r="B265" s="1" t="n">
        <v>45526.59482638889</v>
      </c>
      <c r="C265" s="1" t="n">
        <v>45992</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50315-2025</t>
        </is>
      </c>
      <c r="B266" s="1" t="n">
        <v>45944.44555555555</v>
      </c>
      <c r="C266" s="1" t="n">
        <v>45992</v>
      </c>
      <c r="D266" t="inlineStr">
        <is>
          <t>GÄVLEBORGS LÄN</t>
        </is>
      </c>
      <c r="E266" t="inlineStr">
        <is>
          <t>LJUSDAL</t>
        </is>
      </c>
      <c r="F266" t="inlineStr">
        <is>
          <t>Bergvik skog väst AB</t>
        </is>
      </c>
      <c r="G266" t="n">
        <v>11.2</v>
      </c>
      <c r="H266" t="n">
        <v>0</v>
      </c>
      <c r="I266" t="n">
        <v>0</v>
      </c>
      <c r="J266" t="n">
        <v>1</v>
      </c>
      <c r="K266" t="n">
        <v>0</v>
      </c>
      <c r="L266" t="n">
        <v>0</v>
      </c>
      <c r="M266" t="n">
        <v>0</v>
      </c>
      <c r="N266" t="n">
        <v>0</v>
      </c>
      <c r="O266" t="n">
        <v>1</v>
      </c>
      <c r="P266" t="n">
        <v>0</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58895-2025</t>
        </is>
      </c>
      <c r="B267" s="1" t="n">
        <v>45987.49231481482</v>
      </c>
      <c r="C267" s="1" t="n">
        <v>45992</v>
      </c>
      <c r="D267" t="inlineStr">
        <is>
          <t>GÄVLEBORGS LÄN</t>
        </is>
      </c>
      <c r="E267" t="inlineStr">
        <is>
          <t>LJUSDAL</t>
        </is>
      </c>
      <c r="F267" t="inlineStr">
        <is>
          <t>Allmännings- och besparingsskogar</t>
        </is>
      </c>
      <c r="G267" t="n">
        <v>25.9</v>
      </c>
      <c r="H267" t="n">
        <v>1</v>
      </c>
      <c r="I267" t="n">
        <v>0</v>
      </c>
      <c r="J267" t="n">
        <v>0</v>
      </c>
      <c r="K267" t="n">
        <v>1</v>
      </c>
      <c r="L267" t="n">
        <v>0</v>
      </c>
      <c r="M267" t="n">
        <v>0</v>
      </c>
      <c r="N267" t="n">
        <v>0</v>
      </c>
      <c r="O267" t="n">
        <v>1</v>
      </c>
      <c r="P267" t="n">
        <v>1</v>
      </c>
      <c r="Q267" t="n">
        <v>1</v>
      </c>
      <c r="R267" s="2" t="inlineStr">
        <is>
          <t>Knärot</t>
        </is>
      </c>
      <c r="S267">
        <f>HYPERLINK("https://klasma.github.io/Logging_2161/artfynd/A 58895-2025 artfynd.xlsx", "A 58895-2025")</f>
        <v/>
      </c>
      <c r="T267">
        <f>HYPERLINK("https://klasma.github.io/Logging_2161/kartor/A 58895-2025 karta.png", "A 58895-2025")</f>
        <v/>
      </c>
      <c r="U267">
        <f>HYPERLINK("https://klasma.github.io/Logging_2161/knärot/A 58895-2025 karta knärot.png", "A 58895-2025")</f>
        <v/>
      </c>
      <c r="V267">
        <f>HYPERLINK("https://klasma.github.io/Logging_2161/klagomål/A 58895-2025 FSC-klagomål.docx", "A 58895-2025")</f>
        <v/>
      </c>
      <c r="W267">
        <f>HYPERLINK("https://klasma.github.io/Logging_2161/klagomålsmail/A 58895-2025 FSC-klagomål mail.docx", "A 58895-2025")</f>
        <v/>
      </c>
      <c r="X267">
        <f>HYPERLINK("https://klasma.github.io/Logging_2161/tillsyn/A 58895-2025 tillsynsbegäran.docx", "A 58895-2025")</f>
        <v/>
      </c>
      <c r="Y267">
        <f>HYPERLINK("https://klasma.github.io/Logging_2161/tillsynsmail/A 58895-2025 tillsynsbegäran mail.docx", "A 58895-2025")</f>
        <v/>
      </c>
    </row>
    <row r="268" ht="15" customHeight="1">
      <c r="A268" t="inlineStr">
        <is>
          <t>A 55326-2024</t>
        </is>
      </c>
      <c r="B268" s="1" t="n">
        <v>45621.67460648148</v>
      </c>
      <c r="C268" s="1" t="n">
        <v>45992</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35080-2023</t>
        </is>
      </c>
      <c r="B269" s="1" t="n">
        <v>45145.42868055555</v>
      </c>
      <c r="C269" s="1" t="n">
        <v>45992</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Vedflamlav</t>
        </is>
      </c>
      <c r="S269">
        <f>HYPERLINK("https://klasma.github.io/Logging_2161/artfynd/A 35080-2023 artfynd.xlsx", "A 35080-2023")</f>
        <v/>
      </c>
      <c r="T269">
        <f>HYPERLINK("https://klasma.github.io/Logging_2161/kartor/A 35080-2023 karta.png", "A 35080-2023")</f>
        <v/>
      </c>
      <c r="V269">
        <f>HYPERLINK("https://klasma.github.io/Logging_2161/klagomål/A 35080-2023 FSC-klagomål.docx", "A 35080-2023")</f>
        <v/>
      </c>
      <c r="W269">
        <f>HYPERLINK("https://klasma.github.io/Logging_2161/klagomålsmail/A 35080-2023 FSC-klagomål mail.docx", "A 35080-2023")</f>
        <v/>
      </c>
      <c r="X269">
        <f>HYPERLINK("https://klasma.github.io/Logging_2161/tillsyn/A 35080-2023 tillsynsbegäran.docx", "A 35080-2023")</f>
        <v/>
      </c>
      <c r="Y269">
        <f>HYPERLINK("https://klasma.github.io/Logging_2161/tillsynsmail/A 35080-2023 tillsynsbegäran mail.docx", "A 35080-2023")</f>
        <v/>
      </c>
    </row>
    <row r="270" ht="15" customHeight="1">
      <c r="A270" t="inlineStr">
        <is>
          <t>A 34597-2024</t>
        </is>
      </c>
      <c r="B270" s="1" t="n">
        <v>45526</v>
      </c>
      <c r="C270" s="1" t="n">
        <v>45992</v>
      </c>
      <c r="D270" t="inlineStr">
        <is>
          <t>GÄVLEBORGS LÄN</t>
        </is>
      </c>
      <c r="E270" t="inlineStr">
        <is>
          <t>LJUSDAL</t>
        </is>
      </c>
      <c r="F270" t="inlineStr">
        <is>
          <t>Sveaskog</t>
        </is>
      </c>
      <c r="G270" t="n">
        <v>2.1</v>
      </c>
      <c r="H270" t="n">
        <v>0</v>
      </c>
      <c r="I270" t="n">
        <v>0</v>
      </c>
      <c r="J270" t="n">
        <v>1</v>
      </c>
      <c r="K270" t="n">
        <v>0</v>
      </c>
      <c r="L270" t="n">
        <v>0</v>
      </c>
      <c r="M270" t="n">
        <v>0</v>
      </c>
      <c r="N270" t="n">
        <v>0</v>
      </c>
      <c r="O270" t="n">
        <v>1</v>
      </c>
      <c r="P270" t="n">
        <v>0</v>
      </c>
      <c r="Q270" t="n">
        <v>1</v>
      </c>
      <c r="R270" s="2" t="inlineStr">
        <is>
          <t>Garnlav</t>
        </is>
      </c>
      <c r="S270">
        <f>HYPERLINK("https://klasma.github.io/Logging_2161/artfynd/A 34597-2024 artfynd.xlsx", "A 34597-2024")</f>
        <v/>
      </c>
      <c r="T270">
        <f>HYPERLINK("https://klasma.github.io/Logging_2161/kartor/A 34597-2024 karta.png", "A 34597-2024")</f>
        <v/>
      </c>
      <c r="V270">
        <f>HYPERLINK("https://klasma.github.io/Logging_2161/klagomål/A 34597-2024 FSC-klagomål.docx", "A 34597-2024")</f>
        <v/>
      </c>
      <c r="W270">
        <f>HYPERLINK("https://klasma.github.io/Logging_2161/klagomålsmail/A 34597-2024 FSC-klagomål mail.docx", "A 34597-2024")</f>
        <v/>
      </c>
      <c r="X270">
        <f>HYPERLINK("https://klasma.github.io/Logging_2161/tillsyn/A 34597-2024 tillsynsbegäran.docx", "A 34597-2024")</f>
        <v/>
      </c>
      <c r="Y270">
        <f>HYPERLINK("https://klasma.github.io/Logging_2161/tillsynsmail/A 34597-2024 tillsynsbegäran mail.docx", "A 34597-2024")</f>
        <v/>
      </c>
    </row>
    <row r="271" ht="15" customHeight="1">
      <c r="A271" t="inlineStr">
        <is>
          <t>A 4839-2024</t>
        </is>
      </c>
      <c r="B271" s="1" t="n">
        <v>45329</v>
      </c>
      <c r="C271" s="1" t="n">
        <v>45992</v>
      </c>
      <c r="D271" t="inlineStr">
        <is>
          <t>GÄVLEBORGS LÄN</t>
        </is>
      </c>
      <c r="E271" t="inlineStr">
        <is>
          <t>LJUSDAL</t>
        </is>
      </c>
      <c r="G271" t="n">
        <v>2.5</v>
      </c>
      <c r="H271" t="n">
        <v>1</v>
      </c>
      <c r="I271" t="n">
        <v>0</v>
      </c>
      <c r="J271" t="n">
        <v>1</v>
      </c>
      <c r="K271" t="n">
        <v>0</v>
      </c>
      <c r="L271" t="n">
        <v>0</v>
      </c>
      <c r="M271" t="n">
        <v>0</v>
      </c>
      <c r="N271" t="n">
        <v>0</v>
      </c>
      <c r="O271" t="n">
        <v>1</v>
      </c>
      <c r="P271" t="n">
        <v>0</v>
      </c>
      <c r="Q271" t="n">
        <v>1</v>
      </c>
      <c r="R271" s="2" t="inlineStr">
        <is>
          <t>Ävjepilört</t>
        </is>
      </c>
      <c r="S271">
        <f>HYPERLINK("https://klasma.github.io/Logging_2161/artfynd/A 4839-2024 artfynd.xlsx", "A 4839-2024")</f>
        <v/>
      </c>
      <c r="T271">
        <f>HYPERLINK("https://klasma.github.io/Logging_2161/kartor/A 4839-2024 karta.png", "A 4839-2024")</f>
        <v/>
      </c>
      <c r="V271">
        <f>HYPERLINK("https://klasma.github.io/Logging_2161/klagomål/A 4839-2024 FSC-klagomål.docx", "A 4839-2024")</f>
        <v/>
      </c>
      <c r="W271">
        <f>HYPERLINK("https://klasma.github.io/Logging_2161/klagomålsmail/A 4839-2024 FSC-klagomål mail.docx", "A 4839-2024")</f>
        <v/>
      </c>
      <c r="X271">
        <f>HYPERLINK("https://klasma.github.io/Logging_2161/tillsyn/A 4839-2024 tillsynsbegäran.docx", "A 4839-2024")</f>
        <v/>
      </c>
      <c r="Y271">
        <f>HYPERLINK("https://klasma.github.io/Logging_2161/tillsynsmail/A 4839-2024 tillsynsbegäran mail.docx", "A 4839-2024")</f>
        <v/>
      </c>
    </row>
    <row r="272" ht="15" customHeight="1">
      <c r="A272" t="inlineStr">
        <is>
          <t>A 17435-2025</t>
        </is>
      </c>
      <c r="B272" s="1" t="n">
        <v>45757.41109953704</v>
      </c>
      <c r="C272" s="1" t="n">
        <v>45992</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25114-2023</t>
        </is>
      </c>
      <c r="B273" s="1" t="n">
        <v>45086</v>
      </c>
      <c r="C273" s="1" t="n">
        <v>45992</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33950-2024</t>
        </is>
      </c>
      <c r="B274" s="1" t="n">
        <v>45523.46476851852</v>
      </c>
      <c r="C274" s="1" t="n">
        <v>45992</v>
      </c>
      <c r="D274" t="inlineStr">
        <is>
          <t>GÄVLEBORGS LÄN</t>
        </is>
      </c>
      <c r="E274" t="inlineStr">
        <is>
          <t>LJUSDAL</t>
        </is>
      </c>
      <c r="F274" t="inlineStr">
        <is>
          <t>Sveaskog</t>
        </is>
      </c>
      <c r="G274" t="n">
        <v>3.6</v>
      </c>
      <c r="H274" t="n">
        <v>0</v>
      </c>
      <c r="I274" t="n">
        <v>0</v>
      </c>
      <c r="J274" t="n">
        <v>1</v>
      </c>
      <c r="K274" t="n">
        <v>0</v>
      </c>
      <c r="L274" t="n">
        <v>0</v>
      </c>
      <c r="M274" t="n">
        <v>0</v>
      </c>
      <c r="N274" t="n">
        <v>0</v>
      </c>
      <c r="O274" t="n">
        <v>1</v>
      </c>
      <c r="P274" t="n">
        <v>0</v>
      </c>
      <c r="Q274" t="n">
        <v>1</v>
      </c>
      <c r="R274" s="2" t="inlineStr">
        <is>
          <t>Lunglav</t>
        </is>
      </c>
      <c r="S274">
        <f>HYPERLINK("https://klasma.github.io/Logging_2161/artfynd/A 33950-2024 artfynd.xlsx", "A 33950-2024")</f>
        <v/>
      </c>
      <c r="T274">
        <f>HYPERLINK("https://klasma.github.io/Logging_2161/kartor/A 33950-2024 karta.png", "A 33950-2024")</f>
        <v/>
      </c>
      <c r="V274">
        <f>HYPERLINK("https://klasma.github.io/Logging_2161/klagomål/A 33950-2024 FSC-klagomål.docx", "A 33950-2024")</f>
        <v/>
      </c>
      <c r="W274">
        <f>HYPERLINK("https://klasma.github.io/Logging_2161/klagomålsmail/A 33950-2024 FSC-klagomål mail.docx", "A 33950-2024")</f>
        <v/>
      </c>
      <c r="X274">
        <f>HYPERLINK("https://klasma.github.io/Logging_2161/tillsyn/A 33950-2024 tillsynsbegäran.docx", "A 33950-2024")</f>
        <v/>
      </c>
      <c r="Y274">
        <f>HYPERLINK("https://klasma.github.io/Logging_2161/tillsynsmail/A 33950-2024 tillsynsbegäran mail.docx", "A 33950-2024")</f>
        <v/>
      </c>
    </row>
    <row r="275" ht="15" customHeight="1">
      <c r="A275" t="inlineStr">
        <is>
          <t>A 32171-2023</t>
        </is>
      </c>
      <c r="B275" s="1" t="n">
        <v>45107</v>
      </c>
      <c r="C275" s="1" t="n">
        <v>45992</v>
      </c>
      <c r="D275" t="inlineStr">
        <is>
          <t>GÄVLEBORGS LÄN</t>
        </is>
      </c>
      <c r="E275" t="inlineStr">
        <is>
          <t>LJUSDAL</t>
        </is>
      </c>
      <c r="G275" t="n">
        <v>1.5</v>
      </c>
      <c r="H275" t="n">
        <v>1</v>
      </c>
      <c r="I275" t="n">
        <v>0</v>
      </c>
      <c r="J275" t="n">
        <v>1</v>
      </c>
      <c r="K275" t="n">
        <v>0</v>
      </c>
      <c r="L275" t="n">
        <v>0</v>
      </c>
      <c r="M275" t="n">
        <v>0</v>
      </c>
      <c r="N275" t="n">
        <v>0</v>
      </c>
      <c r="O275" t="n">
        <v>1</v>
      </c>
      <c r="P275" t="n">
        <v>0</v>
      </c>
      <c r="Q275" t="n">
        <v>1</v>
      </c>
      <c r="R275" s="2" t="inlineStr">
        <is>
          <t>Talltita</t>
        </is>
      </c>
      <c r="S275">
        <f>HYPERLINK("https://klasma.github.io/Logging_2161/artfynd/A 32171-2023 artfynd.xlsx", "A 32171-2023")</f>
        <v/>
      </c>
      <c r="T275">
        <f>HYPERLINK("https://klasma.github.io/Logging_2161/kartor/A 32171-2023 karta.png", "A 32171-2023")</f>
        <v/>
      </c>
      <c r="V275">
        <f>HYPERLINK("https://klasma.github.io/Logging_2161/klagomål/A 32171-2023 FSC-klagomål.docx", "A 32171-2023")</f>
        <v/>
      </c>
      <c r="W275">
        <f>HYPERLINK("https://klasma.github.io/Logging_2161/klagomålsmail/A 32171-2023 FSC-klagomål mail.docx", "A 32171-2023")</f>
        <v/>
      </c>
      <c r="X275">
        <f>HYPERLINK("https://klasma.github.io/Logging_2161/tillsyn/A 32171-2023 tillsynsbegäran.docx", "A 32171-2023")</f>
        <v/>
      </c>
      <c r="Y275">
        <f>HYPERLINK("https://klasma.github.io/Logging_2161/tillsynsmail/A 32171-2023 tillsynsbegäran mail.docx", "A 32171-2023")</f>
        <v/>
      </c>
      <c r="Z275">
        <f>HYPERLINK("https://klasma.github.io/Logging_2161/fåglar/A 32171-2023 prioriterade fågelarter.docx", "A 32171-2023")</f>
        <v/>
      </c>
    </row>
    <row r="276" ht="15" customHeight="1">
      <c r="A276" t="inlineStr">
        <is>
          <t>A 7148-2023</t>
        </is>
      </c>
      <c r="B276" s="1" t="n">
        <v>44970.45804398148</v>
      </c>
      <c r="C276" s="1" t="n">
        <v>45992</v>
      </c>
      <c r="D276" t="inlineStr">
        <is>
          <t>GÄVLEBORGS LÄN</t>
        </is>
      </c>
      <c r="E276" t="inlineStr">
        <is>
          <t>LJUSDAL</t>
        </is>
      </c>
      <c r="F276" t="inlineStr">
        <is>
          <t>Holmen skog AB</t>
        </is>
      </c>
      <c r="G276" t="n">
        <v>4.9</v>
      </c>
      <c r="H276" t="n">
        <v>0</v>
      </c>
      <c r="I276" t="n">
        <v>1</v>
      </c>
      <c r="J276" t="n">
        <v>0</v>
      </c>
      <c r="K276" t="n">
        <v>0</v>
      </c>
      <c r="L276" t="n">
        <v>0</v>
      </c>
      <c r="M276" t="n">
        <v>0</v>
      </c>
      <c r="N276" t="n">
        <v>0</v>
      </c>
      <c r="O276" t="n">
        <v>0</v>
      </c>
      <c r="P276" t="n">
        <v>0</v>
      </c>
      <c r="Q276" t="n">
        <v>1</v>
      </c>
      <c r="R276" s="2" t="inlineStr">
        <is>
          <t>Vedticka</t>
        </is>
      </c>
      <c r="S276">
        <f>HYPERLINK("https://klasma.github.io/Logging_2161/artfynd/A 7148-2023 artfynd.xlsx", "A 7148-2023")</f>
        <v/>
      </c>
      <c r="T276">
        <f>HYPERLINK("https://klasma.github.io/Logging_2161/kartor/A 7148-2023 karta.png", "A 7148-2023")</f>
        <v/>
      </c>
      <c r="V276">
        <f>HYPERLINK("https://klasma.github.io/Logging_2161/klagomål/A 7148-2023 FSC-klagomål.docx", "A 7148-2023")</f>
        <v/>
      </c>
      <c r="W276">
        <f>HYPERLINK("https://klasma.github.io/Logging_2161/klagomålsmail/A 7148-2023 FSC-klagomål mail.docx", "A 7148-2023")</f>
        <v/>
      </c>
      <c r="X276">
        <f>HYPERLINK("https://klasma.github.io/Logging_2161/tillsyn/A 7148-2023 tillsynsbegäran.docx", "A 7148-2023")</f>
        <v/>
      </c>
      <c r="Y276">
        <f>HYPERLINK("https://klasma.github.io/Logging_2161/tillsynsmail/A 7148-2023 tillsynsbegäran mail.docx", "A 7148-2023")</f>
        <v/>
      </c>
    </row>
    <row r="277" ht="15" customHeight="1">
      <c r="A277" t="inlineStr">
        <is>
          <t>A 51232-2023</t>
        </is>
      </c>
      <c r="B277" s="1" t="n">
        <v>45219.4621412037</v>
      </c>
      <c r="C277" s="1" t="n">
        <v>45992</v>
      </c>
      <c r="D277" t="inlineStr">
        <is>
          <t>GÄVLEBORGS LÄN</t>
        </is>
      </c>
      <c r="E277" t="inlineStr">
        <is>
          <t>LJUSDAL</t>
        </is>
      </c>
      <c r="F277" t="inlineStr">
        <is>
          <t>Sveaskog</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51232-2023 artfynd.xlsx", "A 51232-2023")</f>
        <v/>
      </c>
      <c r="T277">
        <f>HYPERLINK("https://klasma.github.io/Logging_2161/kartor/A 51232-2023 karta.png", "A 51232-2023")</f>
        <v/>
      </c>
      <c r="V277">
        <f>HYPERLINK("https://klasma.github.io/Logging_2161/klagomål/A 51232-2023 FSC-klagomål.docx", "A 51232-2023")</f>
        <v/>
      </c>
      <c r="W277">
        <f>HYPERLINK("https://klasma.github.io/Logging_2161/klagomålsmail/A 51232-2023 FSC-klagomål mail.docx", "A 51232-2023")</f>
        <v/>
      </c>
      <c r="X277">
        <f>HYPERLINK("https://klasma.github.io/Logging_2161/tillsyn/A 51232-2023 tillsynsbegäran.docx", "A 51232-2023")</f>
        <v/>
      </c>
      <c r="Y277">
        <f>HYPERLINK("https://klasma.github.io/Logging_2161/tillsynsmail/A 51232-2023 tillsynsbegäran mail.docx", "A 51232-2023")</f>
        <v/>
      </c>
    </row>
    <row r="278" ht="15" customHeight="1">
      <c r="A278" t="inlineStr">
        <is>
          <t>A 23644-2024</t>
        </is>
      </c>
      <c r="B278" s="1" t="n">
        <v>45454</v>
      </c>
      <c r="C278" s="1" t="n">
        <v>45992</v>
      </c>
      <c r="D278" t="inlineStr">
        <is>
          <t>GÄVLEBORGS LÄN</t>
        </is>
      </c>
      <c r="E278" t="inlineStr">
        <is>
          <t>LJUSDAL</t>
        </is>
      </c>
      <c r="F278" t="inlineStr">
        <is>
          <t>Sveaskog</t>
        </is>
      </c>
      <c r="G278" t="n">
        <v>26.6</v>
      </c>
      <c r="H278" t="n">
        <v>0</v>
      </c>
      <c r="I278" t="n">
        <v>0</v>
      </c>
      <c r="J278" t="n">
        <v>1</v>
      </c>
      <c r="K278" t="n">
        <v>0</v>
      </c>
      <c r="L278" t="n">
        <v>0</v>
      </c>
      <c r="M278" t="n">
        <v>0</v>
      </c>
      <c r="N278" t="n">
        <v>0</v>
      </c>
      <c r="O278" t="n">
        <v>1</v>
      </c>
      <c r="P278" t="n">
        <v>0</v>
      </c>
      <c r="Q278" t="n">
        <v>1</v>
      </c>
      <c r="R278" s="2" t="inlineStr">
        <is>
          <t>Kolflarnlav</t>
        </is>
      </c>
      <c r="S278">
        <f>HYPERLINK("https://klasma.github.io/Logging_2161/artfynd/A 23644-2024 artfynd.xlsx", "A 23644-2024")</f>
        <v/>
      </c>
      <c r="T278">
        <f>HYPERLINK("https://klasma.github.io/Logging_2161/kartor/A 23644-2024 karta.png", "A 23644-2024")</f>
        <v/>
      </c>
      <c r="V278">
        <f>HYPERLINK("https://klasma.github.io/Logging_2161/klagomål/A 23644-2024 FSC-klagomål.docx", "A 23644-2024")</f>
        <v/>
      </c>
      <c r="W278">
        <f>HYPERLINK("https://klasma.github.io/Logging_2161/klagomålsmail/A 23644-2024 FSC-klagomål mail.docx", "A 23644-2024")</f>
        <v/>
      </c>
      <c r="X278">
        <f>HYPERLINK("https://klasma.github.io/Logging_2161/tillsyn/A 23644-2024 tillsynsbegäran.docx", "A 23644-2024")</f>
        <v/>
      </c>
      <c r="Y278">
        <f>HYPERLINK("https://klasma.github.io/Logging_2161/tillsynsmail/A 23644-2024 tillsynsbegäran mail.docx", "A 23644-2024")</f>
        <v/>
      </c>
    </row>
    <row r="279" ht="15" customHeight="1">
      <c r="A279" t="inlineStr">
        <is>
          <t>A 24831-2024</t>
        </is>
      </c>
      <c r="B279" s="1" t="n">
        <v>45461.37734953704</v>
      </c>
      <c r="C279" s="1" t="n">
        <v>45992</v>
      </c>
      <c r="D279" t="inlineStr">
        <is>
          <t>GÄVLEBORGS LÄN</t>
        </is>
      </c>
      <c r="E279" t="inlineStr">
        <is>
          <t>LJUSDAL</t>
        </is>
      </c>
      <c r="G279" t="n">
        <v>4.9</v>
      </c>
      <c r="H279" t="n">
        <v>0</v>
      </c>
      <c r="I279" t="n">
        <v>0</v>
      </c>
      <c r="J279" t="n">
        <v>1</v>
      </c>
      <c r="K279" t="n">
        <v>0</v>
      </c>
      <c r="L279" t="n">
        <v>0</v>
      </c>
      <c r="M279" t="n">
        <v>0</v>
      </c>
      <c r="N279" t="n">
        <v>0</v>
      </c>
      <c r="O279" t="n">
        <v>1</v>
      </c>
      <c r="P279" t="n">
        <v>0</v>
      </c>
      <c r="Q279" t="n">
        <v>1</v>
      </c>
      <c r="R279" s="2" t="inlineStr">
        <is>
          <t>Lunglav</t>
        </is>
      </c>
      <c r="S279">
        <f>HYPERLINK("https://klasma.github.io/Logging_2161/artfynd/A 24831-2024 artfynd.xlsx", "A 24831-2024")</f>
        <v/>
      </c>
      <c r="T279">
        <f>HYPERLINK("https://klasma.github.io/Logging_2161/kartor/A 24831-2024 karta.png", "A 24831-2024")</f>
        <v/>
      </c>
      <c r="V279">
        <f>HYPERLINK("https://klasma.github.io/Logging_2161/klagomål/A 24831-2024 FSC-klagomål.docx", "A 24831-2024")</f>
        <v/>
      </c>
      <c r="W279">
        <f>HYPERLINK("https://klasma.github.io/Logging_2161/klagomålsmail/A 24831-2024 FSC-klagomål mail.docx", "A 24831-2024")</f>
        <v/>
      </c>
      <c r="X279">
        <f>HYPERLINK("https://klasma.github.io/Logging_2161/tillsyn/A 24831-2024 tillsynsbegäran.docx", "A 24831-2024")</f>
        <v/>
      </c>
      <c r="Y279">
        <f>HYPERLINK("https://klasma.github.io/Logging_2161/tillsynsmail/A 24831-2024 tillsynsbegäran mail.docx", "A 24831-2024")</f>
        <v/>
      </c>
    </row>
    <row r="280" ht="15" customHeight="1">
      <c r="A280" t="inlineStr">
        <is>
          <t>A 34235-2024</t>
        </is>
      </c>
      <c r="B280" s="1" t="n">
        <v>45524.56763888889</v>
      </c>
      <c r="C280" s="1" t="n">
        <v>45992</v>
      </c>
      <c r="D280" t="inlineStr">
        <is>
          <t>GÄVLEBORGS LÄN</t>
        </is>
      </c>
      <c r="E280" t="inlineStr">
        <is>
          <t>LJUSDAL</t>
        </is>
      </c>
      <c r="F280" t="inlineStr">
        <is>
          <t>Sveaskog</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HYPERLINK("https://klasma.github.io/Logging_2161/artfynd/A 34235-2024 artfynd.xlsx", "A 34235-2024")</f>
        <v/>
      </c>
      <c r="T280">
        <f>HYPERLINK("https://klasma.github.io/Logging_2161/kartor/A 34235-2024 karta.png", "A 34235-2024")</f>
        <v/>
      </c>
      <c r="V280">
        <f>HYPERLINK("https://klasma.github.io/Logging_2161/klagomål/A 34235-2024 FSC-klagomål.docx", "A 34235-2024")</f>
        <v/>
      </c>
      <c r="W280">
        <f>HYPERLINK("https://klasma.github.io/Logging_2161/klagomålsmail/A 34235-2024 FSC-klagomål mail.docx", "A 34235-2024")</f>
        <v/>
      </c>
      <c r="X280">
        <f>HYPERLINK("https://klasma.github.io/Logging_2161/tillsyn/A 34235-2024 tillsynsbegäran.docx", "A 34235-2024")</f>
        <v/>
      </c>
      <c r="Y280">
        <f>HYPERLINK("https://klasma.github.io/Logging_2161/tillsynsmail/A 34235-2024 tillsynsbegäran mail.docx", "A 34235-2024")</f>
        <v/>
      </c>
    </row>
    <row r="281" ht="15" customHeight="1">
      <c r="A281" t="inlineStr">
        <is>
          <t>A 4696-2023</t>
        </is>
      </c>
      <c r="B281" s="1" t="n">
        <v>44957.47362268518</v>
      </c>
      <c r="C281" s="1" t="n">
        <v>45992</v>
      </c>
      <c r="D281" t="inlineStr">
        <is>
          <t>GÄVLEBORGS LÄN</t>
        </is>
      </c>
      <c r="E281" t="inlineStr">
        <is>
          <t>LJUSDAL</t>
        </is>
      </c>
      <c r="F281" t="inlineStr">
        <is>
          <t>Holmen skog AB</t>
        </is>
      </c>
      <c r="G281" t="n">
        <v>7.3</v>
      </c>
      <c r="H281" t="n">
        <v>0</v>
      </c>
      <c r="I281" t="n">
        <v>1</v>
      </c>
      <c r="J281" t="n">
        <v>0</v>
      </c>
      <c r="K281" t="n">
        <v>0</v>
      </c>
      <c r="L281" t="n">
        <v>0</v>
      </c>
      <c r="M281" t="n">
        <v>0</v>
      </c>
      <c r="N281" t="n">
        <v>0</v>
      </c>
      <c r="O281" t="n">
        <v>0</v>
      </c>
      <c r="P281" t="n">
        <v>0</v>
      </c>
      <c r="Q281" t="n">
        <v>1</v>
      </c>
      <c r="R281" s="2" t="inlineStr">
        <is>
          <t>Vedticka</t>
        </is>
      </c>
      <c r="S281">
        <f>HYPERLINK("https://klasma.github.io/Logging_2161/artfynd/A 4696-2023 artfynd.xlsx", "A 4696-2023")</f>
        <v/>
      </c>
      <c r="T281">
        <f>HYPERLINK("https://klasma.github.io/Logging_2161/kartor/A 4696-2023 karta.png", "A 4696-2023")</f>
        <v/>
      </c>
      <c r="V281">
        <f>HYPERLINK("https://klasma.github.io/Logging_2161/klagomål/A 4696-2023 FSC-klagomål.docx", "A 4696-2023")</f>
        <v/>
      </c>
      <c r="W281">
        <f>HYPERLINK("https://klasma.github.io/Logging_2161/klagomålsmail/A 4696-2023 FSC-klagomål mail.docx", "A 4696-2023")</f>
        <v/>
      </c>
      <c r="X281">
        <f>HYPERLINK("https://klasma.github.io/Logging_2161/tillsyn/A 4696-2023 tillsynsbegäran.docx", "A 4696-2023")</f>
        <v/>
      </c>
      <c r="Y281">
        <f>HYPERLINK("https://klasma.github.io/Logging_2161/tillsynsmail/A 4696-2023 tillsynsbegäran mail.docx", "A 4696-2023")</f>
        <v/>
      </c>
    </row>
    <row r="282" ht="15" customHeight="1">
      <c r="A282" t="inlineStr">
        <is>
          <t>A 37090-2024</t>
        </is>
      </c>
      <c r="B282" s="1" t="n">
        <v>45539.49916666667</v>
      </c>
      <c r="C282" s="1" t="n">
        <v>45992</v>
      </c>
      <c r="D282" t="inlineStr">
        <is>
          <t>GÄVLEBORGS LÄN</t>
        </is>
      </c>
      <c r="E282" t="inlineStr">
        <is>
          <t>LJUSDAL</t>
        </is>
      </c>
      <c r="F282" t="inlineStr">
        <is>
          <t>Sveaskog</t>
        </is>
      </c>
      <c r="G282" t="n">
        <v>2.6</v>
      </c>
      <c r="H282" t="n">
        <v>0</v>
      </c>
      <c r="I282" t="n">
        <v>0</v>
      </c>
      <c r="J282" t="n">
        <v>1</v>
      </c>
      <c r="K282" t="n">
        <v>0</v>
      </c>
      <c r="L282" t="n">
        <v>0</v>
      </c>
      <c r="M282" t="n">
        <v>0</v>
      </c>
      <c r="N282" t="n">
        <v>0</v>
      </c>
      <c r="O282" t="n">
        <v>1</v>
      </c>
      <c r="P282" t="n">
        <v>0</v>
      </c>
      <c r="Q282" t="n">
        <v>1</v>
      </c>
      <c r="R282" s="2" t="inlineStr">
        <is>
          <t>Skrovellav</t>
        </is>
      </c>
      <c r="S282">
        <f>HYPERLINK("https://klasma.github.io/Logging_2161/artfynd/A 37090-2024 artfynd.xlsx", "A 37090-2024")</f>
        <v/>
      </c>
      <c r="T282">
        <f>HYPERLINK("https://klasma.github.io/Logging_2161/kartor/A 37090-2024 karta.png", "A 37090-2024")</f>
        <v/>
      </c>
      <c r="V282">
        <f>HYPERLINK("https://klasma.github.io/Logging_2161/klagomål/A 37090-2024 FSC-klagomål.docx", "A 37090-2024")</f>
        <v/>
      </c>
      <c r="W282">
        <f>HYPERLINK("https://klasma.github.io/Logging_2161/klagomålsmail/A 37090-2024 FSC-klagomål mail.docx", "A 37090-2024")</f>
        <v/>
      </c>
      <c r="X282">
        <f>HYPERLINK("https://klasma.github.io/Logging_2161/tillsyn/A 37090-2024 tillsynsbegäran.docx", "A 37090-2024")</f>
        <v/>
      </c>
      <c r="Y282">
        <f>HYPERLINK("https://klasma.github.io/Logging_2161/tillsynsmail/A 37090-2024 tillsynsbegäran mail.docx", "A 37090-2024")</f>
        <v/>
      </c>
    </row>
    <row r="283" ht="15" customHeight="1">
      <c r="A283" t="inlineStr">
        <is>
          <t>A 25490-2021</t>
        </is>
      </c>
      <c r="B283" s="1" t="n">
        <v>44342</v>
      </c>
      <c r="C283" s="1" t="n">
        <v>45992</v>
      </c>
      <c r="D283" t="inlineStr">
        <is>
          <t>GÄVLEBORGS LÄN</t>
        </is>
      </c>
      <c r="E283" t="inlineStr">
        <is>
          <t>LJUSDAL</t>
        </is>
      </c>
      <c r="G283" t="n">
        <v>6.3</v>
      </c>
      <c r="H283" t="n">
        <v>1</v>
      </c>
      <c r="I283" t="n">
        <v>0</v>
      </c>
      <c r="J283" t="n">
        <v>1</v>
      </c>
      <c r="K283" t="n">
        <v>0</v>
      </c>
      <c r="L283" t="n">
        <v>0</v>
      </c>
      <c r="M283" t="n">
        <v>0</v>
      </c>
      <c r="N283" t="n">
        <v>0</v>
      </c>
      <c r="O283" t="n">
        <v>1</v>
      </c>
      <c r="P283" t="n">
        <v>0</v>
      </c>
      <c r="Q283" t="n">
        <v>1</v>
      </c>
      <c r="R283" s="2" t="inlineStr">
        <is>
          <t>Tretåig hackspett</t>
        </is>
      </c>
      <c r="S283">
        <f>HYPERLINK("https://klasma.github.io/Logging_2161/artfynd/A 25490-2021 artfynd.xlsx", "A 25490-2021")</f>
        <v/>
      </c>
      <c r="T283">
        <f>HYPERLINK("https://klasma.github.io/Logging_2161/kartor/A 25490-2021 karta.png", "A 25490-2021")</f>
        <v/>
      </c>
      <c r="U283">
        <f>HYPERLINK("https://klasma.github.io/Logging_2161/knärot/A 25490-2021 karta knärot.png", "A 25490-2021")</f>
        <v/>
      </c>
      <c r="V283">
        <f>HYPERLINK("https://klasma.github.io/Logging_2161/klagomål/A 25490-2021 FSC-klagomål.docx", "A 25490-2021")</f>
        <v/>
      </c>
      <c r="W283">
        <f>HYPERLINK("https://klasma.github.io/Logging_2161/klagomålsmail/A 25490-2021 FSC-klagomål mail.docx", "A 25490-2021")</f>
        <v/>
      </c>
      <c r="X283">
        <f>HYPERLINK("https://klasma.github.io/Logging_2161/tillsyn/A 25490-2021 tillsynsbegäran.docx", "A 25490-2021")</f>
        <v/>
      </c>
      <c r="Y283">
        <f>HYPERLINK("https://klasma.github.io/Logging_2161/tillsynsmail/A 25490-2021 tillsynsbegäran mail.docx", "A 25490-2021")</f>
        <v/>
      </c>
      <c r="Z283">
        <f>HYPERLINK("https://klasma.github.io/Logging_2161/fåglar/A 25490-2021 prioriterade fågelarter.docx", "A 25490-2021")</f>
        <v/>
      </c>
    </row>
    <row r="284" ht="15" customHeight="1">
      <c r="A284" t="inlineStr">
        <is>
          <t>A 26526-2023</t>
        </is>
      </c>
      <c r="B284" s="1" t="n">
        <v>45092.56519675926</v>
      </c>
      <c r="C284" s="1" t="n">
        <v>45992</v>
      </c>
      <c r="D284" t="inlineStr">
        <is>
          <t>GÄVLEBORGS LÄN</t>
        </is>
      </c>
      <c r="E284" t="inlineStr">
        <is>
          <t>LJUSDAL</t>
        </is>
      </c>
      <c r="F284" t="inlineStr">
        <is>
          <t>Sveaskog</t>
        </is>
      </c>
      <c r="G284" t="n">
        <v>3.6</v>
      </c>
      <c r="H284" t="n">
        <v>0</v>
      </c>
      <c r="I284" t="n">
        <v>0</v>
      </c>
      <c r="J284" t="n">
        <v>1</v>
      </c>
      <c r="K284" t="n">
        <v>0</v>
      </c>
      <c r="L284" t="n">
        <v>0</v>
      </c>
      <c r="M284" t="n">
        <v>0</v>
      </c>
      <c r="N284" t="n">
        <v>0</v>
      </c>
      <c r="O284" t="n">
        <v>1</v>
      </c>
      <c r="P284" t="n">
        <v>0</v>
      </c>
      <c r="Q284" t="n">
        <v>1</v>
      </c>
      <c r="R284" s="2" t="inlineStr">
        <is>
          <t>Kolflarnlav</t>
        </is>
      </c>
      <c r="S284">
        <f>HYPERLINK("https://klasma.github.io/Logging_2161/artfynd/A 26526-2023 artfynd.xlsx", "A 26526-2023")</f>
        <v/>
      </c>
      <c r="T284">
        <f>HYPERLINK("https://klasma.github.io/Logging_2161/kartor/A 26526-2023 karta.png", "A 26526-2023")</f>
        <v/>
      </c>
      <c r="V284">
        <f>HYPERLINK("https://klasma.github.io/Logging_2161/klagomål/A 26526-2023 FSC-klagomål.docx", "A 26526-2023")</f>
        <v/>
      </c>
      <c r="W284">
        <f>HYPERLINK("https://klasma.github.io/Logging_2161/klagomålsmail/A 26526-2023 FSC-klagomål mail.docx", "A 26526-2023")</f>
        <v/>
      </c>
      <c r="X284">
        <f>HYPERLINK("https://klasma.github.io/Logging_2161/tillsyn/A 26526-2023 tillsynsbegäran.docx", "A 26526-2023")</f>
        <v/>
      </c>
      <c r="Y284">
        <f>HYPERLINK("https://klasma.github.io/Logging_2161/tillsynsmail/A 26526-2023 tillsynsbegäran mail.docx", "A 26526-2023")</f>
        <v/>
      </c>
    </row>
    <row r="285" ht="15" customHeight="1">
      <c r="A285" t="inlineStr">
        <is>
          <t>A 53858-2023</t>
        </is>
      </c>
      <c r="B285" s="1" t="n">
        <v>45231</v>
      </c>
      <c r="C285" s="1" t="n">
        <v>45992</v>
      </c>
      <c r="D285" t="inlineStr">
        <is>
          <t>GÄVLEBORGS LÄN</t>
        </is>
      </c>
      <c r="E285" t="inlineStr">
        <is>
          <t>LJUSDAL</t>
        </is>
      </c>
      <c r="F285" t="inlineStr">
        <is>
          <t>Allmännings- och besparingsskogar</t>
        </is>
      </c>
      <c r="G285" t="n">
        <v>2.3</v>
      </c>
      <c r="H285" t="n">
        <v>1</v>
      </c>
      <c r="I285" t="n">
        <v>0</v>
      </c>
      <c r="J285" t="n">
        <v>0</v>
      </c>
      <c r="K285" t="n">
        <v>1</v>
      </c>
      <c r="L285" t="n">
        <v>0</v>
      </c>
      <c r="M285" t="n">
        <v>0</v>
      </c>
      <c r="N285" t="n">
        <v>0</v>
      </c>
      <c r="O285" t="n">
        <v>1</v>
      </c>
      <c r="P285" t="n">
        <v>1</v>
      </c>
      <c r="Q285" t="n">
        <v>1</v>
      </c>
      <c r="R285" s="2" t="inlineStr">
        <is>
          <t>Mellanlummer</t>
        </is>
      </c>
      <c r="S285">
        <f>HYPERLINK("https://klasma.github.io/Logging_2161/artfynd/A 53858-2023 artfynd.xlsx", "A 53858-2023")</f>
        <v/>
      </c>
      <c r="T285">
        <f>HYPERLINK("https://klasma.github.io/Logging_2161/kartor/A 53858-2023 karta.png", "A 53858-2023")</f>
        <v/>
      </c>
      <c r="V285">
        <f>HYPERLINK("https://klasma.github.io/Logging_2161/klagomål/A 53858-2023 FSC-klagomål.docx", "A 53858-2023")</f>
        <v/>
      </c>
      <c r="W285">
        <f>HYPERLINK("https://klasma.github.io/Logging_2161/klagomålsmail/A 53858-2023 FSC-klagomål mail.docx", "A 53858-2023")</f>
        <v/>
      </c>
      <c r="X285">
        <f>HYPERLINK("https://klasma.github.io/Logging_2161/tillsyn/A 53858-2023 tillsynsbegäran.docx", "A 53858-2023")</f>
        <v/>
      </c>
      <c r="Y285">
        <f>HYPERLINK("https://klasma.github.io/Logging_2161/tillsynsmail/A 53858-2023 tillsynsbegäran mail.docx", "A 53858-2023")</f>
        <v/>
      </c>
    </row>
    <row r="286" ht="15" customHeight="1">
      <c r="A286" t="inlineStr">
        <is>
          <t>A 21900-2024</t>
        </is>
      </c>
      <c r="B286" s="1" t="n">
        <v>45443.40680555555</v>
      </c>
      <c r="C286" s="1" t="n">
        <v>45992</v>
      </c>
      <c r="D286" t="inlineStr">
        <is>
          <t>GÄVLEBORGS LÄN</t>
        </is>
      </c>
      <c r="E286" t="inlineStr">
        <is>
          <t>LJUSDAL</t>
        </is>
      </c>
      <c r="F286" t="inlineStr">
        <is>
          <t>Sveaskog</t>
        </is>
      </c>
      <c r="G286" t="n">
        <v>1.6</v>
      </c>
      <c r="H286" t="n">
        <v>0</v>
      </c>
      <c r="I286" t="n">
        <v>0</v>
      </c>
      <c r="J286" t="n">
        <v>1</v>
      </c>
      <c r="K286" t="n">
        <v>0</v>
      </c>
      <c r="L286" t="n">
        <v>0</v>
      </c>
      <c r="M286" t="n">
        <v>0</v>
      </c>
      <c r="N286" t="n">
        <v>0</v>
      </c>
      <c r="O286" t="n">
        <v>1</v>
      </c>
      <c r="P286" t="n">
        <v>0</v>
      </c>
      <c r="Q286" t="n">
        <v>1</v>
      </c>
      <c r="R286" s="2" t="inlineStr">
        <is>
          <t>Lunglav</t>
        </is>
      </c>
      <c r="S286">
        <f>HYPERLINK("https://klasma.github.io/Logging_2161/artfynd/A 21900-2024 artfynd.xlsx", "A 21900-2024")</f>
        <v/>
      </c>
      <c r="T286">
        <f>HYPERLINK("https://klasma.github.io/Logging_2161/kartor/A 21900-2024 karta.png", "A 21900-2024")</f>
        <v/>
      </c>
      <c r="U286">
        <f>HYPERLINK("https://klasma.github.io/Logging_2161/knärot/A 21900-2024 karta knärot.png", "A 21900-2024")</f>
        <v/>
      </c>
      <c r="V286">
        <f>HYPERLINK("https://klasma.github.io/Logging_2161/klagomål/A 21900-2024 FSC-klagomål.docx", "A 21900-2024")</f>
        <v/>
      </c>
      <c r="W286">
        <f>HYPERLINK("https://klasma.github.io/Logging_2161/klagomålsmail/A 21900-2024 FSC-klagomål mail.docx", "A 21900-2024")</f>
        <v/>
      </c>
      <c r="X286">
        <f>HYPERLINK("https://klasma.github.io/Logging_2161/tillsyn/A 21900-2024 tillsynsbegäran.docx", "A 21900-2024")</f>
        <v/>
      </c>
      <c r="Y286">
        <f>HYPERLINK("https://klasma.github.io/Logging_2161/tillsynsmail/A 21900-2024 tillsynsbegäran mail.docx", "A 21900-2024")</f>
        <v/>
      </c>
    </row>
    <row r="287" ht="15" customHeight="1">
      <c r="A287" t="inlineStr">
        <is>
          <t>A 30115-2024</t>
        </is>
      </c>
      <c r="B287" s="1" t="n">
        <v>45489.47310185185</v>
      </c>
      <c r="C287" s="1" t="n">
        <v>45992</v>
      </c>
      <c r="D287" t="inlineStr">
        <is>
          <t>GÄVLEBORGS LÄN</t>
        </is>
      </c>
      <c r="E287" t="inlineStr">
        <is>
          <t>LJUSDAL</t>
        </is>
      </c>
      <c r="F287" t="inlineStr">
        <is>
          <t>Sveaskog</t>
        </is>
      </c>
      <c r="G287" t="n">
        <v>3.7</v>
      </c>
      <c r="H287" t="n">
        <v>0</v>
      </c>
      <c r="I287" t="n">
        <v>0</v>
      </c>
      <c r="J287" t="n">
        <v>1</v>
      </c>
      <c r="K287" t="n">
        <v>0</v>
      </c>
      <c r="L287" t="n">
        <v>0</v>
      </c>
      <c r="M287" t="n">
        <v>0</v>
      </c>
      <c r="N287" t="n">
        <v>0</v>
      </c>
      <c r="O287" t="n">
        <v>1</v>
      </c>
      <c r="P287" t="n">
        <v>0</v>
      </c>
      <c r="Q287" t="n">
        <v>1</v>
      </c>
      <c r="R287" s="2" t="inlineStr">
        <is>
          <t>Kolflarnlav</t>
        </is>
      </c>
      <c r="S287">
        <f>HYPERLINK("https://klasma.github.io/Logging_2161/artfynd/A 30115-2024 artfynd.xlsx", "A 30115-2024")</f>
        <v/>
      </c>
      <c r="T287">
        <f>HYPERLINK("https://klasma.github.io/Logging_2161/kartor/A 30115-2024 karta.png", "A 30115-2024")</f>
        <v/>
      </c>
      <c r="V287">
        <f>HYPERLINK("https://klasma.github.io/Logging_2161/klagomål/A 30115-2024 FSC-klagomål.docx", "A 30115-2024")</f>
        <v/>
      </c>
      <c r="W287">
        <f>HYPERLINK("https://klasma.github.io/Logging_2161/klagomålsmail/A 30115-2024 FSC-klagomål mail.docx", "A 30115-2024")</f>
        <v/>
      </c>
      <c r="X287">
        <f>HYPERLINK("https://klasma.github.io/Logging_2161/tillsyn/A 30115-2024 tillsynsbegäran.docx", "A 30115-2024")</f>
        <v/>
      </c>
      <c r="Y287">
        <f>HYPERLINK("https://klasma.github.io/Logging_2161/tillsynsmail/A 30115-2024 tillsynsbegäran mail.docx", "A 30115-2024")</f>
        <v/>
      </c>
    </row>
    <row r="288" ht="15" customHeight="1">
      <c r="A288" t="inlineStr">
        <is>
          <t>A 53286-2023</t>
        </is>
      </c>
      <c r="B288" s="1" t="n">
        <v>45229.57386574074</v>
      </c>
      <c r="C288" s="1" t="n">
        <v>45992</v>
      </c>
      <c r="D288" t="inlineStr">
        <is>
          <t>GÄVLEBORGS LÄN</t>
        </is>
      </c>
      <c r="E288" t="inlineStr">
        <is>
          <t>LJUSDAL</t>
        </is>
      </c>
      <c r="F288" t="inlineStr">
        <is>
          <t>Sveaskog</t>
        </is>
      </c>
      <c r="G288" t="n">
        <v>8</v>
      </c>
      <c r="H288" t="n">
        <v>0</v>
      </c>
      <c r="I288" t="n">
        <v>0</v>
      </c>
      <c r="J288" t="n">
        <v>1</v>
      </c>
      <c r="K288" t="n">
        <v>0</v>
      </c>
      <c r="L288" t="n">
        <v>0</v>
      </c>
      <c r="M288" t="n">
        <v>0</v>
      </c>
      <c r="N288" t="n">
        <v>0</v>
      </c>
      <c r="O288" t="n">
        <v>1</v>
      </c>
      <c r="P288" t="n">
        <v>0</v>
      </c>
      <c r="Q288" t="n">
        <v>1</v>
      </c>
      <c r="R288" s="2" t="inlineStr">
        <is>
          <t>Kolflarnlav</t>
        </is>
      </c>
      <c r="S288">
        <f>HYPERLINK("https://klasma.github.io/Logging_2161/artfynd/A 53286-2023 artfynd.xlsx", "A 53286-2023")</f>
        <v/>
      </c>
      <c r="T288">
        <f>HYPERLINK("https://klasma.github.io/Logging_2161/kartor/A 53286-2023 karta.png", "A 53286-2023")</f>
        <v/>
      </c>
      <c r="V288">
        <f>HYPERLINK("https://klasma.github.io/Logging_2161/klagomål/A 53286-2023 FSC-klagomål.docx", "A 53286-2023")</f>
        <v/>
      </c>
      <c r="W288">
        <f>HYPERLINK("https://klasma.github.io/Logging_2161/klagomålsmail/A 53286-2023 FSC-klagomål mail.docx", "A 53286-2023")</f>
        <v/>
      </c>
      <c r="X288">
        <f>HYPERLINK("https://klasma.github.io/Logging_2161/tillsyn/A 53286-2023 tillsynsbegäran.docx", "A 53286-2023")</f>
        <v/>
      </c>
      <c r="Y288">
        <f>HYPERLINK("https://klasma.github.io/Logging_2161/tillsynsmail/A 53286-2023 tillsynsbegäran mail.docx", "A 53286-2023")</f>
        <v/>
      </c>
    </row>
    <row r="289" ht="15" customHeight="1">
      <c r="A289" t="inlineStr">
        <is>
          <t>A 40943-2023</t>
        </is>
      </c>
      <c r="B289" s="1" t="n">
        <v>45173</v>
      </c>
      <c r="C289" s="1" t="n">
        <v>45992</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17471-2025</t>
        </is>
      </c>
      <c r="B290" s="1" t="n">
        <v>45757.47829861111</v>
      </c>
      <c r="C290" s="1" t="n">
        <v>45992</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Kolflarnlav</t>
        </is>
      </c>
      <c r="S290">
        <f>HYPERLINK("https://klasma.github.io/Logging_2161/artfynd/A 17471-2025 artfynd.xlsx", "A 17471-2025")</f>
        <v/>
      </c>
      <c r="T290">
        <f>HYPERLINK("https://klasma.github.io/Logging_2161/kartor/A 17471-2025 karta.png", "A 17471-2025")</f>
        <v/>
      </c>
      <c r="V290">
        <f>HYPERLINK("https://klasma.github.io/Logging_2161/klagomål/A 17471-2025 FSC-klagomål.docx", "A 17471-2025")</f>
        <v/>
      </c>
      <c r="W290">
        <f>HYPERLINK("https://klasma.github.io/Logging_2161/klagomålsmail/A 17471-2025 FSC-klagomål mail.docx", "A 17471-2025")</f>
        <v/>
      </c>
      <c r="X290">
        <f>HYPERLINK("https://klasma.github.io/Logging_2161/tillsyn/A 17471-2025 tillsynsbegäran.docx", "A 17471-2025")</f>
        <v/>
      </c>
      <c r="Y290">
        <f>HYPERLINK("https://klasma.github.io/Logging_2161/tillsynsmail/A 17471-2025 tillsynsbegäran mail.docx", "A 17471-2025")</f>
        <v/>
      </c>
    </row>
    <row r="291" ht="15" customHeight="1">
      <c r="A291" t="inlineStr">
        <is>
          <t>A 22667-2024</t>
        </is>
      </c>
      <c r="B291" s="1" t="n">
        <v>45447.94438657408</v>
      </c>
      <c r="C291" s="1" t="n">
        <v>45992</v>
      </c>
      <c r="D291" t="inlineStr">
        <is>
          <t>GÄVLEBORGS LÄN</t>
        </is>
      </c>
      <c r="E291" t="inlineStr">
        <is>
          <t>LJUSDAL</t>
        </is>
      </c>
      <c r="F291" t="inlineStr">
        <is>
          <t>SCA</t>
        </is>
      </c>
      <c r="G291" t="n">
        <v>5.3</v>
      </c>
      <c r="H291" t="n">
        <v>1</v>
      </c>
      <c r="I291" t="n">
        <v>0</v>
      </c>
      <c r="J291" t="n">
        <v>0</v>
      </c>
      <c r="K291" t="n">
        <v>1</v>
      </c>
      <c r="L291" t="n">
        <v>0</v>
      </c>
      <c r="M291" t="n">
        <v>0</v>
      </c>
      <c r="N291" t="n">
        <v>0</v>
      </c>
      <c r="O291" t="n">
        <v>1</v>
      </c>
      <c r="P291" t="n">
        <v>1</v>
      </c>
      <c r="Q291" t="n">
        <v>1</v>
      </c>
      <c r="R291" s="2" t="inlineStr">
        <is>
          <t>Knärot</t>
        </is>
      </c>
      <c r="S291">
        <f>HYPERLINK("https://klasma.github.io/Logging_2161/artfynd/A 22667-2024 artfynd.xlsx", "A 22667-2024")</f>
        <v/>
      </c>
      <c r="T291">
        <f>HYPERLINK("https://klasma.github.io/Logging_2161/kartor/A 22667-2024 karta.png", "A 22667-2024")</f>
        <v/>
      </c>
      <c r="U291">
        <f>HYPERLINK("https://klasma.github.io/Logging_2161/knärot/A 22667-2024 karta knärot.png", "A 22667-2024")</f>
        <v/>
      </c>
      <c r="V291">
        <f>HYPERLINK("https://klasma.github.io/Logging_2161/klagomål/A 22667-2024 FSC-klagomål.docx", "A 22667-2024")</f>
        <v/>
      </c>
      <c r="W291">
        <f>HYPERLINK("https://klasma.github.io/Logging_2161/klagomålsmail/A 22667-2024 FSC-klagomål mail.docx", "A 22667-2024")</f>
        <v/>
      </c>
      <c r="X291">
        <f>HYPERLINK("https://klasma.github.io/Logging_2161/tillsyn/A 22667-2024 tillsynsbegäran.docx", "A 22667-2024")</f>
        <v/>
      </c>
      <c r="Y291">
        <f>HYPERLINK("https://klasma.github.io/Logging_2161/tillsynsmail/A 22667-2024 tillsynsbegäran mail.docx", "A 22667-2024")</f>
        <v/>
      </c>
    </row>
    <row r="292" ht="15" customHeight="1">
      <c r="A292" t="inlineStr">
        <is>
          <t>A 53508-2024</t>
        </is>
      </c>
      <c r="B292" s="1" t="n">
        <v>45614.59193287037</v>
      </c>
      <c r="C292" s="1" t="n">
        <v>45992</v>
      </c>
      <c r="D292" t="inlineStr">
        <is>
          <t>GÄVLEBORGS LÄN</t>
        </is>
      </c>
      <c r="E292" t="inlineStr">
        <is>
          <t>LJUSDAL</t>
        </is>
      </c>
      <c r="G292" t="n">
        <v>2.4</v>
      </c>
      <c r="H292" t="n">
        <v>0</v>
      </c>
      <c r="I292" t="n">
        <v>0</v>
      </c>
      <c r="J292" t="n">
        <v>1</v>
      </c>
      <c r="K292" t="n">
        <v>0</v>
      </c>
      <c r="L292" t="n">
        <v>0</v>
      </c>
      <c r="M292" t="n">
        <v>0</v>
      </c>
      <c r="N292" t="n">
        <v>0</v>
      </c>
      <c r="O292" t="n">
        <v>1</v>
      </c>
      <c r="P292" t="n">
        <v>0</v>
      </c>
      <c r="Q292" t="n">
        <v>1</v>
      </c>
      <c r="R292" s="2" t="inlineStr">
        <is>
          <t>Lunglav</t>
        </is>
      </c>
      <c r="S292">
        <f>HYPERLINK("https://klasma.github.io/Logging_2161/artfynd/A 53508-2024 artfynd.xlsx", "A 53508-2024")</f>
        <v/>
      </c>
      <c r="T292">
        <f>HYPERLINK("https://klasma.github.io/Logging_2161/kartor/A 53508-2024 karta.png", "A 53508-2024")</f>
        <v/>
      </c>
      <c r="V292">
        <f>HYPERLINK("https://klasma.github.io/Logging_2161/klagomål/A 53508-2024 FSC-klagomål.docx", "A 53508-2024")</f>
        <v/>
      </c>
      <c r="W292">
        <f>HYPERLINK("https://klasma.github.io/Logging_2161/klagomålsmail/A 53508-2024 FSC-klagomål mail.docx", "A 53508-2024")</f>
        <v/>
      </c>
      <c r="X292">
        <f>HYPERLINK("https://klasma.github.io/Logging_2161/tillsyn/A 53508-2024 tillsynsbegäran.docx", "A 53508-2024")</f>
        <v/>
      </c>
      <c r="Y292">
        <f>HYPERLINK("https://klasma.github.io/Logging_2161/tillsynsmail/A 53508-2024 tillsynsbegäran mail.docx", "A 53508-2024")</f>
        <v/>
      </c>
    </row>
    <row r="293" ht="15" customHeight="1">
      <c r="A293" t="inlineStr">
        <is>
          <t>A 21282-2025</t>
        </is>
      </c>
      <c r="B293" s="1" t="n">
        <v>45779.6665162037</v>
      </c>
      <c r="C293" s="1" t="n">
        <v>45992</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45992</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23829-2025</t>
        </is>
      </c>
      <c r="B295" s="1" t="n">
        <v>45793.59726851852</v>
      </c>
      <c r="C295" s="1" t="n">
        <v>45992</v>
      </c>
      <c r="D295" t="inlineStr">
        <is>
          <t>GÄVLEBORGS LÄN</t>
        </is>
      </c>
      <c r="E295" t="inlineStr">
        <is>
          <t>LJUSDAL</t>
        </is>
      </c>
      <c r="F295" t="inlineStr">
        <is>
          <t>Sveaskog</t>
        </is>
      </c>
      <c r="G295" t="n">
        <v>14.6</v>
      </c>
      <c r="H295" t="n">
        <v>0</v>
      </c>
      <c r="I295" t="n">
        <v>0</v>
      </c>
      <c r="J295" t="n">
        <v>1</v>
      </c>
      <c r="K295" t="n">
        <v>0</v>
      </c>
      <c r="L295" t="n">
        <v>0</v>
      </c>
      <c r="M295" t="n">
        <v>0</v>
      </c>
      <c r="N295" t="n">
        <v>0</v>
      </c>
      <c r="O295" t="n">
        <v>1</v>
      </c>
      <c r="P295" t="n">
        <v>0</v>
      </c>
      <c r="Q295" t="n">
        <v>1</v>
      </c>
      <c r="R295" s="2" t="inlineStr">
        <is>
          <t>Kolflarnlav</t>
        </is>
      </c>
      <c r="S295">
        <f>HYPERLINK("https://klasma.github.io/Logging_2161/artfynd/A 23829-2025 artfynd.xlsx", "A 23829-2025")</f>
        <v/>
      </c>
      <c r="T295">
        <f>HYPERLINK("https://klasma.github.io/Logging_2161/kartor/A 23829-2025 karta.png", "A 23829-2025")</f>
        <v/>
      </c>
      <c r="V295">
        <f>HYPERLINK("https://klasma.github.io/Logging_2161/klagomål/A 23829-2025 FSC-klagomål.docx", "A 23829-2025")</f>
        <v/>
      </c>
      <c r="W295">
        <f>HYPERLINK("https://klasma.github.io/Logging_2161/klagomålsmail/A 23829-2025 FSC-klagomål mail.docx", "A 23829-2025")</f>
        <v/>
      </c>
      <c r="X295">
        <f>HYPERLINK("https://klasma.github.io/Logging_2161/tillsyn/A 23829-2025 tillsynsbegäran.docx", "A 23829-2025")</f>
        <v/>
      </c>
      <c r="Y295">
        <f>HYPERLINK("https://klasma.github.io/Logging_2161/tillsynsmail/A 23829-2025 tillsynsbegäran mail.docx", "A 23829-2025")</f>
        <v/>
      </c>
    </row>
    <row r="296" ht="15" customHeight="1">
      <c r="A296" t="inlineStr">
        <is>
          <t>A 31125-2023</t>
        </is>
      </c>
      <c r="B296" s="1" t="n">
        <v>45113.69546296296</v>
      </c>
      <c r="C296" s="1" t="n">
        <v>45992</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30629-2022</t>
        </is>
      </c>
      <c r="B297" s="1" t="n">
        <v>44763.44366898148</v>
      </c>
      <c r="C297" s="1" t="n">
        <v>45992</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52842-2022</t>
        </is>
      </c>
      <c r="B298" s="1" t="n">
        <v>44875</v>
      </c>
      <c r="C298" s="1" t="n">
        <v>45992</v>
      </c>
      <c r="D298" t="inlineStr">
        <is>
          <t>GÄVLEBORGS LÄN</t>
        </is>
      </c>
      <c r="E298" t="inlineStr">
        <is>
          <t>LJUSDAL</t>
        </is>
      </c>
      <c r="G298" t="n">
        <v>0.6</v>
      </c>
      <c r="H298" t="n">
        <v>0</v>
      </c>
      <c r="I298" t="n">
        <v>0</v>
      </c>
      <c r="J298" t="n">
        <v>0</v>
      </c>
      <c r="K298" t="n">
        <v>0</v>
      </c>
      <c r="L298" t="n">
        <v>0</v>
      </c>
      <c r="M298" t="n">
        <v>0</v>
      </c>
      <c r="N298" t="n">
        <v>0</v>
      </c>
      <c r="O298" t="n">
        <v>0</v>
      </c>
      <c r="P298" t="n">
        <v>0</v>
      </c>
      <c r="Q298" t="n">
        <v>0</v>
      </c>
      <c r="R298" s="2" t="inlineStr"/>
    </row>
    <row r="299" ht="15" customHeight="1">
      <c r="A299" t="inlineStr">
        <is>
          <t>A 51838-2022</t>
        </is>
      </c>
      <c r="B299" s="1" t="n">
        <v>44872</v>
      </c>
      <c r="C299" s="1" t="n">
        <v>45992</v>
      </c>
      <c r="D299" t="inlineStr">
        <is>
          <t>GÄVLEBORGS LÄN</t>
        </is>
      </c>
      <c r="E299" t="inlineStr">
        <is>
          <t>LJUSDAL</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45992</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45992</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45992</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45992</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45992</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18786-2021</t>
        </is>
      </c>
      <c r="B305" s="1" t="n">
        <v>44307</v>
      </c>
      <c r="C305" s="1" t="n">
        <v>45992</v>
      </c>
      <c r="D305" t="inlineStr">
        <is>
          <t>GÄVLEBORGS LÄN</t>
        </is>
      </c>
      <c r="E305" t="inlineStr">
        <is>
          <t>LJUSDAL</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45992</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45992</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45992</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45992</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45992</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45992</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45992</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45992</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45992</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45992</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45992</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45992</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52222-2022</t>
        </is>
      </c>
      <c r="B318" s="1" t="n">
        <v>44873</v>
      </c>
      <c r="C318" s="1" t="n">
        <v>45992</v>
      </c>
      <c r="D318" t="inlineStr">
        <is>
          <t>GÄVLEBORGS LÄN</t>
        </is>
      </c>
      <c r="E318" t="inlineStr">
        <is>
          <t>LJUSDAL</t>
        </is>
      </c>
      <c r="G318" t="n">
        <v>2</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45992</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45992</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45992</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45992</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45992</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45992</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45992</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45992</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45992</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45992</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45992</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45992</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45992</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45992</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45992</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45992</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45992</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50732-2021</t>
        </is>
      </c>
      <c r="B336" s="1" t="n">
        <v>44460</v>
      </c>
      <c r="C336" s="1" t="n">
        <v>45992</v>
      </c>
      <c r="D336" t="inlineStr">
        <is>
          <t>GÄVLEBORGS LÄN</t>
        </is>
      </c>
      <c r="E336" t="inlineStr">
        <is>
          <t>LJUSDAL</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45992</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45992</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45992</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44467.4345949074</v>
      </c>
      <c r="C340" s="1" t="n">
        <v>45992</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45992</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45992</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45992</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45992</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45992</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45992</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219-2021</t>
        </is>
      </c>
      <c r="B347" s="1" t="n">
        <v>44200</v>
      </c>
      <c r="C347" s="1" t="n">
        <v>45992</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45992</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45992</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45992</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45992</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45992</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45992</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45992</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45992</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45992</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45992</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45992</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45992</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45992</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45992</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45992</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45992</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45992</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45992</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45992</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45992</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45992</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45992</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45992</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45992</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45992</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45992</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45992</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45992</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45992</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45992</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45992</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45992</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45992</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45992</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45992</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45992</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45992</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45992</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45992</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45992</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45992</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45992</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45992</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45992</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45992</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45992</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45992</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45992</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45992</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45992</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45992</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45992</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45992</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45992</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45992</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45992</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45992</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45992</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45992</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45992</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45992</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45992</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45992</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45992</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45992</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45992</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45992</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45992</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45992</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45992</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45992</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45992</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45992</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45992</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45992</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45992</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45992</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45992</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45992</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45992</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45992</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45992</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45992</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45992</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45992</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45992</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45992</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45992</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45992</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45992</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45992</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45992</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45992</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45992</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45992</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45992</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45992</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45992</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45992</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45992</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45992</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45992</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45992</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45992</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45992</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45992</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45992</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45992</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45992</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45992</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45992</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45992</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45992</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45992</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45992</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45992</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45992</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45992</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45992</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20593-2022</t>
        </is>
      </c>
      <c r="B467" s="1" t="n">
        <v>44700.44726851852</v>
      </c>
      <c r="C467" s="1" t="n">
        <v>45992</v>
      </c>
      <c r="D467" t="inlineStr">
        <is>
          <t>GÄVLEBORGS LÄN</t>
        </is>
      </c>
      <c r="E467" t="inlineStr">
        <is>
          <t>LJUSDAL</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45992</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45992</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45992</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45992</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45992</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45992</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32238-2022</t>
        </is>
      </c>
      <c r="B474" s="1" t="n">
        <v>44781</v>
      </c>
      <c r="C474" s="1" t="n">
        <v>45992</v>
      </c>
      <c r="D474" t="inlineStr">
        <is>
          <t>GÄVLEBORGS LÄN</t>
        </is>
      </c>
      <c r="E474" t="inlineStr">
        <is>
          <t>LJUSDAL</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5614-2022</t>
        </is>
      </c>
      <c r="B475" s="1" t="n">
        <v>44595</v>
      </c>
      <c r="C475" s="1" t="n">
        <v>45992</v>
      </c>
      <c r="D475" t="inlineStr">
        <is>
          <t>GÄVLEBORGS LÄN</t>
        </is>
      </c>
      <c r="E475" t="inlineStr">
        <is>
          <t>LJUSDAL</t>
        </is>
      </c>
      <c r="G475" t="n">
        <v>4.2</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45992</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45992</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49957-2024</t>
        </is>
      </c>
      <c r="B478" s="1" t="n">
        <v>45597.61802083333</v>
      </c>
      <c r="C478" s="1" t="n">
        <v>45992</v>
      </c>
      <c r="D478" t="inlineStr">
        <is>
          <t>GÄVLEBORGS LÄN</t>
        </is>
      </c>
      <c r="E478" t="inlineStr">
        <is>
          <t>LJUSDAL</t>
        </is>
      </c>
      <c r="G478" t="n">
        <v>4.6</v>
      </c>
      <c r="H478" t="n">
        <v>0</v>
      </c>
      <c r="I478" t="n">
        <v>0</v>
      </c>
      <c r="J478" t="n">
        <v>0</v>
      </c>
      <c r="K478" t="n">
        <v>0</v>
      </c>
      <c r="L478" t="n">
        <v>0</v>
      </c>
      <c r="M478" t="n">
        <v>0</v>
      </c>
      <c r="N478" t="n">
        <v>0</v>
      </c>
      <c r="O478" t="n">
        <v>0</v>
      </c>
      <c r="P478" t="n">
        <v>0</v>
      </c>
      <c r="Q478" t="n">
        <v>0</v>
      </c>
      <c r="R478" s="2" t="inlineStr"/>
    </row>
    <row r="479" ht="15" customHeight="1">
      <c r="A479" t="inlineStr">
        <is>
          <t>A 23930-2023</t>
        </is>
      </c>
      <c r="B479" s="1" t="n">
        <v>45078</v>
      </c>
      <c r="C479" s="1" t="n">
        <v>45992</v>
      </c>
      <c r="D479" t="inlineStr">
        <is>
          <t>GÄVLEBORGS LÄN</t>
        </is>
      </c>
      <c r="E479" t="inlineStr">
        <is>
          <t>LJUSDAL</t>
        </is>
      </c>
      <c r="G479" t="n">
        <v>3.8</v>
      </c>
      <c r="H479" t="n">
        <v>0</v>
      </c>
      <c r="I479" t="n">
        <v>0</v>
      </c>
      <c r="J479" t="n">
        <v>0</v>
      </c>
      <c r="K479" t="n">
        <v>0</v>
      </c>
      <c r="L479" t="n">
        <v>0</v>
      </c>
      <c r="M479" t="n">
        <v>0</v>
      </c>
      <c r="N479" t="n">
        <v>0</v>
      </c>
      <c r="O479" t="n">
        <v>0</v>
      </c>
      <c r="P479" t="n">
        <v>0</v>
      </c>
      <c r="Q479" t="n">
        <v>0</v>
      </c>
      <c r="R479" s="2" t="inlineStr"/>
    </row>
    <row r="480" ht="15" customHeight="1">
      <c r="A480" t="inlineStr">
        <is>
          <t>A 53804-2024</t>
        </is>
      </c>
      <c r="B480" s="1" t="n">
        <v>45615.59229166667</v>
      </c>
      <c r="C480" s="1" t="n">
        <v>45992</v>
      </c>
      <c r="D480" t="inlineStr">
        <is>
          <t>GÄVLEBORGS LÄN</t>
        </is>
      </c>
      <c r="E480" t="inlineStr">
        <is>
          <t>LJUSDAL</t>
        </is>
      </c>
      <c r="G480" t="n">
        <v>34.2</v>
      </c>
      <c r="H480" t="n">
        <v>0</v>
      </c>
      <c r="I480" t="n">
        <v>0</v>
      </c>
      <c r="J480" t="n">
        <v>0</v>
      </c>
      <c r="K480" t="n">
        <v>0</v>
      </c>
      <c r="L480" t="n">
        <v>0</v>
      </c>
      <c r="M480" t="n">
        <v>0</v>
      </c>
      <c r="N480" t="n">
        <v>0</v>
      </c>
      <c r="O480" t="n">
        <v>0</v>
      </c>
      <c r="P480" t="n">
        <v>0</v>
      </c>
      <c r="Q480" t="n">
        <v>0</v>
      </c>
      <c r="R480" s="2" t="inlineStr"/>
    </row>
    <row r="481" ht="15" customHeight="1">
      <c r="A481" t="inlineStr">
        <is>
          <t>A 2056-2025</t>
        </is>
      </c>
      <c r="B481" s="1" t="n">
        <v>45672.55016203703</v>
      </c>
      <c r="C481" s="1" t="n">
        <v>45992</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5415-2025</t>
        </is>
      </c>
      <c r="B482" s="1" t="n">
        <v>45692.67747685185</v>
      </c>
      <c r="C482" s="1" t="n">
        <v>45992</v>
      </c>
      <c r="D482" t="inlineStr">
        <is>
          <t>GÄVLEBORGS LÄN</t>
        </is>
      </c>
      <c r="E482" t="inlineStr">
        <is>
          <t>LJUSDAL</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9191-2022</t>
        </is>
      </c>
      <c r="B483" s="1" t="n">
        <v>44615</v>
      </c>
      <c r="C483" s="1" t="n">
        <v>45992</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21941-2022</t>
        </is>
      </c>
      <c r="B484" s="1" t="n">
        <v>44711.48230324074</v>
      </c>
      <c r="C484" s="1" t="n">
        <v>45992</v>
      </c>
      <c r="D484" t="inlineStr">
        <is>
          <t>GÄVLEBORGS LÄN</t>
        </is>
      </c>
      <c r="E484" t="inlineStr">
        <is>
          <t>LJUSDAL</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6587-2021</t>
        </is>
      </c>
      <c r="B485" s="1" t="n">
        <v>44236</v>
      </c>
      <c r="C485" s="1" t="n">
        <v>45992</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26625-2023</t>
        </is>
      </c>
      <c r="B486" s="1" t="n">
        <v>45092.71197916667</v>
      </c>
      <c r="C486" s="1" t="n">
        <v>45992</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45992</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45992</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45992</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205-2025</t>
        </is>
      </c>
      <c r="B490" s="1" t="n">
        <v>45660.31962962963</v>
      </c>
      <c r="C490" s="1" t="n">
        <v>45992</v>
      </c>
      <c r="D490" t="inlineStr">
        <is>
          <t>GÄVLEBORGS LÄN</t>
        </is>
      </c>
      <c r="E490" t="inlineStr">
        <is>
          <t>LJUSDAL</t>
        </is>
      </c>
      <c r="G490" t="n">
        <v>1.7</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45992</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45992</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28348-2023</t>
        </is>
      </c>
      <c r="B493" s="1" t="n">
        <v>45099.79817129629</v>
      </c>
      <c r="C493" s="1" t="n">
        <v>45992</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59883-2023</t>
        </is>
      </c>
      <c r="B494" s="1" t="n">
        <v>45257</v>
      </c>
      <c r="C494" s="1" t="n">
        <v>45992</v>
      </c>
      <c r="D494" t="inlineStr">
        <is>
          <t>GÄVLEBORGS LÄN</t>
        </is>
      </c>
      <c r="E494" t="inlineStr">
        <is>
          <t>LJUSDAL</t>
        </is>
      </c>
      <c r="G494" t="n">
        <v>16.6</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45992</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45992</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45992</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45992</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11920-2025</t>
        </is>
      </c>
      <c r="B499" s="1" t="n">
        <v>45728.49407407407</v>
      </c>
      <c r="C499" s="1" t="n">
        <v>45992</v>
      </c>
      <c r="D499" t="inlineStr">
        <is>
          <t>GÄVLEBORGS LÄN</t>
        </is>
      </c>
      <c r="E499" t="inlineStr">
        <is>
          <t>LJUSDAL</t>
        </is>
      </c>
      <c r="G499" t="n">
        <v>3</v>
      </c>
      <c r="H499" t="n">
        <v>0</v>
      </c>
      <c r="I499" t="n">
        <v>0</v>
      </c>
      <c r="J499" t="n">
        <v>0</v>
      </c>
      <c r="K499" t="n">
        <v>0</v>
      </c>
      <c r="L499" t="n">
        <v>0</v>
      </c>
      <c r="M499" t="n">
        <v>0</v>
      </c>
      <c r="N499" t="n">
        <v>0</v>
      </c>
      <c r="O499" t="n">
        <v>0</v>
      </c>
      <c r="P499" t="n">
        <v>0</v>
      </c>
      <c r="Q499" t="n">
        <v>0</v>
      </c>
      <c r="R499" s="2" t="inlineStr"/>
    </row>
    <row r="500" ht="15" customHeight="1">
      <c r="A500" t="inlineStr">
        <is>
          <t>A 60197-2024</t>
        </is>
      </c>
      <c r="B500" s="1" t="n">
        <v>45642.6599537037</v>
      </c>
      <c r="C500" s="1" t="n">
        <v>45992</v>
      </c>
      <c r="D500" t="inlineStr">
        <is>
          <t>GÄVLEBORGS LÄN</t>
        </is>
      </c>
      <c r="E500" t="inlineStr">
        <is>
          <t>LJUSDAL</t>
        </is>
      </c>
      <c r="G500" t="n">
        <v>4.9</v>
      </c>
      <c r="H500" t="n">
        <v>0</v>
      </c>
      <c r="I500" t="n">
        <v>0</v>
      </c>
      <c r="J500" t="n">
        <v>0</v>
      </c>
      <c r="K500" t="n">
        <v>0</v>
      </c>
      <c r="L500" t="n">
        <v>0</v>
      </c>
      <c r="M500" t="n">
        <v>0</v>
      </c>
      <c r="N500" t="n">
        <v>0</v>
      </c>
      <c r="O500" t="n">
        <v>0</v>
      </c>
      <c r="P500" t="n">
        <v>0</v>
      </c>
      <c r="Q500" t="n">
        <v>0</v>
      </c>
      <c r="R500" s="2" t="inlineStr"/>
    </row>
    <row r="501" ht="15" customHeight="1">
      <c r="A501" t="inlineStr">
        <is>
          <t>A 42417-2024</t>
        </is>
      </c>
      <c r="B501" s="1" t="n">
        <v>45565.38208333333</v>
      </c>
      <c r="C501" s="1" t="n">
        <v>45992</v>
      </c>
      <c r="D501" t="inlineStr">
        <is>
          <t>GÄVLEBORGS LÄN</t>
        </is>
      </c>
      <c r="E501" t="inlineStr">
        <is>
          <t>LJUSDAL</t>
        </is>
      </c>
      <c r="G501" t="n">
        <v>5.3</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45992</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50830-2024</t>
        </is>
      </c>
      <c r="B503" s="1" t="n">
        <v>45602.58806712963</v>
      </c>
      <c r="C503" s="1" t="n">
        <v>45992</v>
      </c>
      <c r="D503" t="inlineStr">
        <is>
          <t>GÄVLEBORGS LÄN</t>
        </is>
      </c>
      <c r="E503" t="inlineStr">
        <is>
          <t>LJUSDAL</t>
        </is>
      </c>
      <c r="F503" t="inlineStr">
        <is>
          <t>Holmen skog AB</t>
        </is>
      </c>
      <c r="G503" t="n">
        <v>16.9</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45992</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59901-2022</t>
        </is>
      </c>
      <c r="B505" s="1" t="n">
        <v>44908.89185185185</v>
      </c>
      <c r="C505" s="1" t="n">
        <v>45992</v>
      </c>
      <c r="D505" t="inlineStr">
        <is>
          <t>GÄVLEBORGS LÄN</t>
        </is>
      </c>
      <c r="E505" t="inlineStr">
        <is>
          <t>LJUSDAL</t>
        </is>
      </c>
      <c r="G505" t="n">
        <v>10.3</v>
      </c>
      <c r="H505" t="n">
        <v>0</v>
      </c>
      <c r="I505" t="n">
        <v>0</v>
      </c>
      <c r="J505" t="n">
        <v>0</v>
      </c>
      <c r="K505" t="n">
        <v>0</v>
      </c>
      <c r="L505" t="n">
        <v>0</v>
      </c>
      <c r="M505" t="n">
        <v>0</v>
      </c>
      <c r="N505" t="n">
        <v>0</v>
      </c>
      <c r="O505" t="n">
        <v>0</v>
      </c>
      <c r="P505" t="n">
        <v>0</v>
      </c>
      <c r="Q505" t="n">
        <v>0</v>
      </c>
      <c r="R505" s="2" t="inlineStr"/>
    </row>
    <row r="506" ht="15" customHeight="1">
      <c r="A506" t="inlineStr">
        <is>
          <t>A 15295-2025</t>
        </is>
      </c>
      <c r="B506" s="1" t="n">
        <v>45745.77329861111</v>
      </c>
      <c r="C506" s="1" t="n">
        <v>45992</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24667-2024</t>
        </is>
      </c>
      <c r="B507" s="1" t="n">
        <v>45460.58346064815</v>
      </c>
      <c r="C507" s="1" t="n">
        <v>45992</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61053-2023</t>
        </is>
      </c>
      <c r="B508" s="1" t="n">
        <v>45261.60179398148</v>
      </c>
      <c r="C508" s="1" t="n">
        <v>45992</v>
      </c>
      <c r="D508" t="inlineStr">
        <is>
          <t>GÄVLEBORGS LÄN</t>
        </is>
      </c>
      <c r="E508" t="inlineStr">
        <is>
          <t>LJUSDAL</t>
        </is>
      </c>
      <c r="G508" t="n">
        <v>1.3</v>
      </c>
      <c r="H508" t="n">
        <v>0</v>
      </c>
      <c r="I508" t="n">
        <v>0</v>
      </c>
      <c r="J508" t="n">
        <v>0</v>
      </c>
      <c r="K508" t="n">
        <v>0</v>
      </c>
      <c r="L508" t="n">
        <v>0</v>
      </c>
      <c r="M508" t="n">
        <v>0</v>
      </c>
      <c r="N508" t="n">
        <v>0</v>
      </c>
      <c r="O508" t="n">
        <v>0</v>
      </c>
      <c r="P508" t="n">
        <v>0</v>
      </c>
      <c r="Q508" t="n">
        <v>0</v>
      </c>
      <c r="R508" s="2" t="inlineStr"/>
    </row>
    <row r="509" ht="15" customHeight="1">
      <c r="A509" t="inlineStr">
        <is>
          <t>A 61092-2023</t>
        </is>
      </c>
      <c r="B509" s="1" t="n">
        <v>45261.64163194445</v>
      </c>
      <c r="C509" s="1" t="n">
        <v>45992</v>
      </c>
      <c r="D509" t="inlineStr">
        <is>
          <t>GÄVLEBORGS LÄN</t>
        </is>
      </c>
      <c r="E509" t="inlineStr">
        <is>
          <t>LJUSDAL</t>
        </is>
      </c>
      <c r="G509" t="n">
        <v>1.1</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45992</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18250-2025</t>
        </is>
      </c>
      <c r="B511" s="1" t="n">
        <v>45762.33427083334</v>
      </c>
      <c r="C511" s="1" t="n">
        <v>45992</v>
      </c>
      <c r="D511" t="inlineStr">
        <is>
          <t>GÄVLEBORGS LÄN</t>
        </is>
      </c>
      <c r="E511" t="inlineStr">
        <is>
          <t>LJUSDAL</t>
        </is>
      </c>
      <c r="G511" t="n">
        <v>1.9</v>
      </c>
      <c r="H511" t="n">
        <v>0</v>
      </c>
      <c r="I511" t="n">
        <v>0</v>
      </c>
      <c r="J511" t="n">
        <v>0</v>
      </c>
      <c r="K511" t="n">
        <v>0</v>
      </c>
      <c r="L511" t="n">
        <v>0</v>
      </c>
      <c r="M511" t="n">
        <v>0</v>
      </c>
      <c r="N511" t="n">
        <v>0</v>
      </c>
      <c r="O511" t="n">
        <v>0</v>
      </c>
      <c r="P511" t="n">
        <v>0</v>
      </c>
      <c r="Q511" t="n">
        <v>0</v>
      </c>
      <c r="R511" s="2" t="inlineStr"/>
    </row>
    <row r="512" ht="15" customHeight="1">
      <c r="A512" t="inlineStr">
        <is>
          <t>A 37767-2024</t>
        </is>
      </c>
      <c r="B512" s="1" t="n">
        <v>45541.80368055555</v>
      </c>
      <c r="C512" s="1" t="n">
        <v>45992</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591-2024</t>
        </is>
      </c>
      <c r="B513" s="1" t="n">
        <v>45299</v>
      </c>
      <c r="C513" s="1" t="n">
        <v>45992</v>
      </c>
      <c r="D513" t="inlineStr">
        <is>
          <t>GÄVLEBORGS LÄN</t>
        </is>
      </c>
      <c r="E513" t="inlineStr">
        <is>
          <t>LJUSDAL</t>
        </is>
      </c>
      <c r="G513" t="n">
        <v>14.1</v>
      </c>
      <c r="H513" t="n">
        <v>0</v>
      </c>
      <c r="I513" t="n">
        <v>0</v>
      </c>
      <c r="J513" t="n">
        <v>0</v>
      </c>
      <c r="K513" t="n">
        <v>0</v>
      </c>
      <c r="L513" t="n">
        <v>0</v>
      </c>
      <c r="M513" t="n">
        <v>0</v>
      </c>
      <c r="N513" t="n">
        <v>0</v>
      </c>
      <c r="O513" t="n">
        <v>0</v>
      </c>
      <c r="P513" t="n">
        <v>0</v>
      </c>
      <c r="Q513" t="n">
        <v>0</v>
      </c>
      <c r="R513" s="2" t="inlineStr"/>
    </row>
    <row r="514" ht="15" customHeight="1">
      <c r="A514" t="inlineStr">
        <is>
          <t>A 50712-2024</t>
        </is>
      </c>
      <c r="B514" s="1" t="n">
        <v>45602.3834375</v>
      </c>
      <c r="C514" s="1" t="n">
        <v>45992</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71068-2021</t>
        </is>
      </c>
      <c r="B515" s="1" t="n">
        <v>44538</v>
      </c>
      <c r="C515" s="1" t="n">
        <v>45992</v>
      </c>
      <c r="D515" t="inlineStr">
        <is>
          <t>GÄVLEBORGS LÄN</t>
        </is>
      </c>
      <c r="E515" t="inlineStr">
        <is>
          <t>LJUSDAL</t>
        </is>
      </c>
      <c r="G515" t="n">
        <v>5.8</v>
      </c>
      <c r="H515" t="n">
        <v>0</v>
      </c>
      <c r="I515" t="n">
        <v>0</v>
      </c>
      <c r="J515" t="n">
        <v>0</v>
      </c>
      <c r="K515" t="n">
        <v>0</v>
      </c>
      <c r="L515" t="n">
        <v>0</v>
      </c>
      <c r="M515" t="n">
        <v>0</v>
      </c>
      <c r="N515" t="n">
        <v>0</v>
      </c>
      <c r="O515" t="n">
        <v>0</v>
      </c>
      <c r="P515" t="n">
        <v>0</v>
      </c>
      <c r="Q515" t="n">
        <v>0</v>
      </c>
      <c r="R515" s="2" t="inlineStr"/>
    </row>
    <row r="516" ht="15" customHeight="1">
      <c r="A516" t="inlineStr">
        <is>
          <t>A 1820-2024</t>
        </is>
      </c>
      <c r="B516" s="1" t="n">
        <v>45307</v>
      </c>
      <c r="C516" s="1" t="n">
        <v>45992</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42949-2023</t>
        </is>
      </c>
      <c r="B517" s="1" t="n">
        <v>45182</v>
      </c>
      <c r="C517" s="1" t="n">
        <v>45992</v>
      </c>
      <c r="D517" t="inlineStr">
        <is>
          <t>GÄVLEBORGS LÄN</t>
        </is>
      </c>
      <c r="E517" t="inlineStr">
        <is>
          <t>LJUSDAL</t>
        </is>
      </c>
      <c r="G517" t="n">
        <v>10.4</v>
      </c>
      <c r="H517" t="n">
        <v>0</v>
      </c>
      <c r="I517" t="n">
        <v>0</v>
      </c>
      <c r="J517" t="n">
        <v>0</v>
      </c>
      <c r="K517" t="n">
        <v>0</v>
      </c>
      <c r="L517" t="n">
        <v>0</v>
      </c>
      <c r="M517" t="n">
        <v>0</v>
      </c>
      <c r="N517" t="n">
        <v>0</v>
      </c>
      <c r="O517" t="n">
        <v>0</v>
      </c>
      <c r="P517" t="n">
        <v>0</v>
      </c>
      <c r="Q517" t="n">
        <v>0</v>
      </c>
      <c r="R517" s="2" t="inlineStr"/>
    </row>
    <row r="518" ht="15" customHeight="1">
      <c r="A518" t="inlineStr">
        <is>
          <t>A 4221-2024</t>
        </is>
      </c>
      <c r="B518" s="1" t="n">
        <v>45324</v>
      </c>
      <c r="C518" s="1" t="n">
        <v>45992</v>
      </c>
      <c r="D518" t="inlineStr">
        <is>
          <t>GÄVLEBORGS LÄN</t>
        </is>
      </c>
      <c r="E518" t="inlineStr">
        <is>
          <t>LJUSDAL</t>
        </is>
      </c>
      <c r="G518" t="n">
        <v>14.5</v>
      </c>
      <c r="H518" t="n">
        <v>0</v>
      </c>
      <c r="I518" t="n">
        <v>0</v>
      </c>
      <c r="J518" t="n">
        <v>0</v>
      </c>
      <c r="K518" t="n">
        <v>0</v>
      </c>
      <c r="L518" t="n">
        <v>0</v>
      </c>
      <c r="M518" t="n">
        <v>0</v>
      </c>
      <c r="N518" t="n">
        <v>0</v>
      </c>
      <c r="O518" t="n">
        <v>0</v>
      </c>
      <c r="P518" t="n">
        <v>0</v>
      </c>
      <c r="Q518" t="n">
        <v>0</v>
      </c>
      <c r="R518" s="2" t="inlineStr"/>
    </row>
    <row r="519" ht="15" customHeight="1">
      <c r="A519" t="inlineStr">
        <is>
          <t>A 4230-2024</t>
        </is>
      </c>
      <c r="B519" s="1" t="n">
        <v>45324</v>
      </c>
      <c r="C519" s="1" t="n">
        <v>45992</v>
      </c>
      <c r="D519" t="inlineStr">
        <is>
          <t>GÄVLEBORGS LÄN</t>
        </is>
      </c>
      <c r="E519" t="inlineStr">
        <is>
          <t>LJUSDAL</t>
        </is>
      </c>
      <c r="G519" t="n">
        <v>1.2</v>
      </c>
      <c r="H519" t="n">
        <v>0</v>
      </c>
      <c r="I519" t="n">
        <v>0</v>
      </c>
      <c r="J519" t="n">
        <v>0</v>
      </c>
      <c r="K519" t="n">
        <v>0</v>
      </c>
      <c r="L519" t="n">
        <v>0</v>
      </c>
      <c r="M519" t="n">
        <v>0</v>
      </c>
      <c r="N519" t="n">
        <v>0</v>
      </c>
      <c r="O519" t="n">
        <v>0</v>
      </c>
      <c r="P519" t="n">
        <v>0</v>
      </c>
      <c r="Q519" t="n">
        <v>0</v>
      </c>
      <c r="R519" s="2" t="inlineStr"/>
    </row>
    <row r="520" ht="15" customHeight="1">
      <c r="A520" t="inlineStr">
        <is>
          <t>A 28003-2024</t>
        </is>
      </c>
      <c r="B520" s="1" t="n">
        <v>45476</v>
      </c>
      <c r="C520" s="1" t="n">
        <v>45992</v>
      </c>
      <c r="D520" t="inlineStr">
        <is>
          <t>GÄVLEBORGS LÄN</t>
        </is>
      </c>
      <c r="E520" t="inlineStr">
        <is>
          <t>LJUSDAL</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52090-2024</t>
        </is>
      </c>
      <c r="B521" s="1" t="n">
        <v>45608</v>
      </c>
      <c r="C521" s="1" t="n">
        <v>45992</v>
      </c>
      <c r="D521" t="inlineStr">
        <is>
          <t>GÄVLEBORGS LÄN</t>
        </is>
      </c>
      <c r="E521" t="inlineStr">
        <is>
          <t>LJUSDAL</t>
        </is>
      </c>
      <c r="G521" t="n">
        <v>0.3</v>
      </c>
      <c r="H521" t="n">
        <v>0</v>
      </c>
      <c r="I521" t="n">
        <v>0</v>
      </c>
      <c r="J521" t="n">
        <v>0</v>
      </c>
      <c r="K521" t="n">
        <v>0</v>
      </c>
      <c r="L521" t="n">
        <v>0</v>
      </c>
      <c r="M521" t="n">
        <v>0</v>
      </c>
      <c r="N521" t="n">
        <v>0</v>
      </c>
      <c r="O521" t="n">
        <v>0</v>
      </c>
      <c r="P521" t="n">
        <v>0</v>
      </c>
      <c r="Q521" t="n">
        <v>0</v>
      </c>
      <c r="R521" s="2" t="inlineStr"/>
    </row>
    <row r="522" ht="15" customHeight="1">
      <c r="A522" t="inlineStr">
        <is>
          <t>A 54820-2024</t>
        </is>
      </c>
      <c r="B522" s="1" t="n">
        <v>45618.53278935186</v>
      </c>
      <c r="C522" s="1" t="n">
        <v>45992</v>
      </c>
      <c r="D522" t="inlineStr">
        <is>
          <t>GÄVLEBORGS LÄN</t>
        </is>
      </c>
      <c r="E522" t="inlineStr">
        <is>
          <t>LJUSDAL</t>
        </is>
      </c>
      <c r="G522" t="n">
        <v>2.8</v>
      </c>
      <c r="H522" t="n">
        <v>0</v>
      </c>
      <c r="I522" t="n">
        <v>0</v>
      </c>
      <c r="J522" t="n">
        <v>0</v>
      </c>
      <c r="K522" t="n">
        <v>0</v>
      </c>
      <c r="L522" t="n">
        <v>0</v>
      </c>
      <c r="M522" t="n">
        <v>0</v>
      </c>
      <c r="N522" t="n">
        <v>0</v>
      </c>
      <c r="O522" t="n">
        <v>0</v>
      </c>
      <c r="P522" t="n">
        <v>0</v>
      </c>
      <c r="Q522" t="n">
        <v>0</v>
      </c>
      <c r="R522" s="2" t="inlineStr"/>
    </row>
    <row r="523" ht="15" customHeight="1">
      <c r="A523" t="inlineStr">
        <is>
          <t>A 59826-2022</t>
        </is>
      </c>
      <c r="B523" s="1" t="n">
        <v>44908.60137731482</v>
      </c>
      <c r="C523" s="1" t="n">
        <v>45992</v>
      </c>
      <c r="D523" t="inlineStr">
        <is>
          <t>GÄVLEBORGS LÄN</t>
        </is>
      </c>
      <c r="E523" t="inlineStr">
        <is>
          <t>LJUSDAL</t>
        </is>
      </c>
      <c r="F523" t="inlineStr">
        <is>
          <t>Kommuner</t>
        </is>
      </c>
      <c r="G523" t="n">
        <v>1</v>
      </c>
      <c r="H523" t="n">
        <v>0</v>
      </c>
      <c r="I523" t="n">
        <v>0</v>
      </c>
      <c r="J523" t="n">
        <v>0</v>
      </c>
      <c r="K523" t="n">
        <v>0</v>
      </c>
      <c r="L523" t="n">
        <v>0</v>
      </c>
      <c r="M523" t="n">
        <v>0</v>
      </c>
      <c r="N523" t="n">
        <v>0</v>
      </c>
      <c r="O523" t="n">
        <v>0</v>
      </c>
      <c r="P523" t="n">
        <v>0</v>
      </c>
      <c r="Q523" t="n">
        <v>0</v>
      </c>
      <c r="R523" s="2" t="inlineStr"/>
    </row>
    <row r="524" ht="15" customHeight="1">
      <c r="A524" t="inlineStr">
        <is>
          <t>A 10176-2023</t>
        </is>
      </c>
      <c r="B524" s="1" t="n">
        <v>44986.47180555556</v>
      </c>
      <c r="C524" s="1" t="n">
        <v>45992</v>
      </c>
      <c r="D524" t="inlineStr">
        <is>
          <t>GÄVLEBORGS LÄN</t>
        </is>
      </c>
      <c r="E524" t="inlineStr">
        <is>
          <t>LJUSDAL</t>
        </is>
      </c>
      <c r="F524" t="inlineStr">
        <is>
          <t>Bergvik skog väst AB</t>
        </is>
      </c>
      <c r="G524" t="n">
        <v>4.5</v>
      </c>
      <c r="H524" t="n">
        <v>0</v>
      </c>
      <c r="I524" t="n">
        <v>0</v>
      </c>
      <c r="J524" t="n">
        <v>0</v>
      </c>
      <c r="K524" t="n">
        <v>0</v>
      </c>
      <c r="L524" t="n">
        <v>0</v>
      </c>
      <c r="M524" t="n">
        <v>0</v>
      </c>
      <c r="N524" t="n">
        <v>0</v>
      </c>
      <c r="O524" t="n">
        <v>0</v>
      </c>
      <c r="P524" t="n">
        <v>0</v>
      </c>
      <c r="Q524" t="n">
        <v>0</v>
      </c>
      <c r="R524" s="2" t="inlineStr"/>
    </row>
    <row r="525" ht="15" customHeight="1">
      <c r="A525" t="inlineStr">
        <is>
          <t>A 25991-2023</t>
        </is>
      </c>
      <c r="B525" s="1" t="n">
        <v>45090.92539351852</v>
      </c>
      <c r="C525" s="1" t="n">
        <v>45992</v>
      </c>
      <c r="D525" t="inlineStr">
        <is>
          <t>GÄVLEBORGS LÄN</t>
        </is>
      </c>
      <c r="E525" t="inlineStr">
        <is>
          <t>LJUSDAL</t>
        </is>
      </c>
      <c r="G525" t="n">
        <v>9.5</v>
      </c>
      <c r="H525" t="n">
        <v>0</v>
      </c>
      <c r="I525" t="n">
        <v>0</v>
      </c>
      <c r="J525" t="n">
        <v>0</v>
      </c>
      <c r="K525" t="n">
        <v>0</v>
      </c>
      <c r="L525" t="n">
        <v>0</v>
      </c>
      <c r="M525" t="n">
        <v>0</v>
      </c>
      <c r="N525" t="n">
        <v>0</v>
      </c>
      <c r="O525" t="n">
        <v>0</v>
      </c>
      <c r="P525" t="n">
        <v>0</v>
      </c>
      <c r="Q525" t="n">
        <v>0</v>
      </c>
      <c r="R525" s="2" t="inlineStr"/>
    </row>
    <row r="526" ht="15" customHeight="1">
      <c r="A526" t="inlineStr">
        <is>
          <t>A 58530-2022</t>
        </is>
      </c>
      <c r="B526" s="1" t="n">
        <v>44902.43958333333</v>
      </c>
      <c r="C526" s="1" t="n">
        <v>45992</v>
      </c>
      <c r="D526" t="inlineStr">
        <is>
          <t>GÄVLEBORGS LÄN</t>
        </is>
      </c>
      <c r="E526" t="inlineStr">
        <is>
          <t>LJUSDAL</t>
        </is>
      </c>
      <c r="G526" t="n">
        <v>4.8</v>
      </c>
      <c r="H526" t="n">
        <v>0</v>
      </c>
      <c r="I526" t="n">
        <v>0</v>
      </c>
      <c r="J526" t="n">
        <v>0</v>
      </c>
      <c r="K526" t="n">
        <v>0</v>
      </c>
      <c r="L526" t="n">
        <v>0</v>
      </c>
      <c r="M526" t="n">
        <v>0</v>
      </c>
      <c r="N526" t="n">
        <v>0</v>
      </c>
      <c r="O526" t="n">
        <v>0</v>
      </c>
      <c r="P526" t="n">
        <v>0</v>
      </c>
      <c r="Q526" t="n">
        <v>0</v>
      </c>
      <c r="R526" s="2" t="inlineStr"/>
    </row>
    <row r="527" ht="15" customHeight="1">
      <c r="A527" t="inlineStr">
        <is>
          <t>A 30240-2023</t>
        </is>
      </c>
      <c r="B527" s="1" t="n">
        <v>45110.66166666667</v>
      </c>
      <c r="C527" s="1" t="n">
        <v>45992</v>
      </c>
      <c r="D527" t="inlineStr">
        <is>
          <t>GÄVLEBORGS LÄN</t>
        </is>
      </c>
      <c r="E527" t="inlineStr">
        <is>
          <t>LJUSDAL</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19200-2022</t>
        </is>
      </c>
      <c r="B528" s="1" t="n">
        <v>44691</v>
      </c>
      <c r="C528" s="1" t="n">
        <v>45992</v>
      </c>
      <c r="D528" t="inlineStr">
        <is>
          <t>GÄVLEBORGS LÄN</t>
        </is>
      </c>
      <c r="E528" t="inlineStr">
        <is>
          <t>LJUSDAL</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4212-2025</t>
        </is>
      </c>
      <c r="B529" s="1" t="n">
        <v>45685</v>
      </c>
      <c r="C529" s="1" t="n">
        <v>45992</v>
      </c>
      <c r="D529" t="inlineStr">
        <is>
          <t>GÄVLEBORGS LÄN</t>
        </is>
      </c>
      <c r="E529" t="inlineStr">
        <is>
          <t>LJUSDAL</t>
        </is>
      </c>
      <c r="G529" t="n">
        <v>1.7</v>
      </c>
      <c r="H529" t="n">
        <v>0</v>
      </c>
      <c r="I529" t="n">
        <v>0</v>
      </c>
      <c r="J529" t="n">
        <v>0</v>
      </c>
      <c r="K529" t="n">
        <v>0</v>
      </c>
      <c r="L529" t="n">
        <v>0</v>
      </c>
      <c r="M529" t="n">
        <v>0</v>
      </c>
      <c r="N529" t="n">
        <v>0</v>
      </c>
      <c r="O529" t="n">
        <v>0</v>
      </c>
      <c r="P529" t="n">
        <v>0</v>
      </c>
      <c r="Q529" t="n">
        <v>0</v>
      </c>
      <c r="R529" s="2" t="inlineStr"/>
    </row>
    <row r="530" ht="15" customHeight="1">
      <c r="A530" t="inlineStr">
        <is>
          <t>A 30782-2024</t>
        </is>
      </c>
      <c r="B530" s="1" t="n">
        <v>45496.95054398148</v>
      </c>
      <c r="C530" s="1" t="n">
        <v>45992</v>
      </c>
      <c r="D530" t="inlineStr">
        <is>
          <t>GÄVLEBORGS LÄN</t>
        </is>
      </c>
      <c r="E530" t="inlineStr">
        <is>
          <t>LJUSDAL</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50392-2023</t>
        </is>
      </c>
      <c r="B531" s="1" t="n">
        <v>45216.63394675926</v>
      </c>
      <c r="C531" s="1" t="n">
        <v>45992</v>
      </c>
      <c r="D531" t="inlineStr">
        <is>
          <t>GÄVLEBORGS LÄN</t>
        </is>
      </c>
      <c r="E531" t="inlineStr">
        <is>
          <t>LJUSDAL</t>
        </is>
      </c>
      <c r="G531" t="n">
        <v>6.5</v>
      </c>
      <c r="H531" t="n">
        <v>0</v>
      </c>
      <c r="I531" t="n">
        <v>0</v>
      </c>
      <c r="J531" t="n">
        <v>0</v>
      </c>
      <c r="K531" t="n">
        <v>0</v>
      </c>
      <c r="L531" t="n">
        <v>0</v>
      </c>
      <c r="M531" t="n">
        <v>0</v>
      </c>
      <c r="N531" t="n">
        <v>0</v>
      </c>
      <c r="O531" t="n">
        <v>0</v>
      </c>
      <c r="P531" t="n">
        <v>0</v>
      </c>
      <c r="Q531" t="n">
        <v>0</v>
      </c>
      <c r="R531" s="2" t="inlineStr"/>
    </row>
    <row r="532" ht="15" customHeight="1">
      <c r="A532" t="inlineStr">
        <is>
          <t>A 4275-2023</t>
        </is>
      </c>
      <c r="B532" s="1" t="n">
        <v>44953.5824537037</v>
      </c>
      <c r="C532" s="1" t="n">
        <v>45992</v>
      </c>
      <c r="D532" t="inlineStr">
        <is>
          <t>GÄVLEBORGS LÄN</t>
        </is>
      </c>
      <c r="E532" t="inlineStr">
        <is>
          <t>LJUSDAL</t>
        </is>
      </c>
      <c r="F532" t="inlineStr">
        <is>
          <t>Holmen skog AB</t>
        </is>
      </c>
      <c r="G532" t="n">
        <v>16.4</v>
      </c>
      <c r="H532" t="n">
        <v>0</v>
      </c>
      <c r="I532" t="n">
        <v>0</v>
      </c>
      <c r="J532" t="n">
        <v>0</v>
      </c>
      <c r="K532" t="n">
        <v>0</v>
      </c>
      <c r="L532" t="n">
        <v>0</v>
      </c>
      <c r="M532" t="n">
        <v>0</v>
      </c>
      <c r="N532" t="n">
        <v>0</v>
      </c>
      <c r="O532" t="n">
        <v>0</v>
      </c>
      <c r="P532" t="n">
        <v>0</v>
      </c>
      <c r="Q532" t="n">
        <v>0</v>
      </c>
      <c r="R532" s="2" t="inlineStr"/>
    </row>
    <row r="533" ht="15" customHeight="1">
      <c r="A533" t="inlineStr">
        <is>
          <t>A 27460-2023</t>
        </is>
      </c>
      <c r="B533" s="1" t="n">
        <v>45097</v>
      </c>
      <c r="C533" s="1" t="n">
        <v>45992</v>
      </c>
      <c r="D533" t="inlineStr">
        <is>
          <t>GÄVLEBORGS LÄN</t>
        </is>
      </c>
      <c r="E533" t="inlineStr">
        <is>
          <t>LJUSDAL</t>
        </is>
      </c>
      <c r="G533" t="n">
        <v>3.7</v>
      </c>
      <c r="H533" t="n">
        <v>0</v>
      </c>
      <c r="I533" t="n">
        <v>0</v>
      </c>
      <c r="J533" t="n">
        <v>0</v>
      </c>
      <c r="K533" t="n">
        <v>0</v>
      </c>
      <c r="L533" t="n">
        <v>0</v>
      </c>
      <c r="M533" t="n">
        <v>0</v>
      </c>
      <c r="N533" t="n">
        <v>0</v>
      </c>
      <c r="O533" t="n">
        <v>0</v>
      </c>
      <c r="P533" t="n">
        <v>0</v>
      </c>
      <c r="Q533" t="n">
        <v>0</v>
      </c>
      <c r="R533" s="2" t="inlineStr"/>
    </row>
    <row r="534" ht="15" customHeight="1">
      <c r="A534" t="inlineStr">
        <is>
          <t>A 15825-2025</t>
        </is>
      </c>
      <c r="B534" s="1" t="n">
        <v>45748.70894675926</v>
      </c>
      <c r="C534" s="1" t="n">
        <v>45992</v>
      </c>
      <c r="D534" t="inlineStr">
        <is>
          <t>GÄVLEBORGS LÄN</t>
        </is>
      </c>
      <c r="E534" t="inlineStr">
        <is>
          <t>LJUSDAL</t>
        </is>
      </c>
      <c r="F534" t="inlineStr">
        <is>
          <t>SCA</t>
        </is>
      </c>
      <c r="G534" t="n">
        <v>9.9</v>
      </c>
      <c r="H534" t="n">
        <v>0</v>
      </c>
      <c r="I534" t="n">
        <v>0</v>
      </c>
      <c r="J534" t="n">
        <v>0</v>
      </c>
      <c r="K534" t="n">
        <v>0</v>
      </c>
      <c r="L534" t="n">
        <v>0</v>
      </c>
      <c r="M534" t="n">
        <v>0</v>
      </c>
      <c r="N534" t="n">
        <v>0</v>
      </c>
      <c r="O534" t="n">
        <v>0</v>
      </c>
      <c r="P534" t="n">
        <v>0</v>
      </c>
      <c r="Q534" t="n">
        <v>0</v>
      </c>
      <c r="R534" s="2" t="inlineStr"/>
      <c r="U534">
        <f>HYPERLINK("https://klasma.github.io/Logging_2161/knärot/A 15825-2025 karta knärot.png", "A 15825-2025")</f>
        <v/>
      </c>
      <c r="V534">
        <f>HYPERLINK("https://klasma.github.io/Logging_2161/klagomål/A 15825-2025 FSC-klagomål.docx", "A 15825-2025")</f>
        <v/>
      </c>
      <c r="W534">
        <f>HYPERLINK("https://klasma.github.io/Logging_2161/klagomålsmail/A 15825-2025 FSC-klagomål mail.docx", "A 15825-2025")</f>
        <v/>
      </c>
      <c r="X534">
        <f>HYPERLINK("https://klasma.github.io/Logging_2161/tillsyn/A 15825-2025 tillsynsbegäran.docx", "A 15825-2025")</f>
        <v/>
      </c>
      <c r="Y534">
        <f>HYPERLINK("https://klasma.github.io/Logging_2161/tillsynsmail/A 15825-2025 tillsynsbegäran mail.docx", "A 15825-2025")</f>
        <v/>
      </c>
    </row>
    <row r="535" ht="15" customHeight="1">
      <c r="A535" t="inlineStr">
        <is>
          <t>A 13337-2024</t>
        </is>
      </c>
      <c r="B535" s="1" t="n">
        <v>45386</v>
      </c>
      <c r="C535" s="1" t="n">
        <v>45992</v>
      </c>
      <c r="D535" t="inlineStr">
        <is>
          <t>GÄVLEBORGS LÄN</t>
        </is>
      </c>
      <c r="E535" t="inlineStr">
        <is>
          <t>LJUSDAL</t>
        </is>
      </c>
      <c r="G535" t="n">
        <v>0.4</v>
      </c>
      <c r="H535" t="n">
        <v>0</v>
      </c>
      <c r="I535" t="n">
        <v>0</v>
      </c>
      <c r="J535" t="n">
        <v>0</v>
      </c>
      <c r="K535" t="n">
        <v>0</v>
      </c>
      <c r="L535" t="n">
        <v>0</v>
      </c>
      <c r="M535" t="n">
        <v>0</v>
      </c>
      <c r="N535" t="n">
        <v>0</v>
      </c>
      <c r="O535" t="n">
        <v>0</v>
      </c>
      <c r="P535" t="n">
        <v>0</v>
      </c>
      <c r="Q535" t="n">
        <v>0</v>
      </c>
      <c r="R535" s="2" t="inlineStr"/>
    </row>
    <row r="536" ht="15" customHeight="1">
      <c r="A536" t="inlineStr">
        <is>
          <t>A 38596-2022</t>
        </is>
      </c>
      <c r="B536" s="1" t="n">
        <v>44813.58180555556</v>
      </c>
      <c r="C536" s="1" t="n">
        <v>45992</v>
      </c>
      <c r="D536" t="inlineStr">
        <is>
          <t>GÄVLEBORGS LÄN</t>
        </is>
      </c>
      <c r="E536" t="inlineStr">
        <is>
          <t>LJUSDAL</t>
        </is>
      </c>
      <c r="G536" t="n">
        <v>3.1</v>
      </c>
      <c r="H536" t="n">
        <v>0</v>
      </c>
      <c r="I536" t="n">
        <v>0</v>
      </c>
      <c r="J536" t="n">
        <v>0</v>
      </c>
      <c r="K536" t="n">
        <v>0</v>
      </c>
      <c r="L536" t="n">
        <v>0</v>
      </c>
      <c r="M536" t="n">
        <v>0</v>
      </c>
      <c r="N536" t="n">
        <v>0</v>
      </c>
      <c r="O536" t="n">
        <v>0</v>
      </c>
      <c r="P536" t="n">
        <v>0</v>
      </c>
      <c r="Q536" t="n">
        <v>0</v>
      </c>
      <c r="R536" s="2" t="inlineStr"/>
    </row>
    <row r="537" ht="15" customHeight="1">
      <c r="A537" t="inlineStr">
        <is>
          <t>A 9363-2024</t>
        </is>
      </c>
      <c r="B537" s="1" t="n">
        <v>45359.33664351852</v>
      </c>
      <c r="C537" s="1" t="n">
        <v>45992</v>
      </c>
      <c r="D537" t="inlineStr">
        <is>
          <t>GÄVLEBORGS LÄN</t>
        </is>
      </c>
      <c r="E537" t="inlineStr">
        <is>
          <t>LJUSDAL</t>
        </is>
      </c>
      <c r="G537" t="n">
        <v>1.6</v>
      </c>
      <c r="H537" t="n">
        <v>0</v>
      </c>
      <c r="I537" t="n">
        <v>0</v>
      </c>
      <c r="J537" t="n">
        <v>0</v>
      </c>
      <c r="K537" t="n">
        <v>0</v>
      </c>
      <c r="L537" t="n">
        <v>0</v>
      </c>
      <c r="M537" t="n">
        <v>0</v>
      </c>
      <c r="N537" t="n">
        <v>0</v>
      </c>
      <c r="O537" t="n">
        <v>0</v>
      </c>
      <c r="P537" t="n">
        <v>0</v>
      </c>
      <c r="Q537" t="n">
        <v>0</v>
      </c>
      <c r="R537" s="2" t="inlineStr"/>
    </row>
    <row r="538" ht="15" customHeight="1">
      <c r="A538" t="inlineStr">
        <is>
          <t>A 61091-2024</t>
        </is>
      </c>
      <c r="B538" s="1" t="n">
        <v>45645.54240740741</v>
      </c>
      <c r="C538" s="1" t="n">
        <v>45992</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45768-2024</t>
        </is>
      </c>
      <c r="B539" s="1" t="n">
        <v>45579</v>
      </c>
      <c r="C539" s="1" t="n">
        <v>45992</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36061-2024</t>
        </is>
      </c>
      <c r="B540" s="1" t="n">
        <v>45533.63870370371</v>
      </c>
      <c r="C540" s="1" t="n">
        <v>45992</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45992</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13519-2021</t>
        </is>
      </c>
      <c r="B542" s="1" t="n">
        <v>44273</v>
      </c>
      <c r="C542" s="1" t="n">
        <v>45992</v>
      </c>
      <c r="D542" t="inlineStr">
        <is>
          <t>GÄVLEBORGS LÄN</t>
        </is>
      </c>
      <c r="E542" t="inlineStr">
        <is>
          <t>LJUSDAL</t>
        </is>
      </c>
      <c r="F542" t="inlineStr">
        <is>
          <t>Sveaskog</t>
        </is>
      </c>
      <c r="G542" t="n">
        <v>17.2</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45992</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67794-2021</t>
        </is>
      </c>
      <c r="B544" s="1" t="n">
        <v>44525.42381944445</v>
      </c>
      <c r="C544" s="1" t="n">
        <v>45992</v>
      </c>
      <c r="D544" t="inlineStr">
        <is>
          <t>GÄVLEBORGS LÄN</t>
        </is>
      </c>
      <c r="E544" t="inlineStr">
        <is>
          <t>LJUSDAL</t>
        </is>
      </c>
      <c r="F544" t="inlineStr">
        <is>
          <t>Allmännings- och besparingsskogar</t>
        </is>
      </c>
      <c r="G544" t="n">
        <v>3.1</v>
      </c>
      <c r="H544" t="n">
        <v>0</v>
      </c>
      <c r="I544" t="n">
        <v>0</v>
      </c>
      <c r="J544" t="n">
        <v>0</v>
      </c>
      <c r="K544" t="n">
        <v>0</v>
      </c>
      <c r="L544" t="n">
        <v>0</v>
      </c>
      <c r="M544" t="n">
        <v>0</v>
      </c>
      <c r="N544" t="n">
        <v>0</v>
      </c>
      <c r="O544" t="n">
        <v>0</v>
      </c>
      <c r="P544" t="n">
        <v>0</v>
      </c>
      <c r="Q544" t="n">
        <v>0</v>
      </c>
      <c r="R544" s="2" t="inlineStr"/>
    </row>
    <row r="545" ht="15" customHeight="1">
      <c r="A545" t="inlineStr">
        <is>
          <t>A 57664-2024</t>
        </is>
      </c>
      <c r="B545" s="1" t="n">
        <v>45630.61591435185</v>
      </c>
      <c r="C545" s="1" t="n">
        <v>45992</v>
      </c>
      <c r="D545" t="inlineStr">
        <is>
          <t>GÄVLEBORGS LÄN</t>
        </is>
      </c>
      <c r="E545" t="inlineStr">
        <is>
          <t>LJUSDAL</t>
        </is>
      </c>
      <c r="G545" t="n">
        <v>1.7</v>
      </c>
      <c r="H545" t="n">
        <v>0</v>
      </c>
      <c r="I545" t="n">
        <v>0</v>
      </c>
      <c r="J545" t="n">
        <v>0</v>
      </c>
      <c r="K545" t="n">
        <v>0</v>
      </c>
      <c r="L545" t="n">
        <v>0</v>
      </c>
      <c r="M545" t="n">
        <v>0</v>
      </c>
      <c r="N545" t="n">
        <v>0</v>
      </c>
      <c r="O545" t="n">
        <v>0</v>
      </c>
      <c r="P545" t="n">
        <v>0</v>
      </c>
      <c r="Q545" t="n">
        <v>0</v>
      </c>
      <c r="R545" s="2" t="inlineStr"/>
    </row>
    <row r="546" ht="15" customHeight="1">
      <c r="A546" t="inlineStr">
        <is>
          <t>A 33347-2024</t>
        </is>
      </c>
      <c r="B546" s="1" t="n">
        <v>45519.36583333334</v>
      </c>
      <c r="C546" s="1" t="n">
        <v>45992</v>
      </c>
      <c r="D546" t="inlineStr">
        <is>
          <t>GÄVLEBORGS LÄN</t>
        </is>
      </c>
      <c r="E546" t="inlineStr">
        <is>
          <t>LJUSDAL</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13884-2025</t>
        </is>
      </c>
      <c r="B547" s="1" t="n">
        <v>45737.60386574074</v>
      </c>
      <c r="C547" s="1" t="n">
        <v>45992</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24405-2025</t>
        </is>
      </c>
      <c r="B548" s="1" t="n">
        <v>45797.65386574074</v>
      </c>
      <c r="C548" s="1" t="n">
        <v>45992</v>
      </c>
      <c r="D548" t="inlineStr">
        <is>
          <t>GÄVLEBORGS LÄN</t>
        </is>
      </c>
      <c r="E548" t="inlineStr">
        <is>
          <t>LJUSDAL</t>
        </is>
      </c>
      <c r="G548" t="n">
        <v>9.1</v>
      </c>
      <c r="H548" t="n">
        <v>0</v>
      </c>
      <c r="I548" t="n">
        <v>0</v>
      </c>
      <c r="J548" t="n">
        <v>0</v>
      </c>
      <c r="K548" t="n">
        <v>0</v>
      </c>
      <c r="L548" t="n">
        <v>0</v>
      </c>
      <c r="M548" t="n">
        <v>0</v>
      </c>
      <c r="N548" t="n">
        <v>0</v>
      </c>
      <c r="O548" t="n">
        <v>0</v>
      </c>
      <c r="P548" t="n">
        <v>0</v>
      </c>
      <c r="Q548" t="n">
        <v>0</v>
      </c>
      <c r="R548" s="2" t="inlineStr"/>
    </row>
    <row r="549" ht="15" customHeight="1">
      <c r="A549" t="inlineStr">
        <is>
          <t>A 52722-2024</t>
        </is>
      </c>
      <c r="B549" s="1" t="n">
        <v>45610.43961805556</v>
      </c>
      <c r="C549" s="1" t="n">
        <v>45992</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24257-2025</t>
        </is>
      </c>
      <c r="B550" s="1" t="n">
        <v>45797.40664351852</v>
      </c>
      <c r="C550" s="1" t="n">
        <v>45992</v>
      </c>
      <c r="D550" t="inlineStr">
        <is>
          <t>GÄVLEBORGS LÄN</t>
        </is>
      </c>
      <c r="E550" t="inlineStr">
        <is>
          <t>LJUSDAL</t>
        </is>
      </c>
      <c r="G550" t="n">
        <v>26.5</v>
      </c>
      <c r="H550" t="n">
        <v>0</v>
      </c>
      <c r="I550" t="n">
        <v>0</v>
      </c>
      <c r="J550" t="n">
        <v>0</v>
      </c>
      <c r="K550" t="n">
        <v>0</v>
      </c>
      <c r="L550" t="n">
        <v>0</v>
      </c>
      <c r="M550" t="n">
        <v>0</v>
      </c>
      <c r="N550" t="n">
        <v>0</v>
      </c>
      <c r="O550" t="n">
        <v>0</v>
      </c>
      <c r="P550" t="n">
        <v>0</v>
      </c>
      <c r="Q550" t="n">
        <v>0</v>
      </c>
      <c r="R550" s="2" t="inlineStr"/>
    </row>
    <row r="551" ht="15" customHeight="1">
      <c r="A551" t="inlineStr">
        <is>
          <t>A 23914-2025</t>
        </is>
      </c>
      <c r="B551" s="1" t="n">
        <v>45795.34452546296</v>
      </c>
      <c r="C551" s="1" t="n">
        <v>45992</v>
      </c>
      <c r="D551" t="inlineStr">
        <is>
          <t>GÄVLEBORGS LÄN</t>
        </is>
      </c>
      <c r="E551" t="inlineStr">
        <is>
          <t>LJUSDAL</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1570-2025</t>
        </is>
      </c>
      <c r="B552" s="1" t="n">
        <v>45670.55271990741</v>
      </c>
      <c r="C552" s="1" t="n">
        <v>45992</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58113-2022</t>
        </is>
      </c>
      <c r="B553" s="1" t="n">
        <v>44900.65167824074</v>
      </c>
      <c r="C553" s="1" t="n">
        <v>45992</v>
      </c>
      <c r="D553" t="inlineStr">
        <is>
          <t>GÄVLEBORGS LÄN</t>
        </is>
      </c>
      <c r="E553" t="inlineStr">
        <is>
          <t>LJUSDAL</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57315-2024</t>
        </is>
      </c>
      <c r="B554" s="1" t="n">
        <v>45629.61274305556</v>
      </c>
      <c r="C554" s="1" t="n">
        <v>45992</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18130-2024</t>
        </is>
      </c>
      <c r="B555" s="1" t="n">
        <v>45420.56704861111</v>
      </c>
      <c r="C555" s="1" t="n">
        <v>45992</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23918-2025</t>
        </is>
      </c>
      <c r="B556" s="1" t="n">
        <v>45795.34489583333</v>
      </c>
      <c r="C556" s="1" t="n">
        <v>45992</v>
      </c>
      <c r="D556" t="inlineStr">
        <is>
          <t>GÄVLEBORGS LÄN</t>
        </is>
      </c>
      <c r="E556" t="inlineStr">
        <is>
          <t>LJUSDAL</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45992</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57784-2024</t>
        </is>
      </c>
      <c r="B558" s="1" t="n">
        <v>45631</v>
      </c>
      <c r="C558" s="1" t="n">
        <v>45992</v>
      </c>
      <c r="D558" t="inlineStr">
        <is>
          <t>GÄVLEBORGS LÄN</t>
        </is>
      </c>
      <c r="E558" t="inlineStr">
        <is>
          <t>LJUSDAL</t>
        </is>
      </c>
      <c r="G558" t="n">
        <v>2.1</v>
      </c>
      <c r="H558" t="n">
        <v>0</v>
      </c>
      <c r="I558" t="n">
        <v>0</v>
      </c>
      <c r="J558" t="n">
        <v>0</v>
      </c>
      <c r="K558" t="n">
        <v>0</v>
      </c>
      <c r="L558" t="n">
        <v>0</v>
      </c>
      <c r="M558" t="n">
        <v>0</v>
      </c>
      <c r="N558" t="n">
        <v>0</v>
      </c>
      <c r="O558" t="n">
        <v>0</v>
      </c>
      <c r="P558" t="n">
        <v>0</v>
      </c>
      <c r="Q558" t="n">
        <v>0</v>
      </c>
      <c r="R558" s="2" t="inlineStr"/>
    </row>
    <row r="559" ht="15" customHeight="1">
      <c r="A559" t="inlineStr">
        <is>
          <t>A 38642-2025</t>
        </is>
      </c>
      <c r="B559" s="1" t="n">
        <v>45884.57646990741</v>
      </c>
      <c r="C559" s="1" t="n">
        <v>45992</v>
      </c>
      <c r="D559" t="inlineStr">
        <is>
          <t>GÄVLEBORGS LÄN</t>
        </is>
      </c>
      <c r="E559" t="inlineStr">
        <is>
          <t>LJUSDAL</t>
        </is>
      </c>
      <c r="F559" t="inlineStr">
        <is>
          <t>Allmännings- och besparingsskogar</t>
        </is>
      </c>
      <c r="G559" t="n">
        <v>9.5</v>
      </c>
      <c r="H559" t="n">
        <v>0</v>
      </c>
      <c r="I559" t="n">
        <v>0</v>
      </c>
      <c r="J559" t="n">
        <v>0</v>
      </c>
      <c r="K559" t="n">
        <v>0</v>
      </c>
      <c r="L559" t="n">
        <v>0</v>
      </c>
      <c r="M559" t="n">
        <v>0</v>
      </c>
      <c r="N559" t="n">
        <v>0</v>
      </c>
      <c r="O559" t="n">
        <v>0</v>
      </c>
      <c r="P559" t="n">
        <v>0</v>
      </c>
      <c r="Q559" t="n">
        <v>0</v>
      </c>
      <c r="R559" s="2" t="inlineStr"/>
    </row>
    <row r="560" ht="15" customHeight="1">
      <c r="A560" t="inlineStr">
        <is>
          <t>A 38641-2025</t>
        </is>
      </c>
      <c r="B560" s="1" t="n">
        <v>45884.57607638889</v>
      </c>
      <c r="C560" s="1" t="n">
        <v>45992</v>
      </c>
      <c r="D560" t="inlineStr">
        <is>
          <t>GÄVLEBORGS LÄN</t>
        </is>
      </c>
      <c r="E560" t="inlineStr">
        <is>
          <t>LJUSDAL</t>
        </is>
      </c>
      <c r="G560" t="n">
        <v>9.1</v>
      </c>
      <c r="H560" t="n">
        <v>0</v>
      </c>
      <c r="I560" t="n">
        <v>0</v>
      </c>
      <c r="J560" t="n">
        <v>0</v>
      </c>
      <c r="K560" t="n">
        <v>0</v>
      </c>
      <c r="L560" t="n">
        <v>0</v>
      </c>
      <c r="M560" t="n">
        <v>0</v>
      </c>
      <c r="N560" t="n">
        <v>0</v>
      </c>
      <c r="O560" t="n">
        <v>0</v>
      </c>
      <c r="P560" t="n">
        <v>0</v>
      </c>
      <c r="Q560" t="n">
        <v>0</v>
      </c>
      <c r="R560" s="2" t="inlineStr"/>
    </row>
    <row r="561" ht="15" customHeight="1">
      <c r="A561" t="inlineStr">
        <is>
          <t>A 2370-2023</t>
        </is>
      </c>
      <c r="B561" s="1" t="n">
        <v>44942</v>
      </c>
      <c r="C561" s="1" t="n">
        <v>45992</v>
      </c>
      <c r="D561" t="inlineStr">
        <is>
          <t>GÄVLEBORGS LÄN</t>
        </is>
      </c>
      <c r="E561" t="inlineStr">
        <is>
          <t>LJUSDAL</t>
        </is>
      </c>
      <c r="G561" t="n">
        <v>3.2</v>
      </c>
      <c r="H561" t="n">
        <v>0</v>
      </c>
      <c r="I561" t="n">
        <v>0</v>
      </c>
      <c r="J561" t="n">
        <v>0</v>
      </c>
      <c r="K561" t="n">
        <v>0</v>
      </c>
      <c r="L561" t="n">
        <v>0</v>
      </c>
      <c r="M561" t="n">
        <v>0</v>
      </c>
      <c r="N561" t="n">
        <v>0</v>
      </c>
      <c r="O561" t="n">
        <v>0</v>
      </c>
      <c r="P561" t="n">
        <v>0</v>
      </c>
      <c r="Q561" t="n">
        <v>0</v>
      </c>
      <c r="R561" s="2" t="inlineStr"/>
    </row>
    <row r="562" ht="15" customHeight="1">
      <c r="A562" t="inlineStr">
        <is>
          <t>A 24452-2025</t>
        </is>
      </c>
      <c r="B562" s="1" t="n">
        <v>45798.34284722222</v>
      </c>
      <c r="C562" s="1" t="n">
        <v>45992</v>
      </c>
      <c r="D562" t="inlineStr">
        <is>
          <t>GÄVLEBORGS LÄN</t>
        </is>
      </c>
      <c r="E562" t="inlineStr">
        <is>
          <t>LJUSDAL</t>
        </is>
      </c>
      <c r="F562" t="inlineStr">
        <is>
          <t>Holmen skog AB</t>
        </is>
      </c>
      <c r="G562" t="n">
        <v>19.7</v>
      </c>
      <c r="H562" t="n">
        <v>0</v>
      </c>
      <c r="I562" t="n">
        <v>0</v>
      </c>
      <c r="J562" t="n">
        <v>0</v>
      </c>
      <c r="K562" t="n">
        <v>0</v>
      </c>
      <c r="L562" t="n">
        <v>0</v>
      </c>
      <c r="M562" t="n">
        <v>0</v>
      </c>
      <c r="N562" t="n">
        <v>0</v>
      </c>
      <c r="O562" t="n">
        <v>0</v>
      </c>
      <c r="P562" t="n">
        <v>0</v>
      </c>
      <c r="Q562" t="n">
        <v>0</v>
      </c>
      <c r="R562" s="2" t="inlineStr"/>
    </row>
    <row r="563" ht="15" customHeight="1">
      <c r="A563" t="inlineStr">
        <is>
          <t>A 25047-2025</t>
        </is>
      </c>
      <c r="B563" s="1" t="n">
        <v>45799.66768518519</v>
      </c>
      <c r="C563" s="1" t="n">
        <v>45992</v>
      </c>
      <c r="D563" t="inlineStr">
        <is>
          <t>GÄVLEBORGS LÄN</t>
        </is>
      </c>
      <c r="E563" t="inlineStr">
        <is>
          <t>LJUSDAL</t>
        </is>
      </c>
      <c r="F563" t="inlineStr">
        <is>
          <t>Holmen skog AB</t>
        </is>
      </c>
      <c r="G563" t="n">
        <v>24.1</v>
      </c>
      <c r="H563" t="n">
        <v>0</v>
      </c>
      <c r="I563" t="n">
        <v>0</v>
      </c>
      <c r="J563" t="n">
        <v>0</v>
      </c>
      <c r="K563" t="n">
        <v>0</v>
      </c>
      <c r="L563" t="n">
        <v>0</v>
      </c>
      <c r="M563" t="n">
        <v>0</v>
      </c>
      <c r="N563" t="n">
        <v>0</v>
      </c>
      <c r="O563" t="n">
        <v>0</v>
      </c>
      <c r="P563" t="n">
        <v>0</v>
      </c>
      <c r="Q563" t="n">
        <v>0</v>
      </c>
      <c r="R563" s="2" t="inlineStr"/>
    </row>
    <row r="564" ht="15" customHeight="1">
      <c r="A564" t="inlineStr">
        <is>
          <t>A 25048-2025</t>
        </is>
      </c>
      <c r="B564" s="1" t="n">
        <v>45799.66791666667</v>
      </c>
      <c r="C564" s="1" t="n">
        <v>45992</v>
      </c>
      <c r="D564" t="inlineStr">
        <is>
          <t>GÄVLEBORGS LÄN</t>
        </is>
      </c>
      <c r="E564" t="inlineStr">
        <is>
          <t>LJUSDAL</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24943-2025</t>
        </is>
      </c>
      <c r="B565" s="1" t="n">
        <v>45799.56239583333</v>
      </c>
      <c r="C565" s="1" t="n">
        <v>45992</v>
      </c>
      <c r="D565" t="inlineStr">
        <is>
          <t>GÄVLEBORGS LÄN</t>
        </is>
      </c>
      <c r="E565" t="inlineStr">
        <is>
          <t>LJUSDAL</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24945-2025</t>
        </is>
      </c>
      <c r="B566" s="1" t="n">
        <v>45799.56395833333</v>
      </c>
      <c r="C566" s="1" t="n">
        <v>45992</v>
      </c>
      <c r="D566" t="inlineStr">
        <is>
          <t>GÄVLEBORGS LÄN</t>
        </is>
      </c>
      <c r="E566" t="inlineStr">
        <is>
          <t>LJUSDAL</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34103-2023</t>
        </is>
      </c>
      <c r="B567" s="1" t="n">
        <v>45135.59890046297</v>
      </c>
      <c r="C567" s="1" t="n">
        <v>45992</v>
      </c>
      <c r="D567" t="inlineStr">
        <is>
          <t>GÄVLEBORGS LÄN</t>
        </is>
      </c>
      <c r="E567" t="inlineStr">
        <is>
          <t>LJUSDAL</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34113-2023</t>
        </is>
      </c>
      <c r="B568" s="1" t="n">
        <v>45135.62081018519</v>
      </c>
      <c r="C568" s="1" t="n">
        <v>45992</v>
      </c>
      <c r="D568" t="inlineStr">
        <is>
          <t>GÄVLEBORGS LÄN</t>
        </is>
      </c>
      <c r="E568" t="inlineStr">
        <is>
          <t>LJUSDAL</t>
        </is>
      </c>
      <c r="F568" t="inlineStr">
        <is>
          <t>Holmen skog AB</t>
        </is>
      </c>
      <c r="G568" t="n">
        <v>6.6</v>
      </c>
      <c r="H568" t="n">
        <v>0</v>
      </c>
      <c r="I568" t="n">
        <v>0</v>
      </c>
      <c r="J568" t="n">
        <v>0</v>
      </c>
      <c r="K568" t="n">
        <v>0</v>
      </c>
      <c r="L568" t="n">
        <v>0</v>
      </c>
      <c r="M568" t="n">
        <v>0</v>
      </c>
      <c r="N568" t="n">
        <v>0</v>
      </c>
      <c r="O568" t="n">
        <v>0</v>
      </c>
      <c r="P568" t="n">
        <v>0</v>
      </c>
      <c r="Q568" t="n">
        <v>0</v>
      </c>
      <c r="R568" s="2" t="inlineStr"/>
    </row>
    <row r="569" ht="15" customHeight="1">
      <c r="A569" t="inlineStr">
        <is>
          <t>A 38573-2025</t>
        </is>
      </c>
      <c r="B569" s="1" t="n">
        <v>45884.46380787037</v>
      </c>
      <c r="C569" s="1" t="n">
        <v>45992</v>
      </c>
      <c r="D569" t="inlineStr">
        <is>
          <t>GÄVLEBORGS LÄN</t>
        </is>
      </c>
      <c r="E569" t="inlineStr">
        <is>
          <t>LJUSDAL</t>
        </is>
      </c>
      <c r="G569" t="n">
        <v>1.8</v>
      </c>
      <c r="H569" t="n">
        <v>0</v>
      </c>
      <c r="I569" t="n">
        <v>0</v>
      </c>
      <c r="J569" t="n">
        <v>0</v>
      </c>
      <c r="K569" t="n">
        <v>0</v>
      </c>
      <c r="L569" t="n">
        <v>0</v>
      </c>
      <c r="M569" t="n">
        <v>0</v>
      </c>
      <c r="N569" t="n">
        <v>0</v>
      </c>
      <c r="O569" t="n">
        <v>0</v>
      </c>
      <c r="P569" t="n">
        <v>0</v>
      </c>
      <c r="Q569" t="n">
        <v>0</v>
      </c>
      <c r="R569" s="2" t="inlineStr"/>
    </row>
    <row r="570" ht="15" customHeight="1">
      <c r="A570" t="inlineStr">
        <is>
          <t>A 24778-2025</t>
        </is>
      </c>
      <c r="B570" s="1" t="n">
        <v>45799.40810185186</v>
      </c>
      <c r="C570" s="1" t="n">
        <v>45992</v>
      </c>
      <c r="D570" t="inlineStr">
        <is>
          <t>GÄVLEBORGS LÄN</t>
        </is>
      </c>
      <c r="E570" t="inlineStr">
        <is>
          <t>LJUSDAL</t>
        </is>
      </c>
      <c r="G570" t="n">
        <v>6.3</v>
      </c>
      <c r="H570" t="n">
        <v>0</v>
      </c>
      <c r="I570" t="n">
        <v>0</v>
      </c>
      <c r="J570" t="n">
        <v>0</v>
      </c>
      <c r="K570" t="n">
        <v>0</v>
      </c>
      <c r="L570" t="n">
        <v>0</v>
      </c>
      <c r="M570" t="n">
        <v>0</v>
      </c>
      <c r="N570" t="n">
        <v>0</v>
      </c>
      <c r="O570" t="n">
        <v>0</v>
      </c>
      <c r="P570" t="n">
        <v>0</v>
      </c>
      <c r="Q570" t="n">
        <v>0</v>
      </c>
      <c r="R570" s="2" t="inlineStr"/>
    </row>
    <row r="571" ht="15" customHeight="1">
      <c r="A571" t="inlineStr">
        <is>
          <t>A 24810-2025</t>
        </is>
      </c>
      <c r="B571" s="1" t="n">
        <v>45799.44596064815</v>
      </c>
      <c r="C571" s="1" t="n">
        <v>45992</v>
      </c>
      <c r="D571" t="inlineStr">
        <is>
          <t>GÄVLEBORGS LÄN</t>
        </is>
      </c>
      <c r="E571" t="inlineStr">
        <is>
          <t>LJUSDAL</t>
        </is>
      </c>
      <c r="G571" t="n">
        <v>3.5</v>
      </c>
      <c r="H571" t="n">
        <v>0</v>
      </c>
      <c r="I571" t="n">
        <v>0</v>
      </c>
      <c r="J571" t="n">
        <v>0</v>
      </c>
      <c r="K571" t="n">
        <v>0</v>
      </c>
      <c r="L571" t="n">
        <v>0</v>
      </c>
      <c r="M571" t="n">
        <v>0</v>
      </c>
      <c r="N571" t="n">
        <v>0</v>
      </c>
      <c r="O571" t="n">
        <v>0</v>
      </c>
      <c r="P571" t="n">
        <v>0</v>
      </c>
      <c r="Q571" t="n">
        <v>0</v>
      </c>
      <c r="R571" s="2" t="inlineStr"/>
    </row>
    <row r="572" ht="15" customHeight="1">
      <c r="A572" t="inlineStr">
        <is>
          <t>A 38232-2024</t>
        </is>
      </c>
      <c r="B572" s="1" t="n">
        <v>45545.55649305556</v>
      </c>
      <c r="C572" s="1" t="n">
        <v>45992</v>
      </c>
      <c r="D572" t="inlineStr">
        <is>
          <t>GÄVLEBORGS LÄN</t>
        </is>
      </c>
      <c r="E572" t="inlineStr">
        <is>
          <t>LJUSDAL</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25057-2025</t>
        </is>
      </c>
      <c r="B573" s="1" t="n">
        <v>45799.68395833333</v>
      </c>
      <c r="C573" s="1" t="n">
        <v>45992</v>
      </c>
      <c r="D573" t="inlineStr">
        <is>
          <t>GÄVLEBORGS LÄN</t>
        </is>
      </c>
      <c r="E573" t="inlineStr">
        <is>
          <t>LJUSDAL</t>
        </is>
      </c>
      <c r="G573" t="n">
        <v>2.7</v>
      </c>
      <c r="H573" t="n">
        <v>0</v>
      </c>
      <c r="I573" t="n">
        <v>0</v>
      </c>
      <c r="J573" t="n">
        <v>0</v>
      </c>
      <c r="K573" t="n">
        <v>0</v>
      </c>
      <c r="L573" t="n">
        <v>0</v>
      </c>
      <c r="M573" t="n">
        <v>0</v>
      </c>
      <c r="N573" t="n">
        <v>0</v>
      </c>
      <c r="O573" t="n">
        <v>0</v>
      </c>
      <c r="P573" t="n">
        <v>0</v>
      </c>
      <c r="Q573" t="n">
        <v>0</v>
      </c>
      <c r="R573" s="2" t="inlineStr"/>
    </row>
    <row r="574" ht="15" customHeight="1">
      <c r="A574" t="inlineStr">
        <is>
          <t>A 18357-2024</t>
        </is>
      </c>
      <c r="B574" s="1" t="n">
        <v>45422.71068287037</v>
      </c>
      <c r="C574" s="1" t="n">
        <v>45992</v>
      </c>
      <c r="D574" t="inlineStr">
        <is>
          <t>GÄVLEBORGS LÄN</t>
        </is>
      </c>
      <c r="E574" t="inlineStr">
        <is>
          <t>LJUSDAL</t>
        </is>
      </c>
      <c r="G574" t="n">
        <v>3.8</v>
      </c>
      <c r="H574" t="n">
        <v>0</v>
      </c>
      <c r="I574" t="n">
        <v>0</v>
      </c>
      <c r="J574" t="n">
        <v>0</v>
      </c>
      <c r="K574" t="n">
        <v>0</v>
      </c>
      <c r="L574" t="n">
        <v>0</v>
      </c>
      <c r="M574" t="n">
        <v>0</v>
      </c>
      <c r="N574" t="n">
        <v>0</v>
      </c>
      <c r="O574" t="n">
        <v>0</v>
      </c>
      <c r="P574" t="n">
        <v>0</v>
      </c>
      <c r="Q574" t="n">
        <v>0</v>
      </c>
      <c r="R574" s="2" t="inlineStr"/>
    </row>
    <row r="575" ht="15" customHeight="1">
      <c r="A575" t="inlineStr">
        <is>
          <t>A 38559-2025</t>
        </is>
      </c>
      <c r="B575" s="1" t="n">
        <v>45884.44716435186</v>
      </c>
      <c r="C575" s="1" t="n">
        <v>45992</v>
      </c>
      <c r="D575" t="inlineStr">
        <is>
          <t>GÄVLEBORGS LÄN</t>
        </is>
      </c>
      <c r="E575" t="inlineStr">
        <is>
          <t>LJUSDAL</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25037-2025</t>
        </is>
      </c>
      <c r="B576" s="1" t="n">
        <v>45799.65700231482</v>
      </c>
      <c r="C576" s="1" t="n">
        <v>45992</v>
      </c>
      <c r="D576" t="inlineStr">
        <is>
          <t>GÄVLEBORGS LÄN</t>
        </is>
      </c>
      <c r="E576" t="inlineStr">
        <is>
          <t>LJUSDAL</t>
        </is>
      </c>
      <c r="G576" t="n">
        <v>12.3</v>
      </c>
      <c r="H576" t="n">
        <v>0</v>
      </c>
      <c r="I576" t="n">
        <v>0</v>
      </c>
      <c r="J576" t="n">
        <v>0</v>
      </c>
      <c r="K576" t="n">
        <v>0</v>
      </c>
      <c r="L576" t="n">
        <v>0</v>
      </c>
      <c r="M576" t="n">
        <v>0</v>
      </c>
      <c r="N576" t="n">
        <v>0</v>
      </c>
      <c r="O576" t="n">
        <v>0</v>
      </c>
      <c r="P576" t="n">
        <v>0</v>
      </c>
      <c r="Q576" t="n">
        <v>0</v>
      </c>
      <c r="R576" s="2" t="inlineStr"/>
    </row>
    <row r="577" ht="15" customHeight="1">
      <c r="A577" t="inlineStr">
        <is>
          <t>A 50169-2024</t>
        </is>
      </c>
      <c r="B577" s="1" t="n">
        <v>45600.46696759259</v>
      </c>
      <c r="C577" s="1" t="n">
        <v>45992</v>
      </c>
      <c r="D577" t="inlineStr">
        <is>
          <t>GÄVLEBORGS LÄN</t>
        </is>
      </c>
      <c r="E577" t="inlineStr">
        <is>
          <t>LJUSDAL</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24840-2025</t>
        </is>
      </c>
      <c r="B578" s="1" t="n">
        <v>45799.46436342593</v>
      </c>
      <c r="C578" s="1" t="n">
        <v>45992</v>
      </c>
      <c r="D578" t="inlineStr">
        <is>
          <t>GÄVLEBORGS LÄN</t>
        </is>
      </c>
      <c r="E578" t="inlineStr">
        <is>
          <t>LJUSDAL</t>
        </is>
      </c>
      <c r="G578" t="n">
        <v>1.9</v>
      </c>
      <c r="H578" t="n">
        <v>0</v>
      </c>
      <c r="I578" t="n">
        <v>0</v>
      </c>
      <c r="J578" t="n">
        <v>0</v>
      </c>
      <c r="K578" t="n">
        <v>0</v>
      </c>
      <c r="L578" t="n">
        <v>0</v>
      </c>
      <c r="M578" t="n">
        <v>0</v>
      </c>
      <c r="N578" t="n">
        <v>0</v>
      </c>
      <c r="O578" t="n">
        <v>0</v>
      </c>
      <c r="P578" t="n">
        <v>0</v>
      </c>
      <c r="Q578" t="n">
        <v>0</v>
      </c>
      <c r="R578" s="2" t="inlineStr"/>
    </row>
    <row r="579" ht="15" customHeight="1">
      <c r="A579" t="inlineStr">
        <is>
          <t>A 24881-2025</t>
        </is>
      </c>
      <c r="B579" s="1" t="n">
        <v>45799.49890046296</v>
      </c>
      <c r="C579" s="1" t="n">
        <v>45992</v>
      </c>
      <c r="D579" t="inlineStr">
        <is>
          <t>GÄVLEBORGS LÄN</t>
        </is>
      </c>
      <c r="E579" t="inlineStr">
        <is>
          <t>LJUSDAL</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24713-2025</t>
        </is>
      </c>
      <c r="B580" s="1" t="n">
        <v>45798.91952546296</v>
      </c>
      <c r="C580" s="1" t="n">
        <v>45992</v>
      </c>
      <c r="D580" t="inlineStr">
        <is>
          <t>GÄVLEBORGS LÄN</t>
        </is>
      </c>
      <c r="E580" t="inlineStr">
        <is>
          <t>LJUSDAL</t>
        </is>
      </c>
      <c r="G580" t="n">
        <v>7</v>
      </c>
      <c r="H580" t="n">
        <v>0</v>
      </c>
      <c r="I580" t="n">
        <v>0</v>
      </c>
      <c r="J580" t="n">
        <v>0</v>
      </c>
      <c r="K580" t="n">
        <v>0</v>
      </c>
      <c r="L580" t="n">
        <v>0</v>
      </c>
      <c r="M580" t="n">
        <v>0</v>
      </c>
      <c r="N580" t="n">
        <v>0</v>
      </c>
      <c r="O580" t="n">
        <v>0</v>
      </c>
      <c r="P580" t="n">
        <v>0</v>
      </c>
      <c r="Q580" t="n">
        <v>0</v>
      </c>
      <c r="R580" s="2" t="inlineStr"/>
    </row>
    <row r="581" ht="15" customHeight="1">
      <c r="A581" t="inlineStr">
        <is>
          <t>A 15285-2023</t>
        </is>
      </c>
      <c r="B581" s="1" t="n">
        <v>45019.43928240741</v>
      </c>
      <c r="C581" s="1" t="n">
        <v>45992</v>
      </c>
      <c r="D581" t="inlineStr">
        <is>
          <t>GÄVLEBORGS LÄN</t>
        </is>
      </c>
      <c r="E581" t="inlineStr">
        <is>
          <t>LJUSDAL</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22155-2022</t>
        </is>
      </c>
      <c r="B582" s="1" t="n">
        <v>44712</v>
      </c>
      <c r="C582" s="1" t="n">
        <v>45992</v>
      </c>
      <c r="D582" t="inlineStr">
        <is>
          <t>GÄVLEBORGS LÄN</t>
        </is>
      </c>
      <c r="E582" t="inlineStr">
        <is>
          <t>LJUSDAL</t>
        </is>
      </c>
      <c r="G582" t="n">
        <v>0.8</v>
      </c>
      <c r="H582" t="n">
        <v>0</v>
      </c>
      <c r="I582" t="n">
        <v>0</v>
      </c>
      <c r="J582" t="n">
        <v>0</v>
      </c>
      <c r="K582" t="n">
        <v>0</v>
      </c>
      <c r="L582" t="n">
        <v>0</v>
      </c>
      <c r="M582" t="n">
        <v>0</v>
      </c>
      <c r="N582" t="n">
        <v>0</v>
      </c>
      <c r="O582" t="n">
        <v>0</v>
      </c>
      <c r="P582" t="n">
        <v>0</v>
      </c>
      <c r="Q582" t="n">
        <v>0</v>
      </c>
      <c r="R582" s="2" t="inlineStr"/>
    </row>
    <row r="583" ht="15" customHeight="1">
      <c r="A583" t="inlineStr">
        <is>
          <t>A 25614-2025</t>
        </is>
      </c>
      <c r="B583" s="1" t="n">
        <v>45803.56303240741</v>
      </c>
      <c r="C583" s="1" t="n">
        <v>45992</v>
      </c>
      <c r="D583" t="inlineStr">
        <is>
          <t>GÄVLEBORGS LÄN</t>
        </is>
      </c>
      <c r="E583" t="inlineStr">
        <is>
          <t>LJUSDAL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25684-2025</t>
        </is>
      </c>
      <c r="B584" s="1" t="n">
        <v>45803.65211805556</v>
      </c>
      <c r="C584" s="1" t="n">
        <v>45992</v>
      </c>
      <c r="D584" t="inlineStr">
        <is>
          <t>GÄVLEBORGS LÄN</t>
        </is>
      </c>
      <c r="E584" t="inlineStr">
        <is>
          <t>LJUSDAL</t>
        </is>
      </c>
      <c r="F584" t="inlineStr">
        <is>
          <t>Holmen skog AB</t>
        </is>
      </c>
      <c r="G584" t="n">
        <v>22.6</v>
      </c>
      <c r="H584" t="n">
        <v>0</v>
      </c>
      <c r="I584" t="n">
        <v>0</v>
      </c>
      <c r="J584" t="n">
        <v>0</v>
      </c>
      <c r="K584" t="n">
        <v>0</v>
      </c>
      <c r="L584" t="n">
        <v>0</v>
      </c>
      <c r="M584" t="n">
        <v>0</v>
      </c>
      <c r="N584" t="n">
        <v>0</v>
      </c>
      <c r="O584" t="n">
        <v>0</v>
      </c>
      <c r="P584" t="n">
        <v>0</v>
      </c>
      <c r="Q584" t="n">
        <v>0</v>
      </c>
      <c r="R584" s="2" t="inlineStr"/>
    </row>
    <row r="585" ht="15" customHeight="1">
      <c r="A585" t="inlineStr">
        <is>
          <t>A 25613-2025</t>
        </is>
      </c>
      <c r="B585" s="1" t="n">
        <v>45800</v>
      </c>
      <c r="C585" s="1" t="n">
        <v>45992</v>
      </c>
      <c r="D585" t="inlineStr">
        <is>
          <t>GÄVLEBORGS LÄN</t>
        </is>
      </c>
      <c r="E585" t="inlineStr">
        <is>
          <t>LJUSDAL</t>
        </is>
      </c>
      <c r="G585" t="n">
        <v>5</v>
      </c>
      <c r="H585" t="n">
        <v>0</v>
      </c>
      <c r="I585" t="n">
        <v>0</v>
      </c>
      <c r="J585" t="n">
        <v>0</v>
      </c>
      <c r="K585" t="n">
        <v>0</v>
      </c>
      <c r="L585" t="n">
        <v>0</v>
      </c>
      <c r="M585" t="n">
        <v>0</v>
      </c>
      <c r="N585" t="n">
        <v>0</v>
      </c>
      <c r="O585" t="n">
        <v>0</v>
      </c>
      <c r="P585" t="n">
        <v>0</v>
      </c>
      <c r="Q585" t="n">
        <v>0</v>
      </c>
      <c r="R585" s="2" t="inlineStr"/>
    </row>
    <row r="586" ht="15" customHeight="1">
      <c r="A586" t="inlineStr">
        <is>
          <t>A 25569-2025</t>
        </is>
      </c>
      <c r="B586" s="1" t="n">
        <v>45803.4665625</v>
      </c>
      <c r="C586" s="1" t="n">
        <v>45992</v>
      </c>
      <c r="D586" t="inlineStr">
        <is>
          <t>GÄVLEBORGS LÄN</t>
        </is>
      </c>
      <c r="E586" t="inlineStr">
        <is>
          <t>LJUSDAL</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67380-2021</t>
        </is>
      </c>
      <c r="B587" s="1" t="n">
        <v>44523</v>
      </c>
      <c r="C587" s="1" t="n">
        <v>45992</v>
      </c>
      <c r="D587" t="inlineStr">
        <is>
          <t>GÄVLEBORGS LÄN</t>
        </is>
      </c>
      <c r="E587" t="inlineStr">
        <is>
          <t>LJUSDAL</t>
        </is>
      </c>
      <c r="G587" t="n">
        <v>4.6</v>
      </c>
      <c r="H587" t="n">
        <v>0</v>
      </c>
      <c r="I587" t="n">
        <v>0</v>
      </c>
      <c r="J587" t="n">
        <v>0</v>
      </c>
      <c r="K587" t="n">
        <v>0</v>
      </c>
      <c r="L587" t="n">
        <v>0</v>
      </c>
      <c r="M587" t="n">
        <v>0</v>
      </c>
      <c r="N587" t="n">
        <v>0</v>
      </c>
      <c r="O587" t="n">
        <v>0</v>
      </c>
      <c r="P587" t="n">
        <v>0</v>
      </c>
      <c r="Q587" t="n">
        <v>0</v>
      </c>
      <c r="R587" s="2" t="inlineStr"/>
    </row>
    <row r="588" ht="15" customHeight="1">
      <c r="A588" t="inlineStr">
        <is>
          <t>A 44696-2021</t>
        </is>
      </c>
      <c r="B588" s="1" t="n">
        <v>44438.34721064815</v>
      </c>
      <c r="C588" s="1" t="n">
        <v>45992</v>
      </c>
      <c r="D588" t="inlineStr">
        <is>
          <t>GÄVLEBORGS LÄN</t>
        </is>
      </c>
      <c r="E588" t="inlineStr">
        <is>
          <t>LJUSDAL</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48654-2022</t>
        </is>
      </c>
      <c r="B589" s="1" t="n">
        <v>44859.43793981482</v>
      </c>
      <c r="C589" s="1" t="n">
        <v>45992</v>
      </c>
      <c r="D589" t="inlineStr">
        <is>
          <t>GÄVLEBORGS LÄN</t>
        </is>
      </c>
      <c r="E589" t="inlineStr">
        <is>
          <t>LJUSDAL</t>
        </is>
      </c>
      <c r="G589" t="n">
        <v>1.2</v>
      </c>
      <c r="H589" t="n">
        <v>0</v>
      </c>
      <c r="I589" t="n">
        <v>0</v>
      </c>
      <c r="J589" t="n">
        <v>0</v>
      </c>
      <c r="K589" t="n">
        <v>0</v>
      </c>
      <c r="L589" t="n">
        <v>0</v>
      </c>
      <c r="M589" t="n">
        <v>0</v>
      </c>
      <c r="N589" t="n">
        <v>0</v>
      </c>
      <c r="O589" t="n">
        <v>0</v>
      </c>
      <c r="P589" t="n">
        <v>0</v>
      </c>
      <c r="Q589" t="n">
        <v>0</v>
      </c>
      <c r="R589" s="2" t="inlineStr"/>
    </row>
    <row r="590" ht="15" customHeight="1">
      <c r="A590" t="inlineStr">
        <is>
          <t>A 25539-2025</t>
        </is>
      </c>
      <c r="B590" s="1" t="n">
        <v>45803.42452546296</v>
      </c>
      <c r="C590" s="1" t="n">
        <v>45992</v>
      </c>
      <c r="D590" t="inlineStr">
        <is>
          <t>GÄVLEBORGS LÄN</t>
        </is>
      </c>
      <c r="E590" t="inlineStr">
        <is>
          <t>LJUSDAL</t>
        </is>
      </c>
      <c r="F590" t="inlineStr">
        <is>
          <t>Holmen skog AB</t>
        </is>
      </c>
      <c r="G590" t="n">
        <v>12.9</v>
      </c>
      <c r="H590" t="n">
        <v>0</v>
      </c>
      <c r="I590" t="n">
        <v>0</v>
      </c>
      <c r="J590" t="n">
        <v>0</v>
      </c>
      <c r="K590" t="n">
        <v>0</v>
      </c>
      <c r="L590" t="n">
        <v>0</v>
      </c>
      <c r="M590" t="n">
        <v>0</v>
      </c>
      <c r="N590" t="n">
        <v>0</v>
      </c>
      <c r="O590" t="n">
        <v>0</v>
      </c>
      <c r="P590" t="n">
        <v>0</v>
      </c>
      <c r="Q590" t="n">
        <v>0</v>
      </c>
      <c r="R590" s="2" t="inlineStr"/>
    </row>
    <row r="591" ht="15" customHeight="1">
      <c r="A591" t="inlineStr">
        <is>
          <t>A 59252-2024</t>
        </is>
      </c>
      <c r="B591" s="1" t="n">
        <v>45637.59668981482</v>
      </c>
      <c r="C591" s="1" t="n">
        <v>45992</v>
      </c>
      <c r="D591" t="inlineStr">
        <is>
          <t>GÄVLEBORGS LÄN</t>
        </is>
      </c>
      <c r="E591" t="inlineStr">
        <is>
          <t>LJUSDAL</t>
        </is>
      </c>
      <c r="G591" t="n">
        <v>0.2</v>
      </c>
      <c r="H591" t="n">
        <v>0</v>
      </c>
      <c r="I591" t="n">
        <v>0</v>
      </c>
      <c r="J591" t="n">
        <v>0</v>
      </c>
      <c r="K591" t="n">
        <v>0</v>
      </c>
      <c r="L591" t="n">
        <v>0</v>
      </c>
      <c r="M591" t="n">
        <v>0</v>
      </c>
      <c r="N591" t="n">
        <v>0</v>
      </c>
      <c r="O591" t="n">
        <v>0</v>
      </c>
      <c r="P591" t="n">
        <v>0</v>
      </c>
      <c r="Q591" t="n">
        <v>0</v>
      </c>
      <c r="R591" s="2" t="inlineStr"/>
    </row>
    <row r="592" ht="15" customHeight="1">
      <c r="A592" t="inlineStr">
        <is>
          <t>A 45536-2023</t>
        </is>
      </c>
      <c r="B592" s="1" t="n">
        <v>45194.5497800926</v>
      </c>
      <c r="C592" s="1" t="n">
        <v>45992</v>
      </c>
      <c r="D592" t="inlineStr">
        <is>
          <t>GÄVLEBORGS LÄN</t>
        </is>
      </c>
      <c r="E592" t="inlineStr">
        <is>
          <t>LJUSDAL</t>
        </is>
      </c>
      <c r="G592" t="n">
        <v>10.7</v>
      </c>
      <c r="H592" t="n">
        <v>0</v>
      </c>
      <c r="I592" t="n">
        <v>0</v>
      </c>
      <c r="J592" t="n">
        <v>0</v>
      </c>
      <c r="K592" t="n">
        <v>0</v>
      </c>
      <c r="L592" t="n">
        <v>0</v>
      </c>
      <c r="M592" t="n">
        <v>0</v>
      </c>
      <c r="N592" t="n">
        <v>0</v>
      </c>
      <c r="O592" t="n">
        <v>0</v>
      </c>
      <c r="P592" t="n">
        <v>0</v>
      </c>
      <c r="Q592" t="n">
        <v>0</v>
      </c>
      <c r="R592" s="2" t="inlineStr"/>
    </row>
    <row r="593" ht="15" customHeight="1">
      <c r="A593" t="inlineStr">
        <is>
          <t>A 28460-2022</t>
        </is>
      </c>
      <c r="B593" s="1" t="n">
        <v>44747</v>
      </c>
      <c r="C593" s="1" t="n">
        <v>45992</v>
      </c>
      <c r="D593" t="inlineStr">
        <is>
          <t>GÄVLEBORGS LÄN</t>
        </is>
      </c>
      <c r="E593" t="inlineStr">
        <is>
          <t>LJUSDAL</t>
        </is>
      </c>
      <c r="G593" t="n">
        <v>4</v>
      </c>
      <c r="H593" t="n">
        <v>0</v>
      </c>
      <c r="I593" t="n">
        <v>0</v>
      </c>
      <c r="J593" t="n">
        <v>0</v>
      </c>
      <c r="K593" t="n">
        <v>0</v>
      </c>
      <c r="L593" t="n">
        <v>0</v>
      </c>
      <c r="M593" t="n">
        <v>0</v>
      </c>
      <c r="N593" t="n">
        <v>0</v>
      </c>
      <c r="O593" t="n">
        <v>0</v>
      </c>
      <c r="P593" t="n">
        <v>0</v>
      </c>
      <c r="Q593" t="n">
        <v>0</v>
      </c>
      <c r="R593" s="2" t="inlineStr"/>
    </row>
    <row r="594" ht="15" customHeight="1">
      <c r="A594" t="inlineStr">
        <is>
          <t>A 25602-2025</t>
        </is>
      </c>
      <c r="B594" s="1" t="n">
        <v>45800</v>
      </c>
      <c r="C594" s="1" t="n">
        <v>45992</v>
      </c>
      <c r="D594" t="inlineStr">
        <is>
          <t>GÄVLEBORGS LÄN</t>
        </is>
      </c>
      <c r="E594" t="inlineStr">
        <is>
          <t>LJUSDAL</t>
        </is>
      </c>
      <c r="G594" t="n">
        <v>4.7</v>
      </c>
      <c r="H594" t="n">
        <v>0</v>
      </c>
      <c r="I594" t="n">
        <v>0</v>
      </c>
      <c r="J594" t="n">
        <v>0</v>
      </c>
      <c r="K594" t="n">
        <v>0</v>
      </c>
      <c r="L594" t="n">
        <v>0</v>
      </c>
      <c r="M594" t="n">
        <v>0</v>
      </c>
      <c r="N594" t="n">
        <v>0</v>
      </c>
      <c r="O594" t="n">
        <v>0</v>
      </c>
      <c r="P594" t="n">
        <v>0</v>
      </c>
      <c r="Q594" t="n">
        <v>0</v>
      </c>
      <c r="R594" s="2" t="inlineStr"/>
    </row>
    <row r="595" ht="15" customHeight="1">
      <c r="A595" t="inlineStr">
        <is>
          <t>A 30818-2024</t>
        </is>
      </c>
      <c r="B595" s="1" t="n">
        <v>45497.46219907407</v>
      </c>
      <c r="C595" s="1" t="n">
        <v>45992</v>
      </c>
      <c r="D595" t="inlineStr">
        <is>
          <t>GÄVLEBORGS LÄN</t>
        </is>
      </c>
      <c r="E595" t="inlineStr">
        <is>
          <t>LJUSDAL</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38758-2025</t>
        </is>
      </c>
      <c r="B596" s="1" t="n">
        <v>45887.39670138889</v>
      </c>
      <c r="C596" s="1" t="n">
        <v>45992</v>
      </c>
      <c r="D596" t="inlineStr">
        <is>
          <t>GÄVLEBORGS LÄN</t>
        </is>
      </c>
      <c r="E596" t="inlineStr">
        <is>
          <t>LJUSDAL</t>
        </is>
      </c>
      <c r="G596" t="n">
        <v>4.4</v>
      </c>
      <c r="H596" t="n">
        <v>0</v>
      </c>
      <c r="I596" t="n">
        <v>0</v>
      </c>
      <c r="J596" t="n">
        <v>0</v>
      </c>
      <c r="K596" t="n">
        <v>0</v>
      </c>
      <c r="L596" t="n">
        <v>0</v>
      </c>
      <c r="M596" t="n">
        <v>0</v>
      </c>
      <c r="N596" t="n">
        <v>0</v>
      </c>
      <c r="O596" t="n">
        <v>0</v>
      </c>
      <c r="P596" t="n">
        <v>0</v>
      </c>
      <c r="Q596" t="n">
        <v>0</v>
      </c>
      <c r="R596" s="2" t="inlineStr"/>
    </row>
    <row r="597" ht="15" customHeight="1">
      <c r="A597" t="inlineStr">
        <is>
          <t>A 25504-2025</t>
        </is>
      </c>
      <c r="B597" s="1" t="n">
        <v>45803.35074074074</v>
      </c>
      <c r="C597" s="1" t="n">
        <v>45992</v>
      </c>
      <c r="D597" t="inlineStr">
        <is>
          <t>GÄVLEBORGS LÄN</t>
        </is>
      </c>
      <c r="E597" t="inlineStr">
        <is>
          <t>LJUSDAL</t>
        </is>
      </c>
      <c r="G597" t="n">
        <v>3.1</v>
      </c>
      <c r="H597" t="n">
        <v>0</v>
      </c>
      <c r="I597" t="n">
        <v>0</v>
      </c>
      <c r="J597" t="n">
        <v>0</v>
      </c>
      <c r="K597" t="n">
        <v>0</v>
      </c>
      <c r="L597" t="n">
        <v>0</v>
      </c>
      <c r="M597" t="n">
        <v>0</v>
      </c>
      <c r="N597" t="n">
        <v>0</v>
      </c>
      <c r="O597" t="n">
        <v>0</v>
      </c>
      <c r="P597" t="n">
        <v>0</v>
      </c>
      <c r="Q597" t="n">
        <v>0</v>
      </c>
      <c r="R597" s="2" t="inlineStr"/>
    </row>
    <row r="598" ht="15" customHeight="1">
      <c r="A598" t="inlineStr">
        <is>
          <t>A 18096-2021</t>
        </is>
      </c>
      <c r="B598" s="1" t="n">
        <v>44302.4797800926</v>
      </c>
      <c r="C598" s="1" t="n">
        <v>45992</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32121-2025</t>
        </is>
      </c>
      <c r="B599" s="1" t="n">
        <v>45835.49260416667</v>
      </c>
      <c r="C599" s="1" t="n">
        <v>45992</v>
      </c>
      <c r="D599" t="inlineStr">
        <is>
          <t>GÄVLEBORGS LÄN</t>
        </is>
      </c>
      <c r="E599" t="inlineStr">
        <is>
          <t>LJUSDAL</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44092-2024</t>
        </is>
      </c>
      <c r="B600" s="1" t="n">
        <v>45572.62274305556</v>
      </c>
      <c r="C600" s="1" t="n">
        <v>45992</v>
      </c>
      <c r="D600" t="inlineStr">
        <is>
          <t>GÄVLEBORGS LÄN</t>
        </is>
      </c>
      <c r="E600" t="inlineStr">
        <is>
          <t>LJUSDAL</t>
        </is>
      </c>
      <c r="G600" t="n">
        <v>1.3</v>
      </c>
      <c r="H600" t="n">
        <v>0</v>
      </c>
      <c r="I600" t="n">
        <v>0</v>
      </c>
      <c r="J600" t="n">
        <v>0</v>
      </c>
      <c r="K600" t="n">
        <v>0</v>
      </c>
      <c r="L600" t="n">
        <v>0</v>
      </c>
      <c r="M600" t="n">
        <v>0</v>
      </c>
      <c r="N600" t="n">
        <v>0</v>
      </c>
      <c r="O600" t="n">
        <v>0</v>
      </c>
      <c r="P600" t="n">
        <v>0</v>
      </c>
      <c r="Q600" t="n">
        <v>0</v>
      </c>
      <c r="R600" s="2" t="inlineStr"/>
    </row>
    <row r="601" ht="15" customHeight="1">
      <c r="A601" t="inlineStr">
        <is>
          <t>A 25832-2025</t>
        </is>
      </c>
      <c r="B601" s="1" t="n">
        <v>45804.44728009259</v>
      </c>
      <c r="C601" s="1" t="n">
        <v>45992</v>
      </c>
      <c r="D601" t="inlineStr">
        <is>
          <t>GÄVLEBORGS LÄN</t>
        </is>
      </c>
      <c r="E601" t="inlineStr">
        <is>
          <t>LJUSDAL</t>
        </is>
      </c>
      <c r="F601" t="inlineStr">
        <is>
          <t>Holmen skog AB</t>
        </is>
      </c>
      <c r="G601" t="n">
        <v>23.1</v>
      </c>
      <c r="H601" t="n">
        <v>0</v>
      </c>
      <c r="I601" t="n">
        <v>0</v>
      </c>
      <c r="J601" t="n">
        <v>0</v>
      </c>
      <c r="K601" t="n">
        <v>0</v>
      </c>
      <c r="L601" t="n">
        <v>0</v>
      </c>
      <c r="M601" t="n">
        <v>0</v>
      </c>
      <c r="N601" t="n">
        <v>0</v>
      </c>
      <c r="O601" t="n">
        <v>0</v>
      </c>
      <c r="P601" t="n">
        <v>0</v>
      </c>
      <c r="Q601" t="n">
        <v>0</v>
      </c>
      <c r="R601" s="2" t="inlineStr"/>
    </row>
    <row r="602" ht="15" customHeight="1">
      <c r="A602" t="inlineStr">
        <is>
          <t>A 27440-2025</t>
        </is>
      </c>
      <c r="B602" s="1" t="n">
        <v>45813.3159375</v>
      </c>
      <c r="C602" s="1" t="n">
        <v>45992</v>
      </c>
      <c r="D602" t="inlineStr">
        <is>
          <t>GÄVLEBORGS LÄN</t>
        </is>
      </c>
      <c r="E602" t="inlineStr">
        <is>
          <t>LJUSDAL</t>
        </is>
      </c>
      <c r="G602" t="n">
        <v>3.3</v>
      </c>
      <c r="H602" t="n">
        <v>0</v>
      </c>
      <c r="I602" t="n">
        <v>0</v>
      </c>
      <c r="J602" t="n">
        <v>0</v>
      </c>
      <c r="K602" t="n">
        <v>0</v>
      </c>
      <c r="L602" t="n">
        <v>0</v>
      </c>
      <c r="M602" t="n">
        <v>0</v>
      </c>
      <c r="N602" t="n">
        <v>0</v>
      </c>
      <c r="O602" t="n">
        <v>0</v>
      </c>
      <c r="P602" t="n">
        <v>0</v>
      </c>
      <c r="Q602" t="n">
        <v>0</v>
      </c>
      <c r="R602" s="2" t="inlineStr"/>
    </row>
    <row r="603" ht="15" customHeight="1">
      <c r="A603" t="inlineStr">
        <is>
          <t>A 44020-2023</t>
        </is>
      </c>
      <c r="B603" s="1" t="n">
        <v>45188</v>
      </c>
      <c r="C603" s="1" t="n">
        <v>45992</v>
      </c>
      <c r="D603" t="inlineStr">
        <is>
          <t>GÄVLEBORGS LÄN</t>
        </is>
      </c>
      <c r="E603" t="inlineStr">
        <is>
          <t>LJUSDAL</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32579-2024</t>
        </is>
      </c>
      <c r="B604" s="1" t="n">
        <v>45513</v>
      </c>
      <c r="C604" s="1" t="n">
        <v>45992</v>
      </c>
      <c r="D604" t="inlineStr">
        <is>
          <t>GÄVLEBORGS LÄN</t>
        </is>
      </c>
      <c r="E604" t="inlineStr">
        <is>
          <t>LJUSDAL</t>
        </is>
      </c>
      <c r="F604" t="inlineStr">
        <is>
          <t>Sveaskog</t>
        </is>
      </c>
      <c r="G604" t="n">
        <v>33.7</v>
      </c>
      <c r="H604" t="n">
        <v>0</v>
      </c>
      <c r="I604" t="n">
        <v>0</v>
      </c>
      <c r="J604" t="n">
        <v>0</v>
      </c>
      <c r="K604" t="n">
        <v>0</v>
      </c>
      <c r="L604" t="n">
        <v>0</v>
      </c>
      <c r="M604" t="n">
        <v>0</v>
      </c>
      <c r="N604" t="n">
        <v>0</v>
      </c>
      <c r="O604" t="n">
        <v>0</v>
      </c>
      <c r="P604" t="n">
        <v>0</v>
      </c>
      <c r="Q604" t="n">
        <v>0</v>
      </c>
      <c r="R604" s="2" t="inlineStr"/>
    </row>
    <row r="605" ht="15" customHeight="1">
      <c r="A605" t="inlineStr">
        <is>
          <t>A 25993-2025</t>
        </is>
      </c>
      <c r="B605" s="1" t="n">
        <v>45804.65660879629</v>
      </c>
      <c r="C605" s="1" t="n">
        <v>45992</v>
      </c>
      <c r="D605" t="inlineStr">
        <is>
          <t>GÄVLEBORGS LÄN</t>
        </is>
      </c>
      <c r="E605" t="inlineStr">
        <is>
          <t>LJUSDAL</t>
        </is>
      </c>
      <c r="F605" t="inlineStr">
        <is>
          <t>Holmen skog AB</t>
        </is>
      </c>
      <c r="G605" t="n">
        <v>26.6</v>
      </c>
      <c r="H605" t="n">
        <v>0</v>
      </c>
      <c r="I605" t="n">
        <v>0</v>
      </c>
      <c r="J605" t="n">
        <v>0</v>
      </c>
      <c r="K605" t="n">
        <v>0</v>
      </c>
      <c r="L605" t="n">
        <v>0</v>
      </c>
      <c r="M605" t="n">
        <v>0</v>
      </c>
      <c r="N605" t="n">
        <v>0</v>
      </c>
      <c r="O605" t="n">
        <v>0</v>
      </c>
      <c r="P605" t="n">
        <v>0</v>
      </c>
      <c r="Q605" t="n">
        <v>0</v>
      </c>
      <c r="R605" s="2" t="inlineStr"/>
    </row>
    <row r="606" ht="15" customHeight="1">
      <c r="A606" t="inlineStr">
        <is>
          <t>A 30673-2025</t>
        </is>
      </c>
      <c r="B606" s="1" t="n">
        <v>45831.51881944444</v>
      </c>
      <c r="C606" s="1" t="n">
        <v>45992</v>
      </c>
      <c r="D606" t="inlineStr">
        <is>
          <t>GÄVLEBORGS LÄN</t>
        </is>
      </c>
      <c r="E606" t="inlineStr">
        <is>
          <t>LJUSDAL</t>
        </is>
      </c>
      <c r="G606" t="n">
        <v>3.9</v>
      </c>
      <c r="H606" t="n">
        <v>0</v>
      </c>
      <c r="I606" t="n">
        <v>0</v>
      </c>
      <c r="J606" t="n">
        <v>0</v>
      </c>
      <c r="K606" t="n">
        <v>0</v>
      </c>
      <c r="L606" t="n">
        <v>0</v>
      </c>
      <c r="M606" t="n">
        <v>0</v>
      </c>
      <c r="N606" t="n">
        <v>0</v>
      </c>
      <c r="O606" t="n">
        <v>0</v>
      </c>
      <c r="P606" t="n">
        <v>0</v>
      </c>
      <c r="Q606" t="n">
        <v>0</v>
      </c>
      <c r="R606" s="2" t="inlineStr"/>
    </row>
    <row r="607" ht="15" customHeight="1">
      <c r="A607" t="inlineStr">
        <is>
          <t>A 26268-2025</t>
        </is>
      </c>
      <c r="B607" s="1" t="n">
        <v>45805.59122685185</v>
      </c>
      <c r="C607" s="1" t="n">
        <v>45992</v>
      </c>
      <c r="D607" t="inlineStr">
        <is>
          <t>GÄVLEBORGS LÄN</t>
        </is>
      </c>
      <c r="E607" t="inlineStr">
        <is>
          <t>LJUSDAL</t>
        </is>
      </c>
      <c r="F607" t="inlineStr">
        <is>
          <t>Kommuner</t>
        </is>
      </c>
      <c r="G607" t="n">
        <v>4.9</v>
      </c>
      <c r="H607" t="n">
        <v>0</v>
      </c>
      <c r="I607" t="n">
        <v>0</v>
      </c>
      <c r="J607" t="n">
        <v>0</v>
      </c>
      <c r="K607" t="n">
        <v>0</v>
      </c>
      <c r="L607" t="n">
        <v>0</v>
      </c>
      <c r="M607" t="n">
        <v>0</v>
      </c>
      <c r="N607" t="n">
        <v>0</v>
      </c>
      <c r="O607" t="n">
        <v>0</v>
      </c>
      <c r="P607" t="n">
        <v>0</v>
      </c>
      <c r="Q607" t="n">
        <v>0</v>
      </c>
      <c r="R607" s="2" t="inlineStr"/>
    </row>
    <row r="608" ht="15" customHeight="1">
      <c r="A608" t="inlineStr">
        <is>
          <t>A 61420-2024</t>
        </is>
      </c>
      <c r="B608" s="1" t="n">
        <v>45646.45043981481</v>
      </c>
      <c r="C608" s="1" t="n">
        <v>45992</v>
      </c>
      <c r="D608" t="inlineStr">
        <is>
          <t>GÄVLEBORGS LÄN</t>
        </is>
      </c>
      <c r="E608" t="inlineStr">
        <is>
          <t>LJUSDAL</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39108-2025</t>
        </is>
      </c>
      <c r="B609" s="1" t="n">
        <v>45888.53942129629</v>
      </c>
      <c r="C609" s="1" t="n">
        <v>45992</v>
      </c>
      <c r="D609" t="inlineStr">
        <is>
          <t>GÄVLEBORGS LÄN</t>
        </is>
      </c>
      <c r="E609" t="inlineStr">
        <is>
          <t>LJUSDAL</t>
        </is>
      </c>
      <c r="F609" t="inlineStr">
        <is>
          <t>Allmännings- och besparingsskogar</t>
        </is>
      </c>
      <c r="G609" t="n">
        <v>3.7</v>
      </c>
      <c r="H609" t="n">
        <v>0</v>
      </c>
      <c r="I609" t="n">
        <v>0</v>
      </c>
      <c r="J609" t="n">
        <v>0</v>
      </c>
      <c r="K609" t="n">
        <v>0</v>
      </c>
      <c r="L609" t="n">
        <v>0</v>
      </c>
      <c r="M609" t="n">
        <v>0</v>
      </c>
      <c r="N609" t="n">
        <v>0</v>
      </c>
      <c r="O609" t="n">
        <v>0</v>
      </c>
      <c r="P609" t="n">
        <v>0</v>
      </c>
      <c r="Q609" t="n">
        <v>0</v>
      </c>
      <c r="R609" s="2" t="inlineStr"/>
    </row>
    <row r="610" ht="15" customHeight="1">
      <c r="A610" t="inlineStr">
        <is>
          <t>A 29493-2025</t>
        </is>
      </c>
      <c r="B610" s="1" t="n">
        <v>45824.80202546297</v>
      </c>
      <c r="C610" s="1" t="n">
        <v>45992</v>
      </c>
      <c r="D610" t="inlineStr">
        <is>
          <t>GÄVLEBORGS LÄN</t>
        </is>
      </c>
      <c r="E610" t="inlineStr">
        <is>
          <t>LJUSDAL</t>
        </is>
      </c>
      <c r="G610" t="n">
        <v>3.2</v>
      </c>
      <c r="H610" t="n">
        <v>0</v>
      </c>
      <c r="I610" t="n">
        <v>0</v>
      </c>
      <c r="J610" t="n">
        <v>0</v>
      </c>
      <c r="K610" t="n">
        <v>0</v>
      </c>
      <c r="L610" t="n">
        <v>0</v>
      </c>
      <c r="M610" t="n">
        <v>0</v>
      </c>
      <c r="N610" t="n">
        <v>0</v>
      </c>
      <c r="O610" t="n">
        <v>0</v>
      </c>
      <c r="P610" t="n">
        <v>0</v>
      </c>
      <c r="Q610" t="n">
        <v>0</v>
      </c>
      <c r="R610" s="2" t="inlineStr"/>
    </row>
    <row r="611" ht="15" customHeight="1">
      <c r="A611" t="inlineStr">
        <is>
          <t>A 39012-2025</t>
        </is>
      </c>
      <c r="B611" s="1" t="n">
        <v>45888.35570601852</v>
      </c>
      <c r="C611" s="1" t="n">
        <v>45992</v>
      </c>
      <c r="D611" t="inlineStr">
        <is>
          <t>GÄVLEBORGS LÄN</t>
        </is>
      </c>
      <c r="E611" t="inlineStr">
        <is>
          <t>LJUSDAL</t>
        </is>
      </c>
      <c r="F611" t="inlineStr">
        <is>
          <t>Allmännings- och besparingsskogar</t>
        </is>
      </c>
      <c r="G611" t="n">
        <v>1.2</v>
      </c>
      <c r="H611" t="n">
        <v>0</v>
      </c>
      <c r="I611" t="n">
        <v>0</v>
      </c>
      <c r="J611" t="n">
        <v>0</v>
      </c>
      <c r="K611" t="n">
        <v>0</v>
      </c>
      <c r="L611" t="n">
        <v>0</v>
      </c>
      <c r="M611" t="n">
        <v>0</v>
      </c>
      <c r="N611" t="n">
        <v>0</v>
      </c>
      <c r="O611" t="n">
        <v>0</v>
      </c>
      <c r="P611" t="n">
        <v>0</v>
      </c>
      <c r="Q611" t="n">
        <v>0</v>
      </c>
      <c r="R611" s="2" t="inlineStr"/>
    </row>
    <row r="612" ht="15" customHeight="1">
      <c r="A612" t="inlineStr">
        <is>
          <t>A 26091-2025</t>
        </is>
      </c>
      <c r="B612" s="1" t="n">
        <v>45805.34539351852</v>
      </c>
      <c r="C612" s="1" t="n">
        <v>45992</v>
      </c>
      <c r="D612" t="inlineStr">
        <is>
          <t>GÄVLEBORGS LÄN</t>
        </is>
      </c>
      <c r="E612" t="inlineStr">
        <is>
          <t>LJUSDAL</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39215-2025</t>
        </is>
      </c>
      <c r="B613" s="1" t="n">
        <v>45888.79549768518</v>
      </c>
      <c r="C613" s="1" t="n">
        <v>45992</v>
      </c>
      <c r="D613" t="inlineStr">
        <is>
          <t>GÄVLEBORGS LÄN</t>
        </is>
      </c>
      <c r="E613" t="inlineStr">
        <is>
          <t>LJUSDAL</t>
        </is>
      </c>
      <c r="G613" t="n">
        <v>1.9</v>
      </c>
      <c r="H613" t="n">
        <v>0</v>
      </c>
      <c r="I613" t="n">
        <v>0</v>
      </c>
      <c r="J613" t="n">
        <v>0</v>
      </c>
      <c r="K613" t="n">
        <v>0</v>
      </c>
      <c r="L613" t="n">
        <v>0</v>
      </c>
      <c r="M613" t="n">
        <v>0</v>
      </c>
      <c r="N613" t="n">
        <v>0</v>
      </c>
      <c r="O613" t="n">
        <v>0</v>
      </c>
      <c r="P613" t="n">
        <v>0</v>
      </c>
      <c r="Q613" t="n">
        <v>0</v>
      </c>
      <c r="R613" s="2" t="inlineStr"/>
    </row>
    <row r="614" ht="15" customHeight="1">
      <c r="A614" t="inlineStr">
        <is>
          <t>A 20016-2023</t>
        </is>
      </c>
      <c r="B614" s="1" t="n">
        <v>45054.63719907407</v>
      </c>
      <c r="C614" s="1" t="n">
        <v>45992</v>
      </c>
      <c r="D614" t="inlineStr">
        <is>
          <t>GÄVLEBORGS LÄN</t>
        </is>
      </c>
      <c r="E614" t="inlineStr">
        <is>
          <t>LJUSDAL</t>
        </is>
      </c>
      <c r="F614" t="inlineStr">
        <is>
          <t>Kommuner</t>
        </is>
      </c>
      <c r="G614" t="n">
        <v>2.1</v>
      </c>
      <c r="H614" t="n">
        <v>0</v>
      </c>
      <c r="I614" t="n">
        <v>0</v>
      </c>
      <c r="J614" t="n">
        <v>0</v>
      </c>
      <c r="K614" t="n">
        <v>0</v>
      </c>
      <c r="L614" t="n">
        <v>0</v>
      </c>
      <c r="M614" t="n">
        <v>0</v>
      </c>
      <c r="N614" t="n">
        <v>0</v>
      </c>
      <c r="O614" t="n">
        <v>0</v>
      </c>
      <c r="P614" t="n">
        <v>0</v>
      </c>
      <c r="Q614" t="n">
        <v>0</v>
      </c>
      <c r="R614" s="2" t="inlineStr"/>
    </row>
    <row r="615" ht="15" customHeight="1">
      <c r="A615" t="inlineStr">
        <is>
          <t>A 17475-2025</t>
        </is>
      </c>
      <c r="B615" s="1" t="n">
        <v>45757.48234953704</v>
      </c>
      <c r="C615" s="1" t="n">
        <v>45992</v>
      </c>
      <c r="D615" t="inlineStr">
        <is>
          <t>GÄVLEBORGS LÄN</t>
        </is>
      </c>
      <c r="E615" t="inlineStr">
        <is>
          <t>LJUSDAL</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25756-2025</t>
        </is>
      </c>
      <c r="B616" s="1" t="n">
        <v>45804.32913194445</v>
      </c>
      <c r="C616" s="1" t="n">
        <v>45992</v>
      </c>
      <c r="D616" t="inlineStr">
        <is>
          <t>GÄVLEBORGS LÄN</t>
        </is>
      </c>
      <c r="E616" t="inlineStr">
        <is>
          <t>LJUSDAL</t>
        </is>
      </c>
      <c r="F616" t="inlineStr">
        <is>
          <t>Holmen skog AB</t>
        </is>
      </c>
      <c r="G616" t="n">
        <v>7.5</v>
      </c>
      <c r="H616" t="n">
        <v>0</v>
      </c>
      <c r="I616" t="n">
        <v>0</v>
      </c>
      <c r="J616" t="n">
        <v>0</v>
      </c>
      <c r="K616" t="n">
        <v>0</v>
      </c>
      <c r="L616" t="n">
        <v>0</v>
      </c>
      <c r="M616" t="n">
        <v>0</v>
      </c>
      <c r="N616" t="n">
        <v>0</v>
      </c>
      <c r="O616" t="n">
        <v>0</v>
      </c>
      <c r="P616" t="n">
        <v>0</v>
      </c>
      <c r="Q616" t="n">
        <v>0</v>
      </c>
      <c r="R616" s="2" t="inlineStr"/>
    </row>
    <row r="617" ht="15" customHeight="1">
      <c r="A617" t="inlineStr">
        <is>
          <t>A 30961-2025</t>
        </is>
      </c>
      <c r="B617" s="1" t="n">
        <v>45832.44423611111</v>
      </c>
      <c r="C617" s="1" t="n">
        <v>45992</v>
      </c>
      <c r="D617" t="inlineStr">
        <is>
          <t>GÄVLEBORGS LÄN</t>
        </is>
      </c>
      <c r="E617" t="inlineStr">
        <is>
          <t>LJUSDAL</t>
        </is>
      </c>
      <c r="G617" t="n">
        <v>3.2</v>
      </c>
      <c r="H617" t="n">
        <v>0</v>
      </c>
      <c r="I617" t="n">
        <v>0</v>
      </c>
      <c r="J617" t="n">
        <v>0</v>
      </c>
      <c r="K617" t="n">
        <v>0</v>
      </c>
      <c r="L617" t="n">
        <v>0</v>
      </c>
      <c r="M617" t="n">
        <v>0</v>
      </c>
      <c r="N617" t="n">
        <v>0</v>
      </c>
      <c r="O617" t="n">
        <v>0</v>
      </c>
      <c r="P617" t="n">
        <v>0</v>
      </c>
      <c r="Q617" t="n">
        <v>0</v>
      </c>
      <c r="R617" s="2" t="inlineStr"/>
    </row>
    <row r="618" ht="15" customHeight="1">
      <c r="A618" t="inlineStr">
        <is>
          <t>A 25898-2025</t>
        </is>
      </c>
      <c r="B618" s="1" t="n">
        <v>45804.54803240741</v>
      </c>
      <c r="C618" s="1" t="n">
        <v>45992</v>
      </c>
      <c r="D618" t="inlineStr">
        <is>
          <t>GÄVLEBORGS LÄN</t>
        </is>
      </c>
      <c r="E618" t="inlineStr">
        <is>
          <t>LJUSDAL</t>
        </is>
      </c>
      <c r="G618" t="n">
        <v>0.8</v>
      </c>
      <c r="H618" t="n">
        <v>0</v>
      </c>
      <c r="I618" t="n">
        <v>0</v>
      </c>
      <c r="J618" t="n">
        <v>0</v>
      </c>
      <c r="K618" t="n">
        <v>0</v>
      </c>
      <c r="L618" t="n">
        <v>0</v>
      </c>
      <c r="M618" t="n">
        <v>0</v>
      </c>
      <c r="N618" t="n">
        <v>0</v>
      </c>
      <c r="O618" t="n">
        <v>0</v>
      </c>
      <c r="P618" t="n">
        <v>0</v>
      </c>
      <c r="Q618" t="n">
        <v>0</v>
      </c>
      <c r="R618" s="2" t="inlineStr"/>
    </row>
    <row r="619" ht="15" customHeight="1">
      <c r="A619" t="inlineStr">
        <is>
          <t>A 11286-2022</t>
        </is>
      </c>
      <c r="B619" s="1" t="n">
        <v>44629.92833333334</v>
      </c>
      <c r="C619" s="1" t="n">
        <v>45992</v>
      </c>
      <c r="D619" t="inlineStr">
        <is>
          <t>GÄVLEBORGS LÄN</t>
        </is>
      </c>
      <c r="E619" t="inlineStr">
        <is>
          <t>LJUSDAL</t>
        </is>
      </c>
      <c r="G619" t="n">
        <v>11.5</v>
      </c>
      <c r="H619" t="n">
        <v>0</v>
      </c>
      <c r="I619" t="n">
        <v>0</v>
      </c>
      <c r="J619" t="n">
        <v>0</v>
      </c>
      <c r="K619" t="n">
        <v>0</v>
      </c>
      <c r="L619" t="n">
        <v>0</v>
      </c>
      <c r="M619" t="n">
        <v>0</v>
      </c>
      <c r="N619" t="n">
        <v>0</v>
      </c>
      <c r="O619" t="n">
        <v>0</v>
      </c>
      <c r="P619" t="n">
        <v>0</v>
      </c>
      <c r="Q619" t="n">
        <v>0</v>
      </c>
      <c r="R619" s="2" t="inlineStr"/>
    </row>
    <row r="620" ht="15" customHeight="1">
      <c r="A620" t="inlineStr">
        <is>
          <t>A 26103-2025</t>
        </is>
      </c>
      <c r="B620" s="1" t="n">
        <v>45805.35861111111</v>
      </c>
      <c r="C620" s="1" t="n">
        <v>45992</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25884-2025</t>
        </is>
      </c>
      <c r="B621" s="1" t="n">
        <v>45804.50662037037</v>
      </c>
      <c r="C621" s="1" t="n">
        <v>45992</v>
      </c>
      <c r="D621" t="inlineStr">
        <is>
          <t>GÄVLEBORGS LÄN</t>
        </is>
      </c>
      <c r="E621" t="inlineStr">
        <is>
          <t>LJUSDAL</t>
        </is>
      </c>
      <c r="F621" t="inlineStr">
        <is>
          <t>Holmen skog AB</t>
        </is>
      </c>
      <c r="G621" t="n">
        <v>11.4</v>
      </c>
      <c r="H621" t="n">
        <v>0</v>
      </c>
      <c r="I621" t="n">
        <v>0</v>
      </c>
      <c r="J621" t="n">
        <v>0</v>
      </c>
      <c r="K621" t="n">
        <v>0</v>
      </c>
      <c r="L621" t="n">
        <v>0</v>
      </c>
      <c r="M621" t="n">
        <v>0</v>
      </c>
      <c r="N621" t="n">
        <v>0</v>
      </c>
      <c r="O621" t="n">
        <v>0</v>
      </c>
      <c r="P621" t="n">
        <v>0</v>
      </c>
      <c r="Q621" t="n">
        <v>0</v>
      </c>
      <c r="R621" s="2" t="inlineStr"/>
    </row>
    <row r="622" ht="15" customHeight="1">
      <c r="A622" t="inlineStr">
        <is>
          <t>A 26580-2025</t>
        </is>
      </c>
      <c r="B622" s="1" t="n">
        <v>45807</v>
      </c>
      <c r="C622" s="1" t="n">
        <v>45992</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26557-2025</t>
        </is>
      </c>
      <c r="B623" s="1" t="n">
        <v>45807.62958333334</v>
      </c>
      <c r="C623" s="1" t="n">
        <v>45992</v>
      </c>
      <c r="D623" t="inlineStr">
        <is>
          <t>GÄVLEBORGS LÄN</t>
        </is>
      </c>
      <c r="E623" t="inlineStr">
        <is>
          <t>LJUSDAL</t>
        </is>
      </c>
      <c r="G623" t="n">
        <v>4.4</v>
      </c>
      <c r="H623" t="n">
        <v>0</v>
      </c>
      <c r="I623" t="n">
        <v>0</v>
      </c>
      <c r="J623" t="n">
        <v>0</v>
      </c>
      <c r="K623" t="n">
        <v>0</v>
      </c>
      <c r="L623" t="n">
        <v>0</v>
      </c>
      <c r="M623" t="n">
        <v>0</v>
      </c>
      <c r="N623" t="n">
        <v>0</v>
      </c>
      <c r="O623" t="n">
        <v>0</v>
      </c>
      <c r="P623" t="n">
        <v>0</v>
      </c>
      <c r="Q623" t="n">
        <v>0</v>
      </c>
      <c r="R623" s="2" t="inlineStr"/>
    </row>
    <row r="624" ht="15" customHeight="1">
      <c r="A624" t="inlineStr">
        <is>
          <t>A 55983-2024</t>
        </is>
      </c>
      <c r="B624" s="1" t="n">
        <v>45623.66719907407</v>
      </c>
      <c r="C624" s="1" t="n">
        <v>45992</v>
      </c>
      <c r="D624" t="inlineStr">
        <is>
          <t>GÄVLEBORGS LÄN</t>
        </is>
      </c>
      <c r="E624" t="inlineStr">
        <is>
          <t>LJUSDAL</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26579-2025</t>
        </is>
      </c>
      <c r="B625" s="1" t="n">
        <v>45807</v>
      </c>
      <c r="C625" s="1" t="n">
        <v>45992</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26538-2025</t>
        </is>
      </c>
      <c r="B626" s="1" t="n">
        <v>45807.57506944444</v>
      </c>
      <c r="C626" s="1" t="n">
        <v>45992</v>
      </c>
      <c r="D626" t="inlineStr">
        <is>
          <t>GÄVLEBORGS LÄN</t>
        </is>
      </c>
      <c r="E626" t="inlineStr">
        <is>
          <t>LJUSDAL</t>
        </is>
      </c>
      <c r="G626" t="n">
        <v>10.5</v>
      </c>
      <c r="H626" t="n">
        <v>0</v>
      </c>
      <c r="I626" t="n">
        <v>0</v>
      </c>
      <c r="J626" t="n">
        <v>0</v>
      </c>
      <c r="K626" t="n">
        <v>0</v>
      </c>
      <c r="L626" t="n">
        <v>0</v>
      </c>
      <c r="M626" t="n">
        <v>0</v>
      </c>
      <c r="N626" t="n">
        <v>0</v>
      </c>
      <c r="O626" t="n">
        <v>0</v>
      </c>
      <c r="P626" t="n">
        <v>0</v>
      </c>
      <c r="Q626" t="n">
        <v>0</v>
      </c>
      <c r="R626" s="2" t="inlineStr"/>
    </row>
    <row r="627" ht="15" customHeight="1">
      <c r="A627" t="inlineStr">
        <is>
          <t>A 26578-2025</t>
        </is>
      </c>
      <c r="B627" s="1" t="n">
        <v>45807</v>
      </c>
      <c r="C627" s="1" t="n">
        <v>45992</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39051-2025</t>
        </is>
      </c>
      <c r="B628" s="1" t="n">
        <v>45888.44715277778</v>
      </c>
      <c r="C628" s="1" t="n">
        <v>45992</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39076-2025</t>
        </is>
      </c>
      <c r="B629" s="1" t="n">
        <v>45888.47826388889</v>
      </c>
      <c r="C629" s="1" t="n">
        <v>45992</v>
      </c>
      <c r="D629" t="inlineStr">
        <is>
          <t>GÄVLEBORGS LÄN</t>
        </is>
      </c>
      <c r="E629" t="inlineStr">
        <is>
          <t>LJUSDAL</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39840-2025</t>
        </is>
      </c>
      <c r="B630" s="1" t="n">
        <v>45891.57127314815</v>
      </c>
      <c r="C630" s="1" t="n">
        <v>45992</v>
      </c>
      <c r="D630" t="inlineStr">
        <is>
          <t>GÄVLEBORGS LÄN</t>
        </is>
      </c>
      <c r="E630" t="inlineStr">
        <is>
          <t>LJUSDAL</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20025-2025</t>
        </is>
      </c>
      <c r="B631" s="1" t="n">
        <v>45772.34452546296</v>
      </c>
      <c r="C631" s="1" t="n">
        <v>45992</v>
      </c>
      <c r="D631" t="inlineStr">
        <is>
          <t>GÄVLEBORGS LÄN</t>
        </is>
      </c>
      <c r="E631" t="inlineStr">
        <is>
          <t>LJUSDAL</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9935-2022</t>
        </is>
      </c>
      <c r="B632" s="1" t="n">
        <v>44620.92258101852</v>
      </c>
      <c r="C632" s="1" t="n">
        <v>45992</v>
      </c>
      <c r="D632" t="inlineStr">
        <is>
          <t>GÄVLEBORGS LÄN</t>
        </is>
      </c>
      <c r="E632" t="inlineStr">
        <is>
          <t>LJUSDAL</t>
        </is>
      </c>
      <c r="G632" t="n">
        <v>1.8</v>
      </c>
      <c r="H632" t="n">
        <v>0</v>
      </c>
      <c r="I632" t="n">
        <v>0</v>
      </c>
      <c r="J632" t="n">
        <v>0</v>
      </c>
      <c r="K632" t="n">
        <v>0</v>
      </c>
      <c r="L632" t="n">
        <v>0</v>
      </c>
      <c r="M632" t="n">
        <v>0</v>
      </c>
      <c r="N632" t="n">
        <v>0</v>
      </c>
      <c r="O632" t="n">
        <v>0</v>
      </c>
      <c r="P632" t="n">
        <v>0</v>
      </c>
      <c r="Q632" t="n">
        <v>0</v>
      </c>
      <c r="R632" s="2" t="inlineStr"/>
    </row>
    <row r="633" ht="15" customHeight="1">
      <c r="A633" t="inlineStr">
        <is>
          <t>A 27027-2025</t>
        </is>
      </c>
      <c r="B633" s="1" t="n">
        <v>45811.58193287037</v>
      </c>
      <c r="C633" s="1" t="n">
        <v>45992</v>
      </c>
      <c r="D633" t="inlineStr">
        <is>
          <t>GÄVLEBORGS LÄN</t>
        </is>
      </c>
      <c r="E633" t="inlineStr">
        <is>
          <t>LJUSDAL</t>
        </is>
      </c>
      <c r="F633" t="inlineStr">
        <is>
          <t>Holmen skog AB</t>
        </is>
      </c>
      <c r="G633" t="n">
        <v>27.2</v>
      </c>
      <c r="H633" t="n">
        <v>0</v>
      </c>
      <c r="I633" t="n">
        <v>0</v>
      </c>
      <c r="J633" t="n">
        <v>0</v>
      </c>
      <c r="K633" t="n">
        <v>0</v>
      </c>
      <c r="L633" t="n">
        <v>0</v>
      </c>
      <c r="M633" t="n">
        <v>0</v>
      </c>
      <c r="N633" t="n">
        <v>0</v>
      </c>
      <c r="O633" t="n">
        <v>0</v>
      </c>
      <c r="P633" t="n">
        <v>0</v>
      </c>
      <c r="Q633" t="n">
        <v>0</v>
      </c>
      <c r="R633" s="2" t="inlineStr"/>
    </row>
    <row r="634" ht="15" customHeight="1">
      <c r="A634" t="inlineStr">
        <is>
          <t>A 27086-2025</t>
        </is>
      </c>
      <c r="B634" s="1" t="n">
        <v>45811.66273148148</v>
      </c>
      <c r="C634" s="1" t="n">
        <v>45992</v>
      </c>
      <c r="D634" t="inlineStr">
        <is>
          <t>GÄVLEBORGS LÄN</t>
        </is>
      </c>
      <c r="E634" t="inlineStr">
        <is>
          <t>LJUSDAL</t>
        </is>
      </c>
      <c r="F634" t="inlineStr">
        <is>
          <t>Holmen skog AB</t>
        </is>
      </c>
      <c r="G634" t="n">
        <v>8.9</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45992</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39537-2025</t>
        </is>
      </c>
      <c r="B636" s="1" t="n">
        <v>45890.44887731481</v>
      </c>
      <c r="C636" s="1" t="n">
        <v>45992</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45992</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29812-2024</t>
        </is>
      </c>
      <c r="B638" s="1" t="n">
        <v>45485</v>
      </c>
      <c r="C638" s="1" t="n">
        <v>45992</v>
      </c>
      <c r="D638" t="inlineStr">
        <is>
          <t>GÄVLEBORGS LÄN</t>
        </is>
      </c>
      <c r="E638" t="inlineStr">
        <is>
          <t>LJUSDAL</t>
        </is>
      </c>
      <c r="F638" t="inlineStr">
        <is>
          <t>Allmännings- och besparingsskogar</t>
        </is>
      </c>
      <c r="G638" t="n">
        <v>10.3</v>
      </c>
      <c r="H638" t="n">
        <v>0</v>
      </c>
      <c r="I638" t="n">
        <v>0</v>
      </c>
      <c r="J638" t="n">
        <v>0</v>
      </c>
      <c r="K638" t="n">
        <v>0</v>
      </c>
      <c r="L638" t="n">
        <v>0</v>
      </c>
      <c r="M638" t="n">
        <v>0</v>
      </c>
      <c r="N638" t="n">
        <v>0</v>
      </c>
      <c r="O638" t="n">
        <v>0</v>
      </c>
      <c r="P638" t="n">
        <v>0</v>
      </c>
      <c r="Q638" t="n">
        <v>0</v>
      </c>
      <c r="R638" s="2" t="inlineStr"/>
    </row>
    <row r="639" ht="15" customHeight="1">
      <c r="A639" t="inlineStr">
        <is>
          <t>A 33297-2024</t>
        </is>
      </c>
      <c r="B639" s="1" t="n">
        <v>45518.93506944444</v>
      </c>
      <c r="C639" s="1" t="n">
        <v>45992</v>
      </c>
      <c r="D639" t="inlineStr">
        <is>
          <t>GÄVLEBORGS LÄN</t>
        </is>
      </c>
      <c r="E639" t="inlineStr">
        <is>
          <t>LJUSDAL</t>
        </is>
      </c>
      <c r="G639" t="n">
        <v>1.5</v>
      </c>
      <c r="H639" t="n">
        <v>0</v>
      </c>
      <c r="I639" t="n">
        <v>0</v>
      </c>
      <c r="J639" t="n">
        <v>0</v>
      </c>
      <c r="K639" t="n">
        <v>0</v>
      </c>
      <c r="L639" t="n">
        <v>0</v>
      </c>
      <c r="M639" t="n">
        <v>0</v>
      </c>
      <c r="N639" t="n">
        <v>0</v>
      </c>
      <c r="O639" t="n">
        <v>0</v>
      </c>
      <c r="P639" t="n">
        <v>0</v>
      </c>
      <c r="Q639" t="n">
        <v>0</v>
      </c>
      <c r="R639" s="2" t="inlineStr"/>
    </row>
    <row r="640" ht="15" customHeight="1">
      <c r="A640" t="inlineStr">
        <is>
          <t>A 29314-2024</t>
        </is>
      </c>
      <c r="B640" s="1" t="n">
        <v>45483.40184027778</v>
      </c>
      <c r="C640" s="1" t="n">
        <v>45992</v>
      </c>
      <c r="D640" t="inlineStr">
        <is>
          <t>GÄVLEBORGS LÄN</t>
        </is>
      </c>
      <c r="E640" t="inlineStr">
        <is>
          <t>LJUSDAL</t>
        </is>
      </c>
      <c r="G640" t="n">
        <v>4.4</v>
      </c>
      <c r="H640" t="n">
        <v>0</v>
      </c>
      <c r="I640" t="n">
        <v>0</v>
      </c>
      <c r="J640" t="n">
        <v>0</v>
      </c>
      <c r="K640" t="n">
        <v>0</v>
      </c>
      <c r="L640" t="n">
        <v>0</v>
      </c>
      <c r="M640" t="n">
        <v>0</v>
      </c>
      <c r="N640" t="n">
        <v>0</v>
      </c>
      <c r="O640" t="n">
        <v>0</v>
      </c>
      <c r="P640" t="n">
        <v>0</v>
      </c>
      <c r="Q640" t="n">
        <v>0</v>
      </c>
      <c r="R640" s="2" t="inlineStr"/>
    </row>
    <row r="641" ht="15" customHeight="1">
      <c r="A641" t="inlineStr">
        <is>
          <t>A 39551-2025</t>
        </is>
      </c>
      <c r="B641" s="1" t="n">
        <v>45890.4650925926</v>
      </c>
      <c r="C641" s="1" t="n">
        <v>45992</v>
      </c>
      <c r="D641" t="inlineStr">
        <is>
          <t>GÄVLEBORGS LÄN</t>
        </is>
      </c>
      <c r="E641" t="inlineStr">
        <is>
          <t>LJUSDAL</t>
        </is>
      </c>
      <c r="G641" t="n">
        <v>1.8</v>
      </c>
      <c r="H641" t="n">
        <v>0</v>
      </c>
      <c r="I641" t="n">
        <v>0</v>
      </c>
      <c r="J641" t="n">
        <v>0</v>
      </c>
      <c r="K641" t="n">
        <v>0</v>
      </c>
      <c r="L641" t="n">
        <v>0</v>
      </c>
      <c r="M641" t="n">
        <v>0</v>
      </c>
      <c r="N641" t="n">
        <v>0</v>
      </c>
      <c r="O641" t="n">
        <v>0</v>
      </c>
      <c r="P641" t="n">
        <v>0</v>
      </c>
      <c r="Q641" t="n">
        <v>0</v>
      </c>
      <c r="R641" s="2" t="inlineStr"/>
    </row>
    <row r="642" ht="15" customHeight="1">
      <c r="A642" t="inlineStr">
        <is>
          <t>A 24256-2025</t>
        </is>
      </c>
      <c r="B642" s="1" t="n">
        <v>45797.40541666667</v>
      </c>
      <c r="C642" s="1" t="n">
        <v>45992</v>
      </c>
      <c r="D642" t="inlineStr">
        <is>
          <t>GÄVLEBORGS LÄN</t>
        </is>
      </c>
      <c r="E642" t="inlineStr">
        <is>
          <t>LJUSDAL</t>
        </is>
      </c>
      <c r="G642" t="n">
        <v>14.9</v>
      </c>
      <c r="H642" t="n">
        <v>0</v>
      </c>
      <c r="I642" t="n">
        <v>0</v>
      </c>
      <c r="J642" t="n">
        <v>0</v>
      </c>
      <c r="K642" t="n">
        <v>0</v>
      </c>
      <c r="L642" t="n">
        <v>0</v>
      </c>
      <c r="M642" t="n">
        <v>0</v>
      </c>
      <c r="N642" t="n">
        <v>0</v>
      </c>
      <c r="O642" t="n">
        <v>0</v>
      </c>
      <c r="P642" t="n">
        <v>0</v>
      </c>
      <c r="Q642" t="n">
        <v>0</v>
      </c>
      <c r="R642" s="2" t="inlineStr"/>
    </row>
    <row r="643" ht="15" customHeight="1">
      <c r="A643" t="inlineStr">
        <is>
          <t>A 39695-2025</t>
        </is>
      </c>
      <c r="B643" s="1" t="n">
        <v>45890</v>
      </c>
      <c r="C643" s="1" t="n">
        <v>45992</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39621-2025</t>
        </is>
      </c>
      <c r="B644" s="1" t="n">
        <v>45890.5737962963</v>
      </c>
      <c r="C644" s="1" t="n">
        <v>45992</v>
      </c>
      <c r="D644" t="inlineStr">
        <is>
          <t>GÄVLEBORGS LÄN</t>
        </is>
      </c>
      <c r="E644" t="inlineStr">
        <is>
          <t>LJUSDAL</t>
        </is>
      </c>
      <c r="F644" t="inlineStr">
        <is>
          <t>SCA</t>
        </is>
      </c>
      <c r="G644" t="n">
        <v>8.4</v>
      </c>
      <c r="H644" t="n">
        <v>0</v>
      </c>
      <c r="I644" t="n">
        <v>0</v>
      </c>
      <c r="J644" t="n">
        <v>0</v>
      </c>
      <c r="K644" t="n">
        <v>0</v>
      </c>
      <c r="L644" t="n">
        <v>0</v>
      </c>
      <c r="M644" t="n">
        <v>0</v>
      </c>
      <c r="N644" t="n">
        <v>0</v>
      </c>
      <c r="O644" t="n">
        <v>0</v>
      </c>
      <c r="P644" t="n">
        <v>0</v>
      </c>
      <c r="Q644" t="n">
        <v>0</v>
      </c>
      <c r="R644" s="2" t="inlineStr"/>
    </row>
    <row r="645" ht="15" customHeight="1">
      <c r="A645" t="inlineStr">
        <is>
          <t>A 21194-2024</t>
        </is>
      </c>
      <c r="B645" s="1" t="n">
        <v>45440</v>
      </c>
      <c r="C645" s="1" t="n">
        <v>45992</v>
      </c>
      <c r="D645" t="inlineStr">
        <is>
          <t>GÄVLEBORGS LÄN</t>
        </is>
      </c>
      <c r="E645" t="inlineStr">
        <is>
          <t>LJUSDAL</t>
        </is>
      </c>
      <c r="G645" t="n">
        <v>2.1</v>
      </c>
      <c r="H645" t="n">
        <v>0</v>
      </c>
      <c r="I645" t="n">
        <v>0</v>
      </c>
      <c r="J645" t="n">
        <v>0</v>
      </c>
      <c r="K645" t="n">
        <v>0</v>
      </c>
      <c r="L645" t="n">
        <v>0</v>
      </c>
      <c r="M645" t="n">
        <v>0</v>
      </c>
      <c r="N645" t="n">
        <v>0</v>
      </c>
      <c r="O645" t="n">
        <v>0</v>
      </c>
      <c r="P645" t="n">
        <v>0</v>
      </c>
      <c r="Q645" t="n">
        <v>0</v>
      </c>
      <c r="R645" s="2" t="inlineStr"/>
    </row>
    <row r="646" ht="15" customHeight="1">
      <c r="A646" t="inlineStr">
        <is>
          <t>A 26819-2025</t>
        </is>
      </c>
      <c r="B646" s="1" t="n">
        <v>45810.63636574074</v>
      </c>
      <c r="C646" s="1" t="n">
        <v>45992</v>
      </c>
      <c r="D646" t="inlineStr">
        <is>
          <t>GÄVLEBORGS LÄN</t>
        </is>
      </c>
      <c r="E646" t="inlineStr">
        <is>
          <t>LJUSDAL</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39708-2025</t>
        </is>
      </c>
      <c r="B647" s="1" t="n">
        <v>45890.83747685186</v>
      </c>
      <c r="C647" s="1" t="n">
        <v>45992</v>
      </c>
      <c r="D647" t="inlineStr">
        <is>
          <t>GÄVLEBORGS LÄN</t>
        </is>
      </c>
      <c r="E647" t="inlineStr">
        <is>
          <t>LJUSDAL</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35683-2023</t>
        </is>
      </c>
      <c r="B648" s="1" t="n">
        <v>45147</v>
      </c>
      <c r="C648" s="1" t="n">
        <v>45992</v>
      </c>
      <c r="D648" t="inlineStr">
        <is>
          <t>GÄVLEBORGS LÄN</t>
        </is>
      </c>
      <c r="E648" t="inlineStr">
        <is>
          <t>LJUSDAL</t>
        </is>
      </c>
      <c r="G648" t="n">
        <v>2.9</v>
      </c>
      <c r="H648" t="n">
        <v>0</v>
      </c>
      <c r="I648" t="n">
        <v>0</v>
      </c>
      <c r="J648" t="n">
        <v>0</v>
      </c>
      <c r="K648" t="n">
        <v>0</v>
      </c>
      <c r="L648" t="n">
        <v>0</v>
      </c>
      <c r="M648" t="n">
        <v>0</v>
      </c>
      <c r="N648" t="n">
        <v>0</v>
      </c>
      <c r="O648" t="n">
        <v>0</v>
      </c>
      <c r="P648" t="n">
        <v>0</v>
      </c>
      <c r="Q648" t="n">
        <v>0</v>
      </c>
      <c r="R648" s="2" t="inlineStr"/>
    </row>
    <row r="649" ht="15" customHeight="1">
      <c r="A649" t="inlineStr">
        <is>
          <t>A 26816-2025</t>
        </is>
      </c>
      <c r="B649" s="1" t="n">
        <v>45810.63582175926</v>
      </c>
      <c r="C649" s="1" t="n">
        <v>45992</v>
      </c>
      <c r="D649" t="inlineStr">
        <is>
          <t>GÄVLEBORGS LÄN</t>
        </is>
      </c>
      <c r="E649" t="inlineStr">
        <is>
          <t>LJUSDAL</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40362-2025</t>
        </is>
      </c>
      <c r="B650" s="1" t="n">
        <v>45895.49094907408</v>
      </c>
      <c r="C650" s="1" t="n">
        <v>45992</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56355-2024</t>
        </is>
      </c>
      <c r="B651" s="1" t="n">
        <v>45624.9339699074</v>
      </c>
      <c r="C651" s="1" t="n">
        <v>45992</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43668-2024</t>
        </is>
      </c>
      <c r="B652" s="1" t="n">
        <v>45569.56300925926</v>
      </c>
      <c r="C652" s="1" t="n">
        <v>45992</v>
      </c>
      <c r="D652" t="inlineStr">
        <is>
          <t>GÄVLEBORGS LÄN</t>
        </is>
      </c>
      <c r="E652" t="inlineStr">
        <is>
          <t>LJUSDAL</t>
        </is>
      </c>
      <c r="G652" t="n">
        <v>2.2</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45992</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39665-2024</t>
        </is>
      </c>
      <c r="B654" s="1" t="n">
        <v>45552.51726851852</v>
      </c>
      <c r="C654" s="1" t="n">
        <v>45992</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40355-2025</t>
        </is>
      </c>
      <c r="B655" s="1" t="n">
        <v>45895.48716435185</v>
      </c>
      <c r="C655" s="1" t="n">
        <v>45992</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24838-2024</t>
        </is>
      </c>
      <c r="B656" s="1" t="n">
        <v>45461.40820601852</v>
      </c>
      <c r="C656" s="1" t="n">
        <v>45992</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7472-2022</t>
        </is>
      </c>
      <c r="B657" s="1" t="n">
        <v>44607.39039351852</v>
      </c>
      <c r="C657" s="1" t="n">
        <v>45992</v>
      </c>
      <c r="D657" t="inlineStr">
        <is>
          <t>GÄVLEBORGS LÄN</t>
        </is>
      </c>
      <c r="E657" t="inlineStr">
        <is>
          <t>LJUSDAL</t>
        </is>
      </c>
      <c r="F657" t="inlineStr">
        <is>
          <t>Holmen skog AB</t>
        </is>
      </c>
      <c r="G657" t="n">
        <v>7.3</v>
      </c>
      <c r="H657" t="n">
        <v>0</v>
      </c>
      <c r="I657" t="n">
        <v>0</v>
      </c>
      <c r="J657" t="n">
        <v>0</v>
      </c>
      <c r="K657" t="n">
        <v>0</v>
      </c>
      <c r="L657" t="n">
        <v>0</v>
      </c>
      <c r="M657" t="n">
        <v>0</v>
      </c>
      <c r="N657" t="n">
        <v>0</v>
      </c>
      <c r="O657" t="n">
        <v>0</v>
      </c>
      <c r="P657" t="n">
        <v>0</v>
      </c>
      <c r="Q657" t="n">
        <v>0</v>
      </c>
      <c r="R657" s="2" t="inlineStr"/>
    </row>
    <row r="658" ht="15" customHeight="1">
      <c r="A658" t="inlineStr">
        <is>
          <t>A 43423-2022</t>
        </is>
      </c>
      <c r="B658" s="1" t="n">
        <v>44834.94996527778</v>
      </c>
      <c r="C658" s="1" t="n">
        <v>45992</v>
      </c>
      <c r="D658" t="inlineStr">
        <is>
          <t>GÄVLEBORGS LÄN</t>
        </is>
      </c>
      <c r="E658" t="inlineStr">
        <is>
          <t>LJUSDAL</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42732-2023</t>
        </is>
      </c>
      <c r="B659" s="1" t="n">
        <v>45181</v>
      </c>
      <c r="C659" s="1" t="n">
        <v>45992</v>
      </c>
      <c r="D659" t="inlineStr">
        <is>
          <t>GÄVLEBORGS LÄN</t>
        </is>
      </c>
      <c r="E659" t="inlineStr">
        <is>
          <t>LJUSDAL</t>
        </is>
      </c>
      <c r="F659" t="inlineStr">
        <is>
          <t>Kommuner</t>
        </is>
      </c>
      <c r="G659" t="n">
        <v>1.8</v>
      </c>
      <c r="H659" t="n">
        <v>0</v>
      </c>
      <c r="I659" t="n">
        <v>0</v>
      </c>
      <c r="J659" t="n">
        <v>0</v>
      </c>
      <c r="K659" t="n">
        <v>0</v>
      </c>
      <c r="L659" t="n">
        <v>0</v>
      </c>
      <c r="M659" t="n">
        <v>0</v>
      </c>
      <c r="N659" t="n">
        <v>0</v>
      </c>
      <c r="O659" t="n">
        <v>0</v>
      </c>
      <c r="P659" t="n">
        <v>0</v>
      </c>
      <c r="Q659" t="n">
        <v>0</v>
      </c>
      <c r="R659" s="2" t="inlineStr"/>
    </row>
    <row r="660" ht="15" customHeight="1">
      <c r="A660" t="inlineStr">
        <is>
          <t>A 20023-2025</t>
        </is>
      </c>
      <c r="B660" s="1" t="n">
        <v>45772.34421296296</v>
      </c>
      <c r="C660" s="1" t="n">
        <v>45992</v>
      </c>
      <c r="D660" t="inlineStr">
        <is>
          <t>GÄVLEBORGS LÄN</t>
        </is>
      </c>
      <c r="E660" t="inlineStr">
        <is>
          <t>LJUSDAL</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26999-2025</t>
        </is>
      </c>
      <c r="B661" s="1" t="n">
        <v>45811.54422453704</v>
      </c>
      <c r="C661" s="1" t="n">
        <v>45992</v>
      </c>
      <c r="D661" t="inlineStr">
        <is>
          <t>GÄVLEBORGS LÄN</t>
        </is>
      </c>
      <c r="E661" t="inlineStr">
        <is>
          <t>LJUSDAL</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18008-2025</t>
        </is>
      </c>
      <c r="B662" s="1" t="n">
        <v>45761.42759259259</v>
      </c>
      <c r="C662" s="1" t="n">
        <v>45992</v>
      </c>
      <c r="D662" t="inlineStr">
        <is>
          <t>GÄVLEBORGS LÄN</t>
        </is>
      </c>
      <c r="E662" t="inlineStr">
        <is>
          <t>LJUSDAL</t>
        </is>
      </c>
      <c r="G662" t="n">
        <v>4.5</v>
      </c>
      <c r="H662" t="n">
        <v>0</v>
      </c>
      <c r="I662" t="n">
        <v>0</v>
      </c>
      <c r="J662" t="n">
        <v>0</v>
      </c>
      <c r="K662" t="n">
        <v>0</v>
      </c>
      <c r="L662" t="n">
        <v>0</v>
      </c>
      <c r="M662" t="n">
        <v>0</v>
      </c>
      <c r="N662" t="n">
        <v>0</v>
      </c>
      <c r="O662" t="n">
        <v>0</v>
      </c>
      <c r="P662" t="n">
        <v>0</v>
      </c>
      <c r="Q662" t="n">
        <v>0</v>
      </c>
      <c r="R662" s="2" t="inlineStr"/>
    </row>
    <row r="663" ht="15" customHeight="1">
      <c r="A663" t="inlineStr">
        <is>
          <t>A 27409-2025</t>
        </is>
      </c>
      <c r="B663" s="1" t="n">
        <v>45812.74663194444</v>
      </c>
      <c r="C663" s="1" t="n">
        <v>45992</v>
      </c>
      <c r="D663" t="inlineStr">
        <is>
          <t>GÄVLEBORGS LÄN</t>
        </is>
      </c>
      <c r="E663" t="inlineStr">
        <is>
          <t>LJUSDAL</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23928-2024</t>
        </is>
      </c>
      <c r="B664" s="1" t="n">
        <v>45455.93178240741</v>
      </c>
      <c r="C664" s="1" t="n">
        <v>45992</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27200-2025</t>
        </is>
      </c>
      <c r="B665" s="1" t="n">
        <v>45812.3918287037</v>
      </c>
      <c r="C665" s="1" t="n">
        <v>45992</v>
      </c>
      <c r="D665" t="inlineStr">
        <is>
          <t>GÄVLEBORGS LÄN</t>
        </is>
      </c>
      <c r="E665" t="inlineStr">
        <is>
          <t>LJUSDAL</t>
        </is>
      </c>
      <c r="G665" t="n">
        <v>7.7</v>
      </c>
      <c r="H665" t="n">
        <v>0</v>
      </c>
      <c r="I665" t="n">
        <v>0</v>
      </c>
      <c r="J665" t="n">
        <v>0</v>
      </c>
      <c r="K665" t="n">
        <v>0</v>
      </c>
      <c r="L665" t="n">
        <v>0</v>
      </c>
      <c r="M665" t="n">
        <v>0</v>
      </c>
      <c r="N665" t="n">
        <v>0</v>
      </c>
      <c r="O665" t="n">
        <v>0</v>
      </c>
      <c r="P665" t="n">
        <v>0</v>
      </c>
      <c r="Q665" t="n">
        <v>0</v>
      </c>
      <c r="R665" s="2" t="inlineStr"/>
    </row>
    <row r="666" ht="15" customHeight="1">
      <c r="A666" t="inlineStr">
        <is>
          <t>A 40790-2025</t>
        </is>
      </c>
      <c r="B666" s="1" t="n">
        <v>45897.44836805556</v>
      </c>
      <c r="C666" s="1" t="n">
        <v>45992</v>
      </c>
      <c r="D666" t="inlineStr">
        <is>
          <t>GÄVLEBORGS LÄN</t>
        </is>
      </c>
      <c r="E666" t="inlineStr">
        <is>
          <t>LJUSDAL</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49527-2025</t>
        </is>
      </c>
      <c r="B667" s="1" t="n">
        <v>45939.40607638889</v>
      </c>
      <c r="C667" s="1" t="n">
        <v>45992</v>
      </c>
      <c r="D667" t="inlineStr">
        <is>
          <t>GÄVLEBORGS LÄN</t>
        </is>
      </c>
      <c r="E667" t="inlineStr">
        <is>
          <t>LJUSDAL</t>
        </is>
      </c>
      <c r="G667" t="n">
        <v>2.3</v>
      </c>
      <c r="H667" t="n">
        <v>0</v>
      </c>
      <c r="I667" t="n">
        <v>0</v>
      </c>
      <c r="J667" t="n">
        <v>0</v>
      </c>
      <c r="K667" t="n">
        <v>0</v>
      </c>
      <c r="L667" t="n">
        <v>0</v>
      </c>
      <c r="M667" t="n">
        <v>0</v>
      </c>
      <c r="N667" t="n">
        <v>0</v>
      </c>
      <c r="O667" t="n">
        <v>0</v>
      </c>
      <c r="P667" t="n">
        <v>0</v>
      </c>
      <c r="Q667" t="n">
        <v>0</v>
      </c>
      <c r="R667" s="2" t="inlineStr"/>
    </row>
    <row r="668" ht="15" customHeight="1">
      <c r="A668" t="inlineStr">
        <is>
          <t>A 27241-2025</t>
        </is>
      </c>
      <c r="B668" s="1" t="n">
        <v>45812.45516203704</v>
      </c>
      <c r="C668" s="1" t="n">
        <v>45992</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40689-2025</t>
        </is>
      </c>
      <c r="B669" s="1" t="n">
        <v>45896.92719907407</v>
      </c>
      <c r="C669" s="1" t="n">
        <v>45992</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40747-2025</t>
        </is>
      </c>
      <c r="B670" s="1" t="n">
        <v>45897.37946759259</v>
      </c>
      <c r="C670" s="1" t="n">
        <v>45992</v>
      </c>
      <c r="D670" t="inlineStr">
        <is>
          <t>GÄVLEBORGS LÄN</t>
        </is>
      </c>
      <c r="E670" t="inlineStr">
        <is>
          <t>LJUSDAL</t>
        </is>
      </c>
      <c r="F670" t="inlineStr">
        <is>
          <t>Kommuner</t>
        </is>
      </c>
      <c r="G670" t="n">
        <v>4.1</v>
      </c>
      <c r="H670" t="n">
        <v>0</v>
      </c>
      <c r="I670" t="n">
        <v>0</v>
      </c>
      <c r="J670" t="n">
        <v>0</v>
      </c>
      <c r="K670" t="n">
        <v>0</v>
      </c>
      <c r="L670" t="n">
        <v>0</v>
      </c>
      <c r="M670" t="n">
        <v>0</v>
      </c>
      <c r="N670" t="n">
        <v>0</v>
      </c>
      <c r="O670" t="n">
        <v>0</v>
      </c>
      <c r="P670" t="n">
        <v>0</v>
      </c>
      <c r="Q670" t="n">
        <v>0</v>
      </c>
      <c r="R670" s="2" t="inlineStr"/>
    </row>
    <row r="671" ht="15" customHeight="1">
      <c r="A671" t="inlineStr">
        <is>
          <t>A 27376-2025</t>
        </is>
      </c>
      <c r="B671" s="1" t="n">
        <v>45812.65765046296</v>
      </c>
      <c r="C671" s="1" t="n">
        <v>45992</v>
      </c>
      <c r="D671" t="inlineStr">
        <is>
          <t>GÄVLEBORGS LÄN</t>
        </is>
      </c>
      <c r="E671" t="inlineStr">
        <is>
          <t>LJUSDAL</t>
        </is>
      </c>
      <c r="G671" t="n">
        <v>6.1</v>
      </c>
      <c r="H671" t="n">
        <v>0</v>
      </c>
      <c r="I671" t="n">
        <v>0</v>
      </c>
      <c r="J671" t="n">
        <v>0</v>
      </c>
      <c r="K671" t="n">
        <v>0</v>
      </c>
      <c r="L671" t="n">
        <v>0</v>
      </c>
      <c r="M671" t="n">
        <v>0</v>
      </c>
      <c r="N671" t="n">
        <v>0</v>
      </c>
      <c r="O671" t="n">
        <v>0</v>
      </c>
      <c r="P671" t="n">
        <v>0</v>
      </c>
      <c r="Q671" t="n">
        <v>0</v>
      </c>
      <c r="R671" s="2" t="inlineStr"/>
    </row>
    <row r="672" ht="15" customHeight="1">
      <c r="A672" t="inlineStr">
        <is>
          <t>A 27443-2025</t>
        </is>
      </c>
      <c r="B672" s="1" t="n">
        <v>45813.3215625</v>
      </c>
      <c r="C672" s="1" t="n">
        <v>45992</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45703-2023</t>
        </is>
      </c>
      <c r="B673" s="1" t="n">
        <v>45195</v>
      </c>
      <c r="C673" s="1" t="n">
        <v>45992</v>
      </c>
      <c r="D673" t="inlineStr">
        <is>
          <t>GÄVLEBORGS LÄN</t>
        </is>
      </c>
      <c r="E673" t="inlineStr">
        <is>
          <t>LJUSDAL</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27373-2025</t>
        </is>
      </c>
      <c r="B674" s="1" t="n">
        <v>45812.65377314815</v>
      </c>
      <c r="C674" s="1" t="n">
        <v>45992</v>
      </c>
      <c r="D674" t="inlineStr">
        <is>
          <t>GÄVLEBORGS LÄN</t>
        </is>
      </c>
      <c r="E674" t="inlineStr">
        <is>
          <t>LJUSDAL</t>
        </is>
      </c>
      <c r="G674" t="n">
        <v>8.9</v>
      </c>
      <c r="H674" t="n">
        <v>0</v>
      </c>
      <c r="I674" t="n">
        <v>0</v>
      </c>
      <c r="J674" t="n">
        <v>0</v>
      </c>
      <c r="K674" t="n">
        <v>0</v>
      </c>
      <c r="L674" t="n">
        <v>0</v>
      </c>
      <c r="M674" t="n">
        <v>0</v>
      </c>
      <c r="N674" t="n">
        <v>0</v>
      </c>
      <c r="O674" t="n">
        <v>0</v>
      </c>
      <c r="P674" t="n">
        <v>0</v>
      </c>
      <c r="Q674" t="n">
        <v>0</v>
      </c>
      <c r="R674" s="2" t="inlineStr"/>
    </row>
    <row r="675" ht="15" customHeight="1">
      <c r="A675" t="inlineStr">
        <is>
          <t>A 27408-2025</t>
        </is>
      </c>
      <c r="B675" s="1" t="n">
        <v>45812.74564814815</v>
      </c>
      <c r="C675" s="1" t="n">
        <v>45992</v>
      </c>
      <c r="D675" t="inlineStr">
        <is>
          <t>GÄVLEBORGS LÄN</t>
        </is>
      </c>
      <c r="E675" t="inlineStr">
        <is>
          <t>LJUSDAL</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27410-2025</t>
        </is>
      </c>
      <c r="B676" s="1" t="n">
        <v>45812.74857638889</v>
      </c>
      <c r="C676" s="1" t="n">
        <v>45992</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45992</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45992</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27599-2025</t>
        </is>
      </c>
      <c r="B679" s="1" t="n">
        <v>45813.52609953703</v>
      </c>
      <c r="C679" s="1" t="n">
        <v>45992</v>
      </c>
      <c r="D679" t="inlineStr">
        <is>
          <t>GÄVLEBORGS LÄN</t>
        </is>
      </c>
      <c r="E679" t="inlineStr">
        <is>
          <t>LJUSDAL</t>
        </is>
      </c>
      <c r="G679" t="n">
        <v>4</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45992</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45992</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40503-2025</t>
        </is>
      </c>
      <c r="B682" s="1" t="n">
        <v>45896.33780092592</v>
      </c>
      <c r="C682" s="1" t="n">
        <v>45992</v>
      </c>
      <c r="D682" t="inlineStr">
        <is>
          <t>GÄVLEBORGS LÄN</t>
        </is>
      </c>
      <c r="E682" t="inlineStr">
        <is>
          <t>LJUSDAL</t>
        </is>
      </c>
      <c r="G682" t="n">
        <v>13.6</v>
      </c>
      <c r="H682" t="n">
        <v>0</v>
      </c>
      <c r="I682" t="n">
        <v>0</v>
      </c>
      <c r="J682" t="n">
        <v>0</v>
      </c>
      <c r="K682" t="n">
        <v>0</v>
      </c>
      <c r="L682" t="n">
        <v>0</v>
      </c>
      <c r="M682" t="n">
        <v>0</v>
      </c>
      <c r="N682" t="n">
        <v>0</v>
      </c>
      <c r="O682" t="n">
        <v>0</v>
      </c>
      <c r="P682" t="n">
        <v>0</v>
      </c>
      <c r="Q682" t="n">
        <v>0</v>
      </c>
      <c r="R682" s="2" t="inlineStr"/>
    </row>
    <row r="683" ht="15" customHeight="1">
      <c r="A683" t="inlineStr">
        <is>
          <t>A 27305-2025</t>
        </is>
      </c>
      <c r="B683" s="1" t="n">
        <v>45812.57285879629</v>
      </c>
      <c r="C683" s="1" t="n">
        <v>45992</v>
      </c>
      <c r="D683" t="inlineStr">
        <is>
          <t>GÄVLEBORGS LÄN</t>
        </is>
      </c>
      <c r="E683" t="inlineStr">
        <is>
          <t>LJUSDAL</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40510-2025</t>
        </is>
      </c>
      <c r="B684" s="1" t="n">
        <v>45896.34497685185</v>
      </c>
      <c r="C684" s="1" t="n">
        <v>45992</v>
      </c>
      <c r="D684" t="inlineStr">
        <is>
          <t>GÄVLEBORGS LÄN</t>
        </is>
      </c>
      <c r="E684" t="inlineStr">
        <is>
          <t>LJUSDAL</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40512-2025</t>
        </is>
      </c>
      <c r="B685" s="1" t="n">
        <v>45896.3477662037</v>
      </c>
      <c r="C685" s="1" t="n">
        <v>45992</v>
      </c>
      <c r="D685" t="inlineStr">
        <is>
          <t>GÄVLEBORGS LÄN</t>
        </is>
      </c>
      <c r="E685" t="inlineStr">
        <is>
          <t>LJUSDAL</t>
        </is>
      </c>
      <c r="G685" t="n">
        <v>26.4</v>
      </c>
      <c r="H685" t="n">
        <v>0</v>
      </c>
      <c r="I685" t="n">
        <v>0</v>
      </c>
      <c r="J685" t="n">
        <v>0</v>
      </c>
      <c r="K685" t="n">
        <v>0</v>
      </c>
      <c r="L685" t="n">
        <v>0</v>
      </c>
      <c r="M685" t="n">
        <v>0</v>
      </c>
      <c r="N685" t="n">
        <v>0</v>
      </c>
      <c r="O685" t="n">
        <v>0</v>
      </c>
      <c r="P685" t="n">
        <v>0</v>
      </c>
      <c r="Q685" t="n">
        <v>0</v>
      </c>
      <c r="R685" s="2" t="inlineStr"/>
    </row>
    <row r="686" ht="15" customHeight="1">
      <c r="A686" t="inlineStr">
        <is>
          <t>A 58598-2024</t>
        </is>
      </c>
      <c r="B686" s="1" t="n">
        <v>45635.54087962963</v>
      </c>
      <c r="C686" s="1" t="n">
        <v>45992</v>
      </c>
      <c r="D686" t="inlineStr">
        <is>
          <t>GÄVLEBORGS LÄN</t>
        </is>
      </c>
      <c r="E686" t="inlineStr">
        <is>
          <t>LJUSDAL</t>
        </is>
      </c>
      <c r="F686" t="inlineStr">
        <is>
          <t>Allmännings- och besparingsskogar</t>
        </is>
      </c>
      <c r="G686" t="n">
        <v>0.5</v>
      </c>
      <c r="H686" t="n">
        <v>0</v>
      </c>
      <c r="I686" t="n">
        <v>0</v>
      </c>
      <c r="J686" t="n">
        <v>0</v>
      </c>
      <c r="K686" t="n">
        <v>0</v>
      </c>
      <c r="L686" t="n">
        <v>0</v>
      </c>
      <c r="M686" t="n">
        <v>0</v>
      </c>
      <c r="N686" t="n">
        <v>0</v>
      </c>
      <c r="O686" t="n">
        <v>0</v>
      </c>
      <c r="P686" t="n">
        <v>0</v>
      </c>
      <c r="Q686" t="n">
        <v>0</v>
      </c>
      <c r="R686" s="2" t="inlineStr"/>
    </row>
    <row r="687" ht="15" customHeight="1">
      <c r="A687" t="inlineStr">
        <is>
          <t>A 33052-2024</t>
        </is>
      </c>
      <c r="B687" s="1" t="n">
        <v>45517.63001157407</v>
      </c>
      <c r="C687" s="1" t="n">
        <v>45992</v>
      </c>
      <c r="D687" t="inlineStr">
        <is>
          <t>GÄVLEBORGS LÄN</t>
        </is>
      </c>
      <c r="E687" t="inlineStr">
        <is>
          <t>LJUSDAL</t>
        </is>
      </c>
      <c r="F687" t="inlineStr">
        <is>
          <t>Allmännings- och besparingsskogar</t>
        </is>
      </c>
      <c r="G687" t="n">
        <v>1.9</v>
      </c>
      <c r="H687" t="n">
        <v>0</v>
      </c>
      <c r="I687" t="n">
        <v>0</v>
      </c>
      <c r="J687" t="n">
        <v>0</v>
      </c>
      <c r="K687" t="n">
        <v>0</v>
      </c>
      <c r="L687" t="n">
        <v>0</v>
      </c>
      <c r="M687" t="n">
        <v>0</v>
      </c>
      <c r="N687" t="n">
        <v>0</v>
      </c>
      <c r="O687" t="n">
        <v>0</v>
      </c>
      <c r="P687" t="n">
        <v>0</v>
      </c>
      <c r="Q687" t="n">
        <v>0</v>
      </c>
      <c r="R687" s="2" t="inlineStr"/>
    </row>
    <row r="688" ht="15" customHeight="1">
      <c r="A688" t="inlineStr">
        <is>
          <t>A 36214-2025</t>
        </is>
      </c>
      <c r="B688" s="1" t="n">
        <v>45867</v>
      </c>
      <c r="C688" s="1" t="n">
        <v>45992</v>
      </c>
      <c r="D688" t="inlineStr">
        <is>
          <t>GÄVLEBORGS LÄN</t>
        </is>
      </c>
      <c r="E688" t="inlineStr">
        <is>
          <t>LJUSDAL</t>
        </is>
      </c>
      <c r="G688" t="n">
        <v>2.4</v>
      </c>
      <c r="H688" t="n">
        <v>0</v>
      </c>
      <c r="I688" t="n">
        <v>0</v>
      </c>
      <c r="J688" t="n">
        <v>0</v>
      </c>
      <c r="K688" t="n">
        <v>0</v>
      </c>
      <c r="L688" t="n">
        <v>0</v>
      </c>
      <c r="M688" t="n">
        <v>0</v>
      </c>
      <c r="N688" t="n">
        <v>0</v>
      </c>
      <c r="O688" t="n">
        <v>0</v>
      </c>
      <c r="P688" t="n">
        <v>0</v>
      </c>
      <c r="Q688" t="n">
        <v>0</v>
      </c>
      <c r="R688" s="2" t="inlineStr"/>
    </row>
    <row r="689" ht="15" customHeight="1">
      <c r="A689" t="inlineStr">
        <is>
          <t>A 27186-2025</t>
        </is>
      </c>
      <c r="B689" s="1" t="n">
        <v>45812.36540509259</v>
      </c>
      <c r="C689" s="1" t="n">
        <v>45992</v>
      </c>
      <c r="D689" t="inlineStr">
        <is>
          <t>GÄVLEBORGS LÄN</t>
        </is>
      </c>
      <c r="E689" t="inlineStr">
        <is>
          <t>LJUSDAL</t>
        </is>
      </c>
      <c r="F689" t="inlineStr">
        <is>
          <t>Holmen skog AB</t>
        </is>
      </c>
      <c r="G689" t="n">
        <v>3.5</v>
      </c>
      <c r="H689" t="n">
        <v>0</v>
      </c>
      <c r="I689" t="n">
        <v>0</v>
      </c>
      <c r="J689" t="n">
        <v>0</v>
      </c>
      <c r="K689" t="n">
        <v>0</v>
      </c>
      <c r="L689" t="n">
        <v>0</v>
      </c>
      <c r="M689" t="n">
        <v>0</v>
      </c>
      <c r="N689" t="n">
        <v>0</v>
      </c>
      <c r="O689" t="n">
        <v>0</v>
      </c>
      <c r="P689" t="n">
        <v>0</v>
      </c>
      <c r="Q689" t="n">
        <v>0</v>
      </c>
      <c r="R689" s="2" t="inlineStr"/>
    </row>
    <row r="690" ht="15" customHeight="1">
      <c r="A690" t="inlineStr">
        <is>
          <t>A 27839-2025</t>
        </is>
      </c>
      <c r="B690" s="1" t="n">
        <v>45817.37427083333</v>
      </c>
      <c r="C690" s="1" t="n">
        <v>45992</v>
      </c>
      <c r="D690" t="inlineStr">
        <is>
          <t>GÄVLEBORGS LÄN</t>
        </is>
      </c>
      <c r="E690" t="inlineStr">
        <is>
          <t>LJUSDAL</t>
        </is>
      </c>
      <c r="F690" t="inlineStr">
        <is>
          <t>Holmen skog AB</t>
        </is>
      </c>
      <c r="G690" t="n">
        <v>20.9</v>
      </c>
      <c r="H690" t="n">
        <v>0</v>
      </c>
      <c r="I690" t="n">
        <v>0</v>
      </c>
      <c r="J690" t="n">
        <v>0</v>
      </c>
      <c r="K690" t="n">
        <v>0</v>
      </c>
      <c r="L690" t="n">
        <v>0</v>
      </c>
      <c r="M690" t="n">
        <v>0</v>
      </c>
      <c r="N690" t="n">
        <v>0</v>
      </c>
      <c r="O690" t="n">
        <v>0</v>
      </c>
      <c r="P690" t="n">
        <v>0</v>
      </c>
      <c r="Q690" t="n">
        <v>0</v>
      </c>
      <c r="R690" s="2" t="inlineStr"/>
    </row>
    <row r="691" ht="15" customHeight="1">
      <c r="A691" t="inlineStr">
        <is>
          <t>A 48848-2024</t>
        </is>
      </c>
      <c r="B691" s="1" t="n">
        <v>45593.8021875</v>
      </c>
      <c r="C691" s="1" t="n">
        <v>45992</v>
      </c>
      <c r="D691" t="inlineStr">
        <is>
          <t>GÄVLEBORGS LÄN</t>
        </is>
      </c>
      <c r="E691" t="inlineStr">
        <is>
          <t>LJUSDAL</t>
        </is>
      </c>
      <c r="F691" t="inlineStr">
        <is>
          <t>Bergvik skog väst AB</t>
        </is>
      </c>
      <c r="G691" t="n">
        <v>5.4</v>
      </c>
      <c r="H691" t="n">
        <v>0</v>
      </c>
      <c r="I691" t="n">
        <v>0</v>
      </c>
      <c r="J691" t="n">
        <v>0</v>
      </c>
      <c r="K691" t="n">
        <v>0</v>
      </c>
      <c r="L691" t="n">
        <v>0</v>
      </c>
      <c r="M691" t="n">
        <v>0</v>
      </c>
      <c r="N691" t="n">
        <v>0</v>
      </c>
      <c r="O691" t="n">
        <v>0</v>
      </c>
      <c r="P691" t="n">
        <v>0</v>
      </c>
      <c r="Q691" t="n">
        <v>0</v>
      </c>
      <c r="R691" s="2" t="inlineStr"/>
    </row>
    <row r="692" ht="15" customHeight="1">
      <c r="A692" t="inlineStr">
        <is>
          <t>A 27905-2025</t>
        </is>
      </c>
      <c r="B692" s="1" t="n">
        <v>45817.46819444445</v>
      </c>
      <c r="C692" s="1" t="n">
        <v>45992</v>
      </c>
      <c r="D692" t="inlineStr">
        <is>
          <t>GÄVLEBORGS LÄN</t>
        </is>
      </c>
      <c r="E692" t="inlineStr">
        <is>
          <t>LJUSDAL</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27916-2025</t>
        </is>
      </c>
      <c r="B693" s="1" t="n">
        <v>45817.48046296297</v>
      </c>
      <c r="C693" s="1" t="n">
        <v>45992</v>
      </c>
      <c r="D693" t="inlineStr">
        <is>
          <t>GÄVLEBORGS LÄN</t>
        </is>
      </c>
      <c r="E693" t="inlineStr">
        <is>
          <t>LJUSDAL</t>
        </is>
      </c>
      <c r="G693" t="n">
        <v>1.9</v>
      </c>
      <c r="H693" t="n">
        <v>0</v>
      </c>
      <c r="I693" t="n">
        <v>0</v>
      </c>
      <c r="J693" t="n">
        <v>0</v>
      </c>
      <c r="K693" t="n">
        <v>0</v>
      </c>
      <c r="L693" t="n">
        <v>0</v>
      </c>
      <c r="M693" t="n">
        <v>0</v>
      </c>
      <c r="N693" t="n">
        <v>0</v>
      </c>
      <c r="O693" t="n">
        <v>0</v>
      </c>
      <c r="P693" t="n">
        <v>0</v>
      </c>
      <c r="Q693" t="n">
        <v>0</v>
      </c>
      <c r="R693" s="2" t="inlineStr"/>
    </row>
    <row r="694" ht="15" customHeight="1">
      <c r="A694" t="inlineStr">
        <is>
          <t>A 27928-2025</t>
        </is>
      </c>
      <c r="B694" s="1" t="n">
        <v>45817.49019675926</v>
      </c>
      <c r="C694" s="1" t="n">
        <v>45992</v>
      </c>
      <c r="D694" t="inlineStr">
        <is>
          <t>GÄVLEBORGS LÄN</t>
        </is>
      </c>
      <c r="E694" t="inlineStr">
        <is>
          <t>LJUSDAL</t>
        </is>
      </c>
      <c r="G694" t="n">
        <v>2.6</v>
      </c>
      <c r="H694" t="n">
        <v>0</v>
      </c>
      <c r="I694" t="n">
        <v>0</v>
      </c>
      <c r="J694" t="n">
        <v>0</v>
      </c>
      <c r="K694" t="n">
        <v>0</v>
      </c>
      <c r="L694" t="n">
        <v>0</v>
      </c>
      <c r="M694" t="n">
        <v>0</v>
      </c>
      <c r="N694" t="n">
        <v>0</v>
      </c>
      <c r="O694" t="n">
        <v>0</v>
      </c>
      <c r="P694" t="n">
        <v>0</v>
      </c>
      <c r="Q694" t="n">
        <v>0</v>
      </c>
      <c r="R694" s="2" t="inlineStr"/>
    </row>
    <row r="695" ht="15" customHeight="1">
      <c r="A695" t="inlineStr">
        <is>
          <t>A 64018-2023</t>
        </is>
      </c>
      <c r="B695" s="1" t="n">
        <v>45278.9264699074</v>
      </c>
      <c r="C695" s="1" t="n">
        <v>45992</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41994-2024</t>
        </is>
      </c>
      <c r="B696" s="1" t="n">
        <v>45561.64641203704</v>
      </c>
      <c r="C696" s="1" t="n">
        <v>45992</v>
      </c>
      <c r="D696" t="inlineStr">
        <is>
          <t>GÄVLEBORGS LÄN</t>
        </is>
      </c>
      <c r="E696" t="inlineStr">
        <is>
          <t>LJUSDAL</t>
        </is>
      </c>
      <c r="G696" t="n">
        <v>0.4</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45992</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41084-2025</t>
        </is>
      </c>
      <c r="B698" s="1" t="n">
        <v>45898.43175925926</v>
      </c>
      <c r="C698" s="1" t="n">
        <v>45992</v>
      </c>
      <c r="D698" t="inlineStr">
        <is>
          <t>GÄVLEBORGS LÄN</t>
        </is>
      </c>
      <c r="E698" t="inlineStr">
        <is>
          <t>LJUSDAL</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27723-2024</t>
        </is>
      </c>
      <c r="B699" s="1" t="n">
        <v>45475.4027662037</v>
      </c>
      <c r="C699" s="1" t="n">
        <v>45992</v>
      </c>
      <c r="D699" t="inlineStr">
        <is>
          <t>GÄVLEBORGS LÄN</t>
        </is>
      </c>
      <c r="E699" t="inlineStr">
        <is>
          <t>LJUSDAL</t>
        </is>
      </c>
      <c r="G699" t="n">
        <v>3.7</v>
      </c>
      <c r="H699" t="n">
        <v>0</v>
      </c>
      <c r="I699" t="n">
        <v>0</v>
      </c>
      <c r="J699" t="n">
        <v>0</v>
      </c>
      <c r="K699" t="n">
        <v>0</v>
      </c>
      <c r="L699" t="n">
        <v>0</v>
      </c>
      <c r="M699" t="n">
        <v>0</v>
      </c>
      <c r="N699" t="n">
        <v>0</v>
      </c>
      <c r="O699" t="n">
        <v>0</v>
      </c>
      <c r="P699" t="n">
        <v>0</v>
      </c>
      <c r="Q699" t="n">
        <v>0</v>
      </c>
      <c r="R699" s="2" t="inlineStr"/>
    </row>
    <row r="700" ht="15" customHeight="1">
      <c r="A700" t="inlineStr">
        <is>
          <t>A 41086-2025</t>
        </is>
      </c>
      <c r="B700" s="1" t="n">
        <v>45898.4344212963</v>
      </c>
      <c r="C700" s="1" t="n">
        <v>45992</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27817-2025</t>
        </is>
      </c>
      <c r="B701" s="1" t="n">
        <v>45817.33469907408</v>
      </c>
      <c r="C701" s="1" t="n">
        <v>45992</v>
      </c>
      <c r="D701" t="inlineStr">
        <is>
          <t>GÄVLEBORGS LÄN</t>
        </is>
      </c>
      <c r="E701" t="inlineStr">
        <is>
          <t>LJUSDAL</t>
        </is>
      </c>
      <c r="G701" t="n">
        <v>8.9</v>
      </c>
      <c r="H701" t="n">
        <v>0</v>
      </c>
      <c r="I701" t="n">
        <v>0</v>
      </c>
      <c r="J701" t="n">
        <v>0</v>
      </c>
      <c r="K701" t="n">
        <v>0</v>
      </c>
      <c r="L701" t="n">
        <v>0</v>
      </c>
      <c r="M701" t="n">
        <v>0</v>
      </c>
      <c r="N701" t="n">
        <v>0</v>
      </c>
      <c r="O701" t="n">
        <v>0</v>
      </c>
      <c r="P701" t="n">
        <v>0</v>
      </c>
      <c r="Q701" t="n">
        <v>0</v>
      </c>
      <c r="R701" s="2" t="inlineStr"/>
    </row>
    <row r="702" ht="15" customHeight="1">
      <c r="A702" t="inlineStr">
        <is>
          <t>A 27932-2025</t>
        </is>
      </c>
      <c r="B702" s="1" t="n">
        <v>45817.49524305556</v>
      </c>
      <c r="C702" s="1" t="n">
        <v>45992</v>
      </c>
      <c r="D702" t="inlineStr">
        <is>
          <t>GÄVLEBORGS LÄN</t>
        </is>
      </c>
      <c r="E702" t="inlineStr">
        <is>
          <t>LJUSDAL</t>
        </is>
      </c>
      <c r="F702" t="inlineStr">
        <is>
          <t>Holmen skog AB</t>
        </is>
      </c>
      <c r="G702" t="n">
        <v>18.2</v>
      </c>
      <c r="H702" t="n">
        <v>0</v>
      </c>
      <c r="I702" t="n">
        <v>0</v>
      </c>
      <c r="J702" t="n">
        <v>0</v>
      </c>
      <c r="K702" t="n">
        <v>0</v>
      </c>
      <c r="L702" t="n">
        <v>0</v>
      </c>
      <c r="M702" t="n">
        <v>0</v>
      </c>
      <c r="N702" t="n">
        <v>0</v>
      </c>
      <c r="O702" t="n">
        <v>0</v>
      </c>
      <c r="P702" t="n">
        <v>0</v>
      </c>
      <c r="Q702" t="n">
        <v>0</v>
      </c>
      <c r="R702" s="2" t="inlineStr"/>
    </row>
    <row r="703" ht="15" customHeight="1">
      <c r="A703" t="inlineStr">
        <is>
          <t>A 27976-2025</t>
        </is>
      </c>
      <c r="B703" s="1" t="n">
        <v>45817.57092592592</v>
      </c>
      <c r="C703" s="1" t="n">
        <v>45992</v>
      </c>
      <c r="D703" t="inlineStr">
        <is>
          <t>GÄVLEBORGS LÄN</t>
        </is>
      </c>
      <c r="E703" t="inlineStr">
        <is>
          <t>LJUSDAL</t>
        </is>
      </c>
      <c r="G703" t="n">
        <v>3.9</v>
      </c>
      <c r="H703" t="n">
        <v>0</v>
      </c>
      <c r="I703" t="n">
        <v>0</v>
      </c>
      <c r="J703" t="n">
        <v>0</v>
      </c>
      <c r="K703" t="n">
        <v>0</v>
      </c>
      <c r="L703" t="n">
        <v>0</v>
      </c>
      <c r="M703" t="n">
        <v>0</v>
      </c>
      <c r="N703" t="n">
        <v>0</v>
      </c>
      <c r="O703" t="n">
        <v>0</v>
      </c>
      <c r="P703" t="n">
        <v>0</v>
      </c>
      <c r="Q703" t="n">
        <v>0</v>
      </c>
      <c r="R703" s="2" t="inlineStr"/>
    </row>
    <row r="704" ht="15" customHeight="1">
      <c r="A704" t="inlineStr">
        <is>
          <t>A 27970-2025</t>
        </is>
      </c>
      <c r="B704" s="1" t="n">
        <v>45817.56043981481</v>
      </c>
      <c r="C704" s="1" t="n">
        <v>45992</v>
      </c>
      <c r="D704" t="inlineStr">
        <is>
          <t>GÄVLEBORGS LÄN</t>
        </is>
      </c>
      <c r="E704" t="inlineStr">
        <is>
          <t>LJUSDAL</t>
        </is>
      </c>
      <c r="G704" t="n">
        <v>1</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45992</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45992</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15750-2022</t>
        </is>
      </c>
      <c r="B707" s="1" t="n">
        <v>44663</v>
      </c>
      <c r="C707" s="1" t="n">
        <v>45992</v>
      </c>
      <c r="D707" t="inlineStr">
        <is>
          <t>GÄVLEBORGS LÄN</t>
        </is>
      </c>
      <c r="E707" t="inlineStr">
        <is>
          <t>LJUSDAL</t>
        </is>
      </c>
      <c r="G707" t="n">
        <v>3.1</v>
      </c>
      <c r="H707" t="n">
        <v>0</v>
      </c>
      <c r="I707" t="n">
        <v>0</v>
      </c>
      <c r="J707" t="n">
        <v>0</v>
      </c>
      <c r="K707" t="n">
        <v>0</v>
      </c>
      <c r="L707" t="n">
        <v>0</v>
      </c>
      <c r="M707" t="n">
        <v>0</v>
      </c>
      <c r="N707" t="n">
        <v>0</v>
      </c>
      <c r="O707" t="n">
        <v>0</v>
      </c>
      <c r="P707" t="n">
        <v>0</v>
      </c>
      <c r="Q707" t="n">
        <v>0</v>
      </c>
      <c r="R707" s="2" t="inlineStr"/>
    </row>
    <row r="708" ht="15" customHeight="1">
      <c r="A708" t="inlineStr">
        <is>
          <t>A 41463-2025</t>
        </is>
      </c>
      <c r="B708" s="1" t="n">
        <v>45901.45023148148</v>
      </c>
      <c r="C708" s="1" t="n">
        <v>45992</v>
      </c>
      <c r="D708" t="inlineStr">
        <is>
          <t>GÄVLEBORGS LÄN</t>
        </is>
      </c>
      <c r="E708" t="inlineStr">
        <is>
          <t>LJUSDAL</t>
        </is>
      </c>
      <c r="F708" t="inlineStr">
        <is>
          <t>Bergvik skog väst AB</t>
        </is>
      </c>
      <c r="G708" t="n">
        <v>5.6</v>
      </c>
      <c r="H708" t="n">
        <v>0</v>
      </c>
      <c r="I708" t="n">
        <v>0</v>
      </c>
      <c r="J708" t="n">
        <v>0</v>
      </c>
      <c r="K708" t="n">
        <v>0</v>
      </c>
      <c r="L708" t="n">
        <v>0</v>
      </c>
      <c r="M708" t="n">
        <v>0</v>
      </c>
      <c r="N708" t="n">
        <v>0</v>
      </c>
      <c r="O708" t="n">
        <v>0</v>
      </c>
      <c r="P708" t="n">
        <v>0</v>
      </c>
      <c r="Q708" t="n">
        <v>0</v>
      </c>
      <c r="R708" s="2" t="inlineStr"/>
    </row>
    <row r="709" ht="15" customHeight="1">
      <c r="A709" t="inlineStr">
        <is>
          <t>A 1332-2025</t>
        </is>
      </c>
      <c r="B709" s="1" t="n">
        <v>45667.57828703704</v>
      </c>
      <c r="C709" s="1" t="n">
        <v>45992</v>
      </c>
      <c r="D709" t="inlineStr">
        <is>
          <t>GÄVLEBORGS LÄN</t>
        </is>
      </c>
      <c r="E709" t="inlineStr">
        <is>
          <t>LJUSDAL</t>
        </is>
      </c>
      <c r="F709" t="inlineStr">
        <is>
          <t>Holmen skog AB</t>
        </is>
      </c>
      <c r="G709" t="n">
        <v>4.4</v>
      </c>
      <c r="H709" t="n">
        <v>0</v>
      </c>
      <c r="I709" t="n">
        <v>0</v>
      </c>
      <c r="J709" t="n">
        <v>0</v>
      </c>
      <c r="K709" t="n">
        <v>0</v>
      </c>
      <c r="L709" t="n">
        <v>0</v>
      </c>
      <c r="M709" t="n">
        <v>0</v>
      </c>
      <c r="N709" t="n">
        <v>0</v>
      </c>
      <c r="O709" t="n">
        <v>0</v>
      </c>
      <c r="P709" t="n">
        <v>0</v>
      </c>
      <c r="Q709" t="n">
        <v>0</v>
      </c>
      <c r="R709" s="2" t="inlineStr"/>
    </row>
    <row r="710" ht="15" customHeight="1">
      <c r="A710" t="inlineStr">
        <is>
          <t>A 36657-2025</t>
        </is>
      </c>
      <c r="B710" s="1" t="n">
        <v>45873</v>
      </c>
      <c r="C710" s="1" t="n">
        <v>45992</v>
      </c>
      <c r="D710" t="inlineStr">
        <is>
          <t>GÄVLEBORGS LÄN</t>
        </is>
      </c>
      <c r="E710" t="inlineStr">
        <is>
          <t>LJUSDAL</t>
        </is>
      </c>
      <c r="F710" t="inlineStr">
        <is>
          <t>Bergvik skog väst AB</t>
        </is>
      </c>
      <c r="G710" t="n">
        <v>3.8</v>
      </c>
      <c r="H710" t="n">
        <v>0</v>
      </c>
      <c r="I710" t="n">
        <v>0</v>
      </c>
      <c r="J710" t="n">
        <v>0</v>
      </c>
      <c r="K710" t="n">
        <v>0</v>
      </c>
      <c r="L710" t="n">
        <v>0</v>
      </c>
      <c r="M710" t="n">
        <v>0</v>
      </c>
      <c r="N710" t="n">
        <v>0</v>
      </c>
      <c r="O710" t="n">
        <v>0</v>
      </c>
      <c r="P710" t="n">
        <v>0</v>
      </c>
      <c r="Q710" t="n">
        <v>0</v>
      </c>
      <c r="R710" s="2" t="inlineStr"/>
    </row>
    <row r="711" ht="15" customHeight="1">
      <c r="A711" t="inlineStr">
        <is>
          <t>A 28648-2025</t>
        </is>
      </c>
      <c r="B711" s="1" t="n">
        <v>45819.64917824074</v>
      </c>
      <c r="C711" s="1" t="n">
        <v>45992</v>
      </c>
      <c r="D711" t="inlineStr">
        <is>
          <t>GÄVLEBORGS LÄN</t>
        </is>
      </c>
      <c r="E711" t="inlineStr">
        <is>
          <t>LJUSDAL</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10521-2025</t>
        </is>
      </c>
      <c r="B712" s="1" t="n">
        <v>45721.42797453704</v>
      </c>
      <c r="C712" s="1" t="n">
        <v>45992</v>
      </c>
      <c r="D712" t="inlineStr">
        <is>
          <t>GÄVLEBORGS LÄN</t>
        </is>
      </c>
      <c r="E712" t="inlineStr">
        <is>
          <t>LJUSDAL</t>
        </is>
      </c>
      <c r="F712" t="inlineStr">
        <is>
          <t>SCA</t>
        </is>
      </c>
      <c r="G712" t="n">
        <v>14.5</v>
      </c>
      <c r="H712" t="n">
        <v>0</v>
      </c>
      <c r="I712" t="n">
        <v>0</v>
      </c>
      <c r="J712" t="n">
        <v>0</v>
      </c>
      <c r="K712" t="n">
        <v>0</v>
      </c>
      <c r="L712" t="n">
        <v>0</v>
      </c>
      <c r="M712" t="n">
        <v>0</v>
      </c>
      <c r="N712" t="n">
        <v>0</v>
      </c>
      <c r="O712" t="n">
        <v>0</v>
      </c>
      <c r="P712" t="n">
        <v>0</v>
      </c>
      <c r="Q712" t="n">
        <v>0</v>
      </c>
      <c r="R712" s="2" t="inlineStr"/>
    </row>
    <row r="713" ht="15" customHeight="1">
      <c r="A713" t="inlineStr">
        <is>
          <t>A 25570-2024</t>
        </is>
      </c>
      <c r="B713" s="1" t="n">
        <v>45463.58728009259</v>
      </c>
      <c r="C713" s="1" t="n">
        <v>45992</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41208-2025</t>
        </is>
      </c>
      <c r="B714" s="1" t="n">
        <v>45898.57782407408</v>
      </c>
      <c r="C714" s="1" t="n">
        <v>45992</v>
      </c>
      <c r="D714" t="inlineStr">
        <is>
          <t>GÄVLEBORGS LÄN</t>
        </is>
      </c>
      <c r="E714" t="inlineStr">
        <is>
          <t>LJUSDAL</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31529-2025</t>
        </is>
      </c>
      <c r="B715" s="1" t="n">
        <v>45833</v>
      </c>
      <c r="C715" s="1" t="n">
        <v>45992</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52921-2024</t>
        </is>
      </c>
      <c r="B716" s="1" t="n">
        <v>45610.71336805556</v>
      </c>
      <c r="C716" s="1" t="n">
        <v>45992</v>
      </c>
      <c r="D716" t="inlineStr">
        <is>
          <t>GÄVLEBORGS LÄN</t>
        </is>
      </c>
      <c r="E716" t="inlineStr">
        <is>
          <t>LJUSDAL</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28638-2025</t>
        </is>
      </c>
      <c r="B717" s="1" t="n">
        <v>45819.63609953703</v>
      </c>
      <c r="C717" s="1" t="n">
        <v>45992</v>
      </c>
      <c r="D717" t="inlineStr">
        <is>
          <t>GÄVLEBORGS LÄN</t>
        </is>
      </c>
      <c r="E717" t="inlineStr">
        <is>
          <t>LJUSDAL</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35024-2024</t>
        </is>
      </c>
      <c r="B718" s="1" t="n">
        <v>45527.60289351852</v>
      </c>
      <c r="C718" s="1" t="n">
        <v>45992</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28584-2025</t>
        </is>
      </c>
      <c r="B719" s="1" t="n">
        <v>45819.57846064815</v>
      </c>
      <c r="C719" s="1" t="n">
        <v>45992</v>
      </c>
      <c r="D719" t="inlineStr">
        <is>
          <t>GÄVLEBORGS LÄN</t>
        </is>
      </c>
      <c r="E719" t="inlineStr">
        <is>
          <t>LJUSDAL</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41865-2025</t>
        </is>
      </c>
      <c r="B720" s="1" t="n">
        <v>45903.33694444445</v>
      </c>
      <c r="C720" s="1" t="n">
        <v>45992</v>
      </c>
      <c r="D720" t="inlineStr">
        <is>
          <t>GÄVLEBORGS LÄN</t>
        </is>
      </c>
      <c r="E720" t="inlineStr">
        <is>
          <t>LJUSDAL</t>
        </is>
      </c>
      <c r="F720" t="inlineStr">
        <is>
          <t>Bergvik skog väst AB</t>
        </is>
      </c>
      <c r="G720" t="n">
        <v>16.6</v>
      </c>
      <c r="H720" t="n">
        <v>0</v>
      </c>
      <c r="I720" t="n">
        <v>0</v>
      </c>
      <c r="J720" t="n">
        <v>0</v>
      </c>
      <c r="K720" t="n">
        <v>0</v>
      </c>
      <c r="L720" t="n">
        <v>0</v>
      </c>
      <c r="M720" t="n">
        <v>0</v>
      </c>
      <c r="N720" t="n">
        <v>0</v>
      </c>
      <c r="O720" t="n">
        <v>0</v>
      </c>
      <c r="P720" t="n">
        <v>0</v>
      </c>
      <c r="Q720" t="n">
        <v>0</v>
      </c>
      <c r="R720" s="2" t="inlineStr"/>
    </row>
    <row r="721" ht="15" customHeight="1">
      <c r="A721" t="inlineStr">
        <is>
          <t>A 41878-2025</t>
        </is>
      </c>
      <c r="B721" s="1" t="n">
        <v>45903.34972222222</v>
      </c>
      <c r="C721" s="1" t="n">
        <v>45992</v>
      </c>
      <c r="D721" t="inlineStr">
        <is>
          <t>GÄVLEBORGS LÄN</t>
        </is>
      </c>
      <c r="E721" t="inlineStr">
        <is>
          <t>LJUSDAL</t>
        </is>
      </c>
      <c r="G721" t="n">
        <v>1.7</v>
      </c>
      <c r="H721" t="n">
        <v>0</v>
      </c>
      <c r="I721" t="n">
        <v>0</v>
      </c>
      <c r="J721" t="n">
        <v>0</v>
      </c>
      <c r="K721" t="n">
        <v>0</v>
      </c>
      <c r="L721" t="n">
        <v>0</v>
      </c>
      <c r="M721" t="n">
        <v>0</v>
      </c>
      <c r="N721" t="n">
        <v>0</v>
      </c>
      <c r="O721" t="n">
        <v>0</v>
      </c>
      <c r="P721" t="n">
        <v>0</v>
      </c>
      <c r="Q721" t="n">
        <v>0</v>
      </c>
      <c r="R721" s="2" t="inlineStr"/>
    </row>
    <row r="722" ht="15" customHeight="1">
      <c r="A722" t="inlineStr">
        <is>
          <t>A 13094-2023</t>
        </is>
      </c>
      <c r="B722" s="1" t="n">
        <v>45002.43677083333</v>
      </c>
      <c r="C722" s="1" t="n">
        <v>45992</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41745-2025</t>
        </is>
      </c>
      <c r="B723" s="1" t="n">
        <v>45902.48480324074</v>
      </c>
      <c r="C723" s="1" t="n">
        <v>45992</v>
      </c>
      <c r="D723" t="inlineStr">
        <is>
          <t>GÄVLEBORGS LÄN</t>
        </is>
      </c>
      <c r="E723" t="inlineStr">
        <is>
          <t>LJUSDAL</t>
        </is>
      </c>
      <c r="G723" t="n">
        <v>7.8</v>
      </c>
      <c r="H723" t="n">
        <v>0</v>
      </c>
      <c r="I723" t="n">
        <v>0</v>
      </c>
      <c r="J723" t="n">
        <v>0</v>
      </c>
      <c r="K723" t="n">
        <v>0</v>
      </c>
      <c r="L723" t="n">
        <v>0</v>
      </c>
      <c r="M723" t="n">
        <v>0</v>
      </c>
      <c r="N723" t="n">
        <v>0</v>
      </c>
      <c r="O723" t="n">
        <v>0</v>
      </c>
      <c r="P723" t="n">
        <v>0</v>
      </c>
      <c r="Q723" t="n">
        <v>0</v>
      </c>
      <c r="R723" s="2" t="inlineStr"/>
    </row>
    <row r="724" ht="15" customHeight="1">
      <c r="A724" t="inlineStr">
        <is>
          <t>A 29014-2025</t>
        </is>
      </c>
      <c r="B724" s="1" t="n">
        <v>45821.40796296296</v>
      </c>
      <c r="C724" s="1" t="n">
        <v>45992</v>
      </c>
      <c r="D724" t="inlineStr">
        <is>
          <t>GÄVLEBORGS LÄN</t>
        </is>
      </c>
      <c r="E724" t="inlineStr">
        <is>
          <t>LJUSDAL</t>
        </is>
      </c>
      <c r="F724" t="inlineStr">
        <is>
          <t>Bergvik skog väst AB</t>
        </is>
      </c>
      <c r="G724" t="n">
        <v>1.7</v>
      </c>
      <c r="H724" t="n">
        <v>0</v>
      </c>
      <c r="I724" t="n">
        <v>0</v>
      </c>
      <c r="J724" t="n">
        <v>0</v>
      </c>
      <c r="K724" t="n">
        <v>0</v>
      </c>
      <c r="L724" t="n">
        <v>0</v>
      </c>
      <c r="M724" t="n">
        <v>0</v>
      </c>
      <c r="N724" t="n">
        <v>0</v>
      </c>
      <c r="O724" t="n">
        <v>0</v>
      </c>
      <c r="P724" t="n">
        <v>0</v>
      </c>
      <c r="Q724" t="n">
        <v>0</v>
      </c>
      <c r="R724" s="2" t="inlineStr"/>
    </row>
    <row r="725" ht="15" customHeight="1">
      <c r="A725" t="inlineStr">
        <is>
          <t>A 28903-2025</t>
        </is>
      </c>
      <c r="B725" s="1" t="n">
        <v>45820.64299768519</v>
      </c>
      <c r="C725" s="1" t="n">
        <v>45992</v>
      </c>
      <c r="D725" t="inlineStr">
        <is>
          <t>GÄVLEBORGS LÄN</t>
        </is>
      </c>
      <c r="E725" t="inlineStr">
        <is>
          <t>LJUSDAL</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41947-2025</t>
        </is>
      </c>
      <c r="B726" s="1" t="n">
        <v>45903.44925925926</v>
      </c>
      <c r="C726" s="1" t="n">
        <v>45992</v>
      </c>
      <c r="D726" t="inlineStr">
        <is>
          <t>GÄVLEBORGS LÄN</t>
        </is>
      </c>
      <c r="E726" t="inlineStr">
        <is>
          <t>LJUSDAL</t>
        </is>
      </c>
      <c r="F726" t="inlineStr">
        <is>
          <t>Allmännings- och besparingsskogar</t>
        </is>
      </c>
      <c r="G726" t="n">
        <v>21.2</v>
      </c>
      <c r="H726" t="n">
        <v>0</v>
      </c>
      <c r="I726" t="n">
        <v>0</v>
      </c>
      <c r="J726" t="n">
        <v>0</v>
      </c>
      <c r="K726" t="n">
        <v>0</v>
      </c>
      <c r="L726" t="n">
        <v>0</v>
      </c>
      <c r="M726" t="n">
        <v>0</v>
      </c>
      <c r="N726" t="n">
        <v>0</v>
      </c>
      <c r="O726" t="n">
        <v>0</v>
      </c>
      <c r="P726" t="n">
        <v>0</v>
      </c>
      <c r="Q726" t="n">
        <v>0</v>
      </c>
      <c r="R726" s="2" t="inlineStr"/>
    </row>
    <row r="727" ht="15" customHeight="1">
      <c r="A727" t="inlineStr">
        <is>
          <t>A 41935-2025</t>
        </is>
      </c>
      <c r="B727" s="1" t="n">
        <v>45903.43677083333</v>
      </c>
      <c r="C727" s="1" t="n">
        <v>45992</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41928-2025</t>
        </is>
      </c>
      <c r="B728" s="1" t="n">
        <v>45903.42954861111</v>
      </c>
      <c r="C728" s="1" t="n">
        <v>45992</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41936-2025</t>
        </is>
      </c>
      <c r="B729" s="1" t="n">
        <v>45903.44037037037</v>
      </c>
      <c r="C729" s="1" t="n">
        <v>45992</v>
      </c>
      <c r="D729" t="inlineStr">
        <is>
          <t>GÄVLEBORGS LÄN</t>
        </is>
      </c>
      <c r="E729" t="inlineStr">
        <is>
          <t>LJUSDAL</t>
        </is>
      </c>
      <c r="G729" t="n">
        <v>1.4</v>
      </c>
      <c r="H729" t="n">
        <v>0</v>
      </c>
      <c r="I729" t="n">
        <v>0</v>
      </c>
      <c r="J729" t="n">
        <v>0</v>
      </c>
      <c r="K729" t="n">
        <v>0</v>
      </c>
      <c r="L729" t="n">
        <v>0</v>
      </c>
      <c r="M729" t="n">
        <v>0</v>
      </c>
      <c r="N729" t="n">
        <v>0</v>
      </c>
      <c r="O729" t="n">
        <v>0</v>
      </c>
      <c r="P729" t="n">
        <v>0</v>
      </c>
      <c r="Q729" t="n">
        <v>0</v>
      </c>
      <c r="R729" s="2" t="inlineStr"/>
    </row>
    <row r="730" ht="15" customHeight="1">
      <c r="A730" t="inlineStr">
        <is>
          <t>A 41918-2025</t>
        </is>
      </c>
      <c r="B730" s="1" t="n">
        <v>45903.42224537037</v>
      </c>
      <c r="C730" s="1" t="n">
        <v>45992</v>
      </c>
      <c r="D730" t="inlineStr">
        <is>
          <t>GÄVLEBORGS LÄN</t>
        </is>
      </c>
      <c r="E730" t="inlineStr">
        <is>
          <t>LJUSDAL</t>
        </is>
      </c>
      <c r="G730" t="n">
        <v>0.5</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45992</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58783-2022</t>
        </is>
      </c>
      <c r="B732" s="1" t="n">
        <v>44903</v>
      </c>
      <c r="C732" s="1" t="n">
        <v>45992</v>
      </c>
      <c r="D732" t="inlineStr">
        <is>
          <t>GÄVLEBORGS LÄN</t>
        </is>
      </c>
      <c r="E732" t="inlineStr">
        <is>
          <t>LJUSDAL</t>
        </is>
      </c>
      <c r="F732" t="inlineStr">
        <is>
          <t>Kyrkan</t>
        </is>
      </c>
      <c r="G732" t="n">
        <v>5.1</v>
      </c>
      <c r="H732" t="n">
        <v>0</v>
      </c>
      <c r="I732" t="n">
        <v>0</v>
      </c>
      <c r="J732" t="n">
        <v>0</v>
      </c>
      <c r="K732" t="n">
        <v>0</v>
      </c>
      <c r="L732" t="n">
        <v>0</v>
      </c>
      <c r="M732" t="n">
        <v>0</v>
      </c>
      <c r="N732" t="n">
        <v>0</v>
      </c>
      <c r="O732" t="n">
        <v>0</v>
      </c>
      <c r="P732" t="n">
        <v>0</v>
      </c>
      <c r="Q732" t="n">
        <v>0</v>
      </c>
      <c r="R732" s="2" t="inlineStr"/>
    </row>
    <row r="733" ht="15" customHeight="1">
      <c r="A733" t="inlineStr">
        <is>
          <t>A 41923-2025</t>
        </is>
      </c>
      <c r="B733" s="1" t="n">
        <v>45903.42614583333</v>
      </c>
      <c r="C733" s="1" t="n">
        <v>45992</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41942-2025</t>
        </is>
      </c>
      <c r="B734" s="1" t="n">
        <v>45903.44543981482</v>
      </c>
      <c r="C734" s="1" t="n">
        <v>45992</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54926-2024</t>
        </is>
      </c>
      <c r="B735" s="1" t="n">
        <v>45618.71902777778</v>
      </c>
      <c r="C735" s="1" t="n">
        <v>45992</v>
      </c>
      <c r="D735" t="inlineStr">
        <is>
          <t>GÄVLEBORGS LÄN</t>
        </is>
      </c>
      <c r="E735" t="inlineStr">
        <is>
          <t>LJUSDAL</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41886-2025</t>
        </is>
      </c>
      <c r="B736" s="1" t="n">
        <v>45903.36819444445</v>
      </c>
      <c r="C736" s="1" t="n">
        <v>45992</v>
      </c>
      <c r="D736" t="inlineStr">
        <is>
          <t>GÄVLEBORGS LÄN</t>
        </is>
      </c>
      <c r="E736" t="inlineStr">
        <is>
          <t>LJUSDAL</t>
        </is>
      </c>
      <c r="F736" t="inlineStr">
        <is>
          <t>Allmännings- och besparingsskogar</t>
        </is>
      </c>
      <c r="G736" t="n">
        <v>37</v>
      </c>
      <c r="H736" t="n">
        <v>0</v>
      </c>
      <c r="I736" t="n">
        <v>0</v>
      </c>
      <c r="J736" t="n">
        <v>0</v>
      </c>
      <c r="K736" t="n">
        <v>0</v>
      </c>
      <c r="L736" t="n">
        <v>0</v>
      </c>
      <c r="M736" t="n">
        <v>0</v>
      </c>
      <c r="N736" t="n">
        <v>0</v>
      </c>
      <c r="O736" t="n">
        <v>0</v>
      </c>
      <c r="P736" t="n">
        <v>0</v>
      </c>
      <c r="Q736" t="n">
        <v>0</v>
      </c>
      <c r="R736" s="2" t="inlineStr"/>
    </row>
    <row r="737" ht="15" customHeight="1">
      <c r="A737" t="inlineStr">
        <is>
          <t>A 41861-2025</t>
        </is>
      </c>
      <c r="B737" s="1" t="n">
        <v>45903.25648148148</v>
      </c>
      <c r="C737" s="1" t="n">
        <v>45992</v>
      </c>
      <c r="D737" t="inlineStr">
        <is>
          <t>GÄVLEBORGS LÄN</t>
        </is>
      </c>
      <c r="E737" t="inlineStr">
        <is>
          <t>LJUSDAL</t>
        </is>
      </c>
      <c r="G737" t="n">
        <v>9</v>
      </c>
      <c r="H737" t="n">
        <v>0</v>
      </c>
      <c r="I737" t="n">
        <v>0</v>
      </c>
      <c r="J737" t="n">
        <v>0</v>
      </c>
      <c r="K737" t="n">
        <v>0</v>
      </c>
      <c r="L737" t="n">
        <v>0</v>
      </c>
      <c r="M737" t="n">
        <v>0</v>
      </c>
      <c r="N737" t="n">
        <v>0</v>
      </c>
      <c r="O737" t="n">
        <v>0</v>
      </c>
      <c r="P737" t="n">
        <v>0</v>
      </c>
      <c r="Q737" t="n">
        <v>0</v>
      </c>
      <c r="R737" s="2" t="inlineStr"/>
    </row>
    <row r="738" ht="15" customHeight="1">
      <c r="A738" t="inlineStr">
        <is>
          <t>A 41938-2025</t>
        </is>
      </c>
      <c r="B738" s="1" t="n">
        <v>45903.44322916667</v>
      </c>
      <c r="C738" s="1" t="n">
        <v>45992</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29254-2025</t>
        </is>
      </c>
      <c r="B739" s="1" t="n">
        <v>45824.38350694445</v>
      </c>
      <c r="C739" s="1" t="n">
        <v>45992</v>
      </c>
      <c r="D739" t="inlineStr">
        <is>
          <t>GÄVLEBORGS LÄN</t>
        </is>
      </c>
      <c r="E739" t="inlineStr">
        <is>
          <t>LJUSDAL</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29523-2025</t>
        </is>
      </c>
      <c r="B740" s="1" t="n">
        <v>45825.33288194444</v>
      </c>
      <c r="C740" s="1" t="n">
        <v>45992</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29415-2025</t>
        </is>
      </c>
      <c r="B741" s="1" t="n">
        <v>45824.62717592593</v>
      </c>
      <c r="C741" s="1" t="n">
        <v>45992</v>
      </c>
      <c r="D741" t="inlineStr">
        <is>
          <t>GÄVLEBORGS LÄN</t>
        </is>
      </c>
      <c r="E741" t="inlineStr">
        <is>
          <t>LJUSDAL</t>
        </is>
      </c>
      <c r="G741" t="n">
        <v>15.1</v>
      </c>
      <c r="H741" t="n">
        <v>0</v>
      </c>
      <c r="I741" t="n">
        <v>0</v>
      </c>
      <c r="J741" t="n">
        <v>0</v>
      </c>
      <c r="K741" t="n">
        <v>0</v>
      </c>
      <c r="L741" t="n">
        <v>0</v>
      </c>
      <c r="M741" t="n">
        <v>0</v>
      </c>
      <c r="N741" t="n">
        <v>0</v>
      </c>
      <c r="O741" t="n">
        <v>0</v>
      </c>
      <c r="P741" t="n">
        <v>0</v>
      </c>
      <c r="Q741" t="n">
        <v>0</v>
      </c>
      <c r="R741" s="2" t="inlineStr"/>
    </row>
    <row r="742" ht="15" customHeight="1">
      <c r="A742" t="inlineStr">
        <is>
          <t>A 29491-2025</t>
        </is>
      </c>
      <c r="B742" s="1" t="n">
        <v>45824.78724537037</v>
      </c>
      <c r="C742" s="1" t="n">
        <v>45992</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42002-2025</t>
        </is>
      </c>
      <c r="B743" s="1" t="n">
        <v>45903.55368055555</v>
      </c>
      <c r="C743" s="1" t="n">
        <v>45992</v>
      </c>
      <c r="D743" t="inlineStr">
        <is>
          <t>GÄVLEBORGS LÄN</t>
        </is>
      </c>
      <c r="E743" t="inlineStr">
        <is>
          <t>LJUSDAL</t>
        </is>
      </c>
      <c r="F743" t="inlineStr">
        <is>
          <t>Bergvik skog väst AB</t>
        </is>
      </c>
      <c r="G743" t="n">
        <v>4.6</v>
      </c>
      <c r="H743" t="n">
        <v>0</v>
      </c>
      <c r="I743" t="n">
        <v>0</v>
      </c>
      <c r="J743" t="n">
        <v>0</v>
      </c>
      <c r="K743" t="n">
        <v>0</v>
      </c>
      <c r="L743" t="n">
        <v>0</v>
      </c>
      <c r="M743" t="n">
        <v>0</v>
      </c>
      <c r="N743" t="n">
        <v>0</v>
      </c>
      <c r="O743" t="n">
        <v>0</v>
      </c>
      <c r="P743" t="n">
        <v>0</v>
      </c>
      <c r="Q743" t="n">
        <v>0</v>
      </c>
      <c r="R743" s="2" t="inlineStr"/>
    </row>
    <row r="744" ht="15" customHeight="1">
      <c r="A744" t="inlineStr">
        <is>
          <t>A 41786-2025</t>
        </is>
      </c>
      <c r="B744" s="1" t="n">
        <v>45902.5905787037</v>
      </c>
      <c r="C744" s="1" t="n">
        <v>45992</v>
      </c>
      <c r="D744" t="inlineStr">
        <is>
          <t>GÄVLEBORGS LÄN</t>
        </is>
      </c>
      <c r="E744" t="inlineStr">
        <is>
          <t>LJUSDAL</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7603-2024</t>
        </is>
      </c>
      <c r="B745" s="1" t="n">
        <v>45348.56818287037</v>
      </c>
      <c r="C745" s="1" t="n">
        <v>45992</v>
      </c>
      <c r="D745" t="inlineStr">
        <is>
          <t>GÄVLEBORGS LÄN</t>
        </is>
      </c>
      <c r="E745" t="inlineStr">
        <is>
          <t>LJUSDAL</t>
        </is>
      </c>
      <c r="G745" t="n">
        <v>3.2</v>
      </c>
      <c r="H745" t="n">
        <v>0</v>
      </c>
      <c r="I745" t="n">
        <v>0</v>
      </c>
      <c r="J745" t="n">
        <v>0</v>
      </c>
      <c r="K745" t="n">
        <v>0</v>
      </c>
      <c r="L745" t="n">
        <v>0</v>
      </c>
      <c r="M745" t="n">
        <v>0</v>
      </c>
      <c r="N745" t="n">
        <v>0</v>
      </c>
      <c r="O745" t="n">
        <v>0</v>
      </c>
      <c r="P745" t="n">
        <v>0</v>
      </c>
      <c r="Q745" t="n">
        <v>0</v>
      </c>
      <c r="R745" s="2" t="inlineStr"/>
    </row>
    <row r="746" ht="15" customHeight="1">
      <c r="A746" t="inlineStr">
        <is>
          <t>A 41860-2025</t>
        </is>
      </c>
      <c r="B746" s="1" t="n">
        <v>45903.25199074074</v>
      </c>
      <c r="C746" s="1" t="n">
        <v>45992</v>
      </c>
      <c r="D746" t="inlineStr">
        <is>
          <t>GÄVLEBORGS LÄN</t>
        </is>
      </c>
      <c r="E746" t="inlineStr">
        <is>
          <t>LJUSDAL</t>
        </is>
      </c>
      <c r="G746" t="n">
        <v>3.8</v>
      </c>
      <c r="H746" t="n">
        <v>0</v>
      </c>
      <c r="I746" t="n">
        <v>0</v>
      </c>
      <c r="J746" t="n">
        <v>0</v>
      </c>
      <c r="K746" t="n">
        <v>0</v>
      </c>
      <c r="L746" t="n">
        <v>0</v>
      </c>
      <c r="M746" t="n">
        <v>0</v>
      </c>
      <c r="N746" t="n">
        <v>0</v>
      </c>
      <c r="O746" t="n">
        <v>0</v>
      </c>
      <c r="P746" t="n">
        <v>0</v>
      </c>
      <c r="Q746" t="n">
        <v>0</v>
      </c>
      <c r="R746" s="2" t="inlineStr"/>
    </row>
    <row r="747" ht="15" customHeight="1">
      <c r="A747" t="inlineStr">
        <is>
          <t>A 29252-2025</t>
        </is>
      </c>
      <c r="B747" s="1" t="n">
        <v>45824.37804398148</v>
      </c>
      <c r="C747" s="1" t="n">
        <v>45992</v>
      </c>
      <c r="D747" t="inlineStr">
        <is>
          <t>GÄVLEBORGS LÄN</t>
        </is>
      </c>
      <c r="E747" t="inlineStr">
        <is>
          <t>LJUSDAL</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29358-2025</t>
        </is>
      </c>
      <c r="B748" s="1" t="n">
        <v>45824.55981481481</v>
      </c>
      <c r="C748" s="1" t="n">
        <v>45992</v>
      </c>
      <c r="D748" t="inlineStr">
        <is>
          <t>GÄVLEBORGS LÄN</t>
        </is>
      </c>
      <c r="E748" t="inlineStr">
        <is>
          <t>LJUSDAL</t>
        </is>
      </c>
      <c r="F748" t="inlineStr">
        <is>
          <t>Bergvik skog väst AB</t>
        </is>
      </c>
      <c r="G748" t="n">
        <v>0.4</v>
      </c>
      <c r="H748" t="n">
        <v>0</v>
      </c>
      <c r="I748" t="n">
        <v>0</v>
      </c>
      <c r="J748" t="n">
        <v>0</v>
      </c>
      <c r="K748" t="n">
        <v>0</v>
      </c>
      <c r="L748" t="n">
        <v>0</v>
      </c>
      <c r="M748" t="n">
        <v>0</v>
      </c>
      <c r="N748" t="n">
        <v>0</v>
      </c>
      <c r="O748" t="n">
        <v>0</v>
      </c>
      <c r="P748" t="n">
        <v>0</v>
      </c>
      <c r="Q748" t="n">
        <v>0</v>
      </c>
      <c r="R748" s="2" t="inlineStr"/>
    </row>
    <row r="749" ht="15" customHeight="1">
      <c r="A749" t="inlineStr">
        <is>
          <t>A 29013-2025</t>
        </is>
      </c>
      <c r="B749" s="1" t="n">
        <v>45821.40672453704</v>
      </c>
      <c r="C749" s="1" t="n">
        <v>45992</v>
      </c>
      <c r="D749" t="inlineStr">
        <is>
          <t>GÄVLEBORGS LÄN</t>
        </is>
      </c>
      <c r="E749" t="inlineStr">
        <is>
          <t>LJUSDAL</t>
        </is>
      </c>
      <c r="F749" t="inlineStr">
        <is>
          <t>SCA</t>
        </is>
      </c>
      <c r="G749" t="n">
        <v>13.5</v>
      </c>
      <c r="H749" t="n">
        <v>0</v>
      </c>
      <c r="I749" t="n">
        <v>0</v>
      </c>
      <c r="J749" t="n">
        <v>0</v>
      </c>
      <c r="K749" t="n">
        <v>0</v>
      </c>
      <c r="L749" t="n">
        <v>0</v>
      </c>
      <c r="M749" t="n">
        <v>0</v>
      </c>
      <c r="N749" t="n">
        <v>0</v>
      </c>
      <c r="O749" t="n">
        <v>0</v>
      </c>
      <c r="P749" t="n">
        <v>0</v>
      </c>
      <c r="Q749" t="n">
        <v>0</v>
      </c>
      <c r="R749" s="2" t="inlineStr"/>
    </row>
    <row r="750" ht="15" customHeight="1">
      <c r="A750" t="inlineStr">
        <is>
          <t>A 16666-2024</t>
        </is>
      </c>
      <c r="B750" s="1" t="n">
        <v>45408</v>
      </c>
      <c r="C750" s="1" t="n">
        <v>45992</v>
      </c>
      <c r="D750" t="inlineStr">
        <is>
          <t>GÄVLEBORGS LÄN</t>
        </is>
      </c>
      <c r="E750" t="inlineStr">
        <is>
          <t>LJUSDAL</t>
        </is>
      </c>
      <c r="G750" t="n">
        <v>22.8</v>
      </c>
      <c r="H750" t="n">
        <v>0</v>
      </c>
      <c r="I750" t="n">
        <v>0</v>
      </c>
      <c r="J750" t="n">
        <v>0</v>
      </c>
      <c r="K750" t="n">
        <v>0</v>
      </c>
      <c r="L750" t="n">
        <v>0</v>
      </c>
      <c r="M750" t="n">
        <v>0</v>
      </c>
      <c r="N750" t="n">
        <v>0</v>
      </c>
      <c r="O750" t="n">
        <v>0</v>
      </c>
      <c r="P750" t="n">
        <v>0</v>
      </c>
      <c r="Q750" t="n">
        <v>0</v>
      </c>
      <c r="R750" s="2" t="inlineStr"/>
    </row>
    <row r="751" ht="15" customHeight="1">
      <c r="A751" t="inlineStr">
        <is>
          <t>A 42463-2025</t>
        </is>
      </c>
      <c r="B751" s="1" t="n">
        <v>45905.4575</v>
      </c>
      <c r="C751" s="1" t="n">
        <v>45992</v>
      </c>
      <c r="D751" t="inlineStr">
        <is>
          <t>GÄVLEBORGS LÄN</t>
        </is>
      </c>
      <c r="E751" t="inlineStr">
        <is>
          <t>LJUSDAL</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26114-2024</t>
        </is>
      </c>
      <c r="B752" s="1" t="n">
        <v>45468</v>
      </c>
      <c r="C752" s="1" t="n">
        <v>45992</v>
      </c>
      <c r="D752" t="inlineStr">
        <is>
          <t>GÄVLEBORGS LÄN</t>
        </is>
      </c>
      <c r="E752" t="inlineStr">
        <is>
          <t>LJUSDAL</t>
        </is>
      </c>
      <c r="G752" t="n">
        <v>22.6</v>
      </c>
      <c r="H752" t="n">
        <v>0</v>
      </c>
      <c r="I752" t="n">
        <v>0</v>
      </c>
      <c r="J752" t="n">
        <v>0</v>
      </c>
      <c r="K752" t="n">
        <v>0</v>
      </c>
      <c r="L752" t="n">
        <v>0</v>
      </c>
      <c r="M752" t="n">
        <v>0</v>
      </c>
      <c r="N752" t="n">
        <v>0</v>
      </c>
      <c r="O752" t="n">
        <v>0</v>
      </c>
      <c r="P752" t="n">
        <v>0</v>
      </c>
      <c r="Q752" t="n">
        <v>0</v>
      </c>
      <c r="R752" s="2" t="inlineStr"/>
    </row>
    <row r="753" ht="15" customHeight="1">
      <c r="A753" t="inlineStr">
        <is>
          <t>A 29526-2025</t>
        </is>
      </c>
      <c r="B753" s="1" t="n">
        <v>45825.34037037037</v>
      </c>
      <c r="C753" s="1" t="n">
        <v>45992</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50613-2024</t>
        </is>
      </c>
      <c r="B754" s="1" t="n">
        <v>45601.63219907408</v>
      </c>
      <c r="C754" s="1" t="n">
        <v>45992</v>
      </c>
      <c r="D754" t="inlineStr">
        <is>
          <t>GÄVLEBORGS LÄN</t>
        </is>
      </c>
      <c r="E754" t="inlineStr">
        <is>
          <t>LJUSDAL</t>
        </is>
      </c>
      <c r="F754" t="inlineStr">
        <is>
          <t>Bergvik skog väst AB</t>
        </is>
      </c>
      <c r="G754" t="n">
        <v>6.6</v>
      </c>
      <c r="H754" t="n">
        <v>0</v>
      </c>
      <c r="I754" t="n">
        <v>0</v>
      </c>
      <c r="J754" t="n">
        <v>0</v>
      </c>
      <c r="K754" t="n">
        <v>0</v>
      </c>
      <c r="L754" t="n">
        <v>0</v>
      </c>
      <c r="M754" t="n">
        <v>0</v>
      </c>
      <c r="N754" t="n">
        <v>0</v>
      </c>
      <c r="O754" t="n">
        <v>0</v>
      </c>
      <c r="P754" t="n">
        <v>0</v>
      </c>
      <c r="Q754" t="n">
        <v>0</v>
      </c>
      <c r="R754" s="2" t="inlineStr"/>
    </row>
    <row r="755" ht="15" customHeight="1">
      <c r="A755" t="inlineStr">
        <is>
          <t>A 42297-2025</t>
        </is>
      </c>
      <c r="B755" s="1" t="n">
        <v>45904.63537037037</v>
      </c>
      <c r="C755" s="1" t="n">
        <v>45992</v>
      </c>
      <c r="D755" t="inlineStr">
        <is>
          <t>GÄVLEBORGS LÄN</t>
        </is>
      </c>
      <c r="E755" t="inlineStr">
        <is>
          <t>LJUSDAL</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35364-2024</t>
        </is>
      </c>
      <c r="B756" s="1" t="n">
        <v>45531.34303240741</v>
      </c>
      <c r="C756" s="1" t="n">
        <v>45992</v>
      </c>
      <c r="D756" t="inlineStr">
        <is>
          <t>GÄVLEBORGS LÄN</t>
        </is>
      </c>
      <c r="E756" t="inlineStr">
        <is>
          <t>LJUSDAL</t>
        </is>
      </c>
      <c r="G756" t="n">
        <v>5.1</v>
      </c>
      <c r="H756" t="n">
        <v>0</v>
      </c>
      <c r="I756" t="n">
        <v>0</v>
      </c>
      <c r="J756" t="n">
        <v>0</v>
      </c>
      <c r="K756" t="n">
        <v>0</v>
      </c>
      <c r="L756" t="n">
        <v>0</v>
      </c>
      <c r="M756" t="n">
        <v>0</v>
      </c>
      <c r="N756" t="n">
        <v>0</v>
      </c>
      <c r="O756" t="n">
        <v>0</v>
      </c>
      <c r="P756" t="n">
        <v>0</v>
      </c>
      <c r="Q756" t="n">
        <v>0</v>
      </c>
      <c r="R756" s="2" t="inlineStr"/>
    </row>
    <row r="757" ht="15" customHeight="1">
      <c r="A757" t="inlineStr">
        <is>
          <t>A 24659-2024</t>
        </is>
      </c>
      <c r="B757" s="1" t="n">
        <v>45460.57925925926</v>
      </c>
      <c r="C757" s="1" t="n">
        <v>45992</v>
      </c>
      <c r="D757" t="inlineStr">
        <is>
          <t>GÄVLEBORGS LÄN</t>
        </is>
      </c>
      <c r="E757" t="inlineStr">
        <is>
          <t>LJUSDAL</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44856-2024</t>
        </is>
      </c>
      <c r="B758" s="1" t="n">
        <v>45575.25853009259</v>
      </c>
      <c r="C758" s="1" t="n">
        <v>45992</v>
      </c>
      <c r="D758" t="inlineStr">
        <is>
          <t>GÄVLEBORGS LÄN</t>
        </is>
      </c>
      <c r="E758" t="inlineStr">
        <is>
          <t>LJUSDAL</t>
        </is>
      </c>
      <c r="G758" t="n">
        <v>2.3</v>
      </c>
      <c r="H758" t="n">
        <v>0</v>
      </c>
      <c r="I758" t="n">
        <v>0</v>
      </c>
      <c r="J758" t="n">
        <v>0</v>
      </c>
      <c r="K758" t="n">
        <v>0</v>
      </c>
      <c r="L758" t="n">
        <v>0</v>
      </c>
      <c r="M758" t="n">
        <v>0</v>
      </c>
      <c r="N758" t="n">
        <v>0</v>
      </c>
      <c r="O758" t="n">
        <v>0</v>
      </c>
      <c r="P758" t="n">
        <v>0</v>
      </c>
      <c r="Q758" t="n">
        <v>0</v>
      </c>
      <c r="R758" s="2" t="inlineStr"/>
    </row>
    <row r="759" ht="15" customHeight="1">
      <c r="A759" t="inlineStr">
        <is>
          <t>A 19276-2025</t>
        </is>
      </c>
      <c r="B759" s="1" t="n">
        <v>45769.5315625</v>
      </c>
      <c r="C759" s="1" t="n">
        <v>45992</v>
      </c>
      <c r="D759" t="inlineStr">
        <is>
          <t>GÄVLEBORGS LÄN</t>
        </is>
      </c>
      <c r="E759" t="inlineStr">
        <is>
          <t>LJUSDAL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29369-2025</t>
        </is>
      </c>
      <c r="B760" s="1" t="n">
        <v>45824.57314814815</v>
      </c>
      <c r="C760" s="1" t="n">
        <v>45992</v>
      </c>
      <c r="D760" t="inlineStr">
        <is>
          <t>GÄVLEBORGS LÄN</t>
        </is>
      </c>
      <c r="E760" t="inlineStr">
        <is>
          <t>LJUSDAL</t>
        </is>
      </c>
      <c r="G760" t="n">
        <v>8</v>
      </c>
      <c r="H760" t="n">
        <v>0</v>
      </c>
      <c r="I760" t="n">
        <v>0</v>
      </c>
      <c r="J760" t="n">
        <v>0</v>
      </c>
      <c r="K760" t="n">
        <v>0</v>
      </c>
      <c r="L760" t="n">
        <v>0</v>
      </c>
      <c r="M760" t="n">
        <v>0</v>
      </c>
      <c r="N760" t="n">
        <v>0</v>
      </c>
      <c r="O760" t="n">
        <v>0</v>
      </c>
      <c r="P760" t="n">
        <v>0</v>
      </c>
      <c r="Q760" t="n">
        <v>0</v>
      </c>
      <c r="R760" s="2" t="inlineStr"/>
    </row>
    <row r="761" ht="15" customHeight="1">
      <c r="A761" t="inlineStr">
        <is>
          <t>A 42398-2025</t>
        </is>
      </c>
      <c r="B761" s="1" t="n">
        <v>45905.36827546296</v>
      </c>
      <c r="C761" s="1" t="n">
        <v>45992</v>
      </c>
      <c r="D761" t="inlineStr">
        <is>
          <t>GÄVLEBORGS LÄN</t>
        </is>
      </c>
      <c r="E761" t="inlineStr">
        <is>
          <t>LJUSDAL</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42591-2025</t>
        </is>
      </c>
      <c r="B762" s="1" t="n">
        <v>45905.64267361111</v>
      </c>
      <c r="C762" s="1" t="n">
        <v>45992</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22627-2023</t>
        </is>
      </c>
      <c r="B763" s="1" t="n">
        <v>45071.58001157407</v>
      </c>
      <c r="C763" s="1" t="n">
        <v>45992</v>
      </c>
      <c r="D763" t="inlineStr">
        <is>
          <t>GÄVLEBORGS LÄN</t>
        </is>
      </c>
      <c r="E763" t="inlineStr">
        <is>
          <t>LJUSDAL</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45992</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19190-2024</t>
        </is>
      </c>
      <c r="B765" s="1" t="n">
        <v>45428</v>
      </c>
      <c r="C765" s="1" t="n">
        <v>45992</v>
      </c>
      <c r="D765" t="inlineStr">
        <is>
          <t>GÄVLEBORGS LÄN</t>
        </is>
      </c>
      <c r="E765" t="inlineStr">
        <is>
          <t>LJUSDAL</t>
        </is>
      </c>
      <c r="G765" t="n">
        <v>4.8</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45992</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44048-2022</t>
        </is>
      </c>
      <c r="B767" s="1" t="n">
        <v>44838.94913194444</v>
      </c>
      <c r="C767" s="1" t="n">
        <v>45992</v>
      </c>
      <c r="D767" t="inlineStr">
        <is>
          <t>GÄVLEBORGS LÄN</t>
        </is>
      </c>
      <c r="E767" t="inlineStr">
        <is>
          <t>LJUSDAL</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52729-2023</t>
        </is>
      </c>
      <c r="B768" s="1" t="n">
        <v>45225.92707175926</v>
      </c>
      <c r="C768" s="1" t="n">
        <v>45992</v>
      </c>
      <c r="D768" t="inlineStr">
        <is>
          <t>GÄVLEBORGS LÄN</t>
        </is>
      </c>
      <c r="E768" t="inlineStr">
        <is>
          <t>LJUSDAL</t>
        </is>
      </c>
      <c r="G768" t="n">
        <v>3.1</v>
      </c>
      <c r="H768" t="n">
        <v>0</v>
      </c>
      <c r="I768" t="n">
        <v>0</v>
      </c>
      <c r="J768" t="n">
        <v>0</v>
      </c>
      <c r="K768" t="n">
        <v>0</v>
      </c>
      <c r="L768" t="n">
        <v>0</v>
      </c>
      <c r="M768" t="n">
        <v>0</v>
      </c>
      <c r="N768" t="n">
        <v>0</v>
      </c>
      <c r="O768" t="n">
        <v>0</v>
      </c>
      <c r="P768" t="n">
        <v>0</v>
      </c>
      <c r="Q768" t="n">
        <v>0</v>
      </c>
      <c r="R768" s="2" t="inlineStr"/>
    </row>
    <row r="769" ht="15" customHeight="1">
      <c r="A769" t="inlineStr">
        <is>
          <t>A 42097-2025</t>
        </is>
      </c>
      <c r="B769" s="1" t="n">
        <v>45903.75074074074</v>
      </c>
      <c r="C769" s="1" t="n">
        <v>45992</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53544-2023</t>
        </is>
      </c>
      <c r="B770" s="1" t="n">
        <v>45230.46125</v>
      </c>
      <c r="C770" s="1" t="n">
        <v>45992</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42601-2025</t>
        </is>
      </c>
      <c r="B771" s="1" t="n">
        <v>45905.6715625</v>
      </c>
      <c r="C771" s="1" t="n">
        <v>45992</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19314-2025</t>
        </is>
      </c>
      <c r="B772" s="1" t="n">
        <v>45769.57359953703</v>
      </c>
      <c r="C772" s="1" t="n">
        <v>45992</v>
      </c>
      <c r="D772" t="inlineStr">
        <is>
          <t>GÄVLEBORGS LÄN</t>
        </is>
      </c>
      <c r="E772" t="inlineStr">
        <is>
          <t>LJUSDAL</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30082-2025</t>
        </is>
      </c>
      <c r="B773" s="1" t="n">
        <v>45826.6516550926</v>
      </c>
      <c r="C773" s="1" t="n">
        <v>45992</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52837-2023</t>
        </is>
      </c>
      <c r="B774" s="1" t="n">
        <v>45226.41961805556</v>
      </c>
      <c r="C774" s="1" t="n">
        <v>45992</v>
      </c>
      <c r="D774" t="inlineStr">
        <is>
          <t>GÄVLEBORGS LÄN</t>
        </is>
      </c>
      <c r="E774" t="inlineStr">
        <is>
          <t>LJUSDAL</t>
        </is>
      </c>
      <c r="G774" t="n">
        <v>3</v>
      </c>
      <c r="H774" t="n">
        <v>0</v>
      </c>
      <c r="I774" t="n">
        <v>0</v>
      </c>
      <c r="J774" t="n">
        <v>0</v>
      </c>
      <c r="K774" t="n">
        <v>0</v>
      </c>
      <c r="L774" t="n">
        <v>0</v>
      </c>
      <c r="M774" t="n">
        <v>0</v>
      </c>
      <c r="N774" t="n">
        <v>0</v>
      </c>
      <c r="O774" t="n">
        <v>0</v>
      </c>
      <c r="P774" t="n">
        <v>0</v>
      </c>
      <c r="Q774" t="n">
        <v>0</v>
      </c>
      <c r="R774" s="2" t="inlineStr"/>
    </row>
    <row r="775" ht="15" customHeight="1">
      <c r="A775" t="inlineStr">
        <is>
          <t>A 42353-2025</t>
        </is>
      </c>
      <c r="B775" s="1" t="n">
        <v>45904.84546296296</v>
      </c>
      <c r="C775" s="1" t="n">
        <v>45992</v>
      </c>
      <c r="D775" t="inlineStr">
        <is>
          <t>GÄVLEBORGS LÄN</t>
        </is>
      </c>
      <c r="E775" t="inlineStr">
        <is>
          <t>LJUSDAL</t>
        </is>
      </c>
      <c r="F775" t="inlineStr">
        <is>
          <t>Holmen skog AB</t>
        </is>
      </c>
      <c r="G775" t="n">
        <v>1.1</v>
      </c>
      <c r="H775" t="n">
        <v>0</v>
      </c>
      <c r="I775" t="n">
        <v>0</v>
      </c>
      <c r="J775" t="n">
        <v>0</v>
      </c>
      <c r="K775" t="n">
        <v>0</v>
      </c>
      <c r="L775" t="n">
        <v>0</v>
      </c>
      <c r="M775" t="n">
        <v>0</v>
      </c>
      <c r="N775" t="n">
        <v>0</v>
      </c>
      <c r="O775" t="n">
        <v>0</v>
      </c>
      <c r="P775" t="n">
        <v>0</v>
      </c>
      <c r="Q775" t="n">
        <v>0</v>
      </c>
      <c r="R775" s="2" t="inlineStr"/>
    </row>
    <row r="776" ht="15" customHeight="1">
      <c r="A776" t="inlineStr">
        <is>
          <t>A 42670-2025</t>
        </is>
      </c>
      <c r="B776" s="1" t="n">
        <v>45908.28011574074</v>
      </c>
      <c r="C776" s="1" t="n">
        <v>45992</v>
      </c>
      <c r="D776" t="inlineStr">
        <is>
          <t>GÄVLEBORGS LÄN</t>
        </is>
      </c>
      <c r="E776" t="inlineStr">
        <is>
          <t>LJUSDAL</t>
        </is>
      </c>
      <c r="G776" t="n">
        <v>7</v>
      </c>
      <c r="H776" t="n">
        <v>0</v>
      </c>
      <c r="I776" t="n">
        <v>0</v>
      </c>
      <c r="J776" t="n">
        <v>0</v>
      </c>
      <c r="K776" t="n">
        <v>0</v>
      </c>
      <c r="L776" t="n">
        <v>0</v>
      </c>
      <c r="M776" t="n">
        <v>0</v>
      </c>
      <c r="N776" t="n">
        <v>0</v>
      </c>
      <c r="O776" t="n">
        <v>0</v>
      </c>
      <c r="P776" t="n">
        <v>0</v>
      </c>
      <c r="Q776" t="n">
        <v>0</v>
      </c>
      <c r="R776" s="2" t="inlineStr"/>
    </row>
    <row r="777" ht="15" customHeight="1">
      <c r="A777" t="inlineStr">
        <is>
          <t>A 42701-2025</t>
        </is>
      </c>
      <c r="B777" s="1" t="n">
        <v>45908.36534722222</v>
      </c>
      <c r="C777" s="1" t="n">
        <v>45992</v>
      </c>
      <c r="D777" t="inlineStr">
        <is>
          <t>GÄVLEBORGS LÄN</t>
        </is>
      </c>
      <c r="E777" t="inlineStr">
        <is>
          <t>LJUSDAL</t>
        </is>
      </c>
      <c r="G777" t="n">
        <v>2.9</v>
      </c>
      <c r="H777" t="n">
        <v>0</v>
      </c>
      <c r="I777" t="n">
        <v>0</v>
      </c>
      <c r="J777" t="n">
        <v>0</v>
      </c>
      <c r="K777" t="n">
        <v>0</v>
      </c>
      <c r="L777" t="n">
        <v>0</v>
      </c>
      <c r="M777" t="n">
        <v>0</v>
      </c>
      <c r="N777" t="n">
        <v>0</v>
      </c>
      <c r="O777" t="n">
        <v>0</v>
      </c>
      <c r="P777" t="n">
        <v>0</v>
      </c>
      <c r="Q777" t="n">
        <v>0</v>
      </c>
      <c r="R777" s="2" t="inlineStr"/>
    </row>
    <row r="778" ht="15" customHeight="1">
      <c r="A778" t="inlineStr">
        <is>
          <t>A 47292-2023</t>
        </is>
      </c>
      <c r="B778" s="1" t="n">
        <v>45202.47064814815</v>
      </c>
      <c r="C778" s="1" t="n">
        <v>45992</v>
      </c>
      <c r="D778" t="inlineStr">
        <is>
          <t>GÄVLEBORGS LÄN</t>
        </is>
      </c>
      <c r="E778" t="inlineStr">
        <is>
          <t>LJUSDAL</t>
        </is>
      </c>
      <c r="G778" t="n">
        <v>2.1</v>
      </c>
      <c r="H778" t="n">
        <v>0</v>
      </c>
      <c r="I778" t="n">
        <v>0</v>
      </c>
      <c r="J778" t="n">
        <v>0</v>
      </c>
      <c r="K778" t="n">
        <v>0</v>
      </c>
      <c r="L778" t="n">
        <v>0</v>
      </c>
      <c r="M778" t="n">
        <v>0</v>
      </c>
      <c r="N778" t="n">
        <v>0</v>
      </c>
      <c r="O778" t="n">
        <v>0</v>
      </c>
      <c r="P778" t="n">
        <v>0</v>
      </c>
      <c r="Q778" t="n">
        <v>0</v>
      </c>
      <c r="R778" s="2" t="inlineStr"/>
    </row>
    <row r="779" ht="15" customHeight="1">
      <c r="A779" t="inlineStr">
        <is>
          <t>A 51267-2025</t>
        </is>
      </c>
      <c r="B779" s="1" t="n">
        <v>45949.77891203704</v>
      </c>
      <c r="C779" s="1" t="n">
        <v>45992</v>
      </c>
      <c r="D779" t="inlineStr">
        <is>
          <t>GÄVLEBORGS LÄN</t>
        </is>
      </c>
      <c r="E779" t="inlineStr">
        <is>
          <t>LJUSDAL</t>
        </is>
      </c>
      <c r="G779" t="n">
        <v>12.2</v>
      </c>
      <c r="H779" t="n">
        <v>0</v>
      </c>
      <c r="I779" t="n">
        <v>0</v>
      </c>
      <c r="J779" t="n">
        <v>0</v>
      </c>
      <c r="K779" t="n">
        <v>0</v>
      </c>
      <c r="L779" t="n">
        <v>0</v>
      </c>
      <c r="M779" t="n">
        <v>0</v>
      </c>
      <c r="N779" t="n">
        <v>0</v>
      </c>
      <c r="O779" t="n">
        <v>0</v>
      </c>
      <c r="P779" t="n">
        <v>0</v>
      </c>
      <c r="Q779" t="n">
        <v>0</v>
      </c>
      <c r="R779" s="2" t="inlineStr"/>
    </row>
    <row r="780" ht="15" customHeight="1">
      <c r="A780" t="inlineStr">
        <is>
          <t>A 26611-2023</t>
        </is>
      </c>
      <c r="B780" s="1" t="n">
        <v>45092.69458333333</v>
      </c>
      <c r="C780" s="1" t="n">
        <v>45992</v>
      </c>
      <c r="D780" t="inlineStr">
        <is>
          <t>GÄVLEBORGS LÄN</t>
        </is>
      </c>
      <c r="E780" t="inlineStr">
        <is>
          <t>LJUSDAL</t>
        </is>
      </c>
      <c r="G780" t="n">
        <v>1.5</v>
      </c>
      <c r="H780" t="n">
        <v>0</v>
      </c>
      <c r="I780" t="n">
        <v>0</v>
      </c>
      <c r="J780" t="n">
        <v>0</v>
      </c>
      <c r="K780" t="n">
        <v>0</v>
      </c>
      <c r="L780" t="n">
        <v>0</v>
      </c>
      <c r="M780" t="n">
        <v>0</v>
      </c>
      <c r="N780" t="n">
        <v>0</v>
      </c>
      <c r="O780" t="n">
        <v>0</v>
      </c>
      <c r="P780" t="n">
        <v>0</v>
      </c>
      <c r="Q780" t="n">
        <v>0</v>
      </c>
      <c r="R780" s="2" t="inlineStr"/>
    </row>
    <row r="781" ht="15" customHeight="1">
      <c r="A781" t="inlineStr">
        <is>
          <t>A 29790-2023</t>
        </is>
      </c>
      <c r="B781" s="1" t="n">
        <v>45107.52090277777</v>
      </c>
      <c r="C781" s="1" t="n">
        <v>45992</v>
      </c>
      <c r="D781" t="inlineStr">
        <is>
          <t>GÄVLEBORGS LÄN</t>
        </is>
      </c>
      <c r="E781" t="inlineStr">
        <is>
          <t>LJUSDAL</t>
        </is>
      </c>
      <c r="G781" t="n">
        <v>4.8</v>
      </c>
      <c r="H781" t="n">
        <v>0</v>
      </c>
      <c r="I781" t="n">
        <v>0</v>
      </c>
      <c r="J781" t="n">
        <v>0</v>
      </c>
      <c r="K781" t="n">
        <v>0</v>
      </c>
      <c r="L781" t="n">
        <v>0</v>
      </c>
      <c r="M781" t="n">
        <v>0</v>
      </c>
      <c r="N781" t="n">
        <v>0</v>
      </c>
      <c r="O781" t="n">
        <v>0</v>
      </c>
      <c r="P781" t="n">
        <v>0</v>
      </c>
      <c r="Q781" t="n">
        <v>0</v>
      </c>
      <c r="R781" s="2" t="inlineStr"/>
    </row>
    <row r="782" ht="15" customHeight="1">
      <c r="A782" t="inlineStr">
        <is>
          <t>A 27512-2023</t>
        </is>
      </c>
      <c r="B782" s="1" t="n">
        <v>45097</v>
      </c>
      <c r="C782" s="1" t="n">
        <v>45992</v>
      </c>
      <c r="D782" t="inlineStr">
        <is>
          <t>GÄVLEBORGS LÄN</t>
        </is>
      </c>
      <c r="E782" t="inlineStr">
        <is>
          <t>LJUSDAL</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42866-2025</t>
        </is>
      </c>
      <c r="B783" s="1" t="n">
        <v>45908.61733796296</v>
      </c>
      <c r="C783" s="1" t="n">
        <v>45992</v>
      </c>
      <c r="D783" t="inlineStr">
        <is>
          <t>GÄVLEBORGS LÄN</t>
        </is>
      </c>
      <c r="E783" t="inlineStr">
        <is>
          <t>LJUSDAL</t>
        </is>
      </c>
      <c r="F783" t="inlineStr">
        <is>
          <t>Allmännings- och besparingsskogar</t>
        </is>
      </c>
      <c r="G783" t="n">
        <v>6.2</v>
      </c>
      <c r="H783" t="n">
        <v>0</v>
      </c>
      <c r="I783" t="n">
        <v>0</v>
      </c>
      <c r="J783" t="n">
        <v>0</v>
      </c>
      <c r="K783" t="n">
        <v>0</v>
      </c>
      <c r="L783" t="n">
        <v>0</v>
      </c>
      <c r="M783" t="n">
        <v>0</v>
      </c>
      <c r="N783" t="n">
        <v>0</v>
      </c>
      <c r="O783" t="n">
        <v>0</v>
      </c>
      <c r="P783" t="n">
        <v>0</v>
      </c>
      <c r="Q783" t="n">
        <v>0</v>
      </c>
      <c r="R783" s="2" t="inlineStr"/>
    </row>
    <row r="784" ht="15" customHeight="1">
      <c r="A784" t="inlineStr">
        <is>
          <t>A 5850-2023</t>
        </is>
      </c>
      <c r="B784" s="1" t="n">
        <v>44963.58248842593</v>
      </c>
      <c r="C784" s="1" t="n">
        <v>45992</v>
      </c>
      <c r="D784" t="inlineStr">
        <is>
          <t>GÄVLEBORGS LÄN</t>
        </is>
      </c>
      <c r="E784" t="inlineStr">
        <is>
          <t>LJUSDAL</t>
        </is>
      </c>
      <c r="F784" t="inlineStr">
        <is>
          <t>Allmännings- och besparingsskogar</t>
        </is>
      </c>
      <c r="G784" t="n">
        <v>20.5</v>
      </c>
      <c r="H784" t="n">
        <v>0</v>
      </c>
      <c r="I784" t="n">
        <v>0</v>
      </c>
      <c r="J784" t="n">
        <v>0</v>
      </c>
      <c r="K784" t="n">
        <v>0</v>
      </c>
      <c r="L784" t="n">
        <v>0</v>
      </c>
      <c r="M784" t="n">
        <v>0</v>
      </c>
      <c r="N784" t="n">
        <v>0</v>
      </c>
      <c r="O784" t="n">
        <v>0</v>
      </c>
      <c r="P784" t="n">
        <v>0</v>
      </c>
      <c r="Q784" t="n">
        <v>0</v>
      </c>
      <c r="R784" s="2" t="inlineStr"/>
    </row>
    <row r="785" ht="15" customHeight="1">
      <c r="A785" t="inlineStr">
        <is>
          <t>A 42822-2025</t>
        </is>
      </c>
      <c r="B785" s="1" t="n">
        <v>45908.5725</v>
      </c>
      <c r="C785" s="1" t="n">
        <v>45992</v>
      </c>
      <c r="D785" t="inlineStr">
        <is>
          <t>GÄVLEBORGS LÄN</t>
        </is>
      </c>
      <c r="E785" t="inlineStr">
        <is>
          <t>LJUSDAL</t>
        </is>
      </c>
      <c r="G785" t="n">
        <v>3.7</v>
      </c>
      <c r="H785" t="n">
        <v>0</v>
      </c>
      <c r="I785" t="n">
        <v>0</v>
      </c>
      <c r="J785" t="n">
        <v>0</v>
      </c>
      <c r="K785" t="n">
        <v>0</v>
      </c>
      <c r="L785" t="n">
        <v>0</v>
      </c>
      <c r="M785" t="n">
        <v>0</v>
      </c>
      <c r="N785" t="n">
        <v>0</v>
      </c>
      <c r="O785" t="n">
        <v>0</v>
      </c>
      <c r="P785" t="n">
        <v>0</v>
      </c>
      <c r="Q785" t="n">
        <v>0</v>
      </c>
      <c r="R785" s="2" t="inlineStr"/>
    </row>
    <row r="786" ht="15" customHeight="1">
      <c r="A786" t="inlineStr">
        <is>
          <t>A 42913-2025</t>
        </is>
      </c>
      <c r="B786" s="1" t="n">
        <v>45908.71673611111</v>
      </c>
      <c r="C786" s="1" t="n">
        <v>45992</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30665-2025</t>
        </is>
      </c>
      <c r="B787" s="1" t="n">
        <v>45831.51395833334</v>
      </c>
      <c r="C787" s="1" t="n">
        <v>45992</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43094-2025</t>
        </is>
      </c>
      <c r="B788" s="1" t="n">
        <v>45909.62625</v>
      </c>
      <c r="C788" s="1" t="n">
        <v>45992</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42878-2025</t>
        </is>
      </c>
      <c r="B789" s="1" t="n">
        <v>45908.6357175926</v>
      </c>
      <c r="C789" s="1" t="n">
        <v>45992</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34058-2022</t>
        </is>
      </c>
      <c r="B790" s="1" t="n">
        <v>44791.37611111111</v>
      </c>
      <c r="C790" s="1" t="n">
        <v>45992</v>
      </c>
      <c r="D790" t="inlineStr">
        <is>
          <t>GÄVLEBORGS LÄN</t>
        </is>
      </c>
      <c r="E790" t="inlineStr">
        <is>
          <t>LJUSDAL</t>
        </is>
      </c>
      <c r="G790" t="n">
        <v>2.2</v>
      </c>
      <c r="H790" t="n">
        <v>0</v>
      </c>
      <c r="I790" t="n">
        <v>0</v>
      </c>
      <c r="J790" t="n">
        <v>0</v>
      </c>
      <c r="K790" t="n">
        <v>0</v>
      </c>
      <c r="L790" t="n">
        <v>0</v>
      </c>
      <c r="M790" t="n">
        <v>0</v>
      </c>
      <c r="N790" t="n">
        <v>0</v>
      </c>
      <c r="O790" t="n">
        <v>0</v>
      </c>
      <c r="P790" t="n">
        <v>0</v>
      </c>
      <c r="Q790" t="n">
        <v>0</v>
      </c>
      <c r="R790" s="2" t="inlineStr"/>
    </row>
    <row r="791" ht="15" customHeight="1">
      <c r="A791" t="inlineStr">
        <is>
          <t>A 30496-2025</t>
        </is>
      </c>
      <c r="B791" s="1" t="n">
        <v>45830.71666666667</v>
      </c>
      <c r="C791" s="1" t="n">
        <v>45992</v>
      </c>
      <c r="D791" t="inlineStr">
        <is>
          <t>GÄVLEBORGS LÄN</t>
        </is>
      </c>
      <c r="E791" t="inlineStr">
        <is>
          <t>LJUSDAL</t>
        </is>
      </c>
      <c r="G791" t="n">
        <v>7.8</v>
      </c>
      <c r="H791" t="n">
        <v>0</v>
      </c>
      <c r="I791" t="n">
        <v>0</v>
      </c>
      <c r="J791" t="n">
        <v>0</v>
      </c>
      <c r="K791" t="n">
        <v>0</v>
      </c>
      <c r="L791" t="n">
        <v>0</v>
      </c>
      <c r="M791" t="n">
        <v>0</v>
      </c>
      <c r="N791" t="n">
        <v>0</v>
      </c>
      <c r="O791" t="n">
        <v>0</v>
      </c>
      <c r="P791" t="n">
        <v>0</v>
      </c>
      <c r="Q791" t="n">
        <v>0</v>
      </c>
      <c r="R791" s="2" t="inlineStr"/>
    </row>
    <row r="792" ht="15" customHeight="1">
      <c r="A792" t="inlineStr">
        <is>
          <t>A 30577-2025</t>
        </is>
      </c>
      <c r="B792" s="1" t="n">
        <v>45831.41457175926</v>
      </c>
      <c r="C792" s="1" t="n">
        <v>45992</v>
      </c>
      <c r="D792" t="inlineStr">
        <is>
          <t>GÄVLEBORGS LÄN</t>
        </is>
      </c>
      <c r="E792" t="inlineStr">
        <is>
          <t>LJUSDAL</t>
        </is>
      </c>
      <c r="F792" t="inlineStr">
        <is>
          <t>Sveaskog</t>
        </is>
      </c>
      <c r="G792" t="n">
        <v>4.5</v>
      </c>
      <c r="H792" t="n">
        <v>0</v>
      </c>
      <c r="I792" t="n">
        <v>0</v>
      </c>
      <c r="J792" t="n">
        <v>0</v>
      </c>
      <c r="K792" t="n">
        <v>0</v>
      </c>
      <c r="L792" t="n">
        <v>0</v>
      </c>
      <c r="M792" t="n">
        <v>0</v>
      </c>
      <c r="N792" t="n">
        <v>0</v>
      </c>
      <c r="O792" t="n">
        <v>0</v>
      </c>
      <c r="P792" t="n">
        <v>0</v>
      </c>
      <c r="Q792" t="n">
        <v>0</v>
      </c>
      <c r="R792" s="2" t="inlineStr"/>
    </row>
    <row r="793" ht="15" customHeight="1">
      <c r="A793" t="inlineStr">
        <is>
          <t>A 30589-2025</t>
        </is>
      </c>
      <c r="B793" s="1" t="n">
        <v>45831.43140046296</v>
      </c>
      <c r="C793" s="1" t="n">
        <v>45992</v>
      </c>
      <c r="D793" t="inlineStr">
        <is>
          <t>GÄVLEBORGS LÄN</t>
        </is>
      </c>
      <c r="E793" t="inlineStr">
        <is>
          <t>LJUSDAL</t>
        </is>
      </c>
      <c r="F793" t="inlineStr">
        <is>
          <t>Holmen skog AB</t>
        </is>
      </c>
      <c r="G793" t="n">
        <v>32.3</v>
      </c>
      <c r="H793" t="n">
        <v>0</v>
      </c>
      <c r="I793" t="n">
        <v>0</v>
      </c>
      <c r="J793" t="n">
        <v>0</v>
      </c>
      <c r="K793" t="n">
        <v>0</v>
      </c>
      <c r="L793" t="n">
        <v>0</v>
      </c>
      <c r="M793" t="n">
        <v>0</v>
      </c>
      <c r="N793" t="n">
        <v>0</v>
      </c>
      <c r="O793" t="n">
        <v>0</v>
      </c>
      <c r="P793" t="n">
        <v>0</v>
      </c>
      <c r="Q793" t="n">
        <v>0</v>
      </c>
      <c r="R793" s="2" t="inlineStr"/>
    </row>
    <row r="794" ht="15" customHeight="1">
      <c r="A794" t="inlineStr">
        <is>
          <t>A 4195-2023</t>
        </is>
      </c>
      <c r="B794" s="1" t="n">
        <v>44953.43362268519</v>
      </c>
      <c r="C794" s="1" t="n">
        <v>45992</v>
      </c>
      <c r="D794" t="inlineStr">
        <is>
          <t>GÄVLEBORGS LÄN</t>
        </is>
      </c>
      <c r="E794" t="inlineStr">
        <is>
          <t>LJUSDAL</t>
        </is>
      </c>
      <c r="F794" t="inlineStr">
        <is>
          <t>Holmen skog AB</t>
        </is>
      </c>
      <c r="G794" t="n">
        <v>3.3</v>
      </c>
      <c r="H794" t="n">
        <v>0</v>
      </c>
      <c r="I794" t="n">
        <v>0</v>
      </c>
      <c r="J794" t="n">
        <v>0</v>
      </c>
      <c r="K794" t="n">
        <v>0</v>
      </c>
      <c r="L794" t="n">
        <v>0</v>
      </c>
      <c r="M794" t="n">
        <v>0</v>
      </c>
      <c r="N794" t="n">
        <v>0</v>
      </c>
      <c r="O794" t="n">
        <v>0</v>
      </c>
      <c r="P794" t="n">
        <v>0</v>
      </c>
      <c r="Q794" t="n">
        <v>0</v>
      </c>
      <c r="R794" s="2" t="inlineStr"/>
    </row>
    <row r="795" ht="15" customHeight="1">
      <c r="A795" t="inlineStr">
        <is>
          <t>A 835-2023</t>
        </is>
      </c>
      <c r="B795" s="1" t="n">
        <v>44931</v>
      </c>
      <c r="C795" s="1" t="n">
        <v>45992</v>
      </c>
      <c r="D795" t="inlineStr">
        <is>
          <t>GÄVLEBORGS LÄN</t>
        </is>
      </c>
      <c r="E795" t="inlineStr">
        <is>
          <t>LJUSDAL</t>
        </is>
      </c>
      <c r="G795" t="n">
        <v>2.2</v>
      </c>
      <c r="H795" t="n">
        <v>0</v>
      </c>
      <c r="I795" t="n">
        <v>0</v>
      </c>
      <c r="J795" t="n">
        <v>0</v>
      </c>
      <c r="K795" t="n">
        <v>0</v>
      </c>
      <c r="L795" t="n">
        <v>0</v>
      </c>
      <c r="M795" t="n">
        <v>0</v>
      </c>
      <c r="N795" t="n">
        <v>0</v>
      </c>
      <c r="O795" t="n">
        <v>0</v>
      </c>
      <c r="P795" t="n">
        <v>0</v>
      </c>
      <c r="Q795" t="n">
        <v>0</v>
      </c>
      <c r="R795" s="2" t="inlineStr"/>
    </row>
    <row r="796" ht="15" customHeight="1">
      <c r="A796" t="inlineStr">
        <is>
          <t>A 29686-2023</t>
        </is>
      </c>
      <c r="B796" s="1" t="n">
        <v>45107.38175925926</v>
      </c>
      <c r="C796" s="1" t="n">
        <v>45992</v>
      </c>
      <c r="D796" t="inlineStr">
        <is>
          <t>GÄVLEBORGS LÄN</t>
        </is>
      </c>
      <c r="E796" t="inlineStr">
        <is>
          <t>LJUSDAL</t>
        </is>
      </c>
      <c r="G796" t="n">
        <v>1.6</v>
      </c>
      <c r="H796" t="n">
        <v>0</v>
      </c>
      <c r="I796" t="n">
        <v>0</v>
      </c>
      <c r="J796" t="n">
        <v>0</v>
      </c>
      <c r="K796" t="n">
        <v>0</v>
      </c>
      <c r="L796" t="n">
        <v>0</v>
      </c>
      <c r="M796" t="n">
        <v>0</v>
      </c>
      <c r="N796" t="n">
        <v>0</v>
      </c>
      <c r="O796" t="n">
        <v>0</v>
      </c>
      <c r="P796" t="n">
        <v>0</v>
      </c>
      <c r="Q796" t="n">
        <v>0</v>
      </c>
      <c r="R796" s="2" t="inlineStr"/>
    </row>
    <row r="797" ht="15" customHeight="1">
      <c r="A797" t="inlineStr">
        <is>
          <t>A 30677-2025</t>
        </is>
      </c>
      <c r="B797" s="1" t="n">
        <v>45831.52335648148</v>
      </c>
      <c r="C797" s="1" t="n">
        <v>45992</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30681-2025</t>
        </is>
      </c>
      <c r="B798" s="1" t="n">
        <v>45831.52996527778</v>
      </c>
      <c r="C798" s="1" t="n">
        <v>45992</v>
      </c>
      <c r="D798" t="inlineStr">
        <is>
          <t>GÄVLEBORGS LÄN</t>
        </is>
      </c>
      <c r="E798" t="inlineStr">
        <is>
          <t>LJUSDAL</t>
        </is>
      </c>
      <c r="G798" t="n">
        <v>1.1</v>
      </c>
      <c r="H798" t="n">
        <v>0</v>
      </c>
      <c r="I798" t="n">
        <v>0</v>
      </c>
      <c r="J798" t="n">
        <v>0</v>
      </c>
      <c r="K798" t="n">
        <v>0</v>
      </c>
      <c r="L798" t="n">
        <v>0</v>
      </c>
      <c r="M798" t="n">
        <v>0</v>
      </c>
      <c r="N798" t="n">
        <v>0</v>
      </c>
      <c r="O798" t="n">
        <v>0</v>
      </c>
      <c r="P798" t="n">
        <v>0</v>
      </c>
      <c r="Q798" t="n">
        <v>0</v>
      </c>
      <c r="R798" s="2" t="inlineStr"/>
    </row>
    <row r="799" ht="15" customHeight="1">
      <c r="A799" t="inlineStr">
        <is>
          <t>A 30686-2025</t>
        </is>
      </c>
      <c r="B799" s="1" t="n">
        <v>45831.53361111111</v>
      </c>
      <c r="C799" s="1" t="n">
        <v>45992</v>
      </c>
      <c r="D799" t="inlineStr">
        <is>
          <t>GÄVLEBORGS LÄN</t>
        </is>
      </c>
      <c r="E799" t="inlineStr">
        <is>
          <t>LJUSDAL</t>
        </is>
      </c>
      <c r="F799" t="inlineStr">
        <is>
          <t>Bergvik skog väst AB</t>
        </is>
      </c>
      <c r="G799" t="n">
        <v>9.9</v>
      </c>
      <c r="H799" t="n">
        <v>0</v>
      </c>
      <c r="I799" t="n">
        <v>0</v>
      </c>
      <c r="J799" t="n">
        <v>0</v>
      </c>
      <c r="K799" t="n">
        <v>0</v>
      </c>
      <c r="L799" t="n">
        <v>0</v>
      </c>
      <c r="M799" t="n">
        <v>0</v>
      </c>
      <c r="N799" t="n">
        <v>0</v>
      </c>
      <c r="O799" t="n">
        <v>0</v>
      </c>
      <c r="P799" t="n">
        <v>0</v>
      </c>
      <c r="Q799" t="n">
        <v>0</v>
      </c>
      <c r="R799" s="2" t="inlineStr"/>
    </row>
    <row r="800" ht="15" customHeight="1">
      <c r="A800" t="inlineStr">
        <is>
          <t>A 54897-2024</t>
        </is>
      </c>
      <c r="B800" s="1" t="n">
        <v>45618</v>
      </c>
      <c r="C800" s="1" t="n">
        <v>45992</v>
      </c>
      <c r="D800" t="inlineStr">
        <is>
          <t>GÄVLEBORGS LÄN</t>
        </is>
      </c>
      <c r="E800" t="inlineStr">
        <is>
          <t>LJUSDAL</t>
        </is>
      </c>
      <c r="G800" t="n">
        <v>1</v>
      </c>
      <c r="H800" t="n">
        <v>0</v>
      </c>
      <c r="I800" t="n">
        <v>0</v>
      </c>
      <c r="J800" t="n">
        <v>0</v>
      </c>
      <c r="K800" t="n">
        <v>0</v>
      </c>
      <c r="L800" t="n">
        <v>0</v>
      </c>
      <c r="M800" t="n">
        <v>0</v>
      </c>
      <c r="N800" t="n">
        <v>0</v>
      </c>
      <c r="O800" t="n">
        <v>0</v>
      </c>
      <c r="P800" t="n">
        <v>0</v>
      </c>
      <c r="Q800" t="n">
        <v>0</v>
      </c>
      <c r="R800" s="2" t="inlineStr"/>
    </row>
    <row r="801" ht="15" customHeight="1">
      <c r="A801" t="inlineStr">
        <is>
          <t>A 48953-2021</t>
        </is>
      </c>
      <c r="B801" s="1" t="n">
        <v>44453.37505787037</v>
      </c>
      <c r="C801" s="1" t="n">
        <v>45992</v>
      </c>
      <c r="D801" t="inlineStr">
        <is>
          <t>GÄVLEBORGS LÄN</t>
        </is>
      </c>
      <c r="E801" t="inlineStr">
        <is>
          <t>LJUSDAL</t>
        </is>
      </c>
      <c r="G801" t="n">
        <v>0.1</v>
      </c>
      <c r="H801" t="n">
        <v>0</v>
      </c>
      <c r="I801" t="n">
        <v>0</v>
      </c>
      <c r="J801" t="n">
        <v>0</v>
      </c>
      <c r="K801" t="n">
        <v>0</v>
      </c>
      <c r="L801" t="n">
        <v>0</v>
      </c>
      <c r="M801" t="n">
        <v>0</v>
      </c>
      <c r="N801" t="n">
        <v>0</v>
      </c>
      <c r="O801" t="n">
        <v>0</v>
      </c>
      <c r="P801" t="n">
        <v>0</v>
      </c>
      <c r="Q801" t="n">
        <v>0</v>
      </c>
      <c r="R801" s="2" t="inlineStr"/>
    </row>
    <row r="802" ht="15" customHeight="1">
      <c r="A802" t="inlineStr">
        <is>
          <t>A 31140-2025</t>
        </is>
      </c>
      <c r="B802" s="1" t="n">
        <v>45832.63648148148</v>
      </c>
      <c r="C802" s="1" t="n">
        <v>45992</v>
      </c>
      <c r="D802" t="inlineStr">
        <is>
          <t>GÄVLEBORGS LÄN</t>
        </is>
      </c>
      <c r="E802" t="inlineStr">
        <is>
          <t>LJUSDAL</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36170-2023</t>
        </is>
      </c>
      <c r="B803" s="1" t="n">
        <v>45149.6374074074</v>
      </c>
      <c r="C803" s="1" t="n">
        <v>45992</v>
      </c>
      <c r="D803" t="inlineStr">
        <is>
          <t>GÄVLEBORGS LÄN</t>
        </is>
      </c>
      <c r="E803" t="inlineStr">
        <is>
          <t>LJUSDAL</t>
        </is>
      </c>
      <c r="F803" t="inlineStr">
        <is>
          <t>Sveaskog</t>
        </is>
      </c>
      <c r="G803" t="n">
        <v>9.4</v>
      </c>
      <c r="H803" t="n">
        <v>0</v>
      </c>
      <c r="I803" t="n">
        <v>0</v>
      </c>
      <c r="J803" t="n">
        <v>0</v>
      </c>
      <c r="K803" t="n">
        <v>0</v>
      </c>
      <c r="L803" t="n">
        <v>0</v>
      </c>
      <c r="M803" t="n">
        <v>0</v>
      </c>
      <c r="N803" t="n">
        <v>0</v>
      </c>
      <c r="O803" t="n">
        <v>0</v>
      </c>
      <c r="P803" t="n">
        <v>0</v>
      </c>
      <c r="Q803" t="n">
        <v>0</v>
      </c>
      <c r="R803" s="2" t="inlineStr"/>
    </row>
    <row r="804" ht="15" customHeight="1">
      <c r="A804" t="inlineStr">
        <is>
          <t>A 30937-2025</t>
        </is>
      </c>
      <c r="B804" s="1" t="n">
        <v>45832.40670138889</v>
      </c>
      <c r="C804" s="1" t="n">
        <v>45992</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23429-2025</t>
        </is>
      </c>
      <c r="B805" s="1" t="n">
        <v>45792</v>
      </c>
      <c r="C805" s="1" t="n">
        <v>45992</v>
      </c>
      <c r="D805" t="inlineStr">
        <is>
          <t>GÄVLEBORGS LÄN</t>
        </is>
      </c>
      <c r="E805" t="inlineStr">
        <is>
          <t>LJUSDAL</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31064-2025</t>
        </is>
      </c>
      <c r="B806" s="1" t="n">
        <v>45832.57532407407</v>
      </c>
      <c r="C806" s="1" t="n">
        <v>45992</v>
      </c>
      <c r="D806" t="inlineStr">
        <is>
          <t>GÄVLEBORGS LÄN</t>
        </is>
      </c>
      <c r="E806" t="inlineStr">
        <is>
          <t>LJUSDAL</t>
        </is>
      </c>
      <c r="F806" t="inlineStr">
        <is>
          <t>Allmännings- och besparingsskogar</t>
        </is>
      </c>
      <c r="G806" t="n">
        <v>1.3</v>
      </c>
      <c r="H806" t="n">
        <v>0</v>
      </c>
      <c r="I806" t="n">
        <v>0</v>
      </c>
      <c r="J806" t="n">
        <v>0</v>
      </c>
      <c r="K806" t="n">
        <v>0</v>
      </c>
      <c r="L806" t="n">
        <v>0</v>
      </c>
      <c r="M806" t="n">
        <v>0</v>
      </c>
      <c r="N806" t="n">
        <v>0</v>
      </c>
      <c r="O806" t="n">
        <v>0</v>
      </c>
      <c r="P806" t="n">
        <v>0</v>
      </c>
      <c r="Q806" t="n">
        <v>0</v>
      </c>
      <c r="R806" s="2" t="inlineStr"/>
    </row>
    <row r="807" ht="15" customHeight="1">
      <c r="A807" t="inlineStr">
        <is>
          <t>A 31126-2025</t>
        </is>
      </c>
      <c r="B807" s="1" t="n">
        <v>45832.62875</v>
      </c>
      <c r="C807" s="1" t="n">
        <v>45992</v>
      </c>
      <c r="D807" t="inlineStr">
        <is>
          <t>GÄVLEBORGS LÄN</t>
        </is>
      </c>
      <c r="E807" t="inlineStr">
        <is>
          <t>LJUSDAL</t>
        </is>
      </c>
      <c r="F807" t="inlineStr">
        <is>
          <t>Sveaskog</t>
        </is>
      </c>
      <c r="G807" t="n">
        <v>5</v>
      </c>
      <c r="H807" t="n">
        <v>0</v>
      </c>
      <c r="I807" t="n">
        <v>0</v>
      </c>
      <c r="J807" t="n">
        <v>0</v>
      </c>
      <c r="K807" t="n">
        <v>0</v>
      </c>
      <c r="L807" t="n">
        <v>0</v>
      </c>
      <c r="M807" t="n">
        <v>0</v>
      </c>
      <c r="N807" t="n">
        <v>0</v>
      </c>
      <c r="O807" t="n">
        <v>0</v>
      </c>
      <c r="P807" t="n">
        <v>0</v>
      </c>
      <c r="Q807" t="n">
        <v>0</v>
      </c>
      <c r="R807" s="2" t="inlineStr"/>
    </row>
    <row r="808" ht="15" customHeight="1">
      <c r="A808" t="inlineStr">
        <is>
          <t>A 31130-2025</t>
        </is>
      </c>
      <c r="B808" s="1" t="n">
        <v>45832.63040509259</v>
      </c>
      <c r="C808" s="1" t="n">
        <v>45992</v>
      </c>
      <c r="D808" t="inlineStr">
        <is>
          <t>GÄVLEBORGS LÄN</t>
        </is>
      </c>
      <c r="E808" t="inlineStr">
        <is>
          <t>LJUSDAL</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59931-2023</t>
        </is>
      </c>
      <c r="B809" s="1" t="n">
        <v>45257.66400462963</v>
      </c>
      <c r="C809" s="1" t="n">
        <v>45992</v>
      </c>
      <c r="D809" t="inlineStr">
        <is>
          <t>GÄVLEBORGS LÄN</t>
        </is>
      </c>
      <c r="E809" t="inlineStr">
        <is>
          <t>LJUSDAL</t>
        </is>
      </c>
      <c r="G809" t="n">
        <v>4.2</v>
      </c>
      <c r="H809" t="n">
        <v>0</v>
      </c>
      <c r="I809" t="n">
        <v>0</v>
      </c>
      <c r="J809" t="n">
        <v>0</v>
      </c>
      <c r="K809" t="n">
        <v>0</v>
      </c>
      <c r="L809" t="n">
        <v>0</v>
      </c>
      <c r="M809" t="n">
        <v>0</v>
      </c>
      <c r="N809" t="n">
        <v>0</v>
      </c>
      <c r="O809" t="n">
        <v>0</v>
      </c>
      <c r="P809" t="n">
        <v>0</v>
      </c>
      <c r="Q809" t="n">
        <v>0</v>
      </c>
      <c r="R809" s="2" t="inlineStr"/>
    </row>
    <row r="810" ht="15" customHeight="1">
      <c r="A810" t="inlineStr">
        <is>
          <t>A 18108-2021</t>
        </is>
      </c>
      <c r="B810" s="1" t="n">
        <v>44302.49407407407</v>
      </c>
      <c r="C810" s="1" t="n">
        <v>45992</v>
      </c>
      <c r="D810" t="inlineStr">
        <is>
          <t>GÄVLEBORGS LÄN</t>
        </is>
      </c>
      <c r="E810" t="inlineStr">
        <is>
          <t>LJUSDAL</t>
        </is>
      </c>
      <c r="G810" t="n">
        <v>3.9</v>
      </c>
      <c r="H810" t="n">
        <v>0</v>
      </c>
      <c r="I810" t="n">
        <v>0</v>
      </c>
      <c r="J810" t="n">
        <v>0</v>
      </c>
      <c r="K810" t="n">
        <v>0</v>
      </c>
      <c r="L810" t="n">
        <v>0</v>
      </c>
      <c r="M810" t="n">
        <v>0</v>
      </c>
      <c r="N810" t="n">
        <v>0</v>
      </c>
      <c r="O810" t="n">
        <v>0</v>
      </c>
      <c r="P810" t="n">
        <v>0</v>
      </c>
      <c r="Q810" t="n">
        <v>0</v>
      </c>
      <c r="R810" s="2" t="inlineStr"/>
    </row>
    <row r="811" ht="15" customHeight="1">
      <c r="A811" t="inlineStr">
        <is>
          <t>A 31040-2025</t>
        </is>
      </c>
      <c r="B811" s="1" t="n">
        <v>45832.55109953704</v>
      </c>
      <c r="C811" s="1" t="n">
        <v>45992</v>
      </c>
      <c r="D811" t="inlineStr">
        <is>
          <t>GÄVLEBORGS LÄN</t>
        </is>
      </c>
      <c r="E811" t="inlineStr">
        <is>
          <t>LJUSDAL</t>
        </is>
      </c>
      <c r="G811" t="n">
        <v>1.9</v>
      </c>
      <c r="H811" t="n">
        <v>0</v>
      </c>
      <c r="I811" t="n">
        <v>0</v>
      </c>
      <c r="J811" t="n">
        <v>0</v>
      </c>
      <c r="K811" t="n">
        <v>0</v>
      </c>
      <c r="L811" t="n">
        <v>0</v>
      </c>
      <c r="M811" t="n">
        <v>0</v>
      </c>
      <c r="N811" t="n">
        <v>0</v>
      </c>
      <c r="O811" t="n">
        <v>0</v>
      </c>
      <c r="P811" t="n">
        <v>0</v>
      </c>
      <c r="Q811" t="n">
        <v>0</v>
      </c>
      <c r="R811" s="2" t="inlineStr"/>
    </row>
    <row r="812" ht="15" customHeight="1">
      <c r="A812" t="inlineStr">
        <is>
          <t>A 30926-2025</t>
        </is>
      </c>
      <c r="B812" s="1" t="n">
        <v>45832.38623842593</v>
      </c>
      <c r="C812" s="1" t="n">
        <v>45992</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31028-2025</t>
        </is>
      </c>
      <c r="B813" s="1" t="n">
        <v>45832.53422453703</v>
      </c>
      <c r="C813" s="1" t="n">
        <v>45992</v>
      </c>
      <c r="D813" t="inlineStr">
        <is>
          <t>GÄVLEBORGS LÄN</t>
        </is>
      </c>
      <c r="E813" t="inlineStr">
        <is>
          <t>LJUSDAL</t>
        </is>
      </c>
      <c r="G813" t="n">
        <v>20.5</v>
      </c>
      <c r="H813" t="n">
        <v>0</v>
      </c>
      <c r="I813" t="n">
        <v>0</v>
      </c>
      <c r="J813" t="n">
        <v>0</v>
      </c>
      <c r="K813" t="n">
        <v>0</v>
      </c>
      <c r="L813" t="n">
        <v>0</v>
      </c>
      <c r="M813" t="n">
        <v>0</v>
      </c>
      <c r="N813" t="n">
        <v>0</v>
      </c>
      <c r="O813" t="n">
        <v>0</v>
      </c>
      <c r="P813" t="n">
        <v>0</v>
      </c>
      <c r="Q813" t="n">
        <v>0</v>
      </c>
      <c r="R813" s="2" t="inlineStr"/>
    </row>
    <row r="814" ht="15" customHeight="1">
      <c r="A814" t="inlineStr">
        <is>
          <t>A 30979-2025</t>
        </is>
      </c>
      <c r="B814" s="1" t="n">
        <v>45832.4678587963</v>
      </c>
      <c r="C814" s="1" t="n">
        <v>45992</v>
      </c>
      <c r="D814" t="inlineStr">
        <is>
          <t>GÄVLEBORGS LÄN</t>
        </is>
      </c>
      <c r="E814" t="inlineStr">
        <is>
          <t>LJUSDAL</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31072-2025</t>
        </is>
      </c>
      <c r="B815" s="1" t="n">
        <v>45832.57938657407</v>
      </c>
      <c r="C815" s="1" t="n">
        <v>45992</v>
      </c>
      <c r="D815" t="inlineStr">
        <is>
          <t>GÄVLEBORGS LÄN</t>
        </is>
      </c>
      <c r="E815" t="inlineStr">
        <is>
          <t>LJUSDAL</t>
        </is>
      </c>
      <c r="F815" t="inlineStr">
        <is>
          <t>Holmen skog AB</t>
        </is>
      </c>
      <c r="G815" t="n">
        <v>6.8</v>
      </c>
      <c r="H815" t="n">
        <v>0</v>
      </c>
      <c r="I815" t="n">
        <v>0</v>
      </c>
      <c r="J815" t="n">
        <v>0</v>
      </c>
      <c r="K815" t="n">
        <v>0</v>
      </c>
      <c r="L815" t="n">
        <v>0</v>
      </c>
      <c r="M815" t="n">
        <v>0</v>
      </c>
      <c r="N815" t="n">
        <v>0</v>
      </c>
      <c r="O815" t="n">
        <v>0</v>
      </c>
      <c r="P815" t="n">
        <v>0</v>
      </c>
      <c r="Q815" t="n">
        <v>0</v>
      </c>
      <c r="R815" s="2" t="inlineStr"/>
    </row>
    <row r="816" ht="15" customHeight="1">
      <c r="A816" t="inlineStr">
        <is>
          <t>A 31035-2025</t>
        </is>
      </c>
      <c r="B816" s="1" t="n">
        <v>45832.544375</v>
      </c>
      <c r="C816" s="1" t="n">
        <v>45992</v>
      </c>
      <c r="D816" t="inlineStr">
        <is>
          <t>GÄVLEBORGS LÄN</t>
        </is>
      </c>
      <c r="E816" t="inlineStr">
        <is>
          <t>LJUSDAL</t>
        </is>
      </c>
      <c r="G816" t="n">
        <v>4.9</v>
      </c>
      <c r="H816" t="n">
        <v>0</v>
      </c>
      <c r="I816" t="n">
        <v>0</v>
      </c>
      <c r="J816" t="n">
        <v>0</v>
      </c>
      <c r="K816" t="n">
        <v>0</v>
      </c>
      <c r="L816" t="n">
        <v>0</v>
      </c>
      <c r="M816" t="n">
        <v>0</v>
      </c>
      <c r="N816" t="n">
        <v>0</v>
      </c>
      <c r="O816" t="n">
        <v>0</v>
      </c>
      <c r="P816" t="n">
        <v>0</v>
      </c>
      <c r="Q816" t="n">
        <v>0</v>
      </c>
      <c r="R816" s="2" t="inlineStr"/>
    </row>
    <row r="817" ht="15" customHeight="1">
      <c r="A817" t="inlineStr">
        <is>
          <t>A 30938-2025</t>
        </is>
      </c>
      <c r="B817" s="1" t="n">
        <v>45832.40675925926</v>
      </c>
      <c r="C817" s="1" t="n">
        <v>45992</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31500-2025</t>
        </is>
      </c>
      <c r="B818" s="1" t="n">
        <v>45833.58673611111</v>
      </c>
      <c r="C818" s="1" t="n">
        <v>45992</v>
      </c>
      <c r="D818" t="inlineStr">
        <is>
          <t>GÄVLEBORGS LÄN</t>
        </is>
      </c>
      <c r="E818" t="inlineStr">
        <is>
          <t>LJUSDAL</t>
        </is>
      </c>
      <c r="G818" t="n">
        <v>5.7</v>
      </c>
      <c r="H818" t="n">
        <v>0</v>
      </c>
      <c r="I818" t="n">
        <v>0</v>
      </c>
      <c r="J818" t="n">
        <v>0</v>
      </c>
      <c r="K818" t="n">
        <v>0</v>
      </c>
      <c r="L818" t="n">
        <v>0</v>
      </c>
      <c r="M818" t="n">
        <v>0</v>
      </c>
      <c r="N818" t="n">
        <v>0</v>
      </c>
      <c r="O818" t="n">
        <v>0</v>
      </c>
      <c r="P818" t="n">
        <v>0</v>
      </c>
      <c r="Q818" t="n">
        <v>0</v>
      </c>
      <c r="R818" s="2" t="inlineStr"/>
    </row>
    <row r="819" ht="15" customHeight="1">
      <c r="A819" t="inlineStr">
        <is>
          <t>A 31515-2025</t>
        </is>
      </c>
      <c r="B819" s="1" t="n">
        <v>45833.60422453703</v>
      </c>
      <c r="C819" s="1" t="n">
        <v>45992</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31511-2025</t>
        </is>
      </c>
      <c r="B820" s="1" t="n">
        <v>45833.59689814815</v>
      </c>
      <c r="C820" s="1" t="n">
        <v>45992</v>
      </c>
      <c r="D820" t="inlineStr">
        <is>
          <t>GÄVLEBORGS LÄN</t>
        </is>
      </c>
      <c r="E820" t="inlineStr">
        <is>
          <t>LJUSDAL</t>
        </is>
      </c>
      <c r="G820" t="n">
        <v>7.7</v>
      </c>
      <c r="H820" t="n">
        <v>0</v>
      </c>
      <c r="I820" t="n">
        <v>0</v>
      </c>
      <c r="J820" t="n">
        <v>0</v>
      </c>
      <c r="K820" t="n">
        <v>0</v>
      </c>
      <c r="L820" t="n">
        <v>0</v>
      </c>
      <c r="M820" t="n">
        <v>0</v>
      </c>
      <c r="N820" t="n">
        <v>0</v>
      </c>
      <c r="O820" t="n">
        <v>0</v>
      </c>
      <c r="P820" t="n">
        <v>0</v>
      </c>
      <c r="Q820" t="n">
        <v>0</v>
      </c>
      <c r="R820" s="2" t="inlineStr"/>
    </row>
    <row r="821" ht="15" customHeight="1">
      <c r="A821" t="inlineStr">
        <is>
          <t>A 31123-2025</t>
        </is>
      </c>
      <c r="B821" s="1" t="n">
        <v>45832.62681712963</v>
      </c>
      <c r="C821" s="1" t="n">
        <v>45992</v>
      </c>
      <c r="D821" t="inlineStr">
        <is>
          <t>GÄVLEBORGS LÄN</t>
        </is>
      </c>
      <c r="E821" t="inlineStr">
        <is>
          <t>LJUSDAL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34964-2024</t>
        </is>
      </c>
      <c r="B822" s="1" t="n">
        <v>45527.49265046296</v>
      </c>
      <c r="C822" s="1" t="n">
        <v>45992</v>
      </c>
      <c r="D822" t="inlineStr">
        <is>
          <t>GÄVLEBORGS LÄN</t>
        </is>
      </c>
      <c r="E822" t="inlineStr">
        <is>
          <t>LJUSDAL</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14036-2023</t>
        </is>
      </c>
      <c r="B823" s="1" t="n">
        <v>45008.6358912037</v>
      </c>
      <c r="C823" s="1" t="n">
        <v>45992</v>
      </c>
      <c r="D823" t="inlineStr">
        <is>
          <t>GÄVLEBORGS LÄN</t>
        </is>
      </c>
      <c r="E823" t="inlineStr">
        <is>
          <t>LJUSDAL</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15197-2025</t>
        </is>
      </c>
      <c r="B824" s="1" t="n">
        <v>45744.56331018519</v>
      </c>
      <c r="C824" s="1" t="n">
        <v>45992</v>
      </c>
      <c r="D824" t="inlineStr">
        <is>
          <t>GÄVLEBORGS LÄN</t>
        </is>
      </c>
      <c r="E824" t="inlineStr">
        <is>
          <t>LJUSDAL</t>
        </is>
      </c>
      <c r="F824" t="inlineStr">
        <is>
          <t>Bergvik skog väst AB</t>
        </is>
      </c>
      <c r="G824" t="n">
        <v>31.3</v>
      </c>
      <c r="H824" t="n">
        <v>0</v>
      </c>
      <c r="I824" t="n">
        <v>0</v>
      </c>
      <c r="J824" t="n">
        <v>0</v>
      </c>
      <c r="K824" t="n">
        <v>0</v>
      </c>
      <c r="L824" t="n">
        <v>0</v>
      </c>
      <c r="M824" t="n">
        <v>0</v>
      </c>
      <c r="N824" t="n">
        <v>0</v>
      </c>
      <c r="O824" t="n">
        <v>0</v>
      </c>
      <c r="P824" t="n">
        <v>0</v>
      </c>
      <c r="Q824" t="n">
        <v>0</v>
      </c>
      <c r="R824" s="2" t="inlineStr"/>
    </row>
    <row r="825" ht="15" customHeight="1">
      <c r="A825" t="inlineStr">
        <is>
          <t>A 51974-2025</t>
        </is>
      </c>
      <c r="B825" s="1" t="n">
        <v>45952.5591087963</v>
      </c>
      <c r="C825" s="1" t="n">
        <v>45992</v>
      </c>
      <c r="D825" t="inlineStr">
        <is>
          <t>GÄVLEBORGS LÄN</t>
        </is>
      </c>
      <c r="E825" t="inlineStr">
        <is>
          <t>LJUSDAL</t>
        </is>
      </c>
      <c r="G825" t="n">
        <v>2.3</v>
      </c>
      <c r="H825" t="n">
        <v>0</v>
      </c>
      <c r="I825" t="n">
        <v>0</v>
      </c>
      <c r="J825" t="n">
        <v>0</v>
      </c>
      <c r="K825" t="n">
        <v>0</v>
      </c>
      <c r="L825" t="n">
        <v>0</v>
      </c>
      <c r="M825" t="n">
        <v>0</v>
      </c>
      <c r="N825" t="n">
        <v>0</v>
      </c>
      <c r="O825" t="n">
        <v>0</v>
      </c>
      <c r="P825" t="n">
        <v>0</v>
      </c>
      <c r="Q825" t="n">
        <v>0</v>
      </c>
      <c r="R825" s="2" t="inlineStr"/>
    </row>
    <row r="826" ht="15" customHeight="1">
      <c r="A826" t="inlineStr">
        <is>
          <t>A 31679-2025</t>
        </is>
      </c>
      <c r="B826" s="1" t="n">
        <v>45834.38021990741</v>
      </c>
      <c r="C826" s="1" t="n">
        <v>45992</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33427-2025</t>
        </is>
      </c>
      <c r="B827" s="1" t="n">
        <v>45841.44578703704</v>
      </c>
      <c r="C827" s="1" t="n">
        <v>45992</v>
      </c>
      <c r="D827" t="inlineStr">
        <is>
          <t>GÄVLEBORGS LÄN</t>
        </is>
      </c>
      <c r="E827" t="inlineStr">
        <is>
          <t>LJUSDAL</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58239-2022</t>
        </is>
      </c>
      <c r="B828" s="1" t="n">
        <v>44901.40701388889</v>
      </c>
      <c r="C828" s="1" t="n">
        <v>45992</v>
      </c>
      <c r="D828" t="inlineStr">
        <is>
          <t>GÄVLEBORGS LÄN</t>
        </is>
      </c>
      <c r="E828" t="inlineStr">
        <is>
          <t>LJUSDAL</t>
        </is>
      </c>
      <c r="G828" t="n">
        <v>0.5</v>
      </c>
      <c r="H828" t="n">
        <v>0</v>
      </c>
      <c r="I828" t="n">
        <v>0</v>
      </c>
      <c r="J828" t="n">
        <v>0</v>
      </c>
      <c r="K828" t="n">
        <v>0</v>
      </c>
      <c r="L828" t="n">
        <v>0</v>
      </c>
      <c r="M828" t="n">
        <v>0</v>
      </c>
      <c r="N828" t="n">
        <v>0</v>
      </c>
      <c r="O828" t="n">
        <v>0</v>
      </c>
      <c r="P828" t="n">
        <v>0</v>
      </c>
      <c r="Q828" t="n">
        <v>0</v>
      </c>
      <c r="R828" s="2" t="inlineStr"/>
    </row>
    <row r="829" ht="15" customHeight="1">
      <c r="A829" t="inlineStr">
        <is>
          <t>A 32200-2025</t>
        </is>
      </c>
      <c r="B829" s="1" t="n">
        <v>45835.57697916667</v>
      </c>
      <c r="C829" s="1" t="n">
        <v>45992</v>
      </c>
      <c r="D829" t="inlineStr">
        <is>
          <t>GÄVLEBORGS LÄN</t>
        </is>
      </c>
      <c r="E829" t="inlineStr">
        <is>
          <t>LJUSDAL</t>
        </is>
      </c>
      <c r="F829" t="inlineStr">
        <is>
          <t>Bergvik skog väst AB</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45992</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32179-2025</t>
        </is>
      </c>
      <c r="B831" s="1" t="n">
        <v>45835.55981481481</v>
      </c>
      <c r="C831" s="1" t="n">
        <v>45992</v>
      </c>
      <c r="D831" t="inlineStr">
        <is>
          <t>GÄVLEBORGS LÄN</t>
        </is>
      </c>
      <c r="E831" t="inlineStr">
        <is>
          <t>LJUSDAL</t>
        </is>
      </c>
      <c r="F831" t="inlineStr">
        <is>
          <t>Bergvik skog väst AB</t>
        </is>
      </c>
      <c r="G831" t="n">
        <v>7</v>
      </c>
      <c r="H831" t="n">
        <v>0</v>
      </c>
      <c r="I831" t="n">
        <v>0</v>
      </c>
      <c r="J831" t="n">
        <v>0</v>
      </c>
      <c r="K831" t="n">
        <v>0</v>
      </c>
      <c r="L831" t="n">
        <v>0</v>
      </c>
      <c r="M831" t="n">
        <v>0</v>
      </c>
      <c r="N831" t="n">
        <v>0</v>
      </c>
      <c r="O831" t="n">
        <v>0</v>
      </c>
      <c r="P831" t="n">
        <v>0</v>
      </c>
      <c r="Q831" t="n">
        <v>0</v>
      </c>
      <c r="R831" s="2" t="inlineStr"/>
    </row>
    <row r="832" ht="15" customHeight="1">
      <c r="A832" t="inlineStr">
        <is>
          <t>A 31810-2025</t>
        </is>
      </c>
      <c r="B832" s="1" t="n">
        <v>45834.55946759259</v>
      </c>
      <c r="C832" s="1" t="n">
        <v>45992</v>
      </c>
      <c r="D832" t="inlineStr">
        <is>
          <t>GÄVLEBORGS LÄN</t>
        </is>
      </c>
      <c r="E832" t="inlineStr">
        <is>
          <t>LJUSDAL</t>
        </is>
      </c>
      <c r="G832" t="n">
        <v>17.2</v>
      </c>
      <c r="H832" t="n">
        <v>0</v>
      </c>
      <c r="I832" t="n">
        <v>0</v>
      </c>
      <c r="J832" t="n">
        <v>0</v>
      </c>
      <c r="K832" t="n">
        <v>0</v>
      </c>
      <c r="L832" t="n">
        <v>0</v>
      </c>
      <c r="M832" t="n">
        <v>0</v>
      </c>
      <c r="N832" t="n">
        <v>0</v>
      </c>
      <c r="O832" t="n">
        <v>0</v>
      </c>
      <c r="P832" t="n">
        <v>0</v>
      </c>
      <c r="Q832" t="n">
        <v>0</v>
      </c>
      <c r="R832" s="2" t="inlineStr"/>
    </row>
    <row r="833" ht="15" customHeight="1">
      <c r="A833" t="inlineStr">
        <is>
          <t>A 71305-2021</t>
        </is>
      </c>
      <c r="B833" s="1" t="n">
        <v>44539.64944444445</v>
      </c>
      <c r="C833" s="1" t="n">
        <v>45992</v>
      </c>
      <c r="D833" t="inlineStr">
        <is>
          <t>GÄVLEBORGS LÄN</t>
        </is>
      </c>
      <c r="E833" t="inlineStr">
        <is>
          <t>LJUSDAL</t>
        </is>
      </c>
      <c r="F833" t="inlineStr">
        <is>
          <t>Kommuner</t>
        </is>
      </c>
      <c r="G833" t="n">
        <v>3.8</v>
      </c>
      <c r="H833" t="n">
        <v>0</v>
      </c>
      <c r="I833" t="n">
        <v>0</v>
      </c>
      <c r="J833" t="n">
        <v>0</v>
      </c>
      <c r="K833" t="n">
        <v>0</v>
      </c>
      <c r="L833" t="n">
        <v>0</v>
      </c>
      <c r="M833" t="n">
        <v>0</v>
      </c>
      <c r="N833" t="n">
        <v>0</v>
      </c>
      <c r="O833" t="n">
        <v>0</v>
      </c>
      <c r="P833" t="n">
        <v>0</v>
      </c>
      <c r="Q833" t="n">
        <v>0</v>
      </c>
      <c r="R833" s="2" t="inlineStr"/>
    </row>
    <row r="834" ht="15" customHeight="1">
      <c r="A834" t="inlineStr">
        <is>
          <t>A 51913-2025</t>
        </is>
      </c>
      <c r="B834" s="1" t="n">
        <v>45952.47181712963</v>
      </c>
      <c r="C834" s="1" t="n">
        <v>45992</v>
      </c>
      <c r="D834" t="inlineStr">
        <is>
          <t>GÄVLEBORGS LÄN</t>
        </is>
      </c>
      <c r="E834" t="inlineStr">
        <is>
          <t>LJUSDAL</t>
        </is>
      </c>
      <c r="F834" t="inlineStr">
        <is>
          <t>Holmen skog AB</t>
        </is>
      </c>
      <c r="G834" t="n">
        <v>10.8</v>
      </c>
      <c r="H834" t="n">
        <v>0</v>
      </c>
      <c r="I834" t="n">
        <v>0</v>
      </c>
      <c r="J834" t="n">
        <v>0</v>
      </c>
      <c r="K834" t="n">
        <v>0</v>
      </c>
      <c r="L834" t="n">
        <v>0</v>
      </c>
      <c r="M834" t="n">
        <v>0</v>
      </c>
      <c r="N834" t="n">
        <v>0</v>
      </c>
      <c r="O834" t="n">
        <v>0</v>
      </c>
      <c r="P834" t="n">
        <v>0</v>
      </c>
      <c r="Q834" t="n">
        <v>0</v>
      </c>
      <c r="R834" s="2" t="inlineStr"/>
    </row>
    <row r="835" ht="15" customHeight="1">
      <c r="A835" t="inlineStr">
        <is>
          <t>A 36170-2025</t>
        </is>
      </c>
      <c r="B835" s="1" t="n">
        <v>45867.38659722222</v>
      </c>
      <c r="C835" s="1" t="n">
        <v>45992</v>
      </c>
      <c r="D835" t="inlineStr">
        <is>
          <t>GÄVLEBORGS LÄN</t>
        </is>
      </c>
      <c r="E835" t="inlineStr">
        <is>
          <t>LJUSDAL</t>
        </is>
      </c>
      <c r="G835" t="n">
        <v>6.3</v>
      </c>
      <c r="H835" t="n">
        <v>0</v>
      </c>
      <c r="I835" t="n">
        <v>0</v>
      </c>
      <c r="J835" t="n">
        <v>0</v>
      </c>
      <c r="K835" t="n">
        <v>0</v>
      </c>
      <c r="L835" t="n">
        <v>0</v>
      </c>
      <c r="M835" t="n">
        <v>0</v>
      </c>
      <c r="N835" t="n">
        <v>0</v>
      </c>
      <c r="O835" t="n">
        <v>0</v>
      </c>
      <c r="P835" t="n">
        <v>0</v>
      </c>
      <c r="Q835" t="n">
        <v>0</v>
      </c>
      <c r="R835" s="2" t="inlineStr"/>
    </row>
    <row r="836" ht="15" customHeight="1">
      <c r="A836" t="inlineStr">
        <is>
          <t>A 32282-2025</t>
        </is>
      </c>
      <c r="B836" s="1" t="n">
        <v>45835.67854166667</v>
      </c>
      <c r="C836" s="1" t="n">
        <v>45992</v>
      </c>
      <c r="D836" t="inlineStr">
        <is>
          <t>GÄVLEBORGS LÄN</t>
        </is>
      </c>
      <c r="E836" t="inlineStr">
        <is>
          <t>LJUSDAL</t>
        </is>
      </c>
      <c r="F836" t="inlineStr">
        <is>
          <t>Allmännings- och besparingsskogar</t>
        </is>
      </c>
      <c r="G836" t="n">
        <v>1.7</v>
      </c>
      <c r="H836" t="n">
        <v>0</v>
      </c>
      <c r="I836" t="n">
        <v>0</v>
      </c>
      <c r="J836" t="n">
        <v>0</v>
      </c>
      <c r="K836" t="n">
        <v>0</v>
      </c>
      <c r="L836" t="n">
        <v>0</v>
      </c>
      <c r="M836" t="n">
        <v>0</v>
      </c>
      <c r="N836" t="n">
        <v>0</v>
      </c>
      <c r="O836" t="n">
        <v>0</v>
      </c>
      <c r="P836" t="n">
        <v>0</v>
      </c>
      <c r="Q836" t="n">
        <v>0</v>
      </c>
      <c r="R836" s="2" t="inlineStr"/>
    </row>
    <row r="837" ht="15" customHeight="1">
      <c r="A837" t="inlineStr">
        <is>
          <t>A 19035-2023</t>
        </is>
      </c>
      <c r="B837" s="1" t="n">
        <v>45047.53366898148</v>
      </c>
      <c r="C837" s="1" t="n">
        <v>45992</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35022-2025</t>
        </is>
      </c>
      <c r="B838" s="1" t="n">
        <v>45851.95064814815</v>
      </c>
      <c r="C838" s="1" t="n">
        <v>45992</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32694-2025</t>
        </is>
      </c>
      <c r="B839" s="1" t="n">
        <v>45839.30681712963</v>
      </c>
      <c r="C839" s="1" t="n">
        <v>45992</v>
      </c>
      <c r="D839" t="inlineStr">
        <is>
          <t>GÄVLEBORGS LÄN</t>
        </is>
      </c>
      <c r="E839" t="inlineStr">
        <is>
          <t>LJUSDAL</t>
        </is>
      </c>
      <c r="F839" t="inlineStr">
        <is>
          <t>Sveaskog</t>
        </is>
      </c>
      <c r="G839" t="n">
        <v>4.2</v>
      </c>
      <c r="H839" t="n">
        <v>0</v>
      </c>
      <c r="I839" t="n">
        <v>0</v>
      </c>
      <c r="J839" t="n">
        <v>0</v>
      </c>
      <c r="K839" t="n">
        <v>0</v>
      </c>
      <c r="L839" t="n">
        <v>0</v>
      </c>
      <c r="M839" t="n">
        <v>0</v>
      </c>
      <c r="N839" t="n">
        <v>0</v>
      </c>
      <c r="O839" t="n">
        <v>0</v>
      </c>
      <c r="P839" t="n">
        <v>0</v>
      </c>
      <c r="Q839" t="n">
        <v>0</v>
      </c>
      <c r="R839" s="2" t="inlineStr"/>
    </row>
    <row r="840" ht="15" customHeight="1">
      <c r="A840" t="inlineStr">
        <is>
          <t>A 43413-2025</t>
        </is>
      </c>
      <c r="B840" s="1" t="n">
        <v>45911.40479166667</v>
      </c>
      <c r="C840" s="1" t="n">
        <v>45992</v>
      </c>
      <c r="D840" t="inlineStr">
        <is>
          <t>GÄVLEBORGS LÄN</t>
        </is>
      </c>
      <c r="E840" t="inlineStr">
        <is>
          <t>LJUSDAL</t>
        </is>
      </c>
      <c r="G840" t="n">
        <v>0.2</v>
      </c>
      <c r="H840" t="n">
        <v>0</v>
      </c>
      <c r="I840" t="n">
        <v>0</v>
      </c>
      <c r="J840" t="n">
        <v>0</v>
      </c>
      <c r="K840" t="n">
        <v>0</v>
      </c>
      <c r="L840" t="n">
        <v>0</v>
      </c>
      <c r="M840" t="n">
        <v>0</v>
      </c>
      <c r="N840" t="n">
        <v>0</v>
      </c>
      <c r="O840" t="n">
        <v>0</v>
      </c>
      <c r="P840" t="n">
        <v>0</v>
      </c>
      <c r="Q840" t="n">
        <v>0</v>
      </c>
      <c r="R840" s="2" t="inlineStr"/>
    </row>
    <row r="841" ht="15" customHeight="1">
      <c r="A841" t="inlineStr">
        <is>
          <t>A 18250-2024</t>
        </is>
      </c>
      <c r="B841" s="1" t="n">
        <v>45421.44064814815</v>
      </c>
      <c r="C841" s="1" t="n">
        <v>45992</v>
      </c>
      <c r="D841" t="inlineStr">
        <is>
          <t>GÄVLEBORGS LÄN</t>
        </is>
      </c>
      <c r="E841" t="inlineStr">
        <is>
          <t>LJUSDAL</t>
        </is>
      </c>
      <c r="F841" t="inlineStr">
        <is>
          <t>Sveaskog</t>
        </is>
      </c>
      <c r="G841" t="n">
        <v>7.2</v>
      </c>
      <c r="H841" t="n">
        <v>0</v>
      </c>
      <c r="I841" t="n">
        <v>0</v>
      </c>
      <c r="J841" t="n">
        <v>0</v>
      </c>
      <c r="K841" t="n">
        <v>0</v>
      </c>
      <c r="L841" t="n">
        <v>0</v>
      </c>
      <c r="M841" t="n">
        <v>0</v>
      </c>
      <c r="N841" t="n">
        <v>0</v>
      </c>
      <c r="O841" t="n">
        <v>0</v>
      </c>
      <c r="P841" t="n">
        <v>0</v>
      </c>
      <c r="Q841" t="n">
        <v>0</v>
      </c>
      <c r="R841" s="2" t="inlineStr"/>
    </row>
    <row r="842" ht="15" customHeight="1">
      <c r="A842" t="inlineStr">
        <is>
          <t>A 32533-2025</t>
        </is>
      </c>
      <c r="B842" s="1" t="n">
        <v>45838.49317129629</v>
      </c>
      <c r="C842" s="1" t="n">
        <v>45992</v>
      </c>
      <c r="D842" t="inlineStr">
        <is>
          <t>GÄVLEBORGS LÄN</t>
        </is>
      </c>
      <c r="E842" t="inlineStr">
        <is>
          <t>LJUSDAL</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43277-2025</t>
        </is>
      </c>
      <c r="B843" s="1" t="n">
        <v>45910.59302083333</v>
      </c>
      <c r="C843" s="1" t="n">
        <v>45992</v>
      </c>
      <c r="D843" t="inlineStr">
        <is>
          <t>GÄVLEBORGS LÄN</t>
        </is>
      </c>
      <c r="E843" t="inlineStr">
        <is>
          <t>LJUSDAL</t>
        </is>
      </c>
      <c r="F843" t="inlineStr">
        <is>
          <t>Allmännings- och besparingsskogar</t>
        </is>
      </c>
      <c r="G843" t="n">
        <v>2.7</v>
      </c>
      <c r="H843" t="n">
        <v>0</v>
      </c>
      <c r="I843" t="n">
        <v>0</v>
      </c>
      <c r="J843" t="n">
        <v>0</v>
      </c>
      <c r="K843" t="n">
        <v>0</v>
      </c>
      <c r="L843" t="n">
        <v>0</v>
      </c>
      <c r="M843" t="n">
        <v>0</v>
      </c>
      <c r="N843" t="n">
        <v>0</v>
      </c>
      <c r="O843" t="n">
        <v>0</v>
      </c>
      <c r="P843" t="n">
        <v>0</v>
      </c>
      <c r="Q843" t="n">
        <v>0</v>
      </c>
      <c r="R843" s="2" t="inlineStr"/>
    </row>
    <row r="844" ht="15" customHeight="1">
      <c r="A844" t="inlineStr">
        <is>
          <t>A 32412-2025</t>
        </is>
      </c>
      <c r="B844" s="1" t="n">
        <v>45838</v>
      </c>
      <c r="C844" s="1" t="n">
        <v>45992</v>
      </c>
      <c r="D844" t="inlineStr">
        <is>
          <t>GÄVLEBORGS LÄN</t>
        </is>
      </c>
      <c r="E844" t="inlineStr">
        <is>
          <t>LJUSDAL</t>
        </is>
      </c>
      <c r="G844" t="n">
        <v>5.4</v>
      </c>
      <c r="H844" t="n">
        <v>0</v>
      </c>
      <c r="I844" t="n">
        <v>0</v>
      </c>
      <c r="J844" t="n">
        <v>0</v>
      </c>
      <c r="K844" t="n">
        <v>0</v>
      </c>
      <c r="L844" t="n">
        <v>0</v>
      </c>
      <c r="M844" t="n">
        <v>0</v>
      </c>
      <c r="N844" t="n">
        <v>0</v>
      </c>
      <c r="O844" t="n">
        <v>0</v>
      </c>
      <c r="P844" t="n">
        <v>0</v>
      </c>
      <c r="Q844" t="n">
        <v>0</v>
      </c>
      <c r="R844" s="2" t="inlineStr"/>
    </row>
    <row r="845" ht="15" customHeight="1">
      <c r="A845" t="inlineStr">
        <is>
          <t>A 31890-2023</t>
        </is>
      </c>
      <c r="B845" s="1" t="n">
        <v>45118</v>
      </c>
      <c r="C845" s="1" t="n">
        <v>45992</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41285-2022</t>
        </is>
      </c>
      <c r="B846" s="1" t="n">
        <v>44826.42060185185</v>
      </c>
      <c r="C846" s="1" t="n">
        <v>45992</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32918-2023</t>
        </is>
      </c>
      <c r="B847" s="1" t="n">
        <v>45125.34423611111</v>
      </c>
      <c r="C847" s="1" t="n">
        <v>45992</v>
      </c>
      <c r="D847" t="inlineStr">
        <is>
          <t>GÄVLEBORGS LÄN</t>
        </is>
      </c>
      <c r="E847" t="inlineStr">
        <is>
          <t>LJUSDAL</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52890-2025</t>
        </is>
      </c>
      <c r="B848" s="1" t="n">
        <v>45957.57528935185</v>
      </c>
      <c r="C848" s="1" t="n">
        <v>45992</v>
      </c>
      <c r="D848" t="inlineStr">
        <is>
          <t>GÄVLEBORGS LÄN</t>
        </is>
      </c>
      <c r="E848" t="inlineStr">
        <is>
          <t>LJUSDAL</t>
        </is>
      </c>
      <c r="G848" t="n">
        <v>0.6</v>
      </c>
      <c r="H848" t="n">
        <v>0</v>
      </c>
      <c r="I848" t="n">
        <v>0</v>
      </c>
      <c r="J848" t="n">
        <v>0</v>
      </c>
      <c r="K848" t="n">
        <v>0</v>
      </c>
      <c r="L848" t="n">
        <v>0</v>
      </c>
      <c r="M848" t="n">
        <v>0</v>
      </c>
      <c r="N848" t="n">
        <v>0</v>
      </c>
      <c r="O848" t="n">
        <v>0</v>
      </c>
      <c r="P848" t="n">
        <v>0</v>
      </c>
      <c r="Q848" t="n">
        <v>0</v>
      </c>
      <c r="R848" s="2" t="inlineStr"/>
    </row>
    <row r="849" ht="15" customHeight="1">
      <c r="A849" t="inlineStr">
        <is>
          <t>A 43848-2025</t>
        </is>
      </c>
      <c r="B849" s="1" t="n">
        <v>45912.63829861111</v>
      </c>
      <c r="C849" s="1" t="n">
        <v>45992</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32815-2025</t>
        </is>
      </c>
      <c r="B850" s="1" t="n">
        <v>45839.53114583333</v>
      </c>
      <c r="C850" s="1" t="n">
        <v>45992</v>
      </c>
      <c r="D850" t="inlineStr">
        <is>
          <t>GÄVLEBORGS LÄN</t>
        </is>
      </c>
      <c r="E850" t="inlineStr">
        <is>
          <t>LJUSDAL</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43853-2025</t>
        </is>
      </c>
      <c r="B851" s="1" t="n">
        <v>45912.64043981482</v>
      </c>
      <c r="C851" s="1" t="n">
        <v>45992</v>
      </c>
      <c r="D851" t="inlineStr">
        <is>
          <t>GÄVLEBORGS LÄN</t>
        </is>
      </c>
      <c r="E851" t="inlineStr">
        <is>
          <t>LJUSDAL</t>
        </is>
      </c>
      <c r="F851" t="inlineStr">
        <is>
          <t>Sveaskog</t>
        </is>
      </c>
      <c r="G851" t="n">
        <v>10.3</v>
      </c>
      <c r="H851" t="n">
        <v>0</v>
      </c>
      <c r="I851" t="n">
        <v>0</v>
      </c>
      <c r="J851" t="n">
        <v>0</v>
      </c>
      <c r="K851" t="n">
        <v>0</v>
      </c>
      <c r="L851" t="n">
        <v>0</v>
      </c>
      <c r="M851" t="n">
        <v>0</v>
      </c>
      <c r="N851" t="n">
        <v>0</v>
      </c>
      <c r="O851" t="n">
        <v>0</v>
      </c>
      <c r="P851" t="n">
        <v>0</v>
      </c>
      <c r="Q851" t="n">
        <v>0</v>
      </c>
      <c r="R851" s="2" t="inlineStr"/>
    </row>
    <row r="852" ht="15" customHeight="1">
      <c r="A852" t="inlineStr">
        <is>
          <t>A 13885-2025</t>
        </is>
      </c>
      <c r="B852" s="1" t="n">
        <v>45737.6065625</v>
      </c>
      <c r="C852" s="1" t="n">
        <v>45992</v>
      </c>
      <c r="D852" t="inlineStr">
        <is>
          <t>GÄVLEBORGS LÄN</t>
        </is>
      </c>
      <c r="E852" t="inlineStr">
        <is>
          <t>LJUSDAL</t>
        </is>
      </c>
      <c r="G852" t="n">
        <v>1</v>
      </c>
      <c r="H852" t="n">
        <v>0</v>
      </c>
      <c r="I852" t="n">
        <v>0</v>
      </c>
      <c r="J852" t="n">
        <v>0</v>
      </c>
      <c r="K852" t="n">
        <v>0</v>
      </c>
      <c r="L852" t="n">
        <v>0</v>
      </c>
      <c r="M852" t="n">
        <v>0</v>
      </c>
      <c r="N852" t="n">
        <v>0</v>
      </c>
      <c r="O852" t="n">
        <v>0</v>
      </c>
      <c r="P852" t="n">
        <v>0</v>
      </c>
      <c r="Q852" t="n">
        <v>0</v>
      </c>
      <c r="R852" s="2" t="inlineStr"/>
    </row>
    <row r="853" ht="15" customHeight="1">
      <c r="A853" t="inlineStr">
        <is>
          <t>A 52445-2025</t>
        </is>
      </c>
      <c r="B853" s="1" t="n">
        <v>45954.41722222222</v>
      </c>
      <c r="C853" s="1" t="n">
        <v>45992</v>
      </c>
      <c r="D853" t="inlineStr">
        <is>
          <t>GÄVLEBORGS LÄN</t>
        </is>
      </c>
      <c r="E853" t="inlineStr">
        <is>
          <t>LJUSDAL</t>
        </is>
      </c>
      <c r="F853" t="inlineStr">
        <is>
          <t>Allmännings- och besparingsskogar</t>
        </is>
      </c>
      <c r="G853" t="n">
        <v>17.7</v>
      </c>
      <c r="H853" t="n">
        <v>0</v>
      </c>
      <c r="I853" t="n">
        <v>0</v>
      </c>
      <c r="J853" t="n">
        <v>0</v>
      </c>
      <c r="K853" t="n">
        <v>0</v>
      </c>
      <c r="L853" t="n">
        <v>0</v>
      </c>
      <c r="M853" t="n">
        <v>0</v>
      </c>
      <c r="N853" t="n">
        <v>0</v>
      </c>
      <c r="O853" t="n">
        <v>0</v>
      </c>
      <c r="P853" t="n">
        <v>0</v>
      </c>
      <c r="Q853" t="n">
        <v>0</v>
      </c>
      <c r="R853" s="2" t="inlineStr"/>
    </row>
    <row r="854" ht="15" customHeight="1">
      <c r="A854" t="inlineStr">
        <is>
          <t>A 52487-2025</t>
        </is>
      </c>
      <c r="B854" s="1" t="n">
        <v>45954.4796412037</v>
      </c>
      <c r="C854" s="1" t="n">
        <v>45992</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43969-2025</t>
        </is>
      </c>
      <c r="B855" s="1" t="n">
        <v>45915.40497685185</v>
      </c>
      <c r="C855" s="1" t="n">
        <v>45992</v>
      </c>
      <c r="D855" t="inlineStr">
        <is>
          <t>GÄVLEBORGS LÄN</t>
        </is>
      </c>
      <c r="E855" t="inlineStr">
        <is>
          <t>LJUSDAL</t>
        </is>
      </c>
      <c r="G855" t="n">
        <v>7.1</v>
      </c>
      <c r="H855" t="n">
        <v>0</v>
      </c>
      <c r="I855" t="n">
        <v>0</v>
      </c>
      <c r="J855" t="n">
        <v>0</v>
      </c>
      <c r="K855" t="n">
        <v>0</v>
      </c>
      <c r="L855" t="n">
        <v>0</v>
      </c>
      <c r="M855" t="n">
        <v>0</v>
      </c>
      <c r="N855" t="n">
        <v>0</v>
      </c>
      <c r="O855" t="n">
        <v>0</v>
      </c>
      <c r="P855" t="n">
        <v>0</v>
      </c>
      <c r="Q855" t="n">
        <v>0</v>
      </c>
      <c r="R855" s="2" t="inlineStr"/>
    </row>
    <row r="856" ht="15" customHeight="1">
      <c r="A856" t="inlineStr">
        <is>
          <t>A 33594-2025</t>
        </is>
      </c>
      <c r="B856" s="1" t="n">
        <v>45841</v>
      </c>
      <c r="C856" s="1" t="n">
        <v>45992</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52559-2025</t>
        </is>
      </c>
      <c r="B857" s="1" t="n">
        <v>45954.56931712963</v>
      </c>
      <c r="C857" s="1" t="n">
        <v>45992</v>
      </c>
      <c r="D857" t="inlineStr">
        <is>
          <t>GÄVLEBORGS LÄN</t>
        </is>
      </c>
      <c r="E857" t="inlineStr">
        <is>
          <t>LJUSDAL</t>
        </is>
      </c>
      <c r="G857" t="n">
        <v>7.3</v>
      </c>
      <c r="H857" t="n">
        <v>0</v>
      </c>
      <c r="I857" t="n">
        <v>0</v>
      </c>
      <c r="J857" t="n">
        <v>0</v>
      </c>
      <c r="K857" t="n">
        <v>0</v>
      </c>
      <c r="L857" t="n">
        <v>0</v>
      </c>
      <c r="M857" t="n">
        <v>0</v>
      </c>
      <c r="N857" t="n">
        <v>0</v>
      </c>
      <c r="O857" t="n">
        <v>0</v>
      </c>
      <c r="P857" t="n">
        <v>0</v>
      </c>
      <c r="Q857" t="n">
        <v>0</v>
      </c>
      <c r="R857" s="2" t="inlineStr"/>
    </row>
    <row r="858" ht="15" customHeight="1">
      <c r="A858" t="inlineStr">
        <is>
          <t>A 52482-2025</t>
        </is>
      </c>
      <c r="B858" s="1" t="n">
        <v>45954.47388888889</v>
      </c>
      <c r="C858" s="1" t="n">
        <v>45992</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40000-2021</t>
        </is>
      </c>
      <c r="B859" s="1" t="n">
        <v>44418.36865740741</v>
      </c>
      <c r="C859" s="1" t="n">
        <v>45992</v>
      </c>
      <c r="D859" t="inlineStr">
        <is>
          <t>GÄVLEBORGS LÄN</t>
        </is>
      </c>
      <c r="E859" t="inlineStr">
        <is>
          <t>LJUSDAL</t>
        </is>
      </c>
      <c r="G859" t="n">
        <v>0.6</v>
      </c>
      <c r="H859" t="n">
        <v>0</v>
      </c>
      <c r="I859" t="n">
        <v>0</v>
      </c>
      <c r="J859" t="n">
        <v>0</v>
      </c>
      <c r="K859" t="n">
        <v>0</v>
      </c>
      <c r="L859" t="n">
        <v>0</v>
      </c>
      <c r="M859" t="n">
        <v>0</v>
      </c>
      <c r="N859" t="n">
        <v>0</v>
      </c>
      <c r="O859" t="n">
        <v>0</v>
      </c>
      <c r="P859" t="n">
        <v>0</v>
      </c>
      <c r="Q859" t="n">
        <v>0</v>
      </c>
      <c r="R859" s="2" t="inlineStr"/>
    </row>
    <row r="860" ht="15" customHeight="1">
      <c r="A860" t="inlineStr">
        <is>
          <t>A 15015-2023</t>
        </is>
      </c>
      <c r="B860" s="1" t="n">
        <v>45015.61263888889</v>
      </c>
      <c r="C860" s="1" t="n">
        <v>45992</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43796-2025</t>
        </is>
      </c>
      <c r="B861" s="1" t="n">
        <v>45912.56341435185</v>
      </c>
      <c r="C861" s="1" t="n">
        <v>45992</v>
      </c>
      <c r="D861" t="inlineStr">
        <is>
          <t>GÄVLEBORGS LÄN</t>
        </is>
      </c>
      <c r="E861" t="inlineStr">
        <is>
          <t>LJUSDAL</t>
        </is>
      </c>
      <c r="G861" t="n">
        <v>1.8</v>
      </c>
      <c r="H861" t="n">
        <v>0</v>
      </c>
      <c r="I861" t="n">
        <v>0</v>
      </c>
      <c r="J861" t="n">
        <v>0</v>
      </c>
      <c r="K861" t="n">
        <v>0</v>
      </c>
      <c r="L861" t="n">
        <v>0</v>
      </c>
      <c r="M861" t="n">
        <v>0</v>
      </c>
      <c r="N861" t="n">
        <v>0</v>
      </c>
      <c r="O861" t="n">
        <v>0</v>
      </c>
      <c r="P861" t="n">
        <v>0</v>
      </c>
      <c r="Q861" t="n">
        <v>0</v>
      </c>
      <c r="R861" s="2" t="inlineStr"/>
    </row>
    <row r="862" ht="15" customHeight="1">
      <c r="A862" t="inlineStr">
        <is>
          <t>A 55046-2022</t>
        </is>
      </c>
      <c r="B862" s="1" t="n">
        <v>44886</v>
      </c>
      <c r="C862" s="1" t="n">
        <v>45992</v>
      </c>
      <c r="D862" t="inlineStr">
        <is>
          <t>GÄVLEBORGS LÄN</t>
        </is>
      </c>
      <c r="E862" t="inlineStr">
        <is>
          <t>LJUSDAL</t>
        </is>
      </c>
      <c r="F862" t="inlineStr">
        <is>
          <t>Bergvik skog väst AB</t>
        </is>
      </c>
      <c r="G862" t="n">
        <v>43.8</v>
      </c>
      <c r="H862" t="n">
        <v>0</v>
      </c>
      <c r="I862" t="n">
        <v>0</v>
      </c>
      <c r="J862" t="n">
        <v>0</v>
      </c>
      <c r="K862" t="n">
        <v>0</v>
      </c>
      <c r="L862" t="n">
        <v>0</v>
      </c>
      <c r="M862" t="n">
        <v>0</v>
      </c>
      <c r="N862" t="n">
        <v>0</v>
      </c>
      <c r="O862" t="n">
        <v>0</v>
      </c>
      <c r="P862" t="n">
        <v>0</v>
      </c>
      <c r="Q862" t="n">
        <v>0</v>
      </c>
      <c r="R862" s="2" t="inlineStr"/>
    </row>
    <row r="863" ht="15" customHeight="1">
      <c r="A863" t="inlineStr">
        <is>
          <t>A 33051-2025</t>
        </is>
      </c>
      <c r="B863" s="1" t="n">
        <v>45840.42487268519</v>
      </c>
      <c r="C863" s="1" t="n">
        <v>45992</v>
      </c>
      <c r="D863" t="inlineStr">
        <is>
          <t>GÄVLEBORGS LÄN</t>
        </is>
      </c>
      <c r="E863" t="inlineStr">
        <is>
          <t>LJUSDAL</t>
        </is>
      </c>
      <c r="F863" t="inlineStr">
        <is>
          <t>Allmännings- och besparingsskogar</t>
        </is>
      </c>
      <c r="G863" t="n">
        <v>9.1</v>
      </c>
      <c r="H863" t="n">
        <v>0</v>
      </c>
      <c r="I863" t="n">
        <v>0</v>
      </c>
      <c r="J863" t="n">
        <v>0</v>
      </c>
      <c r="K863" t="n">
        <v>0</v>
      </c>
      <c r="L863" t="n">
        <v>0</v>
      </c>
      <c r="M863" t="n">
        <v>0</v>
      </c>
      <c r="N863" t="n">
        <v>0</v>
      </c>
      <c r="O863" t="n">
        <v>0</v>
      </c>
      <c r="P863" t="n">
        <v>0</v>
      </c>
      <c r="Q863" t="n">
        <v>0</v>
      </c>
      <c r="R863" s="2" t="inlineStr"/>
    </row>
    <row r="864" ht="15" customHeight="1">
      <c r="A864" t="inlineStr">
        <is>
          <t>A 33585-2025</t>
        </is>
      </c>
      <c r="B864" s="1" t="n">
        <v>45841.59462962963</v>
      </c>
      <c r="C864" s="1" t="n">
        <v>45992</v>
      </c>
      <c r="D864" t="inlineStr">
        <is>
          <t>GÄVLEBORGS LÄN</t>
        </is>
      </c>
      <c r="E864" t="inlineStr">
        <is>
          <t>LJUSDAL</t>
        </is>
      </c>
      <c r="G864" t="n">
        <v>2</v>
      </c>
      <c r="H864" t="n">
        <v>0</v>
      </c>
      <c r="I864" t="n">
        <v>0</v>
      </c>
      <c r="J864" t="n">
        <v>0</v>
      </c>
      <c r="K864" t="n">
        <v>0</v>
      </c>
      <c r="L864" t="n">
        <v>0</v>
      </c>
      <c r="M864" t="n">
        <v>0</v>
      </c>
      <c r="N864" t="n">
        <v>0</v>
      </c>
      <c r="O864" t="n">
        <v>0</v>
      </c>
      <c r="P864" t="n">
        <v>0</v>
      </c>
      <c r="Q864" t="n">
        <v>0</v>
      </c>
      <c r="R864" s="2" t="inlineStr"/>
    </row>
    <row r="865" ht="15" customHeight="1">
      <c r="A865" t="inlineStr">
        <is>
          <t>A 33333-2025</t>
        </is>
      </c>
      <c r="B865" s="1" t="n">
        <v>45841.35502314815</v>
      </c>
      <c r="C865" s="1" t="n">
        <v>45992</v>
      </c>
      <c r="D865" t="inlineStr">
        <is>
          <t>GÄVLEBORGS LÄN</t>
        </is>
      </c>
      <c r="E865" t="inlineStr">
        <is>
          <t>LJUSDAL</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33337-2025</t>
        </is>
      </c>
      <c r="B866" s="1" t="n">
        <v>45841.35680555556</v>
      </c>
      <c r="C866" s="1" t="n">
        <v>45992</v>
      </c>
      <c r="D866" t="inlineStr">
        <is>
          <t>GÄVLEBORGS LÄN</t>
        </is>
      </c>
      <c r="E866" t="inlineStr">
        <is>
          <t>LJUSDAL</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1222-2025</t>
        </is>
      </c>
      <c r="B867" s="1" t="n">
        <v>45667</v>
      </c>
      <c r="C867" s="1" t="n">
        <v>45992</v>
      </c>
      <c r="D867" t="inlineStr">
        <is>
          <t>GÄVLEBORGS LÄN</t>
        </is>
      </c>
      <c r="E867" t="inlineStr">
        <is>
          <t>LJUSDAL</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13064-2022</t>
        </is>
      </c>
      <c r="B868" s="1" t="n">
        <v>44643.66391203704</v>
      </c>
      <c r="C868" s="1" t="n">
        <v>45992</v>
      </c>
      <c r="D868" t="inlineStr">
        <is>
          <t>GÄVLEBORGS LÄN</t>
        </is>
      </c>
      <c r="E868" t="inlineStr">
        <is>
          <t>LJUSDAL</t>
        </is>
      </c>
      <c r="G868" t="n">
        <v>2.4</v>
      </c>
      <c r="H868" t="n">
        <v>0</v>
      </c>
      <c r="I868" t="n">
        <v>0</v>
      </c>
      <c r="J868" t="n">
        <v>0</v>
      </c>
      <c r="K868" t="n">
        <v>0</v>
      </c>
      <c r="L868" t="n">
        <v>0</v>
      </c>
      <c r="M868" t="n">
        <v>0</v>
      </c>
      <c r="N868" t="n">
        <v>0</v>
      </c>
      <c r="O868" t="n">
        <v>0</v>
      </c>
      <c r="P868" t="n">
        <v>0</v>
      </c>
      <c r="Q868" t="n">
        <v>0</v>
      </c>
      <c r="R868" s="2" t="inlineStr"/>
    </row>
    <row r="869" ht="15" customHeight="1">
      <c r="A869" t="inlineStr">
        <is>
          <t>A 13246-2025</t>
        </is>
      </c>
      <c r="B869" s="1" t="n">
        <v>45735.4815162037</v>
      </c>
      <c r="C869" s="1" t="n">
        <v>45992</v>
      </c>
      <c r="D869" t="inlineStr">
        <is>
          <t>GÄVLEBORGS LÄN</t>
        </is>
      </c>
      <c r="E869" t="inlineStr">
        <is>
          <t>LJUSDAL</t>
        </is>
      </c>
      <c r="G869" t="n">
        <v>3.7</v>
      </c>
      <c r="H869" t="n">
        <v>0</v>
      </c>
      <c r="I869" t="n">
        <v>0</v>
      </c>
      <c r="J869" t="n">
        <v>0</v>
      </c>
      <c r="K869" t="n">
        <v>0</v>
      </c>
      <c r="L869" t="n">
        <v>0</v>
      </c>
      <c r="M869" t="n">
        <v>0</v>
      </c>
      <c r="N869" t="n">
        <v>0</v>
      </c>
      <c r="O869" t="n">
        <v>0</v>
      </c>
      <c r="P869" t="n">
        <v>0</v>
      </c>
      <c r="Q869" t="n">
        <v>0</v>
      </c>
      <c r="R869" s="2" t="inlineStr"/>
    </row>
    <row r="870" ht="15" customHeight="1">
      <c r="A870" t="inlineStr">
        <is>
          <t>A 33803-2025</t>
        </is>
      </c>
      <c r="B870" s="1" t="n">
        <v>45842.44728009259</v>
      </c>
      <c r="C870" s="1" t="n">
        <v>45992</v>
      </c>
      <c r="D870" t="inlineStr">
        <is>
          <t>GÄVLEBORGS LÄN</t>
        </is>
      </c>
      <c r="E870" t="inlineStr">
        <is>
          <t>LJUSDAL</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17461-2025</t>
        </is>
      </c>
      <c r="B871" s="1" t="n">
        <v>45757.4566550926</v>
      </c>
      <c r="C871" s="1" t="n">
        <v>45992</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44201-2025</t>
        </is>
      </c>
      <c r="B872" s="1" t="n">
        <v>45915.62305555555</v>
      </c>
      <c r="C872" s="1" t="n">
        <v>45992</v>
      </c>
      <c r="D872" t="inlineStr">
        <is>
          <t>GÄVLEBORGS LÄN</t>
        </is>
      </c>
      <c r="E872" t="inlineStr">
        <is>
          <t>LJUSDAL</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24881-2021</t>
        </is>
      </c>
      <c r="B873" s="1" t="n">
        <v>44341.32192129629</v>
      </c>
      <c r="C873" s="1" t="n">
        <v>45992</v>
      </c>
      <c r="D873" t="inlineStr">
        <is>
          <t>GÄVLEBORGS LÄN</t>
        </is>
      </c>
      <c r="E873" t="inlineStr">
        <is>
          <t>LJUSDAL</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24655-2024</t>
        </is>
      </c>
      <c r="B874" s="1" t="n">
        <v>45460.57638888889</v>
      </c>
      <c r="C874" s="1" t="n">
        <v>45992</v>
      </c>
      <c r="D874" t="inlineStr">
        <is>
          <t>GÄVLEBORGS LÄN</t>
        </is>
      </c>
      <c r="E874" t="inlineStr">
        <is>
          <t>LJUSDAL</t>
        </is>
      </c>
      <c r="G874" t="n">
        <v>2.4</v>
      </c>
      <c r="H874" t="n">
        <v>0</v>
      </c>
      <c r="I874" t="n">
        <v>0</v>
      </c>
      <c r="J874" t="n">
        <v>0</v>
      </c>
      <c r="K874" t="n">
        <v>0</v>
      </c>
      <c r="L874" t="n">
        <v>0</v>
      </c>
      <c r="M874" t="n">
        <v>0</v>
      </c>
      <c r="N874" t="n">
        <v>0</v>
      </c>
      <c r="O874" t="n">
        <v>0</v>
      </c>
      <c r="P874" t="n">
        <v>0</v>
      </c>
      <c r="Q874" t="n">
        <v>0</v>
      </c>
      <c r="R874" s="2" t="inlineStr"/>
    </row>
    <row r="875" ht="15" customHeight="1">
      <c r="A875" t="inlineStr">
        <is>
          <t>A 43801-2025</t>
        </is>
      </c>
      <c r="B875" s="1" t="n">
        <v>45912.5725</v>
      </c>
      <c r="C875" s="1" t="n">
        <v>45992</v>
      </c>
      <c r="D875" t="inlineStr">
        <is>
          <t>GÄVLEBORGS LÄN</t>
        </is>
      </c>
      <c r="E875" t="inlineStr">
        <is>
          <t>LJUSDAL</t>
        </is>
      </c>
      <c r="G875" t="n">
        <v>4</v>
      </c>
      <c r="H875" t="n">
        <v>0</v>
      </c>
      <c r="I875" t="n">
        <v>0</v>
      </c>
      <c r="J875" t="n">
        <v>0</v>
      </c>
      <c r="K875" t="n">
        <v>0</v>
      </c>
      <c r="L875" t="n">
        <v>0</v>
      </c>
      <c r="M875" t="n">
        <v>0</v>
      </c>
      <c r="N875" t="n">
        <v>0</v>
      </c>
      <c r="O875" t="n">
        <v>0</v>
      </c>
      <c r="P875" t="n">
        <v>0</v>
      </c>
      <c r="Q875" t="n">
        <v>0</v>
      </c>
      <c r="R875" s="2" t="inlineStr"/>
    </row>
    <row r="876" ht="15" customHeight="1">
      <c r="A876" t="inlineStr">
        <is>
          <t>A 26180-2023</t>
        </is>
      </c>
      <c r="B876" s="1" t="n">
        <v>45091.52903935185</v>
      </c>
      <c r="C876" s="1" t="n">
        <v>45992</v>
      </c>
      <c r="D876" t="inlineStr">
        <is>
          <t>GÄVLEBORGS LÄN</t>
        </is>
      </c>
      <c r="E876" t="inlineStr">
        <is>
          <t>LJUSDAL</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17230-2023</t>
        </is>
      </c>
      <c r="B877" s="1" t="n">
        <v>45035.31333333333</v>
      </c>
      <c r="C877" s="1" t="n">
        <v>45992</v>
      </c>
      <c r="D877" t="inlineStr">
        <is>
          <t>GÄVLEBORGS LÄN</t>
        </is>
      </c>
      <c r="E877" t="inlineStr">
        <is>
          <t>LJUSDAL</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43733-2025</t>
        </is>
      </c>
      <c r="B878" s="1" t="n">
        <v>45912.43981481482</v>
      </c>
      <c r="C878" s="1" t="n">
        <v>45992</v>
      </c>
      <c r="D878" t="inlineStr">
        <is>
          <t>GÄVLEBORGS LÄN</t>
        </is>
      </c>
      <c r="E878" t="inlineStr">
        <is>
          <t>LJUSDAL</t>
        </is>
      </c>
      <c r="F878" t="inlineStr">
        <is>
          <t>Sveaskog</t>
        </is>
      </c>
      <c r="G878" t="n">
        <v>3.5</v>
      </c>
      <c r="H878" t="n">
        <v>0</v>
      </c>
      <c r="I878" t="n">
        <v>0</v>
      </c>
      <c r="J878" t="n">
        <v>0</v>
      </c>
      <c r="K878" t="n">
        <v>0</v>
      </c>
      <c r="L878" t="n">
        <v>0</v>
      </c>
      <c r="M878" t="n">
        <v>0</v>
      </c>
      <c r="N878" t="n">
        <v>0</v>
      </c>
      <c r="O878" t="n">
        <v>0</v>
      </c>
      <c r="P878" t="n">
        <v>0</v>
      </c>
      <c r="Q878" t="n">
        <v>0</v>
      </c>
      <c r="R878" s="2" t="inlineStr"/>
    </row>
    <row r="879" ht="15" customHeight="1">
      <c r="A879" t="inlineStr">
        <is>
          <t>A 50271-2023</t>
        </is>
      </c>
      <c r="B879" s="1" t="n">
        <v>45216.39822916667</v>
      </c>
      <c r="C879" s="1" t="n">
        <v>45992</v>
      </c>
      <c r="D879" t="inlineStr">
        <is>
          <t>GÄVLEBORGS LÄN</t>
        </is>
      </c>
      <c r="E879" t="inlineStr">
        <is>
          <t>LJUSDAL</t>
        </is>
      </c>
      <c r="G879" t="n">
        <v>27.4</v>
      </c>
      <c r="H879" t="n">
        <v>0</v>
      </c>
      <c r="I879" t="n">
        <v>0</v>
      </c>
      <c r="J879" t="n">
        <v>0</v>
      </c>
      <c r="K879" t="n">
        <v>0</v>
      </c>
      <c r="L879" t="n">
        <v>0</v>
      </c>
      <c r="M879" t="n">
        <v>0</v>
      </c>
      <c r="N879" t="n">
        <v>0</v>
      </c>
      <c r="O879" t="n">
        <v>0</v>
      </c>
      <c r="P879" t="n">
        <v>0</v>
      </c>
      <c r="Q879" t="n">
        <v>0</v>
      </c>
      <c r="R879" s="2" t="inlineStr"/>
    </row>
    <row r="880" ht="15" customHeight="1">
      <c r="A880" t="inlineStr">
        <is>
          <t>A 58173-2024</t>
        </is>
      </c>
      <c r="B880" s="1" t="n">
        <v>45632.46581018518</v>
      </c>
      <c r="C880" s="1" t="n">
        <v>45992</v>
      </c>
      <c r="D880" t="inlineStr">
        <is>
          <t>GÄVLEBORGS LÄN</t>
        </is>
      </c>
      <c r="E880" t="inlineStr">
        <is>
          <t>LJUSDAL</t>
        </is>
      </c>
      <c r="G880" t="n">
        <v>1.4</v>
      </c>
      <c r="H880" t="n">
        <v>0</v>
      </c>
      <c r="I880" t="n">
        <v>0</v>
      </c>
      <c r="J880" t="n">
        <v>0</v>
      </c>
      <c r="K880" t="n">
        <v>0</v>
      </c>
      <c r="L880" t="n">
        <v>0</v>
      </c>
      <c r="M880" t="n">
        <v>0</v>
      </c>
      <c r="N880" t="n">
        <v>0</v>
      </c>
      <c r="O880" t="n">
        <v>0</v>
      </c>
      <c r="P880" t="n">
        <v>0</v>
      </c>
      <c r="Q880" t="n">
        <v>0</v>
      </c>
      <c r="R880" s="2" t="inlineStr"/>
    </row>
    <row r="881" ht="15" customHeight="1">
      <c r="A881" t="inlineStr">
        <is>
          <t>A 6724-2024</t>
        </is>
      </c>
      <c r="B881" s="1" t="n">
        <v>45342.3765162037</v>
      </c>
      <c r="C881" s="1" t="n">
        <v>45992</v>
      </c>
      <c r="D881" t="inlineStr">
        <is>
          <t>GÄVLEBORGS LÄN</t>
        </is>
      </c>
      <c r="E881" t="inlineStr">
        <is>
          <t>LJUSDAL</t>
        </is>
      </c>
      <c r="F881" t="inlineStr">
        <is>
          <t>Bergvik skog väst AB</t>
        </is>
      </c>
      <c r="G881" t="n">
        <v>0.8</v>
      </c>
      <c r="H881" t="n">
        <v>0</v>
      </c>
      <c r="I881" t="n">
        <v>0</v>
      </c>
      <c r="J881" t="n">
        <v>0</v>
      </c>
      <c r="K881" t="n">
        <v>0</v>
      </c>
      <c r="L881" t="n">
        <v>0</v>
      </c>
      <c r="M881" t="n">
        <v>0</v>
      </c>
      <c r="N881" t="n">
        <v>0</v>
      </c>
      <c r="O881" t="n">
        <v>0</v>
      </c>
      <c r="P881" t="n">
        <v>0</v>
      </c>
      <c r="Q881" t="n">
        <v>0</v>
      </c>
      <c r="R881" s="2" t="inlineStr"/>
    </row>
    <row r="882" ht="15" customHeight="1">
      <c r="A882" t="inlineStr">
        <is>
          <t>A 60822-2022</t>
        </is>
      </c>
      <c r="B882" s="1" t="n">
        <v>44904</v>
      </c>
      <c r="C882" s="1" t="n">
        <v>45992</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29807-2023</t>
        </is>
      </c>
      <c r="B883" s="1" t="n">
        <v>45099</v>
      </c>
      <c r="C883" s="1" t="n">
        <v>45992</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44460-2025</t>
        </is>
      </c>
      <c r="B884" s="1" t="n">
        <v>45916.61855324074</v>
      </c>
      <c r="C884" s="1" t="n">
        <v>45992</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1226-2025</t>
        </is>
      </c>
      <c r="B885" s="1" t="n">
        <v>45667.43862268519</v>
      </c>
      <c r="C885" s="1" t="n">
        <v>45992</v>
      </c>
      <c r="D885" t="inlineStr">
        <is>
          <t>GÄVLEBORGS LÄN</t>
        </is>
      </c>
      <c r="E885" t="inlineStr">
        <is>
          <t>LJUSDAL</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44445-2025</t>
        </is>
      </c>
      <c r="B886" s="1" t="n">
        <v>45916.59761574074</v>
      </c>
      <c r="C886" s="1" t="n">
        <v>45992</v>
      </c>
      <c r="D886" t="inlineStr">
        <is>
          <t>GÄVLEBORGS LÄN</t>
        </is>
      </c>
      <c r="E886" t="inlineStr">
        <is>
          <t>LJUSDAL</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29841-2023</t>
        </is>
      </c>
      <c r="B887" s="1" t="n">
        <v>45099</v>
      </c>
      <c r="C887" s="1" t="n">
        <v>45992</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44550-2025</t>
        </is>
      </c>
      <c r="B888" s="1" t="n">
        <v>45917.33612268518</v>
      </c>
      <c r="C888" s="1" t="n">
        <v>45992</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18681-2022</t>
        </is>
      </c>
      <c r="B889" s="1" t="n">
        <v>44687.5766087963</v>
      </c>
      <c r="C889" s="1" t="n">
        <v>45992</v>
      </c>
      <c r="D889" t="inlineStr">
        <is>
          <t>GÄVLEBORGS LÄN</t>
        </is>
      </c>
      <c r="E889" t="inlineStr">
        <is>
          <t>LJUSDAL</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34276-2025</t>
        </is>
      </c>
      <c r="B890" s="1" t="n">
        <v>45845.9084375</v>
      </c>
      <c r="C890" s="1" t="n">
        <v>45992</v>
      </c>
      <c r="D890" t="inlineStr">
        <is>
          <t>GÄVLEBORGS LÄN</t>
        </is>
      </c>
      <c r="E890" t="inlineStr">
        <is>
          <t>LJUSDAL</t>
        </is>
      </c>
      <c r="F890" t="inlineStr">
        <is>
          <t>Holmen skog AB</t>
        </is>
      </c>
      <c r="G890" t="n">
        <v>33.7</v>
      </c>
      <c r="H890" t="n">
        <v>0</v>
      </c>
      <c r="I890" t="n">
        <v>0</v>
      </c>
      <c r="J890" t="n">
        <v>0</v>
      </c>
      <c r="K890" t="n">
        <v>0</v>
      </c>
      <c r="L890" t="n">
        <v>0</v>
      </c>
      <c r="M890" t="n">
        <v>0</v>
      </c>
      <c r="N890" t="n">
        <v>0</v>
      </c>
      <c r="O890" t="n">
        <v>0</v>
      </c>
      <c r="P890" t="n">
        <v>0</v>
      </c>
      <c r="Q890" t="n">
        <v>0</v>
      </c>
      <c r="R890" s="2" t="inlineStr"/>
    </row>
    <row r="891" ht="15" customHeight="1">
      <c r="A891" t="inlineStr">
        <is>
          <t>A 34330-2025</t>
        </is>
      </c>
      <c r="B891" s="1" t="n">
        <v>45846.44659722222</v>
      </c>
      <c r="C891" s="1" t="n">
        <v>45992</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44737-2025</t>
        </is>
      </c>
      <c r="B892" s="1" t="n">
        <v>45917.65894675926</v>
      </c>
      <c r="C892" s="1" t="n">
        <v>45992</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53252-2025</t>
        </is>
      </c>
      <c r="B893" s="1" t="n">
        <v>45958.66509259259</v>
      </c>
      <c r="C893" s="1" t="n">
        <v>45992</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44557-2025</t>
        </is>
      </c>
      <c r="B894" s="1" t="n">
        <v>45917.34443287037</v>
      </c>
      <c r="C894" s="1" t="n">
        <v>45992</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44559-2025</t>
        </is>
      </c>
      <c r="B895" s="1" t="n">
        <v>45917.34458333333</v>
      </c>
      <c r="C895" s="1" t="n">
        <v>45992</v>
      </c>
      <c r="D895" t="inlineStr">
        <is>
          <t>GÄVLEBORGS LÄN</t>
        </is>
      </c>
      <c r="E895" t="inlineStr">
        <is>
          <t>LJUSDAL</t>
        </is>
      </c>
      <c r="G895" t="n">
        <v>2.7</v>
      </c>
      <c r="H895" t="n">
        <v>0</v>
      </c>
      <c r="I895" t="n">
        <v>0</v>
      </c>
      <c r="J895" t="n">
        <v>0</v>
      </c>
      <c r="K895" t="n">
        <v>0</v>
      </c>
      <c r="L895" t="n">
        <v>0</v>
      </c>
      <c r="M895" t="n">
        <v>0</v>
      </c>
      <c r="N895" t="n">
        <v>0</v>
      </c>
      <c r="O895" t="n">
        <v>0</v>
      </c>
      <c r="P895" t="n">
        <v>0</v>
      </c>
      <c r="Q895" t="n">
        <v>0</v>
      </c>
      <c r="R895" s="2" t="inlineStr"/>
    </row>
    <row r="896" ht="15" customHeight="1">
      <c r="A896" t="inlineStr">
        <is>
          <t>A 43718-2023</t>
        </is>
      </c>
      <c r="B896" s="1" t="n">
        <v>45187.44440972222</v>
      </c>
      <c r="C896" s="1" t="n">
        <v>45992</v>
      </c>
      <c r="D896" t="inlineStr">
        <is>
          <t>GÄVLEBORGS LÄN</t>
        </is>
      </c>
      <c r="E896" t="inlineStr">
        <is>
          <t>LJUSDAL</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34652-2025</t>
        </is>
      </c>
      <c r="B897" s="1" t="n">
        <v>45848.35363425926</v>
      </c>
      <c r="C897" s="1" t="n">
        <v>45992</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34658-2025</t>
        </is>
      </c>
      <c r="B898" s="1" t="n">
        <v>45848.36520833334</v>
      </c>
      <c r="C898" s="1" t="n">
        <v>45992</v>
      </c>
      <c r="D898" t="inlineStr">
        <is>
          <t>GÄVLEBORGS LÄN</t>
        </is>
      </c>
      <c r="E898" t="inlineStr">
        <is>
          <t>LJUSDAL</t>
        </is>
      </c>
      <c r="G898" t="n">
        <v>0.9</v>
      </c>
      <c r="H898" t="n">
        <v>0</v>
      </c>
      <c r="I898" t="n">
        <v>0</v>
      </c>
      <c r="J898" t="n">
        <v>0</v>
      </c>
      <c r="K898" t="n">
        <v>0</v>
      </c>
      <c r="L898" t="n">
        <v>0</v>
      </c>
      <c r="M898" t="n">
        <v>0</v>
      </c>
      <c r="N898" t="n">
        <v>0</v>
      </c>
      <c r="O898" t="n">
        <v>0</v>
      </c>
      <c r="P898" t="n">
        <v>0</v>
      </c>
      <c r="Q898" t="n">
        <v>0</v>
      </c>
      <c r="R898" s="2" t="inlineStr"/>
    </row>
    <row r="899" ht="15" customHeight="1">
      <c r="A899" t="inlineStr">
        <is>
          <t>A 53277-2025</t>
        </is>
      </c>
      <c r="B899" s="1" t="n">
        <v>45958.75643518518</v>
      </c>
      <c r="C899" s="1" t="n">
        <v>45992</v>
      </c>
      <c r="D899" t="inlineStr">
        <is>
          <t>GÄVLEBORGS LÄN</t>
        </is>
      </c>
      <c r="E899" t="inlineStr">
        <is>
          <t>LJUSDAL</t>
        </is>
      </c>
      <c r="G899" t="n">
        <v>2.4</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45992</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37202-2023</t>
        </is>
      </c>
      <c r="B901" s="1" t="n">
        <v>45155</v>
      </c>
      <c r="C901" s="1" t="n">
        <v>45992</v>
      </c>
      <c r="D901" t="inlineStr">
        <is>
          <t>GÄVLEBORGS LÄN</t>
        </is>
      </c>
      <c r="E901" t="inlineStr">
        <is>
          <t>LJUSDAL</t>
        </is>
      </c>
      <c r="F901" t="inlineStr">
        <is>
          <t>Sveaskog</t>
        </is>
      </c>
      <c r="G901" t="n">
        <v>7.1</v>
      </c>
      <c r="H901" t="n">
        <v>0</v>
      </c>
      <c r="I901" t="n">
        <v>0</v>
      </c>
      <c r="J901" t="n">
        <v>0</v>
      </c>
      <c r="K901" t="n">
        <v>0</v>
      </c>
      <c r="L901" t="n">
        <v>0</v>
      </c>
      <c r="M901" t="n">
        <v>0</v>
      </c>
      <c r="N901" t="n">
        <v>0</v>
      </c>
      <c r="O901" t="n">
        <v>0</v>
      </c>
      <c r="P901" t="n">
        <v>0</v>
      </c>
      <c r="Q901" t="n">
        <v>0</v>
      </c>
      <c r="R901" s="2" t="inlineStr"/>
    </row>
    <row r="902" ht="15" customHeight="1">
      <c r="A902" t="inlineStr">
        <is>
          <t>A 35037-2025</t>
        </is>
      </c>
      <c r="B902" s="1" t="n">
        <v>45852</v>
      </c>
      <c r="C902" s="1" t="n">
        <v>45992</v>
      </c>
      <c r="D902" t="inlineStr">
        <is>
          <t>GÄVLEBORGS LÄN</t>
        </is>
      </c>
      <c r="E902" t="inlineStr">
        <is>
          <t>LJUSDAL</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42712-2024</t>
        </is>
      </c>
      <c r="B903" s="1" t="n">
        <v>45566.44934027778</v>
      </c>
      <c r="C903" s="1" t="n">
        <v>45992</v>
      </c>
      <c r="D903" t="inlineStr">
        <is>
          <t>GÄVLEBORGS LÄN</t>
        </is>
      </c>
      <c r="E903" t="inlineStr">
        <is>
          <t>LJUSDAL</t>
        </is>
      </c>
      <c r="F903" t="inlineStr">
        <is>
          <t>Kommuner</t>
        </is>
      </c>
      <c r="G903" t="n">
        <v>6.9</v>
      </c>
      <c r="H903" t="n">
        <v>0</v>
      </c>
      <c r="I903" t="n">
        <v>0</v>
      </c>
      <c r="J903" t="n">
        <v>0</v>
      </c>
      <c r="K903" t="n">
        <v>0</v>
      </c>
      <c r="L903" t="n">
        <v>0</v>
      </c>
      <c r="M903" t="n">
        <v>0</v>
      </c>
      <c r="N903" t="n">
        <v>0</v>
      </c>
      <c r="O903" t="n">
        <v>0</v>
      </c>
      <c r="P903" t="n">
        <v>0</v>
      </c>
      <c r="Q903" t="n">
        <v>0</v>
      </c>
      <c r="R903" s="2" t="inlineStr"/>
    </row>
    <row r="904" ht="15" customHeight="1">
      <c r="A904" t="inlineStr">
        <is>
          <t>A 42720-2024</t>
        </is>
      </c>
      <c r="B904" s="1" t="n">
        <v>45566.459375</v>
      </c>
      <c r="C904" s="1" t="n">
        <v>45992</v>
      </c>
      <c r="D904" t="inlineStr">
        <is>
          <t>GÄVLEBORGS LÄN</t>
        </is>
      </c>
      <c r="E904" t="inlineStr">
        <is>
          <t>LJUSDAL</t>
        </is>
      </c>
      <c r="F904" t="inlineStr">
        <is>
          <t>Kommuner</t>
        </is>
      </c>
      <c r="G904" t="n">
        <v>5.9</v>
      </c>
      <c r="H904" t="n">
        <v>0</v>
      </c>
      <c r="I904" t="n">
        <v>0</v>
      </c>
      <c r="J904" t="n">
        <v>0</v>
      </c>
      <c r="K904" t="n">
        <v>0</v>
      </c>
      <c r="L904" t="n">
        <v>0</v>
      </c>
      <c r="M904" t="n">
        <v>0</v>
      </c>
      <c r="N904" t="n">
        <v>0</v>
      </c>
      <c r="O904" t="n">
        <v>0</v>
      </c>
      <c r="P904" t="n">
        <v>0</v>
      </c>
      <c r="Q904" t="n">
        <v>0</v>
      </c>
      <c r="R904" s="2" t="inlineStr"/>
    </row>
    <row r="905" ht="15" customHeight="1">
      <c r="A905" t="inlineStr">
        <is>
          <t>A 42726-2024</t>
        </is>
      </c>
      <c r="B905" s="1" t="n">
        <v>45566</v>
      </c>
      <c r="C905" s="1" t="n">
        <v>45992</v>
      </c>
      <c r="D905" t="inlineStr">
        <is>
          <t>GÄVLEBORGS LÄN</t>
        </is>
      </c>
      <c r="E905" t="inlineStr">
        <is>
          <t>LJUSDAL</t>
        </is>
      </c>
      <c r="G905" t="n">
        <v>1.6</v>
      </c>
      <c r="H905" t="n">
        <v>0</v>
      </c>
      <c r="I905" t="n">
        <v>0</v>
      </c>
      <c r="J905" t="n">
        <v>0</v>
      </c>
      <c r="K905" t="n">
        <v>0</v>
      </c>
      <c r="L905" t="n">
        <v>0</v>
      </c>
      <c r="M905" t="n">
        <v>0</v>
      </c>
      <c r="N905" t="n">
        <v>0</v>
      </c>
      <c r="O905" t="n">
        <v>0</v>
      </c>
      <c r="P905" t="n">
        <v>0</v>
      </c>
      <c r="Q905" t="n">
        <v>0</v>
      </c>
      <c r="R905" s="2" t="inlineStr"/>
    </row>
    <row r="906" ht="15" customHeight="1">
      <c r="A906" t="inlineStr">
        <is>
          <t>A 53380-2025</t>
        </is>
      </c>
      <c r="B906" s="1" t="n">
        <v>45959.53606481481</v>
      </c>
      <c r="C906" s="1" t="n">
        <v>45992</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53356-2025</t>
        </is>
      </c>
      <c r="B907" s="1" t="n">
        <v>45959.46270833333</v>
      </c>
      <c r="C907" s="1" t="n">
        <v>45992</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35357-2025</t>
        </is>
      </c>
      <c r="B908" s="1" t="n">
        <v>45853</v>
      </c>
      <c r="C908" s="1" t="n">
        <v>45992</v>
      </c>
      <c r="D908" t="inlineStr">
        <is>
          <t>GÄVLEBORGS LÄN</t>
        </is>
      </c>
      <c r="E908" t="inlineStr">
        <is>
          <t>LJUSDAL</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44641-2025</t>
        </is>
      </c>
      <c r="B909" s="1" t="n">
        <v>45917.52512731482</v>
      </c>
      <c r="C909" s="1" t="n">
        <v>45992</v>
      </c>
      <c r="D909" t="inlineStr">
        <is>
          <t>GÄVLEBORGS LÄN</t>
        </is>
      </c>
      <c r="E909" t="inlineStr">
        <is>
          <t>LJUSDAL</t>
        </is>
      </c>
      <c r="G909" t="n">
        <v>1.9</v>
      </c>
      <c r="H909" t="n">
        <v>0</v>
      </c>
      <c r="I909" t="n">
        <v>0</v>
      </c>
      <c r="J909" t="n">
        <v>0</v>
      </c>
      <c r="K909" t="n">
        <v>0</v>
      </c>
      <c r="L909" t="n">
        <v>0</v>
      </c>
      <c r="M909" t="n">
        <v>0</v>
      </c>
      <c r="N909" t="n">
        <v>0</v>
      </c>
      <c r="O909" t="n">
        <v>0</v>
      </c>
      <c r="P909" t="n">
        <v>0</v>
      </c>
      <c r="Q909" t="n">
        <v>0</v>
      </c>
      <c r="R909" s="2" t="inlineStr"/>
    </row>
    <row r="910" ht="15" customHeight="1">
      <c r="A910" t="inlineStr">
        <is>
          <t>A 35088-2025</t>
        </is>
      </c>
      <c r="B910" s="1" t="n">
        <v>45852.51938657407</v>
      </c>
      <c r="C910" s="1" t="n">
        <v>45992</v>
      </c>
      <c r="D910" t="inlineStr">
        <is>
          <t>GÄVLEBORGS LÄN</t>
        </is>
      </c>
      <c r="E910" t="inlineStr">
        <is>
          <t>LJUSDAL</t>
        </is>
      </c>
      <c r="G910" t="n">
        <v>3.3</v>
      </c>
      <c r="H910" t="n">
        <v>0</v>
      </c>
      <c r="I910" t="n">
        <v>0</v>
      </c>
      <c r="J910" t="n">
        <v>0</v>
      </c>
      <c r="K910" t="n">
        <v>0</v>
      </c>
      <c r="L910" t="n">
        <v>0</v>
      </c>
      <c r="M910" t="n">
        <v>0</v>
      </c>
      <c r="N910" t="n">
        <v>0</v>
      </c>
      <c r="O910" t="n">
        <v>0</v>
      </c>
      <c r="P910" t="n">
        <v>0</v>
      </c>
      <c r="Q910" t="n">
        <v>0</v>
      </c>
      <c r="R910" s="2" t="inlineStr"/>
    </row>
    <row r="911" ht="15" customHeight="1">
      <c r="A911" t="inlineStr">
        <is>
          <t>A 35222-2025</t>
        </is>
      </c>
      <c r="B911" s="1" t="n">
        <v>45853.54243055556</v>
      </c>
      <c r="C911" s="1" t="n">
        <v>45992</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44844-2025</t>
        </is>
      </c>
      <c r="B912" s="1" t="n">
        <v>45918.43725694445</v>
      </c>
      <c r="C912" s="1" t="n">
        <v>45992</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35255-2025</t>
        </is>
      </c>
      <c r="B913" s="1" t="n">
        <v>45853</v>
      </c>
      <c r="C913" s="1" t="n">
        <v>45992</v>
      </c>
      <c r="D913" t="inlineStr">
        <is>
          <t>GÄVLEBORGS LÄN</t>
        </is>
      </c>
      <c r="E913" t="inlineStr">
        <is>
          <t>LJUSDAL</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45189-2025</t>
        </is>
      </c>
      <c r="B914" s="1" t="n">
        <v>45919.54337962963</v>
      </c>
      <c r="C914" s="1" t="n">
        <v>45992</v>
      </c>
      <c r="D914" t="inlineStr">
        <is>
          <t>GÄVLEBORGS LÄN</t>
        </is>
      </c>
      <c r="E914" t="inlineStr">
        <is>
          <t>LJUSDAL</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45198-2025</t>
        </is>
      </c>
      <c r="B915" s="1" t="n">
        <v>45919.56082175926</v>
      </c>
      <c r="C915" s="1" t="n">
        <v>45992</v>
      </c>
      <c r="D915" t="inlineStr">
        <is>
          <t>GÄVLEBORGS LÄN</t>
        </is>
      </c>
      <c r="E915" t="inlineStr">
        <is>
          <t>LJUSDAL</t>
        </is>
      </c>
      <c r="G915" t="n">
        <v>4.2</v>
      </c>
      <c r="H915" t="n">
        <v>0</v>
      </c>
      <c r="I915" t="n">
        <v>0</v>
      </c>
      <c r="J915" t="n">
        <v>0</v>
      </c>
      <c r="K915" t="n">
        <v>0</v>
      </c>
      <c r="L915" t="n">
        <v>0</v>
      </c>
      <c r="M915" t="n">
        <v>0</v>
      </c>
      <c r="N915" t="n">
        <v>0</v>
      </c>
      <c r="O915" t="n">
        <v>0</v>
      </c>
      <c r="P915" t="n">
        <v>0</v>
      </c>
      <c r="Q915" t="n">
        <v>0</v>
      </c>
      <c r="R915" s="2" t="inlineStr"/>
    </row>
    <row r="916" ht="15" customHeight="1">
      <c r="A916" t="inlineStr">
        <is>
          <t>A 53517-2025</t>
        </is>
      </c>
      <c r="B916" s="1" t="n">
        <v>45960.35015046296</v>
      </c>
      <c r="C916" s="1" t="n">
        <v>45992</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46075-2024</t>
        </is>
      </c>
      <c r="B917" s="1" t="n">
        <v>45581.32696759259</v>
      </c>
      <c r="C917" s="1" t="n">
        <v>45992</v>
      </c>
      <c r="D917" t="inlineStr">
        <is>
          <t>GÄVLEBORGS LÄN</t>
        </is>
      </c>
      <c r="E917" t="inlineStr">
        <is>
          <t>LJUSDAL</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53688-2025</t>
        </is>
      </c>
      <c r="B918" s="1" t="n">
        <v>45960.57930555556</v>
      </c>
      <c r="C918" s="1" t="n">
        <v>45992</v>
      </c>
      <c r="D918" t="inlineStr">
        <is>
          <t>GÄVLEBORGS LÄN</t>
        </is>
      </c>
      <c r="E918" t="inlineStr">
        <is>
          <t>LJUSDAL</t>
        </is>
      </c>
      <c r="F918" t="inlineStr">
        <is>
          <t>Allmännings- och besparingsskogar</t>
        </is>
      </c>
      <c r="G918" t="n">
        <v>16.2</v>
      </c>
      <c r="H918" t="n">
        <v>0</v>
      </c>
      <c r="I918" t="n">
        <v>0</v>
      </c>
      <c r="J918" t="n">
        <v>0</v>
      </c>
      <c r="K918" t="n">
        <v>0</v>
      </c>
      <c r="L918" t="n">
        <v>0</v>
      </c>
      <c r="M918" t="n">
        <v>0</v>
      </c>
      <c r="N918" t="n">
        <v>0</v>
      </c>
      <c r="O918" t="n">
        <v>0</v>
      </c>
      <c r="P918" t="n">
        <v>0</v>
      </c>
      <c r="Q918" t="n">
        <v>0</v>
      </c>
      <c r="R918" s="2" t="inlineStr"/>
    </row>
    <row r="919" ht="15" customHeight="1">
      <c r="A919" t="inlineStr">
        <is>
          <t>A 35052-2025</t>
        </is>
      </c>
      <c r="B919" s="1" t="n">
        <v>45852.36641203704</v>
      </c>
      <c r="C919" s="1" t="n">
        <v>45992</v>
      </c>
      <c r="D919" t="inlineStr">
        <is>
          <t>GÄVLEBORGS LÄN</t>
        </is>
      </c>
      <c r="E919" t="inlineStr">
        <is>
          <t>LJUSDAL</t>
        </is>
      </c>
      <c r="F919" t="inlineStr">
        <is>
          <t>Bergvik skog väst AB</t>
        </is>
      </c>
      <c r="G919" t="n">
        <v>4</v>
      </c>
      <c r="H919" t="n">
        <v>0</v>
      </c>
      <c r="I919" t="n">
        <v>0</v>
      </c>
      <c r="J919" t="n">
        <v>0</v>
      </c>
      <c r="K919" t="n">
        <v>0</v>
      </c>
      <c r="L919" t="n">
        <v>0</v>
      </c>
      <c r="M919" t="n">
        <v>0</v>
      </c>
      <c r="N919" t="n">
        <v>0</v>
      </c>
      <c r="O919" t="n">
        <v>0</v>
      </c>
      <c r="P919" t="n">
        <v>0</v>
      </c>
      <c r="Q919" t="n">
        <v>0</v>
      </c>
      <c r="R919" s="2" t="inlineStr"/>
    </row>
    <row r="920" ht="15" customHeight="1">
      <c r="A920" t="inlineStr">
        <is>
          <t>A 45272-2025</t>
        </is>
      </c>
      <c r="B920" s="1" t="n">
        <v>45919.69231481481</v>
      </c>
      <c r="C920" s="1" t="n">
        <v>45992</v>
      </c>
      <c r="D920" t="inlineStr">
        <is>
          <t>GÄVLEBORGS LÄN</t>
        </is>
      </c>
      <c r="E920" t="inlineStr">
        <is>
          <t>LJUSDAL</t>
        </is>
      </c>
      <c r="G920" t="n">
        <v>2.5</v>
      </c>
      <c r="H920" t="n">
        <v>0</v>
      </c>
      <c r="I920" t="n">
        <v>0</v>
      </c>
      <c r="J920" t="n">
        <v>0</v>
      </c>
      <c r="K920" t="n">
        <v>0</v>
      </c>
      <c r="L920" t="n">
        <v>0</v>
      </c>
      <c r="M920" t="n">
        <v>0</v>
      </c>
      <c r="N920" t="n">
        <v>0</v>
      </c>
      <c r="O920" t="n">
        <v>0</v>
      </c>
      <c r="P920" t="n">
        <v>0</v>
      </c>
      <c r="Q920" t="n">
        <v>0</v>
      </c>
      <c r="R920" s="2" t="inlineStr"/>
    </row>
    <row r="921" ht="15" customHeight="1">
      <c r="A921" t="inlineStr">
        <is>
          <t>A 53496-2025</t>
        </is>
      </c>
      <c r="B921" s="1" t="n">
        <v>45960.32608796296</v>
      </c>
      <c r="C921" s="1" t="n">
        <v>45992</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30562-2024</t>
        </is>
      </c>
      <c r="B922" s="1" t="n">
        <v>45492.92842592593</v>
      </c>
      <c r="C922" s="1" t="n">
        <v>45992</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32360-2024</t>
        </is>
      </c>
      <c r="B923" s="1" t="n">
        <v>45512.56657407407</v>
      </c>
      <c r="C923" s="1" t="n">
        <v>45992</v>
      </c>
      <c r="D923" t="inlineStr">
        <is>
          <t>GÄVLEBORGS LÄN</t>
        </is>
      </c>
      <c r="E923" t="inlineStr">
        <is>
          <t>LJUSDAL</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53938-2025</t>
        </is>
      </c>
      <c r="B924" s="1" t="n">
        <v>45961.48605324074</v>
      </c>
      <c r="C924" s="1" t="n">
        <v>45992</v>
      </c>
      <c r="D924" t="inlineStr">
        <is>
          <t>GÄVLEBORGS LÄN</t>
        </is>
      </c>
      <c r="E924" t="inlineStr">
        <is>
          <t>LJUSDAL</t>
        </is>
      </c>
      <c r="G924" t="n">
        <v>2.2</v>
      </c>
      <c r="H924" t="n">
        <v>0</v>
      </c>
      <c r="I924" t="n">
        <v>0</v>
      </c>
      <c r="J924" t="n">
        <v>0</v>
      </c>
      <c r="K924" t="n">
        <v>0</v>
      </c>
      <c r="L924" t="n">
        <v>0</v>
      </c>
      <c r="M924" t="n">
        <v>0</v>
      </c>
      <c r="N924" t="n">
        <v>0</v>
      </c>
      <c r="O924" t="n">
        <v>0</v>
      </c>
      <c r="P924" t="n">
        <v>0</v>
      </c>
      <c r="Q924" t="n">
        <v>0</v>
      </c>
      <c r="R924" s="2" t="inlineStr"/>
    </row>
    <row r="925" ht="15" customHeight="1">
      <c r="A925" t="inlineStr">
        <is>
          <t>A 53965-2025</t>
        </is>
      </c>
      <c r="B925" s="1" t="n">
        <v>45961.54165509259</v>
      </c>
      <c r="C925" s="1" t="n">
        <v>45992</v>
      </c>
      <c r="D925" t="inlineStr">
        <is>
          <t>GÄVLEBORGS LÄN</t>
        </is>
      </c>
      <c r="E925" t="inlineStr">
        <is>
          <t>LJUSDAL</t>
        </is>
      </c>
      <c r="G925" t="n">
        <v>9.6</v>
      </c>
      <c r="H925" t="n">
        <v>0</v>
      </c>
      <c r="I925" t="n">
        <v>0</v>
      </c>
      <c r="J925" t="n">
        <v>0</v>
      </c>
      <c r="K925" t="n">
        <v>0</v>
      </c>
      <c r="L925" t="n">
        <v>0</v>
      </c>
      <c r="M925" t="n">
        <v>0</v>
      </c>
      <c r="N925" t="n">
        <v>0</v>
      </c>
      <c r="O925" t="n">
        <v>0</v>
      </c>
      <c r="P925" t="n">
        <v>0</v>
      </c>
      <c r="Q925" t="n">
        <v>0</v>
      </c>
      <c r="R925" s="2" t="inlineStr"/>
    </row>
    <row r="926" ht="15" customHeight="1">
      <c r="A926" t="inlineStr">
        <is>
          <t>A 53691-2025</t>
        </is>
      </c>
      <c r="B926" s="1" t="n">
        <v>45960.5834837963</v>
      </c>
      <c r="C926" s="1" t="n">
        <v>45992</v>
      </c>
      <c r="D926" t="inlineStr">
        <is>
          <t>GÄVLEBORGS LÄN</t>
        </is>
      </c>
      <c r="E926" t="inlineStr">
        <is>
          <t>LJUSDAL</t>
        </is>
      </c>
      <c r="F926" t="inlineStr">
        <is>
          <t>Allmännings- och besparingsskogar</t>
        </is>
      </c>
      <c r="G926" t="n">
        <v>3.9</v>
      </c>
      <c r="H926" t="n">
        <v>0</v>
      </c>
      <c r="I926" t="n">
        <v>0</v>
      </c>
      <c r="J926" t="n">
        <v>0</v>
      </c>
      <c r="K926" t="n">
        <v>0</v>
      </c>
      <c r="L926" t="n">
        <v>0</v>
      </c>
      <c r="M926" t="n">
        <v>0</v>
      </c>
      <c r="N926" t="n">
        <v>0</v>
      </c>
      <c r="O926" t="n">
        <v>0</v>
      </c>
      <c r="P926" t="n">
        <v>0</v>
      </c>
      <c r="Q926" t="n">
        <v>0</v>
      </c>
      <c r="R926" s="2" t="inlineStr"/>
    </row>
    <row r="927" ht="15" customHeight="1">
      <c r="A927" t="inlineStr">
        <is>
          <t>A 53693-2025</t>
        </is>
      </c>
      <c r="B927" s="1" t="n">
        <v>45960.58559027778</v>
      </c>
      <c r="C927" s="1" t="n">
        <v>45992</v>
      </c>
      <c r="D927" t="inlineStr">
        <is>
          <t>GÄVLEBORGS LÄN</t>
        </is>
      </c>
      <c r="E927" t="inlineStr">
        <is>
          <t>LJUSDAL</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53657-2025</t>
        </is>
      </c>
      <c r="B928" s="1" t="n">
        <v>45960.53814814815</v>
      </c>
      <c r="C928" s="1" t="n">
        <v>45992</v>
      </c>
      <c r="D928" t="inlineStr">
        <is>
          <t>GÄVLEBORGS LÄN</t>
        </is>
      </c>
      <c r="E928" t="inlineStr">
        <is>
          <t>LJUSDAL</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45992</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35615-2025</t>
        </is>
      </c>
      <c r="B930" s="1" t="n">
        <v>45859.38130787037</v>
      </c>
      <c r="C930" s="1" t="n">
        <v>45992</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51238-2023</t>
        </is>
      </c>
      <c r="B931" s="1" t="n">
        <v>45219.46576388889</v>
      </c>
      <c r="C931" s="1" t="n">
        <v>45992</v>
      </c>
      <c r="D931" t="inlineStr">
        <is>
          <t>GÄVLEBORGS LÄN</t>
        </is>
      </c>
      <c r="E931" t="inlineStr">
        <is>
          <t>LJUSDAL</t>
        </is>
      </c>
      <c r="F931" t="inlineStr">
        <is>
          <t>Sveaskog</t>
        </is>
      </c>
      <c r="G931" t="n">
        <v>2.4</v>
      </c>
      <c r="H931" t="n">
        <v>0</v>
      </c>
      <c r="I931" t="n">
        <v>0</v>
      </c>
      <c r="J931" t="n">
        <v>0</v>
      </c>
      <c r="K931" t="n">
        <v>0</v>
      </c>
      <c r="L931" t="n">
        <v>0</v>
      </c>
      <c r="M931" t="n">
        <v>0</v>
      </c>
      <c r="N931" t="n">
        <v>0</v>
      </c>
      <c r="O931" t="n">
        <v>0</v>
      </c>
      <c r="P931" t="n">
        <v>0</v>
      </c>
      <c r="Q931" t="n">
        <v>0</v>
      </c>
      <c r="R931" s="2" t="inlineStr"/>
    </row>
    <row r="932" ht="15" customHeight="1">
      <c r="A932" t="inlineStr">
        <is>
          <t>A 25093-2024</t>
        </is>
      </c>
      <c r="B932" s="1" t="n">
        <v>45462</v>
      </c>
      <c r="C932" s="1" t="n">
        <v>45992</v>
      </c>
      <c r="D932" t="inlineStr">
        <is>
          <t>GÄVLEBORGS LÄN</t>
        </is>
      </c>
      <c r="E932" t="inlineStr">
        <is>
          <t>LJUSDAL</t>
        </is>
      </c>
      <c r="F932" t="inlineStr">
        <is>
          <t>Bergvik skog väst AB</t>
        </is>
      </c>
      <c r="G932" t="n">
        <v>10.6</v>
      </c>
      <c r="H932" t="n">
        <v>0</v>
      </c>
      <c r="I932" t="n">
        <v>0</v>
      </c>
      <c r="J932" t="n">
        <v>0</v>
      </c>
      <c r="K932" t="n">
        <v>0</v>
      </c>
      <c r="L932" t="n">
        <v>0</v>
      </c>
      <c r="M932" t="n">
        <v>0</v>
      </c>
      <c r="N932" t="n">
        <v>0</v>
      </c>
      <c r="O932" t="n">
        <v>0</v>
      </c>
      <c r="P932" t="n">
        <v>0</v>
      </c>
      <c r="Q932" t="n">
        <v>0</v>
      </c>
      <c r="R932" s="2" t="inlineStr"/>
    </row>
    <row r="933" ht="15" customHeight="1">
      <c r="A933" t="inlineStr">
        <is>
          <t>A 35804-2025</t>
        </is>
      </c>
      <c r="B933" s="1" t="n">
        <v>45861.39952546296</v>
      </c>
      <c r="C933" s="1" t="n">
        <v>45992</v>
      </c>
      <c r="D933" t="inlineStr">
        <is>
          <t>GÄVLEBORGS LÄN</t>
        </is>
      </c>
      <c r="E933" t="inlineStr">
        <is>
          <t>LJUSDAL</t>
        </is>
      </c>
      <c r="G933" t="n">
        <v>15.3</v>
      </c>
      <c r="H933" t="n">
        <v>0</v>
      </c>
      <c r="I933" t="n">
        <v>0</v>
      </c>
      <c r="J933" t="n">
        <v>0</v>
      </c>
      <c r="K933" t="n">
        <v>0</v>
      </c>
      <c r="L933" t="n">
        <v>0</v>
      </c>
      <c r="M933" t="n">
        <v>0</v>
      </c>
      <c r="N933" t="n">
        <v>0</v>
      </c>
      <c r="O933" t="n">
        <v>0</v>
      </c>
      <c r="P933" t="n">
        <v>0</v>
      </c>
      <c r="Q933" t="n">
        <v>0</v>
      </c>
      <c r="R933" s="2" t="inlineStr"/>
    </row>
    <row r="934" ht="15" customHeight="1">
      <c r="A934" t="inlineStr">
        <is>
          <t>A 57673-2024</t>
        </is>
      </c>
      <c r="B934" s="1" t="n">
        <v>45630.62938657407</v>
      </c>
      <c r="C934" s="1" t="n">
        <v>45992</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44955-2025</t>
        </is>
      </c>
      <c r="B935" s="1" t="n">
        <v>45918.61378472222</v>
      </c>
      <c r="C935" s="1" t="n">
        <v>45992</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38557-2025</t>
        </is>
      </c>
      <c r="B936" s="1" t="n">
        <v>45884.44524305555</v>
      </c>
      <c r="C936" s="1" t="n">
        <v>45992</v>
      </c>
      <c r="D936" t="inlineStr">
        <is>
          <t>GÄVLEBORGS LÄN</t>
        </is>
      </c>
      <c r="E936" t="inlineStr">
        <is>
          <t>LJUSDAL</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35835-2025</t>
        </is>
      </c>
      <c r="B937" s="1" t="n">
        <v>45861.53181712963</v>
      </c>
      <c r="C937" s="1" t="n">
        <v>45992</v>
      </c>
      <c r="D937" t="inlineStr">
        <is>
          <t>GÄVLEBORGS LÄN</t>
        </is>
      </c>
      <c r="E937" t="inlineStr">
        <is>
          <t>LJUSDAL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206-2025</t>
        </is>
      </c>
      <c r="B938" s="1" t="n">
        <v>45660.3234837963</v>
      </c>
      <c r="C938" s="1" t="n">
        <v>45992</v>
      </c>
      <c r="D938" t="inlineStr">
        <is>
          <t>GÄVLEBORGS LÄN</t>
        </is>
      </c>
      <c r="E938" t="inlineStr">
        <is>
          <t>LJUSDAL</t>
        </is>
      </c>
      <c r="G938" t="n">
        <v>5.8</v>
      </c>
      <c r="H938" t="n">
        <v>0</v>
      </c>
      <c r="I938" t="n">
        <v>0</v>
      </c>
      <c r="J938" t="n">
        <v>0</v>
      </c>
      <c r="K938" t="n">
        <v>0</v>
      </c>
      <c r="L938" t="n">
        <v>0</v>
      </c>
      <c r="M938" t="n">
        <v>0</v>
      </c>
      <c r="N938" t="n">
        <v>0</v>
      </c>
      <c r="O938" t="n">
        <v>0</v>
      </c>
      <c r="P938" t="n">
        <v>0</v>
      </c>
      <c r="Q938" t="n">
        <v>0</v>
      </c>
      <c r="R938" s="2" t="inlineStr"/>
    </row>
    <row r="939" ht="15" customHeight="1">
      <c r="A939" t="inlineStr">
        <is>
          <t>A 209-2025</t>
        </is>
      </c>
      <c r="B939" s="1" t="n">
        <v>45660.33010416666</v>
      </c>
      <c r="C939" s="1" t="n">
        <v>45992</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268-2025</t>
        </is>
      </c>
      <c r="B940" s="1" t="n">
        <v>45660</v>
      </c>
      <c r="C940" s="1" t="n">
        <v>45992</v>
      </c>
      <c r="D940" t="inlineStr">
        <is>
          <t>GÄVLEBORGS LÄN</t>
        </is>
      </c>
      <c r="E940" t="inlineStr">
        <is>
          <t>LJUSDAL</t>
        </is>
      </c>
      <c r="G940" t="n">
        <v>4</v>
      </c>
      <c r="H940" t="n">
        <v>0</v>
      </c>
      <c r="I940" t="n">
        <v>0</v>
      </c>
      <c r="J940" t="n">
        <v>0</v>
      </c>
      <c r="K940" t="n">
        <v>0</v>
      </c>
      <c r="L940" t="n">
        <v>0</v>
      </c>
      <c r="M940" t="n">
        <v>0</v>
      </c>
      <c r="N940" t="n">
        <v>0</v>
      </c>
      <c r="O940" t="n">
        <v>0</v>
      </c>
      <c r="P940" t="n">
        <v>0</v>
      </c>
      <c r="Q940" t="n">
        <v>0</v>
      </c>
      <c r="R940" s="2" t="inlineStr"/>
    </row>
    <row r="941" ht="15" customHeight="1">
      <c r="A941" t="inlineStr">
        <is>
          <t>A 44994-2025</t>
        </is>
      </c>
      <c r="B941" s="1" t="n">
        <v>45918.65791666666</v>
      </c>
      <c r="C941" s="1" t="n">
        <v>45992</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18800-2025</t>
        </is>
      </c>
      <c r="B942" s="1" t="n">
        <v>45764.34707175926</v>
      </c>
      <c r="C942" s="1" t="n">
        <v>45992</v>
      </c>
      <c r="D942" t="inlineStr">
        <is>
          <t>GÄVLEBORGS LÄN</t>
        </is>
      </c>
      <c r="E942" t="inlineStr">
        <is>
          <t>LJUSDAL</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28024-2024</t>
        </is>
      </c>
      <c r="B943" s="1" t="n">
        <v>45476.48216435185</v>
      </c>
      <c r="C943" s="1" t="n">
        <v>45992</v>
      </c>
      <c r="D943" t="inlineStr">
        <is>
          <t>GÄVLEBORGS LÄN</t>
        </is>
      </c>
      <c r="E943" t="inlineStr">
        <is>
          <t>LJUSDAL</t>
        </is>
      </c>
      <c r="G943" t="n">
        <v>2.4</v>
      </c>
      <c r="H943" t="n">
        <v>0</v>
      </c>
      <c r="I943" t="n">
        <v>0</v>
      </c>
      <c r="J943" t="n">
        <v>0</v>
      </c>
      <c r="K943" t="n">
        <v>0</v>
      </c>
      <c r="L943" t="n">
        <v>0</v>
      </c>
      <c r="M943" t="n">
        <v>0</v>
      </c>
      <c r="N943" t="n">
        <v>0</v>
      </c>
      <c r="O943" t="n">
        <v>0</v>
      </c>
      <c r="P943" t="n">
        <v>0</v>
      </c>
      <c r="Q943" t="n">
        <v>0</v>
      </c>
      <c r="R943" s="2" t="inlineStr"/>
    </row>
    <row r="944" ht="15" customHeight="1">
      <c r="A944" t="inlineStr">
        <is>
          <t>A 45142-2025</t>
        </is>
      </c>
      <c r="B944" s="1" t="n">
        <v>45919.45673611111</v>
      </c>
      <c r="C944" s="1" t="n">
        <v>45992</v>
      </c>
      <c r="D944" t="inlineStr">
        <is>
          <t>GÄVLEBORGS LÄN</t>
        </is>
      </c>
      <c r="E944" t="inlineStr">
        <is>
          <t>LJUSDAL</t>
        </is>
      </c>
      <c r="G944" t="n">
        <v>3.8</v>
      </c>
      <c r="H944" t="n">
        <v>0</v>
      </c>
      <c r="I944" t="n">
        <v>0</v>
      </c>
      <c r="J944" t="n">
        <v>0</v>
      </c>
      <c r="K944" t="n">
        <v>0</v>
      </c>
      <c r="L944" t="n">
        <v>0</v>
      </c>
      <c r="M944" t="n">
        <v>0</v>
      </c>
      <c r="N944" t="n">
        <v>0</v>
      </c>
      <c r="O944" t="n">
        <v>0</v>
      </c>
      <c r="P944" t="n">
        <v>0</v>
      </c>
      <c r="Q944" t="n">
        <v>0</v>
      </c>
      <c r="R944" s="2" t="inlineStr"/>
    </row>
    <row r="945" ht="15" customHeight="1">
      <c r="A945" t="inlineStr">
        <is>
          <t>A 33386-2024</t>
        </is>
      </c>
      <c r="B945" s="1" t="n">
        <v>45519.47221064815</v>
      </c>
      <c r="C945" s="1" t="n">
        <v>45992</v>
      </c>
      <c r="D945" t="inlineStr">
        <is>
          <t>GÄVLEBORGS LÄN</t>
        </is>
      </c>
      <c r="E945" t="inlineStr">
        <is>
          <t>LJUSDAL</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51247-2024</t>
        </is>
      </c>
      <c r="B946" s="1" t="n">
        <v>45603.68180555556</v>
      </c>
      <c r="C946" s="1" t="n">
        <v>45992</v>
      </c>
      <c r="D946" t="inlineStr">
        <is>
          <t>GÄVLEBORGS LÄN</t>
        </is>
      </c>
      <c r="E946" t="inlineStr">
        <is>
          <t>LJUSDAL</t>
        </is>
      </c>
      <c r="F946" t="inlineStr">
        <is>
          <t>Kommuner</t>
        </is>
      </c>
      <c r="G946" t="n">
        <v>6.1</v>
      </c>
      <c r="H946" t="n">
        <v>0</v>
      </c>
      <c r="I946" t="n">
        <v>0</v>
      </c>
      <c r="J946" t="n">
        <v>0</v>
      </c>
      <c r="K946" t="n">
        <v>0</v>
      </c>
      <c r="L946" t="n">
        <v>0</v>
      </c>
      <c r="M946" t="n">
        <v>0</v>
      </c>
      <c r="N946" t="n">
        <v>0</v>
      </c>
      <c r="O946" t="n">
        <v>0</v>
      </c>
      <c r="P946" t="n">
        <v>0</v>
      </c>
      <c r="Q946" t="n">
        <v>0</v>
      </c>
      <c r="R946" s="2" t="inlineStr"/>
    </row>
    <row r="947" ht="15" customHeight="1">
      <c r="A947" t="inlineStr">
        <is>
          <t>A 12886-2025</t>
        </is>
      </c>
      <c r="B947" s="1" t="n">
        <v>45733.69862268519</v>
      </c>
      <c r="C947" s="1" t="n">
        <v>45992</v>
      </c>
      <c r="D947" t="inlineStr">
        <is>
          <t>GÄVLEBORGS LÄN</t>
        </is>
      </c>
      <c r="E947" t="inlineStr">
        <is>
          <t>LJUSDAL</t>
        </is>
      </c>
      <c r="F947" t="inlineStr">
        <is>
          <t>SCA</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54402-2025</t>
        </is>
      </c>
      <c r="B948" s="1" t="n">
        <v>45965.45290509259</v>
      </c>
      <c r="C948" s="1" t="n">
        <v>45992</v>
      </c>
      <c r="D948" t="inlineStr">
        <is>
          <t>GÄVLEBORGS LÄN</t>
        </is>
      </c>
      <c r="E948" t="inlineStr">
        <is>
          <t>LJUSDAL</t>
        </is>
      </c>
      <c r="G948" t="n">
        <v>6.3</v>
      </c>
      <c r="H948" t="n">
        <v>0</v>
      </c>
      <c r="I948" t="n">
        <v>0</v>
      </c>
      <c r="J948" t="n">
        <v>0</v>
      </c>
      <c r="K948" t="n">
        <v>0</v>
      </c>
      <c r="L948" t="n">
        <v>0</v>
      </c>
      <c r="M948" t="n">
        <v>0</v>
      </c>
      <c r="N948" t="n">
        <v>0</v>
      </c>
      <c r="O948" t="n">
        <v>0</v>
      </c>
      <c r="P948" t="n">
        <v>0</v>
      </c>
      <c r="Q948" t="n">
        <v>0</v>
      </c>
      <c r="R948" s="2" t="inlineStr"/>
    </row>
    <row r="949" ht="15" customHeight="1">
      <c r="A949" t="inlineStr">
        <is>
          <t>A 57269-2022</t>
        </is>
      </c>
      <c r="B949" s="1" t="n">
        <v>44895</v>
      </c>
      <c r="C949" s="1" t="n">
        <v>45992</v>
      </c>
      <c r="D949" t="inlineStr">
        <is>
          <t>GÄVLEBORGS LÄN</t>
        </is>
      </c>
      <c r="E949" t="inlineStr">
        <is>
          <t>LJUSDAL</t>
        </is>
      </c>
      <c r="G949" t="n">
        <v>0.5</v>
      </c>
      <c r="H949" t="n">
        <v>0</v>
      </c>
      <c r="I949" t="n">
        <v>0</v>
      </c>
      <c r="J949" t="n">
        <v>0</v>
      </c>
      <c r="K949" t="n">
        <v>0</v>
      </c>
      <c r="L949" t="n">
        <v>0</v>
      </c>
      <c r="M949" t="n">
        <v>0</v>
      </c>
      <c r="N949" t="n">
        <v>0</v>
      </c>
      <c r="O949" t="n">
        <v>0</v>
      </c>
      <c r="P949" t="n">
        <v>0</v>
      </c>
      <c r="Q949" t="n">
        <v>0</v>
      </c>
      <c r="R949" s="2" t="inlineStr"/>
    </row>
    <row r="950" ht="15" customHeight="1">
      <c r="A950" t="inlineStr">
        <is>
          <t>A 33420-2025</t>
        </is>
      </c>
      <c r="B950" s="1" t="n">
        <v>45841.44123842593</v>
      </c>
      <c r="C950" s="1" t="n">
        <v>45992</v>
      </c>
      <c r="D950" t="inlineStr">
        <is>
          <t>GÄVLEBORGS LÄN</t>
        </is>
      </c>
      <c r="E950" t="inlineStr">
        <is>
          <t>LJUSDAL</t>
        </is>
      </c>
      <c r="G950" t="n">
        <v>13.5</v>
      </c>
      <c r="H950" t="n">
        <v>0</v>
      </c>
      <c r="I950" t="n">
        <v>0</v>
      </c>
      <c r="J950" t="n">
        <v>0</v>
      </c>
      <c r="K950" t="n">
        <v>0</v>
      </c>
      <c r="L950" t="n">
        <v>0</v>
      </c>
      <c r="M950" t="n">
        <v>0</v>
      </c>
      <c r="N950" t="n">
        <v>0</v>
      </c>
      <c r="O950" t="n">
        <v>0</v>
      </c>
      <c r="P950" t="n">
        <v>0</v>
      </c>
      <c r="Q950" t="n">
        <v>0</v>
      </c>
      <c r="R950" s="2" t="inlineStr"/>
    </row>
    <row r="951" ht="15" customHeight="1">
      <c r="A951" t="inlineStr">
        <is>
          <t>A 55291-2024</t>
        </is>
      </c>
      <c r="B951" s="1" t="n">
        <v>45621.63578703703</v>
      </c>
      <c r="C951" s="1" t="n">
        <v>45992</v>
      </c>
      <c r="D951" t="inlineStr">
        <is>
          <t>GÄVLEBORGS LÄN</t>
        </is>
      </c>
      <c r="E951" t="inlineStr">
        <is>
          <t>LJUSDAL</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45847-2025</t>
        </is>
      </c>
      <c r="B952" s="1" t="n">
        <v>45923.6159837963</v>
      </c>
      <c r="C952" s="1" t="n">
        <v>45992</v>
      </c>
      <c r="D952" t="inlineStr">
        <is>
          <t>GÄVLEBORGS LÄN</t>
        </is>
      </c>
      <c r="E952" t="inlineStr">
        <is>
          <t>LJUSDAL</t>
        </is>
      </c>
      <c r="F952" t="inlineStr">
        <is>
          <t>Allmännings- och besparingsskogar</t>
        </is>
      </c>
      <c r="G952" t="n">
        <v>16.4</v>
      </c>
      <c r="H952" t="n">
        <v>0</v>
      </c>
      <c r="I952" t="n">
        <v>0</v>
      </c>
      <c r="J952" t="n">
        <v>0</v>
      </c>
      <c r="K952" t="n">
        <v>0</v>
      </c>
      <c r="L952" t="n">
        <v>0</v>
      </c>
      <c r="M952" t="n">
        <v>0</v>
      </c>
      <c r="N952" t="n">
        <v>0</v>
      </c>
      <c r="O952" t="n">
        <v>0</v>
      </c>
      <c r="P952" t="n">
        <v>0</v>
      </c>
      <c r="Q952" t="n">
        <v>0</v>
      </c>
      <c r="R952" s="2" t="inlineStr"/>
    </row>
    <row r="953" ht="15" customHeight="1">
      <c r="A953" t="inlineStr">
        <is>
          <t>A 54496-2025</t>
        </is>
      </c>
      <c r="B953" s="1" t="n">
        <v>45965.60248842592</v>
      </c>
      <c r="C953" s="1" t="n">
        <v>45992</v>
      </c>
      <c r="D953" t="inlineStr">
        <is>
          <t>GÄVLEBORGS LÄN</t>
        </is>
      </c>
      <c r="E953" t="inlineStr">
        <is>
          <t>LJUSDAL</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36251-2025</t>
        </is>
      </c>
      <c r="B954" s="1" t="n">
        <v>45867.57475694444</v>
      </c>
      <c r="C954" s="1" t="n">
        <v>45992</v>
      </c>
      <c r="D954" t="inlineStr">
        <is>
          <t>GÄVLEBORGS LÄN</t>
        </is>
      </c>
      <c r="E954" t="inlineStr">
        <is>
          <t>LJUSDAL</t>
        </is>
      </c>
      <c r="G954" t="n">
        <v>1.1</v>
      </c>
      <c r="H954" t="n">
        <v>0</v>
      </c>
      <c r="I954" t="n">
        <v>0</v>
      </c>
      <c r="J954" t="n">
        <v>0</v>
      </c>
      <c r="K954" t="n">
        <v>0</v>
      </c>
      <c r="L954" t="n">
        <v>0</v>
      </c>
      <c r="M954" t="n">
        <v>0</v>
      </c>
      <c r="N954" t="n">
        <v>0</v>
      </c>
      <c r="O954" t="n">
        <v>0</v>
      </c>
      <c r="P954" t="n">
        <v>0</v>
      </c>
      <c r="Q954" t="n">
        <v>0</v>
      </c>
      <c r="R954" s="2" t="inlineStr"/>
    </row>
    <row r="955" ht="15" customHeight="1">
      <c r="A955" t="inlineStr">
        <is>
          <t>A 36061-2025</t>
        </is>
      </c>
      <c r="B955" s="1" t="n">
        <v>45866.3949074074</v>
      </c>
      <c r="C955" s="1" t="n">
        <v>45992</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36250-2025</t>
        </is>
      </c>
      <c r="B956" s="1" t="n">
        <v>45867.57358796296</v>
      </c>
      <c r="C956" s="1" t="n">
        <v>45992</v>
      </c>
      <c r="D956" t="inlineStr">
        <is>
          <t>GÄVLEBORGS LÄN</t>
        </is>
      </c>
      <c r="E956" t="inlineStr">
        <is>
          <t>LJUSDAL</t>
        </is>
      </c>
      <c r="F956" t="inlineStr">
        <is>
          <t>Naturvårdsverket</t>
        </is>
      </c>
      <c r="G956" t="n">
        <v>4.2</v>
      </c>
      <c r="H956" t="n">
        <v>0</v>
      </c>
      <c r="I956" t="n">
        <v>0</v>
      </c>
      <c r="J956" t="n">
        <v>0</v>
      </c>
      <c r="K956" t="n">
        <v>0</v>
      </c>
      <c r="L956" t="n">
        <v>0</v>
      </c>
      <c r="M956" t="n">
        <v>0</v>
      </c>
      <c r="N956" t="n">
        <v>0</v>
      </c>
      <c r="O956" t="n">
        <v>0</v>
      </c>
      <c r="P956" t="n">
        <v>0</v>
      </c>
      <c r="Q956" t="n">
        <v>0</v>
      </c>
      <c r="R956" s="2" t="inlineStr"/>
    </row>
    <row r="957" ht="15" customHeight="1">
      <c r="A957" t="inlineStr">
        <is>
          <t>A 36263-2025</t>
        </is>
      </c>
      <c r="B957" s="1" t="n">
        <v>45867.61510416667</v>
      </c>
      <c r="C957" s="1" t="n">
        <v>45992</v>
      </c>
      <c r="D957" t="inlineStr">
        <is>
          <t>GÄVLEBORGS LÄN</t>
        </is>
      </c>
      <c r="E957" t="inlineStr">
        <is>
          <t>LJUSDAL</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36058-2025</t>
        </is>
      </c>
      <c r="B958" s="1" t="n">
        <v>45866.39219907407</v>
      </c>
      <c r="C958" s="1" t="n">
        <v>45992</v>
      </c>
      <c r="D958" t="inlineStr">
        <is>
          <t>GÄVLEBORGS LÄN</t>
        </is>
      </c>
      <c r="E958" t="inlineStr">
        <is>
          <t>LJUSDAL</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36069-2025</t>
        </is>
      </c>
      <c r="B959" s="1" t="n">
        <v>45866.42765046296</v>
      </c>
      <c r="C959" s="1" t="n">
        <v>45992</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54291-2025</t>
        </is>
      </c>
      <c r="B960" s="1" t="n">
        <v>45964.82269675926</v>
      </c>
      <c r="C960" s="1" t="n">
        <v>45992</v>
      </c>
      <c r="D960" t="inlineStr">
        <is>
          <t>GÄVLEBORGS LÄN</t>
        </is>
      </c>
      <c r="E960" t="inlineStr">
        <is>
          <t>LJUSDAL</t>
        </is>
      </c>
      <c r="G960" t="n">
        <v>2.3</v>
      </c>
      <c r="H960" t="n">
        <v>0</v>
      </c>
      <c r="I960" t="n">
        <v>0</v>
      </c>
      <c r="J960" t="n">
        <v>0</v>
      </c>
      <c r="K960" t="n">
        <v>0</v>
      </c>
      <c r="L960" t="n">
        <v>0</v>
      </c>
      <c r="M960" t="n">
        <v>0</v>
      </c>
      <c r="N960" t="n">
        <v>0</v>
      </c>
      <c r="O960" t="n">
        <v>0</v>
      </c>
      <c r="P960" t="n">
        <v>0</v>
      </c>
      <c r="Q960" t="n">
        <v>0</v>
      </c>
      <c r="R960" s="2" t="inlineStr"/>
    </row>
    <row r="961" ht="15" customHeight="1">
      <c r="A961" t="inlineStr">
        <is>
          <t>A 54300-2025</t>
        </is>
      </c>
      <c r="B961" s="1" t="n">
        <v>45965.27563657407</v>
      </c>
      <c r="C961" s="1" t="n">
        <v>45992</v>
      </c>
      <c r="D961" t="inlineStr">
        <is>
          <t>GÄVLEBORGS LÄN</t>
        </is>
      </c>
      <c r="E961" t="inlineStr">
        <is>
          <t>LJUSDAL</t>
        </is>
      </c>
      <c r="G961" t="n">
        <v>4.8</v>
      </c>
      <c r="H961" t="n">
        <v>0</v>
      </c>
      <c r="I961" t="n">
        <v>0</v>
      </c>
      <c r="J961" t="n">
        <v>0</v>
      </c>
      <c r="K961" t="n">
        <v>0</v>
      </c>
      <c r="L961" t="n">
        <v>0</v>
      </c>
      <c r="M961" t="n">
        <v>0</v>
      </c>
      <c r="N961" t="n">
        <v>0</v>
      </c>
      <c r="O961" t="n">
        <v>0</v>
      </c>
      <c r="P961" t="n">
        <v>0</v>
      </c>
      <c r="Q961" t="n">
        <v>0</v>
      </c>
      <c r="R961" s="2" t="inlineStr"/>
    </row>
    <row r="962" ht="15" customHeight="1">
      <c r="A962" t="inlineStr">
        <is>
          <t>A 36213-2025</t>
        </is>
      </c>
      <c r="B962" s="1" t="n">
        <v>45867.48995370371</v>
      </c>
      <c r="C962" s="1" t="n">
        <v>45992</v>
      </c>
      <c r="D962" t="inlineStr">
        <is>
          <t>GÄVLEBORGS LÄN</t>
        </is>
      </c>
      <c r="E962" t="inlineStr">
        <is>
          <t>LJUSDAL</t>
        </is>
      </c>
      <c r="G962" t="n">
        <v>0.6</v>
      </c>
      <c r="H962" t="n">
        <v>0</v>
      </c>
      <c r="I962" t="n">
        <v>0</v>
      </c>
      <c r="J962" t="n">
        <v>0</v>
      </c>
      <c r="K962" t="n">
        <v>0</v>
      </c>
      <c r="L962" t="n">
        <v>0</v>
      </c>
      <c r="M962" t="n">
        <v>0</v>
      </c>
      <c r="N962" t="n">
        <v>0</v>
      </c>
      <c r="O962" t="n">
        <v>0</v>
      </c>
      <c r="P962" t="n">
        <v>0</v>
      </c>
      <c r="Q962" t="n">
        <v>0</v>
      </c>
      <c r="R962" s="2" t="inlineStr"/>
    </row>
    <row r="963" ht="15" customHeight="1">
      <c r="A963" t="inlineStr">
        <is>
          <t>A 6844-2024</t>
        </is>
      </c>
      <c r="B963" s="1" t="n">
        <v>45342.62732638889</v>
      </c>
      <c r="C963" s="1" t="n">
        <v>45992</v>
      </c>
      <c r="D963" t="inlineStr">
        <is>
          <t>GÄVLEBORGS LÄN</t>
        </is>
      </c>
      <c r="E963" t="inlineStr">
        <is>
          <t>LJUSDAL</t>
        </is>
      </c>
      <c r="G963" t="n">
        <v>2</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45992</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36227-2025</t>
        </is>
      </c>
      <c r="B965" s="1" t="n">
        <v>45867.53137731482</v>
      </c>
      <c r="C965" s="1" t="n">
        <v>45992</v>
      </c>
      <c r="D965" t="inlineStr">
        <is>
          <t>GÄVLEBORGS LÄN</t>
        </is>
      </c>
      <c r="E965" t="inlineStr">
        <is>
          <t>LJUSDAL</t>
        </is>
      </c>
      <c r="G965" t="n">
        <v>13.5</v>
      </c>
      <c r="H965" t="n">
        <v>0</v>
      </c>
      <c r="I965" t="n">
        <v>0</v>
      </c>
      <c r="J965" t="n">
        <v>0</v>
      </c>
      <c r="K965" t="n">
        <v>0</v>
      </c>
      <c r="L965" t="n">
        <v>0</v>
      </c>
      <c r="M965" t="n">
        <v>0</v>
      </c>
      <c r="N965" t="n">
        <v>0</v>
      </c>
      <c r="O965" t="n">
        <v>0</v>
      </c>
      <c r="P965" t="n">
        <v>0</v>
      </c>
      <c r="Q965" t="n">
        <v>0</v>
      </c>
      <c r="R965" s="2" t="inlineStr"/>
    </row>
    <row r="966" ht="15" customHeight="1">
      <c r="A966" t="inlineStr">
        <is>
          <t>A 36079-2025</t>
        </is>
      </c>
      <c r="B966" s="1" t="n">
        <v>45866.4482175926</v>
      </c>
      <c r="C966" s="1" t="n">
        <v>45992</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46502-2024</t>
        </is>
      </c>
      <c r="B967" s="1" t="n">
        <v>45582.60079861111</v>
      </c>
      <c r="C967" s="1" t="n">
        <v>45992</v>
      </c>
      <c r="D967" t="inlineStr">
        <is>
          <t>GÄVLEBORGS LÄN</t>
        </is>
      </c>
      <c r="E967" t="inlineStr">
        <is>
          <t>LJUSDAL</t>
        </is>
      </c>
      <c r="G967" t="n">
        <v>2.4</v>
      </c>
      <c r="H967" t="n">
        <v>0</v>
      </c>
      <c r="I967" t="n">
        <v>0</v>
      </c>
      <c r="J967" t="n">
        <v>0</v>
      </c>
      <c r="K967" t="n">
        <v>0</v>
      </c>
      <c r="L967" t="n">
        <v>0</v>
      </c>
      <c r="M967" t="n">
        <v>0</v>
      </c>
      <c r="N967" t="n">
        <v>0</v>
      </c>
      <c r="O967" t="n">
        <v>0</v>
      </c>
      <c r="P967" t="n">
        <v>0</v>
      </c>
      <c r="Q967" t="n">
        <v>0</v>
      </c>
      <c r="R967" s="2" t="inlineStr"/>
    </row>
    <row r="968" ht="15" customHeight="1">
      <c r="A968" t="inlineStr">
        <is>
          <t>A 54289-2025</t>
        </is>
      </c>
      <c r="B968" s="1" t="n">
        <v>45964.81273148148</v>
      </c>
      <c r="C968" s="1" t="n">
        <v>45992</v>
      </c>
      <c r="D968" t="inlineStr">
        <is>
          <t>GÄVLEBORGS LÄN</t>
        </is>
      </c>
      <c r="E968" t="inlineStr">
        <is>
          <t>LJUSDAL</t>
        </is>
      </c>
      <c r="G968" t="n">
        <v>2.9</v>
      </c>
      <c r="H968" t="n">
        <v>0</v>
      </c>
      <c r="I968" t="n">
        <v>0</v>
      </c>
      <c r="J968" t="n">
        <v>0</v>
      </c>
      <c r="K968" t="n">
        <v>0</v>
      </c>
      <c r="L968" t="n">
        <v>0</v>
      </c>
      <c r="M968" t="n">
        <v>0</v>
      </c>
      <c r="N968" t="n">
        <v>0</v>
      </c>
      <c r="O968" t="n">
        <v>0</v>
      </c>
      <c r="P968" t="n">
        <v>0</v>
      </c>
      <c r="Q968" t="n">
        <v>0</v>
      </c>
      <c r="R968" s="2" t="inlineStr"/>
    </row>
    <row r="969" ht="15" customHeight="1">
      <c r="A969" t="inlineStr">
        <is>
          <t>A 4095-2024</t>
        </is>
      </c>
      <c r="B969" s="1" t="n">
        <v>45323</v>
      </c>
      <c r="C969" s="1" t="n">
        <v>45992</v>
      </c>
      <c r="D969" t="inlineStr">
        <is>
          <t>GÄVLEBORGS LÄN</t>
        </is>
      </c>
      <c r="E969" t="inlineStr">
        <is>
          <t>LJUSDAL</t>
        </is>
      </c>
      <c r="G969" t="n">
        <v>0.6</v>
      </c>
      <c r="H969" t="n">
        <v>0</v>
      </c>
      <c r="I969" t="n">
        <v>0</v>
      </c>
      <c r="J969" t="n">
        <v>0</v>
      </c>
      <c r="K969" t="n">
        <v>0</v>
      </c>
      <c r="L969" t="n">
        <v>0</v>
      </c>
      <c r="M969" t="n">
        <v>0</v>
      </c>
      <c r="N969" t="n">
        <v>0</v>
      </c>
      <c r="O969" t="n">
        <v>0</v>
      </c>
      <c r="P969" t="n">
        <v>0</v>
      </c>
      <c r="Q969" t="n">
        <v>0</v>
      </c>
      <c r="R969" s="2" t="inlineStr"/>
    </row>
    <row r="970" ht="15" customHeight="1">
      <c r="A970" t="inlineStr">
        <is>
          <t>A 36317-2025</t>
        </is>
      </c>
      <c r="B970" s="1" t="n">
        <v>45868.37267361111</v>
      </c>
      <c r="C970" s="1" t="n">
        <v>45992</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36318-2025</t>
        </is>
      </c>
      <c r="B971" s="1" t="n">
        <v>45868.37643518519</v>
      </c>
      <c r="C971" s="1" t="n">
        <v>45992</v>
      </c>
      <c r="D971" t="inlineStr">
        <is>
          <t>GÄVLEBORGS LÄN</t>
        </is>
      </c>
      <c r="E971" t="inlineStr">
        <is>
          <t>LJUSDAL</t>
        </is>
      </c>
      <c r="G971" t="n">
        <v>10.2</v>
      </c>
      <c r="H971" t="n">
        <v>0</v>
      </c>
      <c r="I971" t="n">
        <v>0</v>
      </c>
      <c r="J971" t="n">
        <v>0</v>
      </c>
      <c r="K971" t="n">
        <v>0</v>
      </c>
      <c r="L971" t="n">
        <v>0</v>
      </c>
      <c r="M971" t="n">
        <v>0</v>
      </c>
      <c r="N971" t="n">
        <v>0</v>
      </c>
      <c r="O971" t="n">
        <v>0</v>
      </c>
      <c r="P971" t="n">
        <v>0</v>
      </c>
      <c r="Q971" t="n">
        <v>0</v>
      </c>
      <c r="R971" s="2" t="inlineStr"/>
    </row>
    <row r="972" ht="15" customHeight="1">
      <c r="A972" t="inlineStr">
        <is>
          <t>A 18914-2024</t>
        </is>
      </c>
      <c r="B972" s="1" t="n">
        <v>45427.383125</v>
      </c>
      <c r="C972" s="1" t="n">
        <v>45992</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36354-2025</t>
        </is>
      </c>
      <c r="B973" s="1" t="n">
        <v>45868.48991898148</v>
      </c>
      <c r="C973" s="1" t="n">
        <v>45992</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13508-2025</t>
        </is>
      </c>
      <c r="B974" s="1" t="n">
        <v>45736.46922453704</v>
      </c>
      <c r="C974" s="1" t="n">
        <v>45992</v>
      </c>
      <c r="D974" t="inlineStr">
        <is>
          <t>GÄVLEBORGS LÄN</t>
        </is>
      </c>
      <c r="E974" t="inlineStr">
        <is>
          <t>LJUSDAL</t>
        </is>
      </c>
      <c r="G974" t="n">
        <v>3.6</v>
      </c>
      <c r="H974" t="n">
        <v>0</v>
      </c>
      <c r="I974" t="n">
        <v>0</v>
      </c>
      <c r="J974" t="n">
        <v>0</v>
      </c>
      <c r="K974" t="n">
        <v>0</v>
      </c>
      <c r="L974" t="n">
        <v>0</v>
      </c>
      <c r="M974" t="n">
        <v>0</v>
      </c>
      <c r="N974" t="n">
        <v>0</v>
      </c>
      <c r="O974" t="n">
        <v>0</v>
      </c>
      <c r="P974" t="n">
        <v>0</v>
      </c>
      <c r="Q974" t="n">
        <v>0</v>
      </c>
      <c r="R974" s="2" t="inlineStr"/>
    </row>
    <row r="975" ht="15" customHeight="1">
      <c r="A975" t="inlineStr">
        <is>
          <t>A 29367-2025</t>
        </is>
      </c>
      <c r="B975" s="1" t="n">
        <v>45824.57157407407</v>
      </c>
      <c r="C975" s="1" t="n">
        <v>45992</v>
      </c>
      <c r="D975" t="inlineStr">
        <is>
          <t>GÄVLEBORGS LÄN</t>
        </is>
      </c>
      <c r="E975" t="inlineStr">
        <is>
          <t>LJUSDAL</t>
        </is>
      </c>
      <c r="G975" t="n">
        <v>7.2</v>
      </c>
      <c r="H975" t="n">
        <v>0</v>
      </c>
      <c r="I975" t="n">
        <v>0</v>
      </c>
      <c r="J975" t="n">
        <v>0</v>
      </c>
      <c r="K975" t="n">
        <v>0</v>
      </c>
      <c r="L975" t="n">
        <v>0</v>
      </c>
      <c r="M975" t="n">
        <v>0</v>
      </c>
      <c r="N975" t="n">
        <v>0</v>
      </c>
      <c r="O975" t="n">
        <v>0</v>
      </c>
      <c r="P975" t="n">
        <v>0</v>
      </c>
      <c r="Q975" t="n">
        <v>0</v>
      </c>
      <c r="R975" s="2" t="inlineStr"/>
    </row>
    <row r="976" ht="15" customHeight="1">
      <c r="A976" t="inlineStr">
        <is>
          <t>A 36352-2025</t>
        </is>
      </c>
      <c r="B976" s="1" t="n">
        <v>45868.48983796296</v>
      </c>
      <c r="C976" s="1" t="n">
        <v>45992</v>
      </c>
      <c r="D976" t="inlineStr">
        <is>
          <t>GÄVLEBORGS LÄN</t>
        </is>
      </c>
      <c r="E976" t="inlineStr">
        <is>
          <t>LJUSDAL</t>
        </is>
      </c>
      <c r="G976" t="n">
        <v>5.7</v>
      </c>
      <c r="H976" t="n">
        <v>0</v>
      </c>
      <c r="I976" t="n">
        <v>0</v>
      </c>
      <c r="J976" t="n">
        <v>0</v>
      </c>
      <c r="K976" t="n">
        <v>0</v>
      </c>
      <c r="L976" t="n">
        <v>0</v>
      </c>
      <c r="M976" t="n">
        <v>0</v>
      </c>
      <c r="N976" t="n">
        <v>0</v>
      </c>
      <c r="O976" t="n">
        <v>0</v>
      </c>
      <c r="P976" t="n">
        <v>0</v>
      </c>
      <c r="Q976" t="n">
        <v>0</v>
      </c>
      <c r="R976" s="2" t="inlineStr"/>
    </row>
    <row r="977" ht="15" customHeight="1">
      <c r="A977" t="inlineStr">
        <is>
          <t>A 36353-2025</t>
        </is>
      </c>
      <c r="B977" s="1" t="n">
        <v>45868.48988425926</v>
      </c>
      <c r="C977" s="1" t="n">
        <v>45992</v>
      </c>
      <c r="D977" t="inlineStr">
        <is>
          <t>GÄVLEBORGS LÄN</t>
        </is>
      </c>
      <c r="E977" t="inlineStr">
        <is>
          <t>LJUSDAL</t>
        </is>
      </c>
      <c r="G977" t="n">
        <v>2.1</v>
      </c>
      <c r="H977" t="n">
        <v>0</v>
      </c>
      <c r="I977" t="n">
        <v>0</v>
      </c>
      <c r="J977" t="n">
        <v>0</v>
      </c>
      <c r="K977" t="n">
        <v>0</v>
      </c>
      <c r="L977" t="n">
        <v>0</v>
      </c>
      <c r="M977" t="n">
        <v>0</v>
      </c>
      <c r="N977" t="n">
        <v>0</v>
      </c>
      <c r="O977" t="n">
        <v>0</v>
      </c>
      <c r="P977" t="n">
        <v>0</v>
      </c>
      <c r="Q977" t="n">
        <v>0</v>
      </c>
      <c r="R977" s="2" t="inlineStr"/>
    </row>
    <row r="978" ht="15" customHeight="1">
      <c r="A978" t="inlineStr">
        <is>
          <t>A 56016-2021</t>
        </is>
      </c>
      <c r="B978" s="1" t="n">
        <v>44477.44796296296</v>
      </c>
      <c r="C978" s="1" t="n">
        <v>45992</v>
      </c>
      <c r="D978" t="inlineStr">
        <is>
          <t>GÄVLEBORGS LÄN</t>
        </is>
      </c>
      <c r="E978" t="inlineStr">
        <is>
          <t>LJUSDAL</t>
        </is>
      </c>
      <c r="G978" t="n">
        <v>1.2</v>
      </c>
      <c r="H978" t="n">
        <v>0</v>
      </c>
      <c r="I978" t="n">
        <v>0</v>
      </c>
      <c r="J978" t="n">
        <v>0</v>
      </c>
      <c r="K978" t="n">
        <v>0</v>
      </c>
      <c r="L978" t="n">
        <v>0</v>
      </c>
      <c r="M978" t="n">
        <v>0</v>
      </c>
      <c r="N978" t="n">
        <v>0</v>
      </c>
      <c r="O978" t="n">
        <v>0</v>
      </c>
      <c r="P978" t="n">
        <v>0</v>
      </c>
      <c r="Q978" t="n">
        <v>0</v>
      </c>
      <c r="R978" s="2" t="inlineStr"/>
    </row>
    <row r="979" ht="15" customHeight="1">
      <c r="A979" t="inlineStr">
        <is>
          <t>A 54495-2025</t>
        </is>
      </c>
      <c r="B979" s="1" t="n">
        <v>45965.60083333333</v>
      </c>
      <c r="C979" s="1" t="n">
        <v>45992</v>
      </c>
      <c r="D979" t="inlineStr">
        <is>
          <t>GÄVLEBORGS LÄN</t>
        </is>
      </c>
      <c r="E979" t="inlineStr">
        <is>
          <t>LJUSDAL</t>
        </is>
      </c>
      <c r="F979" t="inlineStr">
        <is>
          <t>Allmännings- och besparingsskogar</t>
        </is>
      </c>
      <c r="G979" t="n">
        <v>12.8</v>
      </c>
      <c r="H979" t="n">
        <v>0</v>
      </c>
      <c r="I979" t="n">
        <v>0</v>
      </c>
      <c r="J979" t="n">
        <v>0</v>
      </c>
      <c r="K979" t="n">
        <v>0</v>
      </c>
      <c r="L979" t="n">
        <v>0</v>
      </c>
      <c r="M979" t="n">
        <v>0</v>
      </c>
      <c r="N979" t="n">
        <v>0</v>
      </c>
      <c r="O979" t="n">
        <v>0</v>
      </c>
      <c r="P979" t="n">
        <v>0</v>
      </c>
      <c r="Q979" t="n">
        <v>0</v>
      </c>
      <c r="R979" s="2" t="inlineStr"/>
    </row>
    <row r="980" ht="15" customHeight="1">
      <c r="A980" t="inlineStr">
        <is>
          <t>A 34641-2025</t>
        </is>
      </c>
      <c r="B980" s="1" t="n">
        <v>45848</v>
      </c>
      <c r="C980" s="1" t="n">
        <v>45992</v>
      </c>
      <c r="D980" t="inlineStr">
        <is>
          <t>GÄVLEBORGS LÄN</t>
        </is>
      </c>
      <c r="E980" t="inlineStr">
        <is>
          <t>LJUSDAL</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31673-2024</t>
        </is>
      </c>
      <c r="B981" s="1" t="n">
        <v>45506.94846064815</v>
      </c>
      <c r="C981" s="1" t="n">
        <v>45992</v>
      </c>
      <c r="D981" t="inlineStr">
        <is>
          <t>GÄVLEBORGS LÄN</t>
        </is>
      </c>
      <c r="E981" t="inlineStr">
        <is>
          <t>LJUSDAL</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5912-2023</t>
        </is>
      </c>
      <c r="B982" s="1" t="n">
        <v>44963.67834490741</v>
      </c>
      <c r="C982" s="1" t="n">
        <v>45992</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12224-2025</t>
        </is>
      </c>
      <c r="B983" s="1" t="n">
        <v>45729.55165509259</v>
      </c>
      <c r="C983" s="1" t="n">
        <v>45992</v>
      </c>
      <c r="D983" t="inlineStr">
        <is>
          <t>GÄVLEBORGS LÄN</t>
        </is>
      </c>
      <c r="E983" t="inlineStr">
        <is>
          <t>LJUSDAL</t>
        </is>
      </c>
      <c r="G983" t="n">
        <v>2</v>
      </c>
      <c r="H983" t="n">
        <v>0</v>
      </c>
      <c r="I983" t="n">
        <v>0</v>
      </c>
      <c r="J983" t="n">
        <v>0</v>
      </c>
      <c r="K983" t="n">
        <v>0</v>
      </c>
      <c r="L983" t="n">
        <v>0</v>
      </c>
      <c r="M983" t="n">
        <v>0</v>
      </c>
      <c r="N983" t="n">
        <v>0</v>
      </c>
      <c r="O983" t="n">
        <v>0</v>
      </c>
      <c r="P983" t="n">
        <v>0</v>
      </c>
      <c r="Q983" t="n">
        <v>0</v>
      </c>
      <c r="R983" s="2" t="inlineStr"/>
    </row>
    <row r="984" ht="15" customHeight="1">
      <c r="A984" t="inlineStr">
        <is>
          <t>A 54299-2025</t>
        </is>
      </c>
      <c r="B984" s="1" t="n">
        <v>45965.27177083334</v>
      </c>
      <c r="C984" s="1" t="n">
        <v>45992</v>
      </c>
      <c r="D984" t="inlineStr">
        <is>
          <t>GÄVLEBORGS LÄN</t>
        </is>
      </c>
      <c r="E984" t="inlineStr">
        <is>
          <t>LJUSDAL</t>
        </is>
      </c>
      <c r="G984" t="n">
        <v>6</v>
      </c>
      <c r="H984" t="n">
        <v>0</v>
      </c>
      <c r="I984" t="n">
        <v>0</v>
      </c>
      <c r="J984" t="n">
        <v>0</v>
      </c>
      <c r="K984" t="n">
        <v>0</v>
      </c>
      <c r="L984" t="n">
        <v>0</v>
      </c>
      <c r="M984" t="n">
        <v>0</v>
      </c>
      <c r="N984" t="n">
        <v>0</v>
      </c>
      <c r="O984" t="n">
        <v>0</v>
      </c>
      <c r="P984" t="n">
        <v>0</v>
      </c>
      <c r="Q984" t="n">
        <v>0</v>
      </c>
      <c r="R984" s="2" t="inlineStr"/>
    </row>
    <row r="985" ht="15" customHeight="1">
      <c r="A985" t="inlineStr">
        <is>
          <t>A 45819-2025</t>
        </is>
      </c>
      <c r="B985" s="1" t="n">
        <v>45923.59686342593</v>
      </c>
      <c r="C985" s="1" t="n">
        <v>45992</v>
      </c>
      <c r="D985" t="inlineStr">
        <is>
          <t>GÄVLEBORGS LÄN</t>
        </is>
      </c>
      <c r="E985" t="inlineStr">
        <is>
          <t>LJUSDAL</t>
        </is>
      </c>
      <c r="G985" t="n">
        <v>6.5</v>
      </c>
      <c r="H985" t="n">
        <v>0</v>
      </c>
      <c r="I985" t="n">
        <v>0</v>
      </c>
      <c r="J985" t="n">
        <v>0</v>
      </c>
      <c r="K985" t="n">
        <v>0</v>
      </c>
      <c r="L985" t="n">
        <v>0</v>
      </c>
      <c r="M985" t="n">
        <v>0</v>
      </c>
      <c r="N985" t="n">
        <v>0</v>
      </c>
      <c r="O985" t="n">
        <v>0</v>
      </c>
      <c r="P985" t="n">
        <v>0</v>
      </c>
      <c r="Q985" t="n">
        <v>0</v>
      </c>
      <c r="R985" s="2" t="inlineStr"/>
    </row>
    <row r="986" ht="15" customHeight="1">
      <c r="A986" t="inlineStr">
        <is>
          <t>A 45450-2025</t>
        </is>
      </c>
      <c r="B986" s="1" t="n">
        <v>45922</v>
      </c>
      <c r="C986" s="1" t="n">
        <v>45992</v>
      </c>
      <c r="D986" t="inlineStr">
        <is>
          <t>GÄVLEBORGS LÄN</t>
        </is>
      </c>
      <c r="E986" t="inlineStr">
        <is>
          <t>LJUSDAL</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7495-2025</t>
        </is>
      </c>
      <c r="B987" s="1" t="n">
        <v>45705.48628472222</v>
      </c>
      <c r="C987" s="1" t="n">
        <v>45992</v>
      </c>
      <c r="D987" t="inlineStr">
        <is>
          <t>GÄVLEBORGS LÄN</t>
        </is>
      </c>
      <c r="E987" t="inlineStr">
        <is>
          <t>LJUSDAL</t>
        </is>
      </c>
      <c r="G987" t="n">
        <v>2.5</v>
      </c>
      <c r="H987" t="n">
        <v>0</v>
      </c>
      <c r="I987" t="n">
        <v>0</v>
      </c>
      <c r="J987" t="n">
        <v>0</v>
      </c>
      <c r="K987" t="n">
        <v>0</v>
      </c>
      <c r="L987" t="n">
        <v>0</v>
      </c>
      <c r="M987" t="n">
        <v>0</v>
      </c>
      <c r="N987" t="n">
        <v>0</v>
      </c>
      <c r="O987" t="n">
        <v>0</v>
      </c>
      <c r="P987" t="n">
        <v>0</v>
      </c>
      <c r="Q987" t="n">
        <v>0</v>
      </c>
      <c r="R987" s="2" t="inlineStr"/>
    </row>
    <row r="988" ht="15" customHeight="1">
      <c r="A988" t="inlineStr">
        <is>
          <t>A 36745-2025</t>
        </is>
      </c>
      <c r="B988" s="1" t="n">
        <v>45873.54413194444</v>
      </c>
      <c r="C988" s="1" t="n">
        <v>45992</v>
      </c>
      <c r="D988" t="inlineStr">
        <is>
          <t>GÄVLEBORGS LÄN</t>
        </is>
      </c>
      <c r="E988" t="inlineStr">
        <is>
          <t>LJUSDAL</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36784-2025</t>
        </is>
      </c>
      <c r="B989" s="1" t="n">
        <v>45873.6207175926</v>
      </c>
      <c r="C989" s="1" t="n">
        <v>45992</v>
      </c>
      <c r="D989" t="inlineStr">
        <is>
          <t>GÄVLEBORGS LÄN</t>
        </is>
      </c>
      <c r="E989" t="inlineStr">
        <is>
          <t>LJUSDAL</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31011-2024</t>
        </is>
      </c>
      <c r="B990" s="1" t="n">
        <v>45499.67101851852</v>
      </c>
      <c r="C990" s="1" t="n">
        <v>45992</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19498-2025</t>
        </is>
      </c>
      <c r="B991" s="1" t="n">
        <v>45770.39714120371</v>
      </c>
      <c r="C991" s="1" t="n">
        <v>45992</v>
      </c>
      <c r="D991" t="inlineStr">
        <is>
          <t>GÄVLEBORGS LÄN</t>
        </is>
      </c>
      <c r="E991" t="inlineStr">
        <is>
          <t>LJUSDAL</t>
        </is>
      </c>
      <c r="G991" t="n">
        <v>6.4</v>
      </c>
      <c r="H991" t="n">
        <v>0</v>
      </c>
      <c r="I991" t="n">
        <v>0</v>
      </c>
      <c r="J991" t="n">
        <v>0</v>
      </c>
      <c r="K991" t="n">
        <v>0</v>
      </c>
      <c r="L991" t="n">
        <v>0</v>
      </c>
      <c r="M991" t="n">
        <v>0</v>
      </c>
      <c r="N991" t="n">
        <v>0</v>
      </c>
      <c r="O991" t="n">
        <v>0</v>
      </c>
      <c r="P991" t="n">
        <v>0</v>
      </c>
      <c r="Q991" t="n">
        <v>0</v>
      </c>
      <c r="R991" s="2" t="inlineStr"/>
    </row>
    <row r="992" ht="15" customHeight="1">
      <c r="A992" t="inlineStr">
        <is>
          <t>A 36378-2023</t>
        </is>
      </c>
      <c r="B992" s="1" t="n">
        <v>45152.51251157407</v>
      </c>
      <c r="C992" s="1" t="n">
        <v>45992</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36660-2025</t>
        </is>
      </c>
      <c r="B993" s="1" t="n">
        <v>45873.35680555556</v>
      </c>
      <c r="C993" s="1" t="n">
        <v>45992</v>
      </c>
      <c r="D993" t="inlineStr">
        <is>
          <t>GÄVLEBORGS LÄN</t>
        </is>
      </c>
      <c r="E993" t="inlineStr">
        <is>
          <t>LJUSDAL</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52778-2021</t>
        </is>
      </c>
      <c r="B994" s="1" t="n">
        <v>44467.35164351852</v>
      </c>
      <c r="C994" s="1" t="n">
        <v>45992</v>
      </c>
      <c r="D994" t="inlineStr">
        <is>
          <t>GÄVLEBORGS LÄN</t>
        </is>
      </c>
      <c r="E994" t="inlineStr">
        <is>
          <t>LJUSDAL</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26849-2024</t>
        </is>
      </c>
      <c r="B995" s="1" t="n">
        <v>45470</v>
      </c>
      <c r="C995" s="1" t="n">
        <v>45992</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54595-2023</t>
        </is>
      </c>
      <c r="B996" s="1" t="n">
        <v>45233</v>
      </c>
      <c r="C996" s="1" t="n">
        <v>45992</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1259-2023</t>
        </is>
      </c>
      <c r="B997" s="1" t="n">
        <v>44936.38371527778</v>
      </c>
      <c r="C997" s="1" t="n">
        <v>45992</v>
      </c>
      <c r="D997" t="inlineStr">
        <is>
          <t>GÄVLEBORGS LÄN</t>
        </is>
      </c>
      <c r="E997" t="inlineStr">
        <is>
          <t>LJUSDAL</t>
        </is>
      </c>
      <c r="G997" t="n">
        <v>1.7</v>
      </c>
      <c r="H997" t="n">
        <v>0</v>
      </c>
      <c r="I997" t="n">
        <v>0</v>
      </c>
      <c r="J997" t="n">
        <v>0</v>
      </c>
      <c r="K997" t="n">
        <v>0</v>
      </c>
      <c r="L997" t="n">
        <v>0</v>
      </c>
      <c r="M997" t="n">
        <v>0</v>
      </c>
      <c r="N997" t="n">
        <v>0</v>
      </c>
      <c r="O997" t="n">
        <v>0</v>
      </c>
      <c r="P997" t="n">
        <v>0</v>
      </c>
      <c r="Q997" t="n">
        <v>0</v>
      </c>
      <c r="R997" s="2" t="inlineStr"/>
    </row>
    <row r="998" ht="15" customHeight="1">
      <c r="A998" t="inlineStr">
        <is>
          <t>A 36981-2025</t>
        </is>
      </c>
      <c r="B998" s="1" t="n">
        <v>45874.64697916667</v>
      </c>
      <c r="C998" s="1" t="n">
        <v>45992</v>
      </c>
      <c r="D998" t="inlineStr">
        <is>
          <t>GÄVLEBORGS LÄN</t>
        </is>
      </c>
      <c r="E998" t="inlineStr">
        <is>
          <t>LJUSDAL</t>
        </is>
      </c>
      <c r="F998" t="inlineStr">
        <is>
          <t>Sveaskog</t>
        </is>
      </c>
      <c r="G998" t="n">
        <v>6.2</v>
      </c>
      <c r="H998" t="n">
        <v>0</v>
      </c>
      <c r="I998" t="n">
        <v>0</v>
      </c>
      <c r="J998" t="n">
        <v>0</v>
      </c>
      <c r="K998" t="n">
        <v>0</v>
      </c>
      <c r="L998" t="n">
        <v>0</v>
      </c>
      <c r="M998" t="n">
        <v>0</v>
      </c>
      <c r="N998" t="n">
        <v>0</v>
      </c>
      <c r="O998" t="n">
        <v>0</v>
      </c>
      <c r="P998" t="n">
        <v>0</v>
      </c>
      <c r="Q998" t="n">
        <v>0</v>
      </c>
      <c r="R998" s="2" t="inlineStr"/>
    </row>
    <row r="999" ht="15" customHeight="1">
      <c r="A999" t="inlineStr">
        <is>
          <t>A 37064-2025</t>
        </is>
      </c>
      <c r="B999" s="1" t="n">
        <v>45875.38607638889</v>
      </c>
      <c r="C999" s="1" t="n">
        <v>45992</v>
      </c>
      <c r="D999" t="inlineStr">
        <is>
          <t>GÄVLEBORGS LÄN</t>
        </is>
      </c>
      <c r="E999" t="inlineStr">
        <is>
          <t>LJUSDAL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10026-2023</t>
        </is>
      </c>
      <c r="B1000" s="1" t="n">
        <v>44985</v>
      </c>
      <c r="C1000" s="1" t="n">
        <v>45992</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23284-2024</t>
        </is>
      </c>
      <c r="B1001" s="1" t="n">
        <v>45453</v>
      </c>
      <c r="C1001" s="1" t="n">
        <v>45992</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46466-2025</t>
        </is>
      </c>
      <c r="B1002" s="1" t="n">
        <v>45925.67804398148</v>
      </c>
      <c r="C1002" s="1" t="n">
        <v>45992</v>
      </c>
      <c r="D1002" t="inlineStr">
        <is>
          <t>GÄVLEBORGS LÄN</t>
        </is>
      </c>
      <c r="E1002" t="inlineStr">
        <is>
          <t>LJUSDAL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54717-2025</t>
        </is>
      </c>
      <c r="B1003" s="1" t="n">
        <v>45966.51206018519</v>
      </c>
      <c r="C1003" s="1" t="n">
        <v>45992</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37115-2025</t>
        </is>
      </c>
      <c r="B1004" s="1" t="n">
        <v>45875.51137731481</v>
      </c>
      <c r="C1004" s="1" t="n">
        <v>45992</v>
      </c>
      <c r="D1004" t="inlineStr">
        <is>
          <t>GÄVLEBORGS LÄN</t>
        </is>
      </c>
      <c r="E1004" t="inlineStr">
        <is>
          <t>LJUSDAL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46342-2025</t>
        </is>
      </c>
      <c r="B1005" s="1" t="n">
        <v>45925.46821759259</v>
      </c>
      <c r="C1005" s="1" t="n">
        <v>45992</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37095-2025</t>
        </is>
      </c>
      <c r="B1006" s="1" t="n">
        <v>45875.46927083333</v>
      </c>
      <c r="C1006" s="1" t="n">
        <v>45992</v>
      </c>
      <c r="D1006" t="inlineStr">
        <is>
          <t>GÄVLEBORGS LÄN</t>
        </is>
      </c>
      <c r="E1006" t="inlineStr">
        <is>
          <t>LJUSDAL</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28240-2023</t>
        </is>
      </c>
      <c r="B1007" s="1" t="n">
        <v>45099.58393518518</v>
      </c>
      <c r="C1007" s="1" t="n">
        <v>45992</v>
      </c>
      <c r="D1007" t="inlineStr">
        <is>
          <t>GÄVLEBORGS LÄN</t>
        </is>
      </c>
      <c r="E1007" t="inlineStr">
        <is>
          <t>LJUSDAL</t>
        </is>
      </c>
      <c r="F1007" t="inlineStr">
        <is>
          <t>Holmen skog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28248-2023</t>
        </is>
      </c>
      <c r="B1008" s="1" t="n">
        <v>45099.59758101852</v>
      </c>
      <c r="C1008" s="1" t="n">
        <v>45992</v>
      </c>
      <c r="D1008" t="inlineStr">
        <is>
          <t>GÄVLEBORGS LÄN</t>
        </is>
      </c>
      <c r="E1008" t="inlineStr">
        <is>
          <t>LJUSDAL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37112-2025</t>
        </is>
      </c>
      <c r="B1009" s="1" t="n">
        <v>45875.51082175926</v>
      </c>
      <c r="C1009" s="1" t="n">
        <v>45992</v>
      </c>
      <c r="D1009" t="inlineStr">
        <is>
          <t>GÄVLEBORGS LÄN</t>
        </is>
      </c>
      <c r="E1009" t="inlineStr">
        <is>
          <t>LJUSDAL</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40253-2023</t>
        </is>
      </c>
      <c r="B1010" s="1" t="n">
        <v>45169</v>
      </c>
      <c r="C1010" s="1" t="n">
        <v>45992</v>
      </c>
      <c r="D1010" t="inlineStr">
        <is>
          <t>GÄVLEBORGS LÄN</t>
        </is>
      </c>
      <c r="E1010" t="inlineStr">
        <is>
          <t>LJUSDAL</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46313-2025</t>
        </is>
      </c>
      <c r="B1011" s="1" t="n">
        <v>45925.44195601852</v>
      </c>
      <c r="C1011" s="1" t="n">
        <v>45992</v>
      </c>
      <c r="D1011" t="inlineStr">
        <is>
          <t>GÄVLEBORGS LÄN</t>
        </is>
      </c>
      <c r="E1011" t="inlineStr">
        <is>
          <t>LJUSDAL</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46323-2025</t>
        </is>
      </c>
      <c r="B1012" s="1" t="n">
        <v>45925.45171296296</v>
      </c>
      <c r="C1012" s="1" t="n">
        <v>45992</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46328-2025</t>
        </is>
      </c>
      <c r="B1013" s="1" t="n">
        <v>45925.45390046296</v>
      </c>
      <c r="C1013" s="1" t="n">
        <v>45992</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46376-2025</t>
        </is>
      </c>
      <c r="B1014" s="1" t="n">
        <v>45925</v>
      </c>
      <c r="C1014" s="1" t="n">
        <v>45992</v>
      </c>
      <c r="D1014" t="inlineStr">
        <is>
          <t>GÄVLEBORGS LÄN</t>
        </is>
      </c>
      <c r="E1014" t="inlineStr">
        <is>
          <t>LJUSDAL</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55180-2025</t>
        </is>
      </c>
      <c r="B1015" s="1" t="n">
        <v>45968.53173611111</v>
      </c>
      <c r="C1015" s="1" t="n">
        <v>45992</v>
      </c>
      <c r="D1015" t="inlineStr">
        <is>
          <t>GÄVLEBORGS LÄN</t>
        </is>
      </c>
      <c r="E1015" t="inlineStr">
        <is>
          <t>LJUSDAL</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55100-2025</t>
        </is>
      </c>
      <c r="B1016" s="1" t="n">
        <v>45968.34864583334</v>
      </c>
      <c r="C1016" s="1" t="n">
        <v>45992</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42540-2024</t>
        </is>
      </c>
      <c r="B1017" s="1" t="n">
        <v>45565.58765046296</v>
      </c>
      <c r="C1017" s="1" t="n">
        <v>45992</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33344-2025</t>
        </is>
      </c>
      <c r="B1018" s="1" t="n">
        <v>45841</v>
      </c>
      <c r="C1018" s="1" t="n">
        <v>45992</v>
      </c>
      <c r="D1018" t="inlineStr">
        <is>
          <t>GÄVLEBORGS LÄN</t>
        </is>
      </c>
      <c r="E1018" t="inlineStr">
        <is>
          <t>LJUSDAL</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52787-2024</t>
        </is>
      </c>
      <c r="B1019" s="1" t="n">
        <v>45610.55293981481</v>
      </c>
      <c r="C1019" s="1" t="n">
        <v>45992</v>
      </c>
      <c r="D1019" t="inlineStr">
        <is>
          <t>GÄVLEBORGS LÄN</t>
        </is>
      </c>
      <c r="E1019" t="inlineStr">
        <is>
          <t>LJUSDAL</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64019-2023</t>
        </is>
      </c>
      <c r="B1020" s="1" t="n">
        <v>45278.92652777778</v>
      </c>
      <c r="C1020" s="1" t="n">
        <v>45992</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37317-2025</t>
        </is>
      </c>
      <c r="B1021" s="1" t="n">
        <v>45876.61798611111</v>
      </c>
      <c r="C1021" s="1" t="n">
        <v>45992</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55501-2025</t>
        </is>
      </c>
      <c r="B1022" s="1" t="n">
        <v>45971.58571759259</v>
      </c>
      <c r="C1022" s="1" t="n">
        <v>45992</v>
      </c>
      <c r="D1022" t="inlineStr">
        <is>
          <t>GÄVLEBORGS LÄN</t>
        </is>
      </c>
      <c r="E1022" t="inlineStr">
        <is>
          <t>LJUSDAL</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34919-2024</t>
        </is>
      </c>
      <c r="B1023" s="1" t="n">
        <v>45527</v>
      </c>
      <c r="C1023" s="1" t="n">
        <v>45992</v>
      </c>
      <c r="D1023" t="inlineStr">
        <is>
          <t>GÄVLEBORGS LÄN</t>
        </is>
      </c>
      <c r="E1023" t="inlineStr">
        <is>
          <t>LJUSDAL</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4818-2023</t>
        </is>
      </c>
      <c r="B1024" s="1" t="n">
        <v>44957.6449537037</v>
      </c>
      <c r="C1024" s="1" t="n">
        <v>45992</v>
      </c>
      <c r="D1024" t="inlineStr">
        <is>
          <t>GÄVLEBORGS LÄN</t>
        </is>
      </c>
      <c r="E1024" t="inlineStr">
        <is>
          <t>LJUSDAL</t>
        </is>
      </c>
      <c r="F1024" t="inlineStr">
        <is>
          <t>Holmen skog AB</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55174-2025</t>
        </is>
      </c>
      <c r="B1025" s="1" t="n">
        <v>45968.50053240741</v>
      </c>
      <c r="C1025" s="1" t="n">
        <v>45992</v>
      </c>
      <c r="D1025" t="inlineStr">
        <is>
          <t>GÄVLEBORGS LÄN</t>
        </is>
      </c>
      <c r="E1025" t="inlineStr">
        <is>
          <t>LJUSDAL</t>
        </is>
      </c>
      <c r="F1025" t="inlineStr">
        <is>
          <t>Holmen skog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37786-2025</t>
        </is>
      </c>
      <c r="B1026" s="1" t="n">
        <v>45881.29412037037</v>
      </c>
      <c r="C1026" s="1" t="n">
        <v>45992</v>
      </c>
      <c r="D1026" t="inlineStr">
        <is>
          <t>GÄVLEBORGS LÄN</t>
        </is>
      </c>
      <c r="E1026" t="inlineStr">
        <is>
          <t>LJUSDAL</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6016-2025</t>
        </is>
      </c>
      <c r="B1027" s="1" t="n">
        <v>45695</v>
      </c>
      <c r="C1027" s="1" t="n">
        <v>45992</v>
      </c>
      <c r="D1027" t="inlineStr">
        <is>
          <t>GÄVLEBORGS LÄN</t>
        </is>
      </c>
      <c r="E1027" t="inlineStr">
        <is>
          <t>LJUSDAL</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55373-2025</t>
        </is>
      </c>
      <c r="B1028" s="1" t="n">
        <v>45971.41752314815</v>
      </c>
      <c r="C1028" s="1" t="n">
        <v>45992</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37903-2025</t>
        </is>
      </c>
      <c r="B1029" s="1" t="n">
        <v>45881.56465277778</v>
      </c>
      <c r="C1029" s="1" t="n">
        <v>45992</v>
      </c>
      <c r="D1029" t="inlineStr">
        <is>
          <t>GÄVLEBORGS LÄN</t>
        </is>
      </c>
      <c r="E1029" t="inlineStr">
        <is>
          <t>LJUSDAL</t>
        </is>
      </c>
      <c r="F1029" t="inlineStr">
        <is>
          <t>Bergvik skog väst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37978-2025</t>
        </is>
      </c>
      <c r="B1030" s="1" t="n">
        <v>45881.67885416667</v>
      </c>
      <c r="C1030" s="1" t="n">
        <v>45992</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41882-2024</t>
        </is>
      </c>
      <c r="B1031" s="1" t="n">
        <v>45561.4859375</v>
      </c>
      <c r="C1031" s="1" t="n">
        <v>45992</v>
      </c>
      <c r="D1031" t="inlineStr">
        <is>
          <t>GÄVLEBORGS LÄN</t>
        </is>
      </c>
      <c r="E1031" t="inlineStr">
        <is>
          <t>LJUSDAL</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46524-2021</t>
        </is>
      </c>
      <c r="B1032" s="1" t="n">
        <v>44445.45006944444</v>
      </c>
      <c r="C1032" s="1" t="n">
        <v>45992</v>
      </c>
      <c r="D1032" t="inlineStr">
        <is>
          <t>GÄVLEBORGS LÄN</t>
        </is>
      </c>
      <c r="E1032" t="inlineStr">
        <is>
          <t>LJUSDAL</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37991-2025</t>
        </is>
      </c>
      <c r="B1033" s="1" t="n">
        <v>45881.7143287037</v>
      </c>
      <c r="C1033" s="1" t="n">
        <v>45992</v>
      </c>
      <c r="D1033" t="inlineStr">
        <is>
          <t>GÄVLEBORGS LÄN</t>
        </is>
      </c>
      <c r="E1033" t="inlineStr">
        <is>
          <t>LJUSDAL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24512-2024</t>
        </is>
      </c>
      <c r="B1034" s="1" t="n">
        <v>45460.34677083333</v>
      </c>
      <c r="C1034" s="1" t="n">
        <v>45992</v>
      </c>
      <c r="D1034" t="inlineStr">
        <is>
          <t>GÄVLEBORGS LÄN</t>
        </is>
      </c>
      <c r="E1034" t="inlineStr">
        <is>
          <t>LJUSDAL</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6987-2025</t>
        </is>
      </c>
      <c r="B1035" s="1" t="n">
        <v>45701</v>
      </c>
      <c r="C1035" s="1" t="n">
        <v>45992</v>
      </c>
      <c r="D1035" t="inlineStr">
        <is>
          <t>GÄVLEBORGS LÄN</t>
        </is>
      </c>
      <c r="E1035" t="inlineStr">
        <is>
          <t>LJUSDAL</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58900-2024</t>
        </is>
      </c>
      <c r="B1036" s="1" t="n">
        <v>45636.47081018519</v>
      </c>
      <c r="C1036" s="1" t="n">
        <v>45992</v>
      </c>
      <c r="D1036" t="inlineStr">
        <is>
          <t>GÄVLEBORGS LÄN</t>
        </is>
      </c>
      <c r="E1036" t="inlineStr">
        <is>
          <t>LJUSDAL</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57164-2024</t>
        </is>
      </c>
      <c r="B1037" s="1" t="n">
        <v>45629.41516203704</v>
      </c>
      <c r="C1037" s="1" t="n">
        <v>45992</v>
      </c>
      <c r="D1037" t="inlineStr">
        <is>
          <t>GÄVLEBORGS LÄN</t>
        </is>
      </c>
      <c r="E1037" t="inlineStr">
        <is>
          <t>LJUSDAL</t>
        </is>
      </c>
      <c r="F1037" t="inlineStr">
        <is>
          <t>Naturvårdsverket</t>
        </is>
      </c>
      <c r="G1037" t="n">
        <v>18.5</v>
      </c>
      <c r="H1037" t="n">
        <v>0</v>
      </c>
      <c r="I1037" t="n">
        <v>0</v>
      </c>
      <c r="J1037" t="n">
        <v>0</v>
      </c>
      <c r="K1037" t="n">
        <v>0</v>
      </c>
      <c r="L1037" t="n">
        <v>0</v>
      </c>
      <c r="M1037" t="n">
        <v>0</v>
      </c>
      <c r="N1037" t="n">
        <v>0</v>
      </c>
      <c r="O1037" t="n">
        <v>0</v>
      </c>
      <c r="P1037" t="n">
        <v>0</v>
      </c>
      <c r="Q1037" t="n">
        <v>0</v>
      </c>
      <c r="R1037" s="2" t="inlineStr"/>
    </row>
    <row r="1038" ht="15" customHeight="1">
      <c r="A1038" t="inlineStr">
        <is>
          <t>A 38007-2025</t>
        </is>
      </c>
      <c r="B1038" s="1" t="n">
        <v>45882</v>
      </c>
      <c r="C1038" s="1" t="n">
        <v>45992</v>
      </c>
      <c r="D1038" t="inlineStr">
        <is>
          <t>GÄVLEBORGS LÄN</t>
        </is>
      </c>
      <c r="E1038" t="inlineStr">
        <is>
          <t>LJUSDAL</t>
        </is>
      </c>
      <c r="F1038" t="inlineStr">
        <is>
          <t>Naturvårdsverket</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38316-2025</t>
        </is>
      </c>
      <c r="B1039" s="1" t="n">
        <v>45883.47950231482</v>
      </c>
      <c r="C1039" s="1" t="n">
        <v>45992</v>
      </c>
      <c r="D1039" t="inlineStr">
        <is>
          <t>GÄVLEBORGS LÄN</t>
        </is>
      </c>
      <c r="E1039" t="inlineStr">
        <is>
          <t>LJUSDAL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36182-2024</t>
        </is>
      </c>
      <c r="B1040" s="1" t="n">
        <v>45534.41583333333</v>
      </c>
      <c r="C1040" s="1" t="n">
        <v>45992</v>
      </c>
      <c r="D1040" t="inlineStr">
        <is>
          <t>GÄVLEBORGS LÄN</t>
        </is>
      </c>
      <c r="E1040" t="inlineStr">
        <is>
          <t>LJUSDAL</t>
        </is>
      </c>
      <c r="F1040" t="inlineStr">
        <is>
          <t>Holmen skog AB</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38009-2025</t>
        </is>
      </c>
      <c r="B1041" s="1" t="n">
        <v>45882.29594907408</v>
      </c>
      <c r="C1041" s="1" t="n">
        <v>45992</v>
      </c>
      <c r="D1041" t="inlineStr">
        <is>
          <t>GÄVLEBORGS LÄN</t>
        </is>
      </c>
      <c r="E1041" t="inlineStr">
        <is>
          <t>LJUSDAL</t>
        </is>
      </c>
      <c r="F1041" t="inlineStr">
        <is>
          <t>Naturvårdsverket</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46715-2025</t>
        </is>
      </c>
      <c r="B1042" s="1" t="n">
        <v>45926.57803240741</v>
      </c>
      <c r="C1042" s="1" t="n">
        <v>45992</v>
      </c>
      <c r="D1042" t="inlineStr">
        <is>
          <t>GÄVLEBORGS LÄN</t>
        </is>
      </c>
      <c r="E1042" t="inlineStr">
        <is>
          <t>LJUSDAL</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33819-2023</t>
        </is>
      </c>
      <c r="B1043" s="1" t="n">
        <v>45133.6052662037</v>
      </c>
      <c r="C1043" s="1" t="n">
        <v>45992</v>
      </c>
      <c r="D1043" t="inlineStr">
        <is>
          <t>GÄVLEBORGS LÄN</t>
        </is>
      </c>
      <c r="E1043" t="inlineStr">
        <is>
          <t>LJUSDAL</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58103-2023</t>
        </is>
      </c>
      <c r="B1044" s="1" t="n">
        <v>45249.55481481482</v>
      </c>
      <c r="C1044" s="1" t="n">
        <v>45992</v>
      </c>
      <c r="D1044" t="inlineStr">
        <is>
          <t>GÄVLEBORGS LÄN</t>
        </is>
      </c>
      <c r="E1044" t="inlineStr">
        <is>
          <t>LJUSDAL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55089-2025</t>
        </is>
      </c>
      <c r="B1045" s="1" t="n">
        <v>45968.34244212963</v>
      </c>
      <c r="C1045" s="1" t="n">
        <v>45992</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38359-2025</t>
        </is>
      </c>
      <c r="B1046" s="1" t="n">
        <v>45883.53280092592</v>
      </c>
      <c r="C1046" s="1" t="n">
        <v>45992</v>
      </c>
      <c r="D1046" t="inlineStr">
        <is>
          <t>GÄVLEBORGS LÄN</t>
        </is>
      </c>
      <c r="E1046" t="inlineStr">
        <is>
          <t>LJUSDAL</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46678-2025</t>
        </is>
      </c>
      <c r="B1047" s="1" t="n">
        <v>45926.54435185185</v>
      </c>
      <c r="C1047" s="1" t="n">
        <v>45992</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55085-2025</t>
        </is>
      </c>
      <c r="B1048" s="1" t="n">
        <v>45968.32643518518</v>
      </c>
      <c r="C1048" s="1" t="n">
        <v>45992</v>
      </c>
      <c r="D1048" t="inlineStr">
        <is>
          <t>GÄVLEBORGS LÄN</t>
        </is>
      </c>
      <c r="E1048" t="inlineStr">
        <is>
          <t>LJUSDAL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30294-2024</t>
        </is>
      </c>
      <c r="B1049" s="1" t="n">
        <v>45490</v>
      </c>
      <c r="C1049" s="1" t="n">
        <v>45992</v>
      </c>
      <c r="D1049" t="inlineStr">
        <is>
          <t>GÄVLEBORGS LÄN</t>
        </is>
      </c>
      <c r="E1049" t="inlineStr">
        <is>
          <t>LJUSDAL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30503-2024</t>
        </is>
      </c>
      <c r="B1050" s="1" t="n">
        <v>45492</v>
      </c>
      <c r="C1050" s="1" t="n">
        <v>45992</v>
      </c>
      <c r="D1050" t="inlineStr">
        <is>
          <t>GÄVLEBORGS LÄN</t>
        </is>
      </c>
      <c r="E1050" t="inlineStr">
        <is>
          <t>LJUSDAL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46719-2025</t>
        </is>
      </c>
      <c r="B1051" s="1" t="n">
        <v>45926.58216435185</v>
      </c>
      <c r="C1051" s="1" t="n">
        <v>45992</v>
      </c>
      <c r="D1051" t="inlineStr">
        <is>
          <t>GÄVLEBORGS LÄN</t>
        </is>
      </c>
      <c r="E1051" t="inlineStr">
        <is>
          <t>LJUSDAL</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38089-2025</t>
        </is>
      </c>
      <c r="B1052" s="1" t="n">
        <v>45882.48065972222</v>
      </c>
      <c r="C1052" s="1" t="n">
        <v>45992</v>
      </c>
      <c r="D1052" t="inlineStr">
        <is>
          <t>GÄVLEBORGS LÄN</t>
        </is>
      </c>
      <c r="E1052" t="inlineStr">
        <is>
          <t>LJUSDAL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38187-2025</t>
        </is>
      </c>
      <c r="B1053" s="1" t="n">
        <v>45882.6533449074</v>
      </c>
      <c r="C1053" s="1" t="n">
        <v>45992</v>
      </c>
      <c r="D1053" t="inlineStr">
        <is>
          <t>GÄVLEBORGS LÄN</t>
        </is>
      </c>
      <c r="E1053" t="inlineStr">
        <is>
          <t>LJUSDAL</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40276-2023</t>
        </is>
      </c>
      <c r="B1054" s="1" t="n">
        <v>45169.56296296296</v>
      </c>
      <c r="C1054" s="1" t="n">
        <v>45992</v>
      </c>
      <c r="D1054" t="inlineStr">
        <is>
          <t>GÄVLEBORGS LÄN</t>
        </is>
      </c>
      <c r="E1054" t="inlineStr">
        <is>
          <t>LJUSDAL</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55194-2025</t>
        </is>
      </c>
      <c r="B1055" s="1" t="n">
        <v>45968.55011574074</v>
      </c>
      <c r="C1055" s="1" t="n">
        <v>45992</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46739-2025</t>
        </is>
      </c>
      <c r="B1056" s="1" t="n">
        <v>45926.60650462963</v>
      </c>
      <c r="C1056" s="1" t="n">
        <v>45992</v>
      </c>
      <c r="D1056" t="inlineStr">
        <is>
          <t>GÄVLEBORGS LÄN</t>
        </is>
      </c>
      <c r="E1056" t="inlineStr">
        <is>
          <t>LJUSDAL</t>
        </is>
      </c>
      <c r="F1056" t="inlineStr">
        <is>
          <t>Holmen skog AB</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55084-2025</t>
        </is>
      </c>
      <c r="B1057" s="1" t="n">
        <v>45968.32015046296</v>
      </c>
      <c r="C1057" s="1" t="n">
        <v>45992</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55374-2025</t>
        </is>
      </c>
      <c r="B1058" s="1" t="n">
        <v>45971.42385416666</v>
      </c>
      <c r="C1058" s="1" t="n">
        <v>45992</v>
      </c>
      <c r="D1058" t="inlineStr">
        <is>
          <t>GÄVLEBORGS LÄN</t>
        </is>
      </c>
      <c r="E1058" t="inlineStr">
        <is>
          <t>LJUSDAL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6417-2025</t>
        </is>
      </c>
      <c r="B1059" s="1" t="n">
        <v>45699.47202546296</v>
      </c>
      <c r="C1059" s="1" t="n">
        <v>45992</v>
      </c>
      <c r="D1059" t="inlineStr">
        <is>
          <t>GÄVLEBORGS LÄN</t>
        </is>
      </c>
      <c r="E1059" t="inlineStr">
        <is>
          <t>LJUSDAL</t>
        </is>
      </c>
      <c r="F1059" t="inlineStr">
        <is>
          <t>Holmen skog AB</t>
        </is>
      </c>
      <c r="G1059" t="n">
        <v>42.3</v>
      </c>
      <c r="H1059" t="n">
        <v>0</v>
      </c>
      <c r="I1059" t="n">
        <v>0</v>
      </c>
      <c r="J1059" t="n">
        <v>0</v>
      </c>
      <c r="K1059" t="n">
        <v>0</v>
      </c>
      <c r="L1059" t="n">
        <v>0</v>
      </c>
      <c r="M1059" t="n">
        <v>0</v>
      </c>
      <c r="N1059" t="n">
        <v>0</v>
      </c>
      <c r="O1059" t="n">
        <v>0</v>
      </c>
      <c r="P1059" t="n">
        <v>0</v>
      </c>
      <c r="Q1059" t="n">
        <v>0</v>
      </c>
      <c r="R1059" s="2" t="inlineStr"/>
    </row>
    <row r="1060" ht="15" customHeight="1">
      <c r="A1060" t="inlineStr">
        <is>
          <t>A 51525-2023</t>
        </is>
      </c>
      <c r="B1060" s="1" t="n">
        <v>45222.39458333333</v>
      </c>
      <c r="C1060" s="1" t="n">
        <v>45992</v>
      </c>
      <c r="D1060" t="inlineStr">
        <is>
          <t>GÄVLEBORGS LÄN</t>
        </is>
      </c>
      <c r="E1060" t="inlineStr">
        <is>
          <t>LJUSDAL</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17241-2023</t>
        </is>
      </c>
      <c r="B1061" s="1" t="n">
        <v>45035.35208333333</v>
      </c>
      <c r="C1061" s="1" t="n">
        <v>45992</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58602-2024</t>
        </is>
      </c>
      <c r="B1062" s="1" t="n">
        <v>45635.54371527778</v>
      </c>
      <c r="C1062" s="1" t="n">
        <v>45992</v>
      </c>
      <c r="D1062" t="inlineStr">
        <is>
          <t>GÄVLEBORGS LÄN</t>
        </is>
      </c>
      <c r="E1062" t="inlineStr">
        <is>
          <t>LJUSDAL</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38648-2025</t>
        </is>
      </c>
      <c r="B1063" s="1" t="n">
        <v>45884.5805787037</v>
      </c>
      <c r="C1063" s="1" t="n">
        <v>45992</v>
      </c>
      <c r="D1063" t="inlineStr">
        <is>
          <t>GÄVLEBORGS LÄN</t>
        </is>
      </c>
      <c r="E1063" t="inlineStr">
        <is>
          <t>LJUSDAL</t>
        </is>
      </c>
      <c r="F1063" t="inlineStr">
        <is>
          <t>Allmännings- och besparingsskogar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33850-2023</t>
        </is>
      </c>
      <c r="B1064" s="1" t="n">
        <v>45133.69795138889</v>
      </c>
      <c r="C1064" s="1" t="n">
        <v>45992</v>
      </c>
      <c r="D1064" t="inlineStr">
        <is>
          <t>GÄVLEBORGS LÄN</t>
        </is>
      </c>
      <c r="E1064" t="inlineStr">
        <is>
          <t>LJUSDAL</t>
        </is>
      </c>
      <c r="F1064" t="inlineStr">
        <is>
          <t>Holmen skog AB</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13498-2024</t>
        </is>
      </c>
      <c r="B1065" s="1" t="n">
        <v>45387.63298611111</v>
      </c>
      <c r="C1065" s="1" t="n">
        <v>45992</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29439-2023</t>
        </is>
      </c>
      <c r="B1066" s="1" t="n">
        <v>45106</v>
      </c>
      <c r="C1066" s="1" t="n">
        <v>45992</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47591-2025</t>
        </is>
      </c>
      <c r="B1067" s="1" t="n">
        <v>45931.44518518518</v>
      </c>
      <c r="C1067" s="1" t="n">
        <v>45992</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47607-2025</t>
        </is>
      </c>
      <c r="B1068" s="1" t="n">
        <v>45931.46563657407</v>
      </c>
      <c r="C1068" s="1" t="n">
        <v>45992</v>
      </c>
      <c r="D1068" t="inlineStr">
        <is>
          <t>GÄVLEBORGS LÄN</t>
        </is>
      </c>
      <c r="E1068" t="inlineStr">
        <is>
          <t>LJUSDAL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39459-2025</t>
        </is>
      </c>
      <c r="B1069" s="1" t="n">
        <v>45889.82956018519</v>
      </c>
      <c r="C1069" s="1" t="n">
        <v>45992</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27992-2025</t>
        </is>
      </c>
      <c r="B1070" s="1" t="n">
        <v>45817.58949074074</v>
      </c>
      <c r="C1070" s="1" t="n">
        <v>45992</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47324-2025</t>
        </is>
      </c>
      <c r="B1071" s="1" t="n">
        <v>45930.55458333333</v>
      </c>
      <c r="C1071" s="1" t="n">
        <v>45992</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6013-2025</t>
        </is>
      </c>
      <c r="B1072" s="1" t="n">
        <v>45695</v>
      </c>
      <c r="C1072" s="1" t="n">
        <v>45992</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55957-2025</t>
        </is>
      </c>
      <c r="B1073" s="1" t="n">
        <v>45973.47646990741</v>
      </c>
      <c r="C1073" s="1" t="n">
        <v>45992</v>
      </c>
      <c r="D1073" t="inlineStr">
        <is>
          <t>GÄVLEBORGS LÄN</t>
        </is>
      </c>
      <c r="E1073" t="inlineStr">
        <is>
          <t>LJUSDAL</t>
        </is>
      </c>
      <c r="F1073" t="inlineStr">
        <is>
          <t>Allmännings- och besparingsskogar</t>
        </is>
      </c>
      <c r="G1073" t="n">
        <v>26.7</v>
      </c>
      <c r="H1073" t="n">
        <v>0</v>
      </c>
      <c r="I1073" t="n">
        <v>0</v>
      </c>
      <c r="J1073" t="n">
        <v>0</v>
      </c>
      <c r="K1073" t="n">
        <v>0</v>
      </c>
      <c r="L1073" t="n">
        <v>0</v>
      </c>
      <c r="M1073" t="n">
        <v>0</v>
      </c>
      <c r="N1073" t="n">
        <v>0</v>
      </c>
      <c r="O1073" t="n">
        <v>0</v>
      </c>
      <c r="P1073" t="n">
        <v>0</v>
      </c>
      <c r="Q1073" t="n">
        <v>0</v>
      </c>
      <c r="R1073" s="2" t="inlineStr"/>
    </row>
    <row r="1074" ht="15" customHeight="1">
      <c r="A1074" t="inlineStr">
        <is>
          <t>A 55968-2025</t>
        </is>
      </c>
      <c r="B1074" s="1" t="n">
        <v>45973.48645833333</v>
      </c>
      <c r="C1074" s="1" t="n">
        <v>45992</v>
      </c>
      <c r="D1074" t="inlineStr">
        <is>
          <t>GÄVLEBORGS LÄN</t>
        </is>
      </c>
      <c r="E1074" t="inlineStr">
        <is>
          <t>LJUSDAL</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55451-2024</t>
        </is>
      </c>
      <c r="B1075" s="1" t="n">
        <v>45622</v>
      </c>
      <c r="C1075" s="1" t="n">
        <v>45992</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59251-2024</t>
        </is>
      </c>
      <c r="B1076" s="1" t="n">
        <v>45637.59612268519</v>
      </c>
      <c r="C1076" s="1" t="n">
        <v>45992</v>
      </c>
      <c r="D1076" t="inlineStr">
        <is>
          <t>GÄVLEBORGS LÄN</t>
        </is>
      </c>
      <c r="E1076" t="inlineStr">
        <is>
          <t>LJUSDAL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47580-2024</t>
        </is>
      </c>
      <c r="B1077" s="1" t="n">
        <v>45587.76090277778</v>
      </c>
      <c r="C1077" s="1" t="n">
        <v>45992</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22250-2024</t>
        </is>
      </c>
      <c r="B1078" s="1" t="n">
        <v>45446.45796296297</v>
      </c>
      <c r="C1078" s="1" t="n">
        <v>45992</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58820-2022</t>
        </is>
      </c>
      <c r="B1079" s="1" t="n">
        <v>44903</v>
      </c>
      <c r="C1079" s="1" t="n">
        <v>45992</v>
      </c>
      <c r="D1079" t="inlineStr">
        <is>
          <t>GÄVLEBORGS LÄN</t>
        </is>
      </c>
      <c r="E1079" t="inlineStr">
        <is>
          <t>LJUSDAL</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57949-2022</t>
        </is>
      </c>
      <c r="B1080" s="1" t="n">
        <v>44900.41127314815</v>
      </c>
      <c r="C1080" s="1" t="n">
        <v>45992</v>
      </c>
      <c r="D1080" t="inlineStr">
        <is>
          <t>GÄVLEBORGS LÄN</t>
        </is>
      </c>
      <c r="E1080" t="inlineStr">
        <is>
          <t>LJUSDAL</t>
        </is>
      </c>
      <c r="F1080" t="inlineStr">
        <is>
          <t>Holmen skog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5853-2023</t>
        </is>
      </c>
      <c r="B1081" s="1" t="n">
        <v>44963.58543981481</v>
      </c>
      <c r="C1081" s="1" t="n">
        <v>45992</v>
      </c>
      <c r="D1081" t="inlineStr">
        <is>
          <t>GÄVLEBORGS LÄN</t>
        </is>
      </c>
      <c r="E1081" t="inlineStr">
        <is>
          <t>LJUSDAL</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5856-2023</t>
        </is>
      </c>
      <c r="B1082" s="1" t="n">
        <v>44963.58771990741</v>
      </c>
      <c r="C1082" s="1" t="n">
        <v>45992</v>
      </c>
      <c r="D1082" t="inlineStr">
        <is>
          <t>GÄVLEBORGS LÄN</t>
        </is>
      </c>
      <c r="E1082" t="inlineStr">
        <is>
          <t>LJUSDAL</t>
        </is>
      </c>
      <c r="F1082" t="inlineStr">
        <is>
          <t>Allmännings- och besparingsskogar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61718-2023</t>
        </is>
      </c>
      <c r="B1083" s="1" t="n">
        <v>45265</v>
      </c>
      <c r="C1083" s="1" t="n">
        <v>45992</v>
      </c>
      <c r="D1083" t="inlineStr">
        <is>
          <t>GÄVLEBORGS LÄN</t>
        </is>
      </c>
      <c r="E1083" t="inlineStr">
        <is>
          <t>LJUSDAL</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55943-2025</t>
        </is>
      </c>
      <c r="B1084" s="1" t="n">
        <v>45973.45535879629</v>
      </c>
      <c r="C1084" s="1" t="n">
        <v>45992</v>
      </c>
      <c r="D1084" t="inlineStr">
        <is>
          <t>GÄVLEBORGS LÄN</t>
        </is>
      </c>
      <c r="E1084" t="inlineStr">
        <is>
          <t>LJUSDAL</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29240-2025</t>
        </is>
      </c>
      <c r="B1085" s="1" t="n">
        <v>45824.35913194445</v>
      </c>
      <c r="C1085" s="1" t="n">
        <v>45992</v>
      </c>
      <c r="D1085" t="inlineStr">
        <is>
          <t>GÄVLEBORGS LÄN</t>
        </is>
      </c>
      <c r="E1085" t="inlineStr">
        <is>
          <t>LJUSDAL</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48856-2023</t>
        </is>
      </c>
      <c r="B1086" s="1" t="n">
        <v>45209.43892361111</v>
      </c>
      <c r="C1086" s="1" t="n">
        <v>45992</v>
      </c>
      <c r="D1086" t="inlineStr">
        <is>
          <t>GÄVLEBORGS LÄN</t>
        </is>
      </c>
      <c r="E1086" t="inlineStr">
        <is>
          <t>LJUSDAL</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47747-2025</t>
        </is>
      </c>
      <c r="B1087" s="1" t="n">
        <v>45931.65436342593</v>
      </c>
      <c r="C1087" s="1" t="n">
        <v>45992</v>
      </c>
      <c r="D1087" t="inlineStr">
        <is>
          <t>GÄVLEBORGS LÄN</t>
        </is>
      </c>
      <c r="E1087" t="inlineStr">
        <is>
          <t>LJUSDAL</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42964-2022</t>
        </is>
      </c>
      <c r="B1088" s="1" t="n">
        <v>44833.41857638889</v>
      </c>
      <c r="C1088" s="1" t="n">
        <v>45992</v>
      </c>
      <c r="D1088" t="inlineStr">
        <is>
          <t>GÄVLEBORGS LÄN</t>
        </is>
      </c>
      <c r="E1088" t="inlineStr">
        <is>
          <t>LJUSDAL</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7578-2023</t>
        </is>
      </c>
      <c r="B1089" s="1" t="n">
        <v>44972.38614583333</v>
      </c>
      <c r="C1089" s="1" t="n">
        <v>45992</v>
      </c>
      <c r="D1089" t="inlineStr">
        <is>
          <t>GÄVLEBORGS LÄN</t>
        </is>
      </c>
      <c r="E1089" t="inlineStr">
        <is>
          <t>LJUSDAL</t>
        </is>
      </c>
      <c r="F1089" t="inlineStr">
        <is>
          <t>Kommuner</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47643-2025</t>
        </is>
      </c>
      <c r="B1090" s="1" t="n">
        <v>45931.51381944444</v>
      </c>
      <c r="C1090" s="1" t="n">
        <v>45992</v>
      </c>
      <c r="D1090" t="inlineStr">
        <is>
          <t>GÄVLEBORGS LÄN</t>
        </is>
      </c>
      <c r="E1090" t="inlineStr">
        <is>
          <t>LJUSDAL</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47653-2025</t>
        </is>
      </c>
      <c r="B1091" s="1" t="n">
        <v>45931.54061342592</v>
      </c>
      <c r="C1091" s="1" t="n">
        <v>45992</v>
      </c>
      <c r="D1091" t="inlineStr">
        <is>
          <t>GÄVLEBORGS LÄN</t>
        </is>
      </c>
      <c r="E1091" t="inlineStr">
        <is>
          <t>LJUSDAL</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38646-2025</t>
        </is>
      </c>
      <c r="B1092" s="1" t="n">
        <v>45884.57827546296</v>
      </c>
      <c r="C1092" s="1" t="n">
        <v>45992</v>
      </c>
      <c r="D1092" t="inlineStr">
        <is>
          <t>GÄVLEBORGS LÄN</t>
        </is>
      </c>
      <c r="E1092" t="inlineStr">
        <is>
          <t>LJUSDAL</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61603-2022</t>
        </is>
      </c>
      <c r="B1093" s="1" t="n">
        <v>44916</v>
      </c>
      <c r="C1093" s="1" t="n">
        <v>45992</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47941-2025</t>
        </is>
      </c>
      <c r="B1094" s="1" t="n">
        <v>45932.56681712963</v>
      </c>
      <c r="C1094" s="1" t="n">
        <v>45992</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56276-2025</t>
        </is>
      </c>
      <c r="B1095" s="1" t="n">
        <v>45974.58774305556</v>
      </c>
      <c r="C1095" s="1" t="n">
        <v>45992</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11838-2024</t>
        </is>
      </c>
      <c r="B1096" s="1" t="n">
        <v>45376.37584490741</v>
      </c>
      <c r="C1096" s="1" t="n">
        <v>45992</v>
      </c>
      <c r="D1096" t="inlineStr">
        <is>
          <t>GÄVLEBORGS LÄN</t>
        </is>
      </c>
      <c r="E1096" t="inlineStr">
        <is>
          <t>LJUSDAL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48285-2025</t>
        </is>
      </c>
      <c r="B1097" s="1" t="n">
        <v>45933.59171296296</v>
      </c>
      <c r="C1097" s="1" t="n">
        <v>45992</v>
      </c>
      <c r="D1097" t="inlineStr">
        <is>
          <t>GÄVLEBORGS LÄN</t>
        </is>
      </c>
      <c r="E1097" t="inlineStr">
        <is>
          <t>LJUSDAL</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48318-2025</t>
        </is>
      </c>
      <c r="B1098" s="1" t="n">
        <v>45933.6234375</v>
      </c>
      <c r="C1098" s="1" t="n">
        <v>45992</v>
      </c>
      <c r="D1098" t="inlineStr">
        <is>
          <t>GÄVLEBORGS LÄN</t>
        </is>
      </c>
      <c r="E1098" t="inlineStr">
        <is>
          <t>LJUSDAL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48333-2025</t>
        </is>
      </c>
      <c r="B1099" s="1" t="n">
        <v>45933.63505787037</v>
      </c>
      <c r="C1099" s="1" t="n">
        <v>45992</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56429-2025</t>
        </is>
      </c>
      <c r="B1100" s="1" t="n">
        <v>45975.34590277778</v>
      </c>
      <c r="C1100" s="1" t="n">
        <v>45992</v>
      </c>
      <c r="D1100" t="inlineStr">
        <is>
          <t>GÄVLEBORGS LÄN</t>
        </is>
      </c>
      <c r="E1100" t="inlineStr">
        <is>
          <t>LJUSDAL</t>
        </is>
      </c>
      <c r="F1100" t="inlineStr">
        <is>
          <t>Bergvik skog väst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56474-2025</t>
        </is>
      </c>
      <c r="B1101" s="1" t="n">
        <v>45975.38306712963</v>
      </c>
      <c r="C1101" s="1" t="n">
        <v>45992</v>
      </c>
      <c r="D1101" t="inlineStr">
        <is>
          <t>GÄVLEBORGS LÄN</t>
        </is>
      </c>
      <c r="E1101" t="inlineStr">
        <is>
          <t>LJUSDAL</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8979-2024</t>
        </is>
      </c>
      <c r="B1102" s="1" t="n">
        <v>45357</v>
      </c>
      <c r="C1102" s="1" t="n">
        <v>45992</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56530-2025</t>
        </is>
      </c>
      <c r="B1103" s="1" t="n">
        <v>45975.46813657408</v>
      </c>
      <c r="C1103" s="1" t="n">
        <v>45992</v>
      </c>
      <c r="D1103" t="inlineStr">
        <is>
          <t>GÄVLEBORGS LÄN</t>
        </is>
      </c>
      <c r="E1103" t="inlineStr">
        <is>
          <t>LJUSDAL</t>
        </is>
      </c>
      <c r="F1103" t="inlineStr">
        <is>
          <t>Sveaskog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56463-2025</t>
        </is>
      </c>
      <c r="B1104" s="1" t="n">
        <v>45975.37078703703</v>
      </c>
      <c r="C1104" s="1" t="n">
        <v>45992</v>
      </c>
      <c r="D1104" t="inlineStr">
        <is>
          <t>GÄVLEBORGS LÄN</t>
        </is>
      </c>
      <c r="E1104" t="inlineStr">
        <is>
          <t>LJUSDAL</t>
        </is>
      </c>
      <c r="F1104" t="inlineStr">
        <is>
          <t>Bergvik skog väst AB</t>
        </is>
      </c>
      <c r="G1104" t="n">
        <v>18.4</v>
      </c>
      <c r="H1104" t="n">
        <v>0</v>
      </c>
      <c r="I1104" t="n">
        <v>0</v>
      </c>
      <c r="J1104" t="n">
        <v>0</v>
      </c>
      <c r="K1104" t="n">
        <v>0</v>
      </c>
      <c r="L1104" t="n">
        <v>0</v>
      </c>
      <c r="M1104" t="n">
        <v>0</v>
      </c>
      <c r="N1104" t="n">
        <v>0</v>
      </c>
      <c r="O1104" t="n">
        <v>0</v>
      </c>
      <c r="P1104" t="n">
        <v>0</v>
      </c>
      <c r="Q1104" t="n">
        <v>0</v>
      </c>
      <c r="R1104" s="2" t="inlineStr"/>
    </row>
    <row r="1105" ht="15" customHeight="1">
      <c r="A1105" t="inlineStr">
        <is>
          <t>A 60098-2023</t>
        </is>
      </c>
      <c r="B1105" s="1" t="n">
        <v>45258.45493055556</v>
      </c>
      <c r="C1105" s="1" t="n">
        <v>45992</v>
      </c>
      <c r="D1105" t="inlineStr">
        <is>
          <t>GÄVLEBORGS LÄN</t>
        </is>
      </c>
      <c r="E1105" t="inlineStr">
        <is>
          <t>LJUSDAL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46445-2025</t>
        </is>
      </c>
      <c r="B1106" s="1" t="n">
        <v>45925.64638888889</v>
      </c>
      <c r="C1106" s="1" t="n">
        <v>45992</v>
      </c>
      <c r="D1106" t="inlineStr">
        <is>
          <t>GÄVLEBORGS LÄN</t>
        </is>
      </c>
      <c r="E1106" t="inlineStr">
        <is>
          <t>LJUSDAL</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22251-2023</t>
        </is>
      </c>
      <c r="B1107" s="1" t="n">
        <v>45070</v>
      </c>
      <c r="C1107" s="1" t="n">
        <v>45992</v>
      </c>
      <c r="D1107" t="inlineStr">
        <is>
          <t>GÄVLEBORGS LÄN</t>
        </is>
      </c>
      <c r="E1107" t="inlineStr">
        <is>
          <t>LJUSDAL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26185-2023</t>
        </is>
      </c>
      <c r="B1108" s="1" t="n">
        <v>45091.53390046296</v>
      </c>
      <c r="C1108" s="1" t="n">
        <v>45992</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26186-2023</t>
        </is>
      </c>
      <c r="B1109" s="1" t="n">
        <v>45091.53475694444</v>
      </c>
      <c r="C1109" s="1" t="n">
        <v>45992</v>
      </c>
      <c r="D1109" t="inlineStr">
        <is>
          <t>GÄVLEBORGS LÄN</t>
        </is>
      </c>
      <c r="E1109" t="inlineStr">
        <is>
          <t>LJUSDAL</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48354-2025</t>
        </is>
      </c>
      <c r="B1110" s="1" t="n">
        <v>45933.65809027778</v>
      </c>
      <c r="C1110" s="1" t="n">
        <v>45992</v>
      </c>
      <c r="D1110" t="inlineStr">
        <is>
          <t>GÄVLEBORGS LÄN</t>
        </is>
      </c>
      <c r="E1110" t="inlineStr">
        <is>
          <t>LJUSDAL</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17667-2023</t>
        </is>
      </c>
      <c r="B1111" s="1" t="n">
        <v>45036.94440972222</v>
      </c>
      <c r="C1111" s="1" t="n">
        <v>45992</v>
      </c>
      <c r="D1111" t="inlineStr">
        <is>
          <t>GÄVLEBORGS LÄN</t>
        </is>
      </c>
      <c r="E1111" t="inlineStr">
        <is>
          <t>LJUSDAL</t>
        </is>
      </c>
      <c r="F1111" t="inlineStr">
        <is>
          <t>SCA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23374-2024</t>
        </is>
      </c>
      <c r="B1112" s="1" t="n">
        <v>45453.55642361111</v>
      </c>
      <c r="C1112" s="1" t="n">
        <v>45992</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23386-2024</t>
        </is>
      </c>
      <c r="B1113" s="1" t="n">
        <v>45453.56219907408</v>
      </c>
      <c r="C1113" s="1" t="n">
        <v>45992</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5440-2023</t>
        </is>
      </c>
      <c r="B1114" s="1" t="n">
        <v>44959.92410879629</v>
      </c>
      <c r="C1114" s="1" t="n">
        <v>45992</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56143-2025</t>
        </is>
      </c>
      <c r="B1115" s="1" t="n">
        <v>45974.34460648148</v>
      </c>
      <c r="C1115" s="1" t="n">
        <v>45992</v>
      </c>
      <c r="D1115" t="inlineStr">
        <is>
          <t>GÄVLEBORGS LÄN</t>
        </is>
      </c>
      <c r="E1115" t="inlineStr">
        <is>
          <t>LJUSDAL</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43800-2023</t>
        </is>
      </c>
      <c r="B1116" s="1" t="n">
        <v>45187.55690972223</v>
      </c>
      <c r="C1116" s="1" t="n">
        <v>45992</v>
      </c>
      <c r="D1116" t="inlineStr">
        <is>
          <t>GÄVLEBORGS LÄN</t>
        </is>
      </c>
      <c r="E1116" t="inlineStr">
        <is>
          <t>LJUSDAL</t>
        </is>
      </c>
      <c r="F1116" t="inlineStr">
        <is>
          <t>Bergvik skog väst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47923-2025</t>
        </is>
      </c>
      <c r="B1117" s="1" t="n">
        <v>45932.53732638889</v>
      </c>
      <c r="C1117" s="1" t="n">
        <v>45992</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56395-2025</t>
        </is>
      </c>
      <c r="B1118" s="1" t="n">
        <v>45974.75262731482</v>
      </c>
      <c r="C1118" s="1" t="n">
        <v>45992</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67380-2021</t>
        </is>
      </c>
      <c r="B1119" s="1" t="n">
        <v>44523</v>
      </c>
      <c r="C1119" s="1" t="n">
        <v>45992</v>
      </c>
      <c r="D1119" t="inlineStr">
        <is>
          <t>GÄVLEBORGS LÄN</t>
        </is>
      </c>
      <c r="E1119" t="inlineStr">
        <is>
          <t>LJUSDAL</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39927-2024</t>
        </is>
      </c>
      <c r="B1120" s="1" t="n">
        <v>45553.54829861111</v>
      </c>
      <c r="C1120" s="1" t="n">
        <v>45992</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56348-2025</t>
        </is>
      </c>
      <c r="B1121" s="1" t="n">
        <v>45974.65085648148</v>
      </c>
      <c r="C1121" s="1" t="n">
        <v>45992</v>
      </c>
      <c r="D1121" t="inlineStr">
        <is>
          <t>GÄVLEBORGS LÄN</t>
        </is>
      </c>
      <c r="E1121" t="inlineStr">
        <is>
          <t>LJUSDAL</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4110-2025</t>
        </is>
      </c>
      <c r="B1122" s="1" t="n">
        <v>45684.69658564815</v>
      </c>
      <c r="C1122" s="1" t="n">
        <v>45992</v>
      </c>
      <c r="D1122" t="inlineStr">
        <is>
          <t>GÄVLEBORGS LÄN</t>
        </is>
      </c>
      <c r="E1122" t="inlineStr">
        <is>
          <t>LJUSDAL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56397-2025</t>
        </is>
      </c>
      <c r="B1123" s="1" t="n">
        <v>45974.77915509259</v>
      </c>
      <c r="C1123" s="1" t="n">
        <v>45992</v>
      </c>
      <c r="D1123" t="inlineStr">
        <is>
          <t>GÄVLEBORGS LÄN</t>
        </is>
      </c>
      <c r="E1123" t="inlineStr">
        <is>
          <t>LJUSDAL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47925-2025</t>
        </is>
      </c>
      <c r="B1124" s="1" t="n">
        <v>45932.54445601852</v>
      </c>
      <c r="C1124" s="1" t="n">
        <v>45992</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47933-2025</t>
        </is>
      </c>
      <c r="B1125" s="1" t="n">
        <v>45932.55664351852</v>
      </c>
      <c r="C1125" s="1" t="n">
        <v>45992</v>
      </c>
      <c r="D1125" t="inlineStr">
        <is>
          <t>GÄVLEBORGS LÄN</t>
        </is>
      </c>
      <c r="E1125" t="inlineStr">
        <is>
          <t>LJUSDAL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15645-2025</t>
        </is>
      </c>
      <c r="B1126" s="1" t="n">
        <v>45748.39400462963</v>
      </c>
      <c r="C1126" s="1" t="n">
        <v>45992</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57110-2022</t>
        </is>
      </c>
      <c r="B1127" s="1" t="n">
        <v>44895.51792824074</v>
      </c>
      <c r="C1127" s="1" t="n">
        <v>45992</v>
      </c>
      <c r="D1127" t="inlineStr">
        <is>
          <t>GÄVLEBORGS LÄN</t>
        </is>
      </c>
      <c r="E1127" t="inlineStr">
        <is>
          <t>LJUSDAL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24691-2024</t>
        </is>
      </c>
      <c r="B1128" s="1" t="n">
        <v>45460.60364583333</v>
      </c>
      <c r="C1128" s="1" t="n">
        <v>45992</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48729-2025</t>
        </is>
      </c>
      <c r="B1129" s="1" t="n">
        <v>45936.65863425926</v>
      </c>
      <c r="C1129" s="1" t="n">
        <v>45992</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48694-2025</t>
        </is>
      </c>
      <c r="B1130" s="1" t="n">
        <v>45936.61392361111</v>
      </c>
      <c r="C1130" s="1" t="n">
        <v>45992</v>
      </c>
      <c r="D1130" t="inlineStr">
        <is>
          <t>GÄVLEBORGS LÄN</t>
        </is>
      </c>
      <c r="E1130" t="inlineStr">
        <is>
          <t>LJUSDAL</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18123-2025</t>
        </is>
      </c>
      <c r="B1131" s="1" t="n">
        <v>45761.59417824074</v>
      </c>
      <c r="C1131" s="1" t="n">
        <v>45992</v>
      </c>
      <c r="D1131" t="inlineStr">
        <is>
          <t>GÄVLEBORGS LÄN</t>
        </is>
      </c>
      <c r="E1131" t="inlineStr">
        <is>
          <t>LJUSDAL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57098-2025</t>
        </is>
      </c>
      <c r="B1132" s="1" t="n">
        <v>45979.4353125</v>
      </c>
      <c r="C1132" s="1" t="n">
        <v>45992</v>
      </c>
      <c r="D1132" t="inlineStr">
        <is>
          <t>GÄVLEBORGS LÄN</t>
        </is>
      </c>
      <c r="E1132" t="inlineStr">
        <is>
          <t>LJUSDAL</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48634-2025</t>
        </is>
      </c>
      <c r="B1133" s="1" t="n">
        <v>45936.5131712963</v>
      </c>
      <c r="C1133" s="1" t="n">
        <v>45992</v>
      </c>
      <c r="D1133" t="inlineStr">
        <is>
          <t>GÄVLEBORGS LÄN</t>
        </is>
      </c>
      <c r="E1133" t="inlineStr">
        <is>
          <t>LJUSDAL</t>
        </is>
      </c>
      <c r="F1133" t="inlineStr">
        <is>
          <t>Holmen skog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48635-2025</t>
        </is>
      </c>
      <c r="B1134" s="1" t="n">
        <v>45936.51425925926</v>
      </c>
      <c r="C1134" s="1" t="n">
        <v>45992</v>
      </c>
      <c r="D1134" t="inlineStr">
        <is>
          <t>GÄVLEBORGS LÄN</t>
        </is>
      </c>
      <c r="E1134" t="inlineStr">
        <is>
          <t>LJUSDAL</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41730-2024</t>
        </is>
      </c>
      <c r="B1135" s="1" t="n">
        <v>45560.90769675926</v>
      </c>
      <c r="C1135" s="1" t="n">
        <v>45992</v>
      </c>
      <c r="D1135" t="inlineStr">
        <is>
          <t>GÄVLEBORGS LÄN</t>
        </is>
      </c>
      <c r="E1135" t="inlineStr">
        <is>
          <t>LJUSDAL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51431-2021</t>
        </is>
      </c>
      <c r="B1136" s="1" t="n">
        <v>44461</v>
      </c>
      <c r="C1136" s="1" t="n">
        <v>45992</v>
      </c>
      <c r="D1136" t="inlineStr">
        <is>
          <t>GÄVLEBORGS LÄN</t>
        </is>
      </c>
      <c r="E1136" t="inlineStr">
        <is>
          <t>LJUSDAL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38634-2023</t>
        </is>
      </c>
      <c r="B1137" s="1" t="n">
        <v>45162.70454861111</v>
      </c>
      <c r="C1137" s="1" t="n">
        <v>45992</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45992</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31348-2022</t>
        </is>
      </c>
      <c r="B1139" s="1" t="n">
        <v>44774.54951388889</v>
      </c>
      <c r="C1139" s="1" t="n">
        <v>45992</v>
      </c>
      <c r="D1139" t="inlineStr">
        <is>
          <t>GÄVLEBORGS LÄN</t>
        </is>
      </c>
      <c r="E1139" t="inlineStr">
        <is>
          <t>LJUSDAL</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48580-2025</t>
        </is>
      </c>
      <c r="B1140" s="1" t="n">
        <v>45936.45487268519</v>
      </c>
      <c r="C1140" s="1" t="n">
        <v>45992</v>
      </c>
      <c r="D1140" t="inlineStr">
        <is>
          <t>GÄVLEBORGS LÄN</t>
        </is>
      </c>
      <c r="E1140" t="inlineStr">
        <is>
          <t>LJUSDAL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17228-2023</t>
        </is>
      </c>
      <c r="B1141" s="1" t="n">
        <v>45035.31238425926</v>
      </c>
      <c r="C1141" s="1" t="n">
        <v>45992</v>
      </c>
      <c r="D1141" t="inlineStr">
        <is>
          <t>GÄVLEBORGS LÄN</t>
        </is>
      </c>
      <c r="E1141" t="inlineStr">
        <is>
          <t>LJUSDAL</t>
        </is>
      </c>
      <c r="F1141" t="inlineStr">
        <is>
          <t>Holmen skog AB</t>
        </is>
      </c>
      <c r="G1141" t="n">
        <v>1.8</v>
      </c>
      <c r="H1141" t="n">
        <v>0</v>
      </c>
      <c r="I1141" t="n">
        <v>0</v>
      </c>
      <c r="J1141" t="n">
        <v>0</v>
      </c>
      <c r="K1141" t="n">
        <v>0</v>
      </c>
      <c r="L1141" t="n">
        <v>0</v>
      </c>
      <c r="M1141" t="n">
        <v>0</v>
      </c>
      <c r="N1141" t="n">
        <v>0</v>
      </c>
      <c r="O1141" t="n">
        <v>0</v>
      </c>
      <c r="P1141" t="n">
        <v>0</v>
      </c>
      <c r="Q1141" t="n">
        <v>0</v>
      </c>
      <c r="R1141" s="2" t="inlineStr"/>
      <c r="U1141">
        <f>HYPERLINK("https://klasma.github.io/Logging_2161/knärot/A 17228-2023 karta knärot.png", "A 17228-2023")</f>
        <v/>
      </c>
      <c r="V1141">
        <f>HYPERLINK("https://klasma.github.io/Logging_2161/klagomål/A 17228-2023 FSC-klagomål.docx", "A 17228-2023")</f>
        <v/>
      </c>
      <c r="W1141">
        <f>HYPERLINK("https://klasma.github.io/Logging_2161/klagomålsmail/A 17228-2023 FSC-klagomål mail.docx", "A 17228-2023")</f>
        <v/>
      </c>
      <c r="X1141">
        <f>HYPERLINK("https://klasma.github.io/Logging_2161/tillsyn/A 17228-2023 tillsynsbegäran.docx", "A 17228-2023")</f>
        <v/>
      </c>
      <c r="Y1141">
        <f>HYPERLINK("https://klasma.github.io/Logging_2161/tillsynsmail/A 17228-2023 tillsynsbegäran mail.docx", "A 17228-2023")</f>
        <v/>
      </c>
    </row>
    <row r="1142" ht="15" customHeight="1">
      <c r="A1142" t="inlineStr">
        <is>
          <t>A 28272-2023</t>
        </is>
      </c>
      <c r="B1142" s="1" t="n">
        <v>45099.62010416666</v>
      </c>
      <c r="C1142" s="1" t="n">
        <v>45992</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48631-2025</t>
        </is>
      </c>
      <c r="B1143" s="1" t="n">
        <v>45936.51170138889</v>
      </c>
      <c r="C1143" s="1" t="n">
        <v>45992</v>
      </c>
      <c r="D1143" t="inlineStr">
        <is>
          <t>GÄVLEBORGS LÄN</t>
        </is>
      </c>
      <c r="E1143" t="inlineStr">
        <is>
          <t>LJUSDAL</t>
        </is>
      </c>
      <c r="F1143" t="inlineStr">
        <is>
          <t>Holmen skog AB</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3233-2025</t>
        </is>
      </c>
      <c r="B1144" s="1" t="n">
        <v>45679.49009259259</v>
      </c>
      <c r="C1144" s="1" t="n">
        <v>45992</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57265-2025</t>
        </is>
      </c>
      <c r="B1145" s="1" t="n">
        <v>45979.66085648148</v>
      </c>
      <c r="C1145" s="1" t="n">
        <v>45992</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48725-2025</t>
        </is>
      </c>
      <c r="B1146" s="1" t="n">
        <v>45936.65416666667</v>
      </c>
      <c r="C1146" s="1" t="n">
        <v>45992</v>
      </c>
      <c r="D1146" t="inlineStr">
        <is>
          <t>GÄVLEBORGS LÄN</t>
        </is>
      </c>
      <c r="E1146" t="inlineStr">
        <is>
          <t>LJUSDAL</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19490-2025</t>
        </is>
      </c>
      <c r="B1147" s="1" t="n">
        <v>45770.38850694444</v>
      </c>
      <c r="C1147" s="1" t="n">
        <v>45992</v>
      </c>
      <c r="D1147" t="inlineStr">
        <is>
          <t>GÄVLEBORGS LÄN</t>
        </is>
      </c>
      <c r="E1147" t="inlineStr">
        <is>
          <t>LJUSDAL</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6339-2025</t>
        </is>
      </c>
      <c r="B1148" s="1" t="n">
        <v>45699</v>
      </c>
      <c r="C1148" s="1" t="n">
        <v>45992</v>
      </c>
      <c r="D1148" t="inlineStr">
        <is>
          <t>GÄVLEBORGS LÄN</t>
        </is>
      </c>
      <c r="E1148" t="inlineStr">
        <is>
          <t>LJUSDAL</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42317-2025</t>
        </is>
      </c>
      <c r="B1149" s="1" t="n">
        <v>45904.66563657407</v>
      </c>
      <c r="C1149" s="1" t="n">
        <v>45992</v>
      </c>
      <c r="D1149" t="inlineStr">
        <is>
          <t>GÄVLEBORGS LÄN</t>
        </is>
      </c>
      <c r="E1149" t="inlineStr">
        <is>
          <t>LJUSDAL</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14002-2025</t>
        </is>
      </c>
      <c r="B1150" s="1" t="n">
        <v>45740.28945601852</v>
      </c>
      <c r="C1150" s="1" t="n">
        <v>45992</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48579-2025</t>
        </is>
      </c>
      <c r="B1151" s="1" t="n">
        <v>45936.45458333333</v>
      </c>
      <c r="C1151" s="1" t="n">
        <v>45992</v>
      </c>
      <c r="D1151" t="inlineStr">
        <is>
          <t>GÄVLEBORGS LÄN</t>
        </is>
      </c>
      <c r="E1151" t="inlineStr">
        <is>
          <t>LJUSDAL</t>
        </is>
      </c>
      <c r="F1151" t="inlineStr">
        <is>
          <t>Allmännings- och besparingsskogar</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56825-2025</t>
        </is>
      </c>
      <c r="B1152" s="1" t="n">
        <v>45978.46519675926</v>
      </c>
      <c r="C1152" s="1" t="n">
        <v>45992</v>
      </c>
      <c r="D1152" t="inlineStr">
        <is>
          <t>GÄVLEBORGS LÄN</t>
        </is>
      </c>
      <c r="E1152" t="inlineStr">
        <is>
          <t>LJUSDAL</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45992</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45992</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56819-2025</t>
        </is>
      </c>
      <c r="B1155" s="1" t="n">
        <v>45978.46253472222</v>
      </c>
      <c r="C1155" s="1" t="n">
        <v>45992</v>
      </c>
      <c r="D1155" t="inlineStr">
        <is>
          <t>GÄVLEBORGS LÄN</t>
        </is>
      </c>
      <c r="E1155" t="inlineStr">
        <is>
          <t>LJUSDAL</t>
        </is>
      </c>
      <c r="F1155" t="inlineStr">
        <is>
          <t>Allmännings- och besparingsskogar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49061-2025</t>
        </is>
      </c>
      <c r="B1156" s="1" t="n">
        <v>45937.64150462963</v>
      </c>
      <c r="C1156" s="1" t="n">
        <v>45992</v>
      </c>
      <c r="D1156" t="inlineStr">
        <is>
          <t>GÄVLEBORGS LÄN</t>
        </is>
      </c>
      <c r="E1156" t="inlineStr">
        <is>
          <t>LJUSDAL</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49035-2025</t>
        </is>
      </c>
      <c r="B1157" s="1" t="n">
        <v>45937.62997685185</v>
      </c>
      <c r="C1157" s="1" t="n">
        <v>45992</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5779-2023</t>
        </is>
      </c>
      <c r="B1158" s="1" t="n">
        <v>44963.4146412037</v>
      </c>
      <c r="C1158" s="1" t="n">
        <v>45992</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51725-2024</t>
        </is>
      </c>
      <c r="B1159" s="1" t="n">
        <v>45607.383125</v>
      </c>
      <c r="C1159" s="1" t="n">
        <v>45992</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10416-2025</t>
        </is>
      </c>
      <c r="B1160" s="1" t="n">
        <v>45720.63462962963</v>
      </c>
      <c r="C1160" s="1" t="n">
        <v>45992</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57472-2025</t>
        </is>
      </c>
      <c r="B1161" s="1" t="n">
        <v>45980.5663425926</v>
      </c>
      <c r="C1161" s="1" t="n">
        <v>45992</v>
      </c>
      <c r="D1161" t="inlineStr">
        <is>
          <t>GÄVLEBORGS LÄN</t>
        </is>
      </c>
      <c r="E1161" t="inlineStr">
        <is>
          <t>LJUSDAL</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49244-2025</t>
        </is>
      </c>
      <c r="B1162" s="1" t="n">
        <v>45938.48805555556</v>
      </c>
      <c r="C1162" s="1" t="n">
        <v>45992</v>
      </c>
      <c r="D1162" t="inlineStr">
        <is>
          <t>GÄVLEBORGS LÄN</t>
        </is>
      </c>
      <c r="E1162" t="inlineStr">
        <is>
          <t>LJUSDAL</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49275-2025</t>
        </is>
      </c>
      <c r="B1163" s="1" t="n">
        <v>45938.50620370371</v>
      </c>
      <c r="C1163" s="1" t="n">
        <v>45992</v>
      </c>
      <c r="D1163" t="inlineStr">
        <is>
          <t>GÄVLEBORGS LÄN</t>
        </is>
      </c>
      <c r="E1163" t="inlineStr">
        <is>
          <t>LJUSDAL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49037-2025</t>
        </is>
      </c>
      <c r="B1164" s="1" t="n">
        <v>45937.63116898148</v>
      </c>
      <c r="C1164" s="1" t="n">
        <v>45992</v>
      </c>
      <c r="D1164" t="inlineStr">
        <is>
          <t>GÄVLEBORGS LÄN</t>
        </is>
      </c>
      <c r="E1164" t="inlineStr">
        <is>
          <t>LJUSDAL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48825-2025</t>
        </is>
      </c>
      <c r="B1165" s="1" t="n">
        <v>45937.37980324074</v>
      </c>
      <c r="C1165" s="1" t="n">
        <v>45992</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12768-2025</t>
        </is>
      </c>
      <c r="B1166" s="1" t="n">
        <v>45733.57840277778</v>
      </c>
      <c r="C1166" s="1" t="n">
        <v>45992</v>
      </c>
      <c r="D1166" t="inlineStr">
        <is>
          <t>GÄVLEBORGS LÄN</t>
        </is>
      </c>
      <c r="E1166" t="inlineStr">
        <is>
          <t>LJUSDAL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49457-2025</t>
        </is>
      </c>
      <c r="B1167" s="1" t="n">
        <v>45939.2828125</v>
      </c>
      <c r="C1167" s="1" t="n">
        <v>45992</v>
      </c>
      <c r="D1167" t="inlineStr">
        <is>
          <t>GÄVLEBORGS LÄN</t>
        </is>
      </c>
      <c r="E1167" t="inlineStr">
        <is>
          <t>LJUSDAL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8081-2024</t>
        </is>
      </c>
      <c r="B1168" s="1" t="n">
        <v>45351.43940972222</v>
      </c>
      <c r="C1168" s="1" t="n">
        <v>45992</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23195-2022</t>
        </is>
      </c>
      <c r="B1169" s="1" t="n">
        <v>44719.92542824074</v>
      </c>
      <c r="C1169" s="1" t="n">
        <v>45992</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57860-2025</t>
        </is>
      </c>
      <c r="B1170" s="1" t="n">
        <v>45981.64178240741</v>
      </c>
      <c r="C1170" s="1" t="n">
        <v>45992</v>
      </c>
      <c r="D1170" t="inlineStr">
        <is>
          <t>GÄVLEBORGS LÄN</t>
        </is>
      </c>
      <c r="E1170" t="inlineStr">
        <is>
          <t>LJUSDAL</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49261-2025</t>
        </is>
      </c>
      <c r="B1171" s="1" t="n">
        <v>45938.49891203704</v>
      </c>
      <c r="C1171" s="1" t="n">
        <v>45992</v>
      </c>
      <c r="D1171" t="inlineStr">
        <is>
          <t>GÄVLEBORGS LÄN</t>
        </is>
      </c>
      <c r="E1171" t="inlineStr">
        <is>
          <t>LJUSDAL</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57748-2025</t>
        </is>
      </c>
      <c r="B1172" s="1" t="n">
        <v>45981.53340277778</v>
      </c>
      <c r="C1172" s="1" t="n">
        <v>45992</v>
      </c>
      <c r="D1172" t="inlineStr">
        <is>
          <t>GÄVLEBORGS LÄN</t>
        </is>
      </c>
      <c r="E1172" t="inlineStr">
        <is>
          <t>LJUSDAL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58796-2022</t>
        </is>
      </c>
      <c r="B1173" s="1" t="n">
        <v>44903</v>
      </c>
      <c r="C1173" s="1" t="n">
        <v>45992</v>
      </c>
      <c r="D1173" t="inlineStr">
        <is>
          <t>GÄVLEBORGS LÄN</t>
        </is>
      </c>
      <c r="E1173" t="inlineStr">
        <is>
          <t>LJUSDAL</t>
        </is>
      </c>
      <c r="F1173" t="inlineStr">
        <is>
          <t>Kyrkan</t>
        </is>
      </c>
      <c r="G1173" t="n">
        <v>6.8</v>
      </c>
      <c r="H1173" t="n">
        <v>0</v>
      </c>
      <c r="I1173" t="n">
        <v>0</v>
      </c>
      <c r="J1173" t="n">
        <v>0</v>
      </c>
      <c r="K1173" t="n">
        <v>0</v>
      </c>
      <c r="L1173" t="n">
        <v>0</v>
      </c>
      <c r="M1173" t="n">
        <v>0</v>
      </c>
      <c r="N1173" t="n">
        <v>0</v>
      </c>
      <c r="O1173" t="n">
        <v>0</v>
      </c>
      <c r="P1173" t="n">
        <v>0</v>
      </c>
      <c r="Q1173" t="n">
        <v>0</v>
      </c>
      <c r="R1173" s="2" t="inlineStr"/>
      <c r="U1173">
        <f>HYPERLINK("https://klasma.github.io/Logging_2161/knärot/A 58796-2022 karta knärot.png", "A 58796-2022")</f>
        <v/>
      </c>
      <c r="V1173">
        <f>HYPERLINK("https://klasma.github.io/Logging_2161/klagomål/A 58796-2022 FSC-klagomål.docx", "A 58796-2022")</f>
        <v/>
      </c>
      <c r="W1173">
        <f>HYPERLINK("https://klasma.github.io/Logging_2161/klagomålsmail/A 58796-2022 FSC-klagomål mail.docx", "A 58796-2022")</f>
        <v/>
      </c>
      <c r="X1173">
        <f>HYPERLINK("https://klasma.github.io/Logging_2161/tillsyn/A 58796-2022 tillsynsbegäran.docx", "A 58796-2022")</f>
        <v/>
      </c>
      <c r="Y1173">
        <f>HYPERLINK("https://klasma.github.io/Logging_2161/tillsynsmail/A 58796-2022 tillsynsbegäran mail.docx", "A 58796-2022")</f>
        <v/>
      </c>
    </row>
    <row r="1174" ht="15" customHeight="1">
      <c r="A1174" t="inlineStr">
        <is>
          <t>A 49034-2025</t>
        </is>
      </c>
      <c r="B1174" s="1" t="n">
        <v>45937.62844907407</v>
      </c>
      <c r="C1174" s="1" t="n">
        <v>45992</v>
      </c>
      <c r="D1174" t="inlineStr">
        <is>
          <t>GÄVLEBORGS LÄN</t>
        </is>
      </c>
      <c r="E1174" t="inlineStr">
        <is>
          <t>LJUSDAL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33354-2024</t>
        </is>
      </c>
      <c r="B1175" s="1" t="n">
        <v>45519</v>
      </c>
      <c r="C1175" s="1" t="n">
        <v>45992</v>
      </c>
      <c r="D1175" t="inlineStr">
        <is>
          <t>GÄVLEBORGS LÄN</t>
        </is>
      </c>
      <c r="E1175" t="inlineStr">
        <is>
          <t>LJUSDAL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14296-2024</t>
        </is>
      </c>
      <c r="B1176" s="1" t="n">
        <v>45393</v>
      </c>
      <c r="C1176" s="1" t="n">
        <v>45992</v>
      </c>
      <c r="D1176" t="inlineStr">
        <is>
          <t>GÄVLEBORGS LÄN</t>
        </is>
      </c>
      <c r="E1176" t="inlineStr">
        <is>
          <t>LJUSDAL</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48149-2024</t>
        </is>
      </c>
      <c r="B1177" s="1" t="n">
        <v>45589.6787962963</v>
      </c>
      <c r="C1177" s="1" t="n">
        <v>45992</v>
      </c>
      <c r="D1177" t="inlineStr">
        <is>
          <t>GÄVLEBORGS LÄN</t>
        </is>
      </c>
      <c r="E1177" t="inlineStr">
        <is>
          <t>LJUSDAL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39417-2024</t>
        </is>
      </c>
      <c r="B1178" s="1" t="n">
        <v>45551</v>
      </c>
      <c r="C1178" s="1" t="n">
        <v>45992</v>
      </c>
      <c r="D1178" t="inlineStr">
        <is>
          <t>GÄVLEBORGS LÄN</t>
        </is>
      </c>
      <c r="E1178" t="inlineStr">
        <is>
          <t>LJUSDAL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18488-2024</t>
        </is>
      </c>
      <c r="B1179" s="1" t="n">
        <v>45425.54863425926</v>
      </c>
      <c r="C1179" s="1" t="n">
        <v>45992</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49297-2025</t>
        </is>
      </c>
      <c r="B1180" s="1" t="n">
        <v>45938.54032407407</v>
      </c>
      <c r="C1180" s="1" t="n">
        <v>45992</v>
      </c>
      <c r="D1180" t="inlineStr">
        <is>
          <t>GÄVLEBORGS LÄN</t>
        </is>
      </c>
      <c r="E1180" t="inlineStr">
        <is>
          <t>LJUSDAL</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49975-2025</t>
        </is>
      </c>
      <c r="B1181" s="1" t="n">
        <v>45942.50578703704</v>
      </c>
      <c r="C1181" s="1" t="n">
        <v>45992</v>
      </c>
      <c r="D1181" t="inlineStr">
        <is>
          <t>GÄVLEBORGS LÄN</t>
        </is>
      </c>
      <c r="E1181" t="inlineStr">
        <is>
          <t>LJUSDAL</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24205-2022</t>
        </is>
      </c>
      <c r="B1182" s="1" t="n">
        <v>44725.58780092592</v>
      </c>
      <c r="C1182" s="1" t="n">
        <v>45992</v>
      </c>
      <c r="D1182" t="inlineStr">
        <is>
          <t>GÄVLEBORGS LÄN</t>
        </is>
      </c>
      <c r="E1182" t="inlineStr">
        <is>
          <t>LJUSDAL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45696-2024</t>
        </is>
      </c>
      <c r="B1183" s="1" t="n">
        <v>45579.55864583333</v>
      </c>
      <c r="C1183" s="1" t="n">
        <v>45992</v>
      </c>
      <c r="D1183" t="inlineStr">
        <is>
          <t>GÄVLEBORGS LÄN</t>
        </is>
      </c>
      <c r="E1183" t="inlineStr">
        <is>
          <t>LJUSDAL</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54349-2022</t>
        </is>
      </c>
      <c r="B1184" s="1" t="n">
        <v>44882.45284722222</v>
      </c>
      <c r="C1184" s="1" t="n">
        <v>45992</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50135-2025</t>
        </is>
      </c>
      <c r="B1185" s="1" t="n">
        <v>45943.56146990741</v>
      </c>
      <c r="C1185" s="1" t="n">
        <v>45992</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25564-2023</t>
        </is>
      </c>
      <c r="B1186" s="1" t="n">
        <v>45089.60670138889</v>
      </c>
      <c r="C1186" s="1" t="n">
        <v>45992</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15042-2022</t>
        </is>
      </c>
      <c r="B1187" s="1" t="n">
        <v>44657</v>
      </c>
      <c r="C1187" s="1" t="n">
        <v>45992</v>
      </c>
      <c r="D1187" t="inlineStr">
        <is>
          <t>GÄVLEBORGS LÄN</t>
        </is>
      </c>
      <c r="E1187" t="inlineStr">
        <is>
          <t>LJUSDAL</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48879-2023</t>
        </is>
      </c>
      <c r="B1188" s="1" t="n">
        <v>45209.46855324074</v>
      </c>
      <c r="C1188" s="1" t="n">
        <v>45992</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60896-2024</t>
        </is>
      </c>
      <c r="B1189" s="1" t="n">
        <v>45645.2721875</v>
      </c>
      <c r="C1189" s="1" t="n">
        <v>45992</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52391-2023</t>
        </is>
      </c>
      <c r="B1190" s="1" t="n">
        <v>45224.92597222222</v>
      </c>
      <c r="C1190" s="1" t="n">
        <v>45992</v>
      </c>
      <c r="D1190" t="inlineStr">
        <is>
          <t>GÄVLEBORGS LÄN</t>
        </is>
      </c>
      <c r="E1190" t="inlineStr">
        <is>
          <t>LJUSDAL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9139-2025</t>
        </is>
      </c>
      <c r="B1191" s="1" t="n">
        <v>45714.29621527778</v>
      </c>
      <c r="C1191" s="1" t="n">
        <v>45992</v>
      </c>
      <c r="D1191" t="inlineStr">
        <is>
          <t>GÄVLEBORGS LÄN</t>
        </is>
      </c>
      <c r="E1191" t="inlineStr">
        <is>
          <t>LJUSDAL</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52981-2024</t>
        </is>
      </c>
      <c r="B1192" s="1" t="n">
        <v>45611.35353009259</v>
      </c>
      <c r="C1192" s="1" t="n">
        <v>45992</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53007-2024</t>
        </is>
      </c>
      <c r="B1193" s="1" t="n">
        <v>45611.39570601852</v>
      </c>
      <c r="C1193" s="1" t="n">
        <v>45992</v>
      </c>
      <c r="D1193" t="inlineStr">
        <is>
          <t>GÄVLEBORGS LÄN</t>
        </is>
      </c>
      <c r="E1193" t="inlineStr">
        <is>
          <t>LJUSDAL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13844-2025</t>
        </is>
      </c>
      <c r="B1194" s="1" t="n">
        <v>45737.55976851852</v>
      </c>
      <c r="C1194" s="1" t="n">
        <v>45992</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60914-2024</t>
        </is>
      </c>
      <c r="B1195" s="1" t="n">
        <v>45645.3344212963</v>
      </c>
      <c r="C1195" s="1" t="n">
        <v>45992</v>
      </c>
      <c r="D1195" t="inlineStr">
        <is>
          <t>GÄVLEBORGS LÄN</t>
        </is>
      </c>
      <c r="E1195" t="inlineStr">
        <is>
          <t>LJUSDAL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49774-2025</t>
        </is>
      </c>
      <c r="B1196" s="1" t="n">
        <v>45940.37777777778</v>
      </c>
      <c r="C1196" s="1" t="n">
        <v>45992</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3188-2023</t>
        </is>
      </c>
      <c r="B1197" s="1" t="n">
        <v>44946</v>
      </c>
      <c r="C1197" s="1" t="n">
        <v>45992</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43517-2023</t>
        </is>
      </c>
      <c r="B1198" s="1" t="n">
        <v>45184.48697916666</v>
      </c>
      <c r="C1198" s="1" t="n">
        <v>45992</v>
      </c>
      <c r="D1198" t="inlineStr">
        <is>
          <t>GÄVLEBORGS LÄN</t>
        </is>
      </c>
      <c r="E1198" t="inlineStr">
        <is>
          <t>LJUSDAL</t>
        </is>
      </c>
      <c r="G1198" t="n">
        <v>23.5</v>
      </c>
      <c r="H1198" t="n">
        <v>0</v>
      </c>
      <c r="I1198" t="n">
        <v>0</v>
      </c>
      <c r="J1198" t="n">
        <v>0</v>
      </c>
      <c r="K1198" t="n">
        <v>0</v>
      </c>
      <c r="L1198" t="n">
        <v>0</v>
      </c>
      <c r="M1198" t="n">
        <v>0</v>
      </c>
      <c r="N1198" t="n">
        <v>0</v>
      </c>
      <c r="O1198" t="n">
        <v>0</v>
      </c>
      <c r="P1198" t="n">
        <v>0</v>
      </c>
      <c r="Q1198" t="n">
        <v>0</v>
      </c>
      <c r="R1198" s="2" t="inlineStr"/>
    </row>
    <row r="1199" ht="15" customHeight="1">
      <c r="A1199" t="inlineStr">
        <is>
          <t>A 32106-2025</t>
        </is>
      </c>
      <c r="B1199" s="1" t="n">
        <v>45835</v>
      </c>
      <c r="C1199" s="1" t="n">
        <v>45992</v>
      </c>
      <c r="D1199" t="inlineStr">
        <is>
          <t>GÄVLEBORGS LÄN</t>
        </is>
      </c>
      <c r="E1199" t="inlineStr">
        <is>
          <t>LJUSDAL</t>
        </is>
      </c>
      <c r="F1199" t="inlineStr">
        <is>
          <t>Allmännings- och besparingsskogar</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2909-2024</t>
        </is>
      </c>
      <c r="B1200" s="1" t="n">
        <v>45315</v>
      </c>
      <c r="C1200" s="1" t="n">
        <v>45992</v>
      </c>
      <c r="D1200" t="inlineStr">
        <is>
          <t>GÄVLEBORGS LÄN</t>
        </is>
      </c>
      <c r="E1200" t="inlineStr">
        <is>
          <t>LJUSDAL</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41922-2024</t>
        </is>
      </c>
      <c r="B1201" s="1" t="n">
        <v>45561.55555555555</v>
      </c>
      <c r="C1201" s="1" t="n">
        <v>45992</v>
      </c>
      <c r="D1201" t="inlineStr">
        <is>
          <t>GÄVLEBORGS LÄN</t>
        </is>
      </c>
      <c r="E1201" t="inlineStr">
        <is>
          <t>LJUSDAL</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30577-2021</t>
        </is>
      </c>
      <c r="B1202" s="1" t="n">
        <v>44364</v>
      </c>
      <c r="C1202" s="1" t="n">
        <v>45992</v>
      </c>
      <c r="D1202" t="inlineStr">
        <is>
          <t>GÄVLEBORGS LÄN</t>
        </is>
      </c>
      <c r="E1202" t="inlineStr">
        <is>
          <t>LJUSDAL</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14825-2025</t>
        </is>
      </c>
      <c r="B1203" s="1" t="n">
        <v>45743.36491898148</v>
      </c>
      <c r="C1203" s="1" t="n">
        <v>45992</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49736-2025</t>
        </is>
      </c>
      <c r="B1204" s="1" t="n">
        <v>45940.2783912037</v>
      </c>
      <c r="C1204" s="1" t="n">
        <v>45992</v>
      </c>
      <c r="D1204" t="inlineStr">
        <is>
          <t>GÄVLEBORGS LÄN</t>
        </is>
      </c>
      <c r="E1204" t="inlineStr">
        <is>
          <t>LJUSDAL</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57927-2025</t>
        </is>
      </c>
      <c r="B1205" s="1" t="n">
        <v>45981.88649305556</v>
      </c>
      <c r="C1205" s="1" t="n">
        <v>45992</v>
      </c>
      <c r="D1205" t="inlineStr">
        <is>
          <t>GÄVLEBORGS LÄN</t>
        </is>
      </c>
      <c r="E1205" t="inlineStr">
        <is>
          <t>LJUSDAL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58894-2024</t>
        </is>
      </c>
      <c r="B1206" s="1" t="n">
        <v>45636.46609953704</v>
      </c>
      <c r="C1206" s="1" t="n">
        <v>45992</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26510-2023</t>
        </is>
      </c>
      <c r="B1207" s="1" t="n">
        <v>45092</v>
      </c>
      <c r="C1207" s="1" t="n">
        <v>45992</v>
      </c>
      <c r="D1207" t="inlineStr">
        <is>
          <t>GÄVLEBORGS LÄN</t>
        </is>
      </c>
      <c r="E1207" t="inlineStr">
        <is>
          <t>LJUSDAL</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18078-2024</t>
        </is>
      </c>
      <c r="B1208" s="1" t="n">
        <v>45420.43887731482</v>
      </c>
      <c r="C1208" s="1" t="n">
        <v>45992</v>
      </c>
      <c r="D1208" t="inlineStr">
        <is>
          <t>GÄVLEBORGS LÄN</t>
        </is>
      </c>
      <c r="E1208" t="inlineStr">
        <is>
          <t>LJUSDAL</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7192-2023</t>
        </is>
      </c>
      <c r="B1209" s="1" t="n">
        <v>44970</v>
      </c>
      <c r="C1209" s="1" t="n">
        <v>45992</v>
      </c>
      <c r="D1209" t="inlineStr">
        <is>
          <t>GÄVLEBORGS LÄN</t>
        </is>
      </c>
      <c r="E1209" t="inlineStr">
        <is>
          <t>LJUSDAL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13843-2025</t>
        </is>
      </c>
      <c r="B1210" s="1" t="n">
        <v>45737.55868055556</v>
      </c>
      <c r="C1210" s="1" t="n">
        <v>45992</v>
      </c>
      <c r="D1210" t="inlineStr">
        <is>
          <t>GÄVLEBORGS LÄN</t>
        </is>
      </c>
      <c r="E1210" t="inlineStr">
        <is>
          <t>LJUSDAL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15091-2025</t>
        </is>
      </c>
      <c r="B1211" s="1" t="n">
        <v>45744.3275462963</v>
      </c>
      <c r="C1211" s="1" t="n">
        <v>45992</v>
      </c>
      <c r="D1211" t="inlineStr">
        <is>
          <t>GÄVLEBORGS LÄN</t>
        </is>
      </c>
      <c r="E1211" t="inlineStr">
        <is>
          <t>LJUSDAL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50656-2025</t>
        </is>
      </c>
      <c r="B1212" s="1" t="n">
        <v>45945.68559027778</v>
      </c>
      <c r="C1212" s="1" t="n">
        <v>45992</v>
      </c>
      <c r="D1212" t="inlineStr">
        <is>
          <t>GÄVLEBORGS LÄN</t>
        </is>
      </c>
      <c r="E1212" t="inlineStr">
        <is>
          <t>LJUSDAL</t>
        </is>
      </c>
      <c r="F1212" t="inlineStr">
        <is>
          <t>Sveaskog</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50549-2025</t>
        </is>
      </c>
      <c r="B1213" s="1" t="n">
        <v>45945.51229166667</v>
      </c>
      <c r="C1213" s="1" t="n">
        <v>45992</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45241-2024</t>
        </is>
      </c>
      <c r="B1214" s="1" t="n">
        <v>45575.95956018518</v>
      </c>
      <c r="C1214" s="1" t="n">
        <v>45992</v>
      </c>
      <c r="D1214" t="inlineStr">
        <is>
          <t>GÄVLEBORGS LÄN</t>
        </is>
      </c>
      <c r="E1214" t="inlineStr">
        <is>
          <t>LJUSDAL</t>
        </is>
      </c>
      <c r="F1214" t="inlineStr">
        <is>
          <t>Sveaskog</t>
        </is>
      </c>
      <c r="G1214" t="n">
        <v>14.4</v>
      </c>
      <c r="H1214" t="n">
        <v>0</v>
      </c>
      <c r="I1214" t="n">
        <v>0</v>
      </c>
      <c r="J1214" t="n">
        <v>0</v>
      </c>
      <c r="K1214" t="n">
        <v>0</v>
      </c>
      <c r="L1214" t="n">
        <v>0</v>
      </c>
      <c r="M1214" t="n">
        <v>0</v>
      </c>
      <c r="N1214" t="n">
        <v>0</v>
      </c>
      <c r="O1214" t="n">
        <v>0</v>
      </c>
      <c r="P1214" t="n">
        <v>0</v>
      </c>
      <c r="Q1214" t="n">
        <v>0</v>
      </c>
      <c r="R1214" s="2" t="inlineStr"/>
    </row>
    <row r="1215" ht="15" customHeight="1">
      <c r="A1215" t="inlineStr">
        <is>
          <t>A 58855-2025</t>
        </is>
      </c>
      <c r="B1215" s="1" t="n">
        <v>45987.4071875</v>
      </c>
      <c r="C1215" s="1" t="n">
        <v>45992</v>
      </c>
      <c r="D1215" t="inlineStr">
        <is>
          <t>GÄVLEBORGS LÄN</t>
        </is>
      </c>
      <c r="E1215" t="inlineStr">
        <is>
          <t>LJUSDAL</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19855-2025</t>
        </is>
      </c>
      <c r="B1216" s="1" t="n">
        <v>45771</v>
      </c>
      <c r="C1216" s="1" t="n">
        <v>45992</v>
      </c>
      <c r="D1216" t="inlineStr">
        <is>
          <t>GÄVLEBORGS LÄN</t>
        </is>
      </c>
      <c r="E1216" t="inlineStr">
        <is>
          <t>LJUSDAL</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58968-2025</t>
        </is>
      </c>
      <c r="B1217" s="1" t="n">
        <v>45987.60523148148</v>
      </c>
      <c r="C1217" s="1" t="n">
        <v>45992</v>
      </c>
      <c r="D1217" t="inlineStr">
        <is>
          <t>GÄVLEBORGS LÄN</t>
        </is>
      </c>
      <c r="E1217" t="inlineStr">
        <is>
          <t>LJUSDAL</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29205-2023</t>
        </is>
      </c>
      <c r="B1218" s="1" t="n">
        <v>45105.56778935185</v>
      </c>
      <c r="C1218" s="1" t="n">
        <v>45992</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50403-2025</t>
        </is>
      </c>
      <c r="B1219" s="1" t="n">
        <v>45944.63626157407</v>
      </c>
      <c r="C1219" s="1" t="n">
        <v>45992</v>
      </c>
      <c r="D1219" t="inlineStr">
        <is>
          <t>GÄVLEBORGS LÄN</t>
        </is>
      </c>
      <c r="E1219" t="inlineStr">
        <is>
          <t>LJUSDAL</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58812-2025</t>
        </is>
      </c>
      <c r="B1220" s="1" t="n">
        <v>45987.32815972222</v>
      </c>
      <c r="C1220" s="1" t="n">
        <v>45992</v>
      </c>
      <c r="D1220" t="inlineStr">
        <is>
          <t>GÄVLEBORGS LÄN</t>
        </is>
      </c>
      <c r="E1220" t="inlineStr">
        <is>
          <t>LJUSDAL</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50310-2025</t>
        </is>
      </c>
      <c r="B1221" s="1" t="n">
        <v>45944.43752314815</v>
      </c>
      <c r="C1221" s="1" t="n">
        <v>45992</v>
      </c>
      <c r="D1221" t="inlineStr">
        <is>
          <t>GÄVLEBORGS LÄN</t>
        </is>
      </c>
      <c r="E1221" t="inlineStr">
        <is>
          <t>LJUSDAL</t>
        </is>
      </c>
      <c r="F1221" t="inlineStr">
        <is>
          <t>Bergvik skog väst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58816-2025</t>
        </is>
      </c>
      <c r="B1222" s="1" t="n">
        <v>45987.33459490741</v>
      </c>
      <c r="C1222" s="1" t="n">
        <v>45992</v>
      </c>
      <c r="D1222" t="inlineStr">
        <is>
          <t>GÄVLEBORGS LÄN</t>
        </is>
      </c>
      <c r="E1222" t="inlineStr">
        <is>
          <t>LJUSDAL</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38033-2025</t>
        </is>
      </c>
      <c r="B1223" s="1" t="n">
        <v>45881</v>
      </c>
      <c r="C1223" s="1" t="n">
        <v>45992</v>
      </c>
      <c r="D1223" t="inlineStr">
        <is>
          <t>GÄVLEBORGS LÄN</t>
        </is>
      </c>
      <c r="E1223" t="inlineStr">
        <is>
          <t>LJUSDAL</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58898-2025</t>
        </is>
      </c>
      <c r="B1224" s="1" t="n">
        <v>45987.4984837963</v>
      </c>
      <c r="C1224" s="1" t="n">
        <v>45992</v>
      </c>
      <c r="D1224" t="inlineStr">
        <is>
          <t>GÄVLEBORGS LÄN</t>
        </is>
      </c>
      <c r="E1224" t="inlineStr">
        <is>
          <t>LJUSDAL</t>
        </is>
      </c>
      <c r="F1224" t="inlineStr">
        <is>
          <t>Bergvik skog väst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19034-2023</t>
        </is>
      </c>
      <c r="B1225" s="1" t="n">
        <v>45047.53082175926</v>
      </c>
      <c r="C1225" s="1" t="n">
        <v>45992</v>
      </c>
      <c r="D1225" t="inlineStr">
        <is>
          <t>GÄVLEBORGS LÄN</t>
        </is>
      </c>
      <c r="E1225" t="inlineStr">
        <is>
          <t>LJUSDAL</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25415-2022</t>
        </is>
      </c>
      <c r="B1226" s="1" t="n">
        <v>44732.45652777778</v>
      </c>
      <c r="C1226" s="1" t="n">
        <v>45992</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45509-2024</t>
        </is>
      </c>
      <c r="B1227" s="1" t="n">
        <v>45578</v>
      </c>
      <c r="C1227" s="1" t="n">
        <v>45992</v>
      </c>
      <c r="D1227" t="inlineStr">
        <is>
          <t>GÄVLEBORGS LÄN</t>
        </is>
      </c>
      <c r="E1227" t="inlineStr">
        <is>
          <t>LJUSDAL</t>
        </is>
      </c>
      <c r="F1227" t="inlineStr">
        <is>
          <t>Naturvårdsverket</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59078-2025</t>
        </is>
      </c>
      <c r="B1228" s="1" t="n">
        <v>45988.43143518519</v>
      </c>
      <c r="C1228" s="1" t="n">
        <v>45992</v>
      </c>
      <c r="D1228" t="inlineStr">
        <is>
          <t>GÄVLEBORGS LÄN</t>
        </is>
      </c>
      <c r="E1228" t="inlineStr">
        <is>
          <t>LJUSDAL</t>
        </is>
      </c>
      <c r="G1228" t="n">
        <v>16.4</v>
      </c>
      <c r="H1228" t="n">
        <v>0</v>
      </c>
      <c r="I1228" t="n">
        <v>0</v>
      </c>
      <c r="J1228" t="n">
        <v>0</v>
      </c>
      <c r="K1228" t="n">
        <v>0</v>
      </c>
      <c r="L1228" t="n">
        <v>0</v>
      </c>
      <c r="M1228" t="n">
        <v>0</v>
      </c>
      <c r="N1228" t="n">
        <v>0</v>
      </c>
      <c r="O1228" t="n">
        <v>0</v>
      </c>
      <c r="P1228" t="n">
        <v>0</v>
      </c>
      <c r="Q1228" t="n">
        <v>0</v>
      </c>
      <c r="R1228" s="2" t="inlineStr"/>
    </row>
    <row r="1229" ht="15" customHeight="1">
      <c r="A1229" t="inlineStr">
        <is>
          <t>A 54237-2021</t>
        </is>
      </c>
      <c r="B1229" s="1" t="n">
        <v>44470.63472222222</v>
      </c>
      <c r="C1229" s="1" t="n">
        <v>45992</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45992</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51230-2025</t>
        </is>
      </c>
      <c r="B1231" s="1" t="n">
        <v>45947.67012731481</v>
      </c>
      <c r="C1231" s="1" t="n">
        <v>45992</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36568-2021</t>
        </is>
      </c>
      <c r="B1232" s="1" t="n">
        <v>44391</v>
      </c>
      <c r="C1232" s="1" t="n">
        <v>45992</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45992</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50976-2025</t>
        </is>
      </c>
      <c r="B1234" s="1" t="n">
        <v>45947.3178587963</v>
      </c>
      <c r="C1234" s="1" t="n">
        <v>45992</v>
      </c>
      <c r="D1234" t="inlineStr">
        <is>
          <t>GÄVLEBORGS LÄN</t>
        </is>
      </c>
      <c r="E1234" t="inlineStr">
        <is>
          <t>LJUSDAL</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45992</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50684-2025</t>
        </is>
      </c>
      <c r="B1236" s="1" t="n">
        <v>45945.82202546296</v>
      </c>
      <c r="C1236" s="1" t="n">
        <v>45992</v>
      </c>
      <c r="D1236" t="inlineStr">
        <is>
          <t>GÄVLEBORGS LÄN</t>
        </is>
      </c>
      <c r="E1236" t="inlineStr">
        <is>
          <t>LJUSDAL</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57649-2023</t>
        </is>
      </c>
      <c r="B1237" s="1" t="n">
        <v>45246.59743055556</v>
      </c>
      <c r="C1237" s="1" t="n">
        <v>45992</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25630-2022</t>
        </is>
      </c>
      <c r="B1238" s="1" t="n">
        <v>44732.92739583334</v>
      </c>
      <c r="C1238" s="1" t="n">
        <v>45992</v>
      </c>
      <c r="D1238" t="inlineStr">
        <is>
          <t>GÄVLEBORGS LÄN</t>
        </is>
      </c>
      <c r="E1238" t="inlineStr">
        <is>
          <t>LJUSDAL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58053-2024</t>
        </is>
      </c>
      <c r="B1239" s="1" t="n">
        <v>45631.84011574074</v>
      </c>
      <c r="C1239" s="1" t="n">
        <v>45992</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65865-2020</t>
        </is>
      </c>
      <c r="B1240" s="1" t="n">
        <v>44174.73086805556</v>
      </c>
      <c r="C1240" s="1" t="n">
        <v>45992</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27497-2023</t>
        </is>
      </c>
      <c r="B1241" s="1" t="n">
        <v>45097</v>
      </c>
      <c r="C1241" s="1" t="n">
        <v>45992</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50972-2025</t>
        </is>
      </c>
      <c r="B1242" s="1" t="n">
        <v>45947.31030092593</v>
      </c>
      <c r="C1242" s="1" t="n">
        <v>45992</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59426-2025</t>
        </is>
      </c>
      <c r="B1243" s="1" t="n">
        <v>45989.5396875</v>
      </c>
      <c r="C1243" s="1" t="n">
        <v>45992</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47502-2022</t>
        </is>
      </c>
      <c r="B1244" s="1" t="n">
        <v>44853</v>
      </c>
      <c r="C1244" s="1" t="n">
        <v>45992</v>
      </c>
      <c r="D1244" t="inlineStr">
        <is>
          <t>GÄVLEBORGS LÄN</t>
        </is>
      </c>
      <c r="E1244" t="inlineStr">
        <is>
          <t>LJUSDAL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59353-2025</t>
        </is>
      </c>
      <c r="B1245" s="1" t="n">
        <v>45989</v>
      </c>
      <c r="C1245" s="1" t="n">
        <v>45992</v>
      </c>
      <c r="D1245" t="inlineStr">
        <is>
          <t>GÄVLEBORGS LÄN</t>
        </is>
      </c>
      <c r="E1245" t="inlineStr">
        <is>
          <t>LJUSDAL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18757-2025</t>
        </is>
      </c>
      <c r="B1246" s="1" t="n">
        <v>45763.83667824074</v>
      </c>
      <c r="C1246" s="1" t="n">
        <v>45992</v>
      </c>
      <c r="D1246" t="inlineStr">
        <is>
          <t>GÄVLEBORGS LÄN</t>
        </is>
      </c>
      <c r="E1246" t="inlineStr">
        <is>
          <t>LJUSDAL</t>
        </is>
      </c>
      <c r="F1246" t="inlineStr">
        <is>
          <t>Holmen skog AB</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846-2023</t>
        </is>
      </c>
      <c r="B1247" s="1" t="n">
        <v>44931.56439814815</v>
      </c>
      <c r="C1247" s="1" t="n">
        <v>45992</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21751-2021</t>
        </is>
      </c>
      <c r="B1248" s="1" t="n">
        <v>44322.56486111111</v>
      </c>
      <c r="C1248" s="1" t="n">
        <v>45992</v>
      </c>
      <c r="D1248" t="inlineStr">
        <is>
          <t>GÄVLEBORGS LÄN</t>
        </is>
      </c>
      <c r="E1248" t="inlineStr">
        <is>
          <t>LJUSDAL</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52174-2023</t>
        </is>
      </c>
      <c r="B1249" s="1" t="n">
        <v>45224.35961805555</v>
      </c>
      <c r="C1249" s="1" t="n">
        <v>45992</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24911-2024</t>
        </is>
      </c>
      <c r="B1250" s="1" t="n">
        <v>45461.60027777778</v>
      </c>
      <c r="C1250" s="1" t="n">
        <v>45992</v>
      </c>
      <c r="D1250" t="inlineStr">
        <is>
          <t>GÄVLEBORGS LÄN</t>
        </is>
      </c>
      <c r="E1250" t="inlineStr">
        <is>
          <t>LJUSDAL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9926-2023</t>
        </is>
      </c>
      <c r="B1251" s="1" t="n">
        <v>44985</v>
      </c>
      <c r="C1251" s="1" t="n">
        <v>45992</v>
      </c>
      <c r="D1251" t="inlineStr">
        <is>
          <t>GÄVLEBORGS LÄN</t>
        </is>
      </c>
      <c r="E1251" t="inlineStr">
        <is>
          <t>LJUSDAL</t>
        </is>
      </c>
      <c r="F1251" t="inlineStr">
        <is>
          <t>Bergvik skog väst AB</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9946-2023</t>
        </is>
      </c>
      <c r="B1252" s="1" t="n">
        <v>44985</v>
      </c>
      <c r="C1252" s="1" t="n">
        <v>45992</v>
      </c>
      <c r="D1252" t="inlineStr">
        <is>
          <t>GÄVLEBORGS LÄN</t>
        </is>
      </c>
      <c r="E1252" t="inlineStr">
        <is>
          <t>LJUSDAL</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26106-2024</t>
        </is>
      </c>
      <c r="B1253" s="1" t="n">
        <v>45468.4416550926</v>
      </c>
      <c r="C1253" s="1" t="n">
        <v>45992</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34986-2024</t>
        </is>
      </c>
      <c r="B1254" s="1" t="n">
        <v>45527</v>
      </c>
      <c r="C1254" s="1" t="n">
        <v>45992</v>
      </c>
      <c r="D1254" t="inlineStr">
        <is>
          <t>GÄVLEBORGS LÄN</t>
        </is>
      </c>
      <c r="E1254" t="inlineStr">
        <is>
          <t>LJUSDAL</t>
        </is>
      </c>
      <c r="F1254" t="inlineStr">
        <is>
          <t>Sveaskog</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34989-2024</t>
        </is>
      </c>
      <c r="B1255" s="1" t="n">
        <v>45527.55215277777</v>
      </c>
      <c r="C1255" s="1" t="n">
        <v>45992</v>
      </c>
      <c r="D1255" t="inlineStr">
        <is>
          <t>GÄVLEBORGS LÄN</t>
        </is>
      </c>
      <c r="E1255" t="inlineStr">
        <is>
          <t>LJUSDAL</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52783-2024</t>
        </is>
      </c>
      <c r="B1256" s="1" t="n">
        <v>45610.55241898148</v>
      </c>
      <c r="C1256" s="1" t="n">
        <v>45992</v>
      </c>
      <c r="D1256" t="inlineStr">
        <is>
          <t>GÄVLEBORGS LÄN</t>
        </is>
      </c>
      <c r="E1256" t="inlineStr">
        <is>
          <t>LJUSDAL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51922-2022</t>
        </is>
      </c>
      <c r="B1257" s="1" t="n">
        <v>44872</v>
      </c>
      <c r="C1257" s="1" t="n">
        <v>45992</v>
      </c>
      <c r="D1257" t="inlineStr">
        <is>
          <t>GÄVLEBORGS LÄN</t>
        </is>
      </c>
      <c r="E1257" t="inlineStr">
        <is>
          <t>LJUSDAL</t>
        </is>
      </c>
      <c r="F1257" t="inlineStr">
        <is>
          <t>Kommuner</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19574-2025</t>
        </is>
      </c>
      <c r="B1258" s="1" t="n">
        <v>45770.5528587963</v>
      </c>
      <c r="C1258" s="1" t="n">
        <v>45992</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34447-2022</t>
        </is>
      </c>
      <c r="B1259" s="1" t="n">
        <v>44792</v>
      </c>
      <c r="C1259" s="1" t="n">
        <v>45992</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11923-2023</t>
        </is>
      </c>
      <c r="B1260" s="1" t="n">
        <v>44995.47401620371</v>
      </c>
      <c r="C1260" s="1" t="n">
        <v>45992</v>
      </c>
      <c r="D1260" t="inlineStr">
        <is>
          <t>GÄVLEBORGS LÄN</t>
        </is>
      </c>
      <c r="E1260" t="inlineStr">
        <is>
          <t>LJUSDAL</t>
        </is>
      </c>
      <c r="F1260" t="inlineStr">
        <is>
          <t>Holmen skog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20109-2025</t>
        </is>
      </c>
      <c r="B1261" s="1" t="n">
        <v>45772.47123842593</v>
      </c>
      <c r="C1261" s="1" t="n">
        <v>45992</v>
      </c>
      <c r="D1261" t="inlineStr">
        <is>
          <t>GÄVLEBORGS LÄN</t>
        </is>
      </c>
      <c r="E1261" t="inlineStr">
        <is>
          <t>LJUSDAL</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36658-2024</t>
        </is>
      </c>
      <c r="B1262" s="1" t="n">
        <v>45537.62311342593</v>
      </c>
      <c r="C1262" s="1" t="n">
        <v>45992</v>
      </c>
      <c r="D1262" t="inlineStr">
        <is>
          <t>GÄVLEBORGS LÄN</t>
        </is>
      </c>
      <c r="E1262" t="inlineStr">
        <is>
          <t>LJUSDAL</t>
        </is>
      </c>
      <c r="F1262" t="inlineStr">
        <is>
          <t>Holmen skog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18453-2025</t>
        </is>
      </c>
      <c r="B1263" s="1" t="n">
        <v>45762.66689814815</v>
      </c>
      <c r="C1263" s="1" t="n">
        <v>45992</v>
      </c>
      <c r="D1263" t="inlineStr">
        <is>
          <t>GÄVLEBORGS LÄN</t>
        </is>
      </c>
      <c r="E1263" t="inlineStr">
        <is>
          <t>LJUSDAL</t>
        </is>
      </c>
      <c r="F1263" t="inlineStr">
        <is>
          <t>Kommuner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42979-2023</t>
        </is>
      </c>
      <c r="B1264" s="1" t="n">
        <v>45182.60753472222</v>
      </c>
      <c r="C1264" s="1" t="n">
        <v>45992</v>
      </c>
      <c r="D1264" t="inlineStr">
        <is>
          <t>GÄVLEBORGS LÄN</t>
        </is>
      </c>
      <c r="E1264" t="inlineStr">
        <is>
          <t>LJUSDAL</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14010-2022</t>
        </is>
      </c>
      <c r="B1265" s="1" t="n">
        <v>44650</v>
      </c>
      <c r="C1265" s="1" t="n">
        <v>45992</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20787-2024</t>
        </is>
      </c>
      <c r="B1266" s="1" t="n">
        <v>45438.31403935186</v>
      </c>
      <c r="C1266" s="1" t="n">
        <v>45992</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22013-2021</t>
        </is>
      </c>
      <c r="B1267" s="1" t="n">
        <v>44323.46296296296</v>
      </c>
      <c r="C1267" s="1" t="n">
        <v>45992</v>
      </c>
      <c r="D1267" t="inlineStr">
        <is>
          <t>GÄVLEBORGS LÄN</t>
        </is>
      </c>
      <c r="E1267" t="inlineStr">
        <is>
          <t>LJUSDAL</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56008-2024</t>
        </is>
      </c>
      <c r="B1268" s="1" t="n">
        <v>45623.8034837963</v>
      </c>
      <c r="C1268" s="1" t="n">
        <v>45992</v>
      </c>
      <c r="D1268" t="inlineStr">
        <is>
          <t>GÄVLEBORGS LÄN</t>
        </is>
      </c>
      <c r="E1268" t="inlineStr">
        <is>
          <t>LJUSDAL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62095-2023</t>
        </is>
      </c>
      <c r="B1269" s="1" t="n">
        <v>45266</v>
      </c>
      <c r="C1269" s="1" t="n">
        <v>45992</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47924-2021</t>
        </is>
      </c>
      <c r="B1270" s="1" t="n">
        <v>44448</v>
      </c>
      <c r="C1270" s="1" t="n">
        <v>45992</v>
      </c>
      <c r="D1270" t="inlineStr">
        <is>
          <t>GÄVLEBORGS LÄN</t>
        </is>
      </c>
      <c r="E1270" t="inlineStr">
        <is>
          <t>LJUSDAL</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25204-2024</t>
        </is>
      </c>
      <c r="B1271" s="1" t="n">
        <v>45462.57364583333</v>
      </c>
      <c r="C1271" s="1" t="n">
        <v>45992</v>
      </c>
      <c r="D1271" t="inlineStr">
        <is>
          <t>GÄVLEBORGS LÄN</t>
        </is>
      </c>
      <c r="E1271" t="inlineStr">
        <is>
          <t>LJUSDAL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6498-2025</t>
        </is>
      </c>
      <c r="B1272" s="1" t="n">
        <v>45699.63789351852</v>
      </c>
      <c r="C1272" s="1" t="n">
        <v>45992</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67923-2021</t>
        </is>
      </c>
      <c r="B1273" s="1" t="n">
        <v>44525.61118055556</v>
      </c>
      <c r="C1273" s="1" t="n">
        <v>45992</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57977-2022</t>
        </is>
      </c>
      <c r="B1274" s="1" t="n">
        <v>44900.45950231481</v>
      </c>
      <c r="C1274" s="1" t="n">
        <v>45992</v>
      </c>
      <c r="D1274" t="inlineStr">
        <is>
          <t>GÄVLEBORGS LÄN</t>
        </is>
      </c>
      <c r="E1274" t="inlineStr">
        <is>
          <t>LJUSDAL</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55446-2021</t>
        </is>
      </c>
      <c r="B1275" s="1" t="n">
        <v>44475.57178240741</v>
      </c>
      <c r="C1275" s="1" t="n">
        <v>45992</v>
      </c>
      <c r="D1275" t="inlineStr">
        <is>
          <t>GÄVLEBORGS LÄN</t>
        </is>
      </c>
      <c r="E1275" t="inlineStr">
        <is>
          <t>LJUSDAL</t>
        </is>
      </c>
      <c r="F1275" t="inlineStr">
        <is>
          <t>Holmen skog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57905-2022</t>
        </is>
      </c>
      <c r="B1276" s="1" t="n">
        <v>44900</v>
      </c>
      <c r="C1276" s="1" t="n">
        <v>45992</v>
      </c>
      <c r="D1276" t="inlineStr">
        <is>
          <t>GÄVLEBORGS LÄN</t>
        </is>
      </c>
      <c r="E1276" t="inlineStr">
        <is>
          <t>LJUSDAL</t>
        </is>
      </c>
      <c r="F1276" t="inlineStr">
        <is>
          <t>Allmännings- och besparingsskogar</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12004-2023</t>
        </is>
      </c>
      <c r="B1277" s="1" t="n">
        <v>44995.61207175926</v>
      </c>
      <c r="C1277" s="1" t="n">
        <v>45992</v>
      </c>
      <c r="D1277" t="inlineStr">
        <is>
          <t>GÄVLEBORGS LÄN</t>
        </is>
      </c>
      <c r="E1277" t="inlineStr">
        <is>
          <t>LJUSDAL</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35154-2023</t>
        </is>
      </c>
      <c r="B1278" s="1" t="n">
        <v>45145</v>
      </c>
      <c r="C1278" s="1" t="n">
        <v>45992</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13667-2023</t>
        </is>
      </c>
      <c r="B1279" s="1" t="n">
        <v>45006</v>
      </c>
      <c r="C1279" s="1" t="n">
        <v>45992</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43121-2023</t>
        </is>
      </c>
      <c r="B1280" s="1" t="n">
        <v>45182.94826388889</v>
      </c>
      <c r="C1280" s="1" t="n">
        <v>45992</v>
      </c>
      <c r="D1280" t="inlineStr">
        <is>
          <t>GÄVLEBORGS LÄN</t>
        </is>
      </c>
      <c r="E1280" t="inlineStr">
        <is>
          <t>LJUSDAL</t>
        </is>
      </c>
      <c r="F1280" t="inlineStr">
        <is>
          <t>SCA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188-2024</t>
        </is>
      </c>
      <c r="B1281" s="1" t="n">
        <v>45294.61709490741</v>
      </c>
      <c r="C1281" s="1" t="n">
        <v>45992</v>
      </c>
      <c r="D1281" t="inlineStr">
        <is>
          <t>GÄVLEBORGS LÄN</t>
        </is>
      </c>
      <c r="E1281" t="inlineStr">
        <is>
          <t>LJUSDAL</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264-2024</t>
        </is>
      </c>
      <c r="B1282" s="1" t="n">
        <v>45295</v>
      </c>
      <c r="C1282" s="1" t="n">
        <v>45992</v>
      </c>
      <c r="D1282" t="inlineStr">
        <is>
          <t>GÄVLEBORGS LÄN</t>
        </is>
      </c>
      <c r="E1282" t="inlineStr">
        <is>
          <t>LJUSDAL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12391-2021</t>
        </is>
      </c>
      <c r="B1283" s="1" t="n">
        <v>44267.54184027778</v>
      </c>
      <c r="C1283" s="1" t="n">
        <v>45992</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63528-2021</t>
        </is>
      </c>
      <c r="B1284" s="1" t="n">
        <v>44508.65456018518</v>
      </c>
      <c r="C1284" s="1" t="n">
        <v>45992</v>
      </c>
      <c r="D1284" t="inlineStr">
        <is>
          <t>GÄVLEBORGS LÄN</t>
        </is>
      </c>
      <c r="E1284" t="inlineStr">
        <is>
          <t>LJUSDAL</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61416-2024</t>
        </is>
      </c>
      <c r="B1285" s="1" t="n">
        <v>45646.44552083333</v>
      </c>
      <c r="C1285" s="1" t="n">
        <v>45992</v>
      </c>
      <c r="D1285" t="inlineStr">
        <is>
          <t>GÄVLEBORGS LÄN</t>
        </is>
      </c>
      <c r="E1285" t="inlineStr">
        <is>
          <t>LJUSDAL</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20043-2024</t>
        </is>
      </c>
      <c r="B1286" s="1" t="n">
        <v>45434</v>
      </c>
      <c r="C1286" s="1" t="n">
        <v>45992</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22758-2021</t>
        </is>
      </c>
      <c r="B1287" s="1" t="n">
        <v>44327.8400462963</v>
      </c>
      <c r="C1287" s="1" t="n">
        <v>45992</v>
      </c>
      <c r="D1287" t="inlineStr">
        <is>
          <t>GÄVLEBORGS LÄN</t>
        </is>
      </c>
      <c r="E1287" t="inlineStr">
        <is>
          <t>LJUSDAL</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147-2024</t>
        </is>
      </c>
      <c r="B1288" s="1" t="n">
        <v>45294.46956018519</v>
      </c>
      <c r="C1288" s="1" t="n">
        <v>45992</v>
      </c>
      <c r="D1288" t="inlineStr">
        <is>
          <t>GÄVLEBORGS LÄN</t>
        </is>
      </c>
      <c r="E1288" t="inlineStr">
        <is>
          <t>LJUSDAL</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7729-2024</t>
        </is>
      </c>
      <c r="B1289" s="1" t="n">
        <v>45349</v>
      </c>
      <c r="C1289" s="1" t="n">
        <v>45992</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36233-2022</t>
        </is>
      </c>
      <c r="B1290" s="1" t="n">
        <v>44803.56774305556</v>
      </c>
      <c r="C1290" s="1" t="n">
        <v>45992</v>
      </c>
      <c r="D1290" t="inlineStr">
        <is>
          <t>GÄVLEBORGS LÄN</t>
        </is>
      </c>
      <c r="E1290" t="inlineStr">
        <is>
          <t>LJUSDAL</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55681-2023</t>
        </is>
      </c>
      <c r="B1291" s="1" t="n">
        <v>45239.34327546296</v>
      </c>
      <c r="C1291" s="1" t="n">
        <v>45992</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7606-2022</t>
        </is>
      </c>
      <c r="B1292" s="1" t="n">
        <v>44607.65809027778</v>
      </c>
      <c r="C1292" s="1" t="n">
        <v>45992</v>
      </c>
      <c r="D1292" t="inlineStr">
        <is>
          <t>GÄVLEBORGS LÄN</t>
        </is>
      </c>
      <c r="E1292" t="inlineStr">
        <is>
          <t>LJUSDAL</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12555-2023</t>
        </is>
      </c>
      <c r="B1293" s="1" t="n">
        <v>45000.354375</v>
      </c>
      <c r="C1293" s="1" t="n">
        <v>45992</v>
      </c>
      <c r="D1293" t="inlineStr">
        <is>
          <t>GÄVLEBORGS LÄN</t>
        </is>
      </c>
      <c r="E1293" t="inlineStr">
        <is>
          <t>LJUSDAL</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5029-2021</t>
        </is>
      </c>
      <c r="B1294" s="1" t="n">
        <v>44228</v>
      </c>
      <c r="C1294" s="1" t="n">
        <v>45992</v>
      </c>
      <c r="D1294" t="inlineStr">
        <is>
          <t>GÄVLEBORGS LÄN</t>
        </is>
      </c>
      <c r="E1294" t="inlineStr">
        <is>
          <t>LJUSDAL</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4686-2023</t>
        </is>
      </c>
      <c r="B1295" s="1" t="n">
        <v>44957.46049768518</v>
      </c>
      <c r="C1295" s="1" t="n">
        <v>45992</v>
      </c>
      <c r="D1295" t="inlineStr">
        <is>
          <t>GÄVLEBORGS LÄN</t>
        </is>
      </c>
      <c r="E1295" t="inlineStr">
        <is>
          <t>LJUSDAL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39597-2024</t>
        </is>
      </c>
      <c r="B1296" s="1" t="n">
        <v>45552.37586805555</v>
      </c>
      <c r="C1296" s="1" t="n">
        <v>45992</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18971-2025</t>
        </is>
      </c>
      <c r="B1297" s="1" t="n">
        <v>45764.53803240741</v>
      </c>
      <c r="C1297" s="1" t="n">
        <v>45992</v>
      </c>
      <c r="D1297" t="inlineStr">
        <is>
          <t>GÄVLEBORGS LÄN</t>
        </is>
      </c>
      <c r="E1297" t="inlineStr">
        <is>
          <t>LJUSDAL</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9540-2021</t>
        </is>
      </c>
      <c r="B1298" s="1" t="n">
        <v>44251</v>
      </c>
      <c r="C1298" s="1" t="n">
        <v>45992</v>
      </c>
      <c r="D1298" t="inlineStr">
        <is>
          <t>GÄVLEBORGS LÄN</t>
        </is>
      </c>
      <c r="E1298" t="inlineStr">
        <is>
          <t>LJUSDAL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47403-2024</t>
        </is>
      </c>
      <c r="B1299" s="1" t="n">
        <v>45587.47396990741</v>
      </c>
      <c r="C1299" s="1" t="n">
        <v>45992</v>
      </c>
      <c r="D1299" t="inlineStr">
        <is>
          <t>GÄVLEBORGS LÄN</t>
        </is>
      </c>
      <c r="E1299" t="inlineStr">
        <is>
          <t>LJUSDAL</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19718-2025</t>
        </is>
      </c>
      <c r="B1300" s="1" t="n">
        <v>45771.35664351852</v>
      </c>
      <c r="C1300" s="1" t="n">
        <v>45992</v>
      </c>
      <c r="D1300" t="inlineStr">
        <is>
          <t>GÄVLEBORGS LÄN</t>
        </is>
      </c>
      <c r="E1300" t="inlineStr">
        <is>
          <t>LJUSDAL</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21125-2023</t>
        </is>
      </c>
      <c r="B1301" s="1" t="n">
        <v>45062.29048611111</v>
      </c>
      <c r="C1301" s="1" t="n">
        <v>45992</v>
      </c>
      <c r="D1301" t="inlineStr">
        <is>
          <t>GÄVLEBORGS LÄN</t>
        </is>
      </c>
      <c r="E1301" t="inlineStr">
        <is>
          <t>LJUSDAL</t>
        </is>
      </c>
      <c r="F1301" t="inlineStr">
        <is>
          <t>Holmen skog AB</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2937-2025</t>
        </is>
      </c>
      <c r="B1302" s="1" t="n">
        <v>45678.38020833334</v>
      </c>
      <c r="C1302" s="1" t="n">
        <v>45992</v>
      </c>
      <c r="D1302" t="inlineStr">
        <is>
          <t>GÄVLEBORGS LÄN</t>
        </is>
      </c>
      <c r="E1302" t="inlineStr">
        <is>
          <t>LJUSDAL</t>
        </is>
      </c>
      <c r="F1302" t="inlineStr">
        <is>
          <t>Holmen skog AB</t>
        </is>
      </c>
      <c r="G1302" t="n">
        <v>20.2</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45992</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19066-2025</t>
        </is>
      </c>
      <c r="B1304" s="1" t="n">
        <v>45765.42739583334</v>
      </c>
      <c r="C1304" s="1" t="n">
        <v>45992</v>
      </c>
      <c r="D1304" t="inlineStr">
        <is>
          <t>GÄVLEBORGS LÄN</t>
        </is>
      </c>
      <c r="E1304" t="inlineStr">
        <is>
          <t>LJUSDAL</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19973-2021</t>
        </is>
      </c>
      <c r="B1305" s="1" t="n">
        <v>44313</v>
      </c>
      <c r="C1305" s="1" t="n">
        <v>45992</v>
      </c>
      <c r="D1305" t="inlineStr">
        <is>
          <t>GÄVLEBORGS LÄN</t>
        </is>
      </c>
      <c r="E1305" t="inlineStr">
        <is>
          <t>LJUSDAL</t>
        </is>
      </c>
      <c r="F1305" t="inlineStr">
        <is>
          <t>Sveaskog</t>
        </is>
      </c>
      <c r="G1305" t="n">
        <v>38.9</v>
      </c>
      <c r="H1305" t="n">
        <v>0</v>
      </c>
      <c r="I1305" t="n">
        <v>0</v>
      </c>
      <c r="J1305" t="n">
        <v>0</v>
      </c>
      <c r="K1305" t="n">
        <v>0</v>
      </c>
      <c r="L1305" t="n">
        <v>0</v>
      </c>
      <c r="M1305" t="n">
        <v>0</v>
      </c>
      <c r="N1305" t="n">
        <v>0</v>
      </c>
      <c r="O1305" t="n">
        <v>0</v>
      </c>
      <c r="P1305" t="n">
        <v>0</v>
      </c>
      <c r="Q1305" t="n">
        <v>0</v>
      </c>
      <c r="R1305" s="2" t="inlineStr"/>
    </row>
    <row r="1306" ht="15" customHeight="1">
      <c r="A1306" t="inlineStr">
        <is>
          <t>A 27718-2023</t>
        </is>
      </c>
      <c r="B1306" s="1" t="n">
        <v>45098</v>
      </c>
      <c r="C1306" s="1" t="n">
        <v>45992</v>
      </c>
      <c r="D1306" t="inlineStr">
        <is>
          <t>GÄVLEBORGS LÄN</t>
        </is>
      </c>
      <c r="E1306" t="inlineStr">
        <is>
          <t>LJUSDAL</t>
        </is>
      </c>
      <c r="F1306" t="inlineStr">
        <is>
          <t>Holmen skog AB</t>
        </is>
      </c>
      <c r="G1306" t="n">
        <v>23.3</v>
      </c>
      <c r="H1306" t="n">
        <v>0</v>
      </c>
      <c r="I1306" t="n">
        <v>0</v>
      </c>
      <c r="J1306" t="n">
        <v>0</v>
      </c>
      <c r="K1306" t="n">
        <v>0</v>
      </c>
      <c r="L1306" t="n">
        <v>0</v>
      </c>
      <c r="M1306" t="n">
        <v>0</v>
      </c>
      <c r="N1306" t="n">
        <v>0</v>
      </c>
      <c r="O1306" t="n">
        <v>0</v>
      </c>
      <c r="P1306" t="n">
        <v>0</v>
      </c>
      <c r="Q1306" t="n">
        <v>0</v>
      </c>
      <c r="R1306" s="2" t="inlineStr"/>
    </row>
    <row r="1307" ht="15" customHeight="1">
      <c r="A1307" t="inlineStr">
        <is>
          <t>A 38598-2022</t>
        </is>
      </c>
      <c r="B1307" s="1" t="n">
        <v>44813</v>
      </c>
      <c r="C1307" s="1" t="n">
        <v>45992</v>
      </c>
      <c r="D1307" t="inlineStr">
        <is>
          <t>GÄVLEBORGS LÄN</t>
        </is>
      </c>
      <c r="E1307" t="inlineStr">
        <is>
          <t>LJUSDAL</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7182-2023</t>
        </is>
      </c>
      <c r="B1308" s="1" t="n">
        <v>44970</v>
      </c>
      <c r="C1308" s="1" t="n">
        <v>45992</v>
      </c>
      <c r="D1308" t="inlineStr">
        <is>
          <t>GÄVLEBORGS LÄN</t>
        </is>
      </c>
      <c r="E1308" t="inlineStr">
        <is>
          <t>LJUSDAL</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35826-2023</t>
        </is>
      </c>
      <c r="B1309" s="1" t="n">
        <v>45148.46752314815</v>
      </c>
      <c r="C1309" s="1" t="n">
        <v>45992</v>
      </c>
      <c r="D1309" t="inlineStr">
        <is>
          <t>GÄVLEBORGS LÄN</t>
        </is>
      </c>
      <c r="E1309" t="inlineStr">
        <is>
          <t>LJUSDAL</t>
        </is>
      </c>
      <c r="F1309" t="inlineStr">
        <is>
          <t>Kommuner</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31890-2022</t>
        </is>
      </c>
      <c r="B1310" s="1" t="n">
        <v>44777</v>
      </c>
      <c r="C1310" s="1" t="n">
        <v>45992</v>
      </c>
      <c r="D1310" t="inlineStr">
        <is>
          <t>GÄVLEBORGS LÄN</t>
        </is>
      </c>
      <c r="E1310" t="inlineStr">
        <is>
          <t>LJUSDAL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58322-2024</t>
        </is>
      </c>
      <c r="B1311" s="1" t="n">
        <v>45632.62454861111</v>
      </c>
      <c r="C1311" s="1" t="n">
        <v>45992</v>
      </c>
      <c r="D1311" t="inlineStr">
        <is>
          <t>GÄVLEBORGS LÄN</t>
        </is>
      </c>
      <c r="E1311" t="inlineStr">
        <is>
          <t>LJUSDAL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29290-2021</t>
        </is>
      </c>
      <c r="B1312" s="1" t="n">
        <v>44361.38045138889</v>
      </c>
      <c r="C1312" s="1" t="n">
        <v>45992</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35997-2023</t>
        </is>
      </c>
      <c r="B1313" s="1" t="n">
        <v>45149.33300925926</v>
      </c>
      <c r="C1313" s="1" t="n">
        <v>45992</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57-2024</t>
        </is>
      </c>
      <c r="B1314" s="1" t="n">
        <v>45293.60358796296</v>
      </c>
      <c r="C1314" s="1" t="n">
        <v>45992</v>
      </c>
      <c r="D1314" t="inlineStr">
        <is>
          <t>GÄVLEBORGS LÄN</t>
        </is>
      </c>
      <c r="E1314" t="inlineStr">
        <is>
          <t>LJUSDAL</t>
        </is>
      </c>
      <c r="F1314" t="inlineStr">
        <is>
          <t>Holmen skog AB</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34094-2023</t>
        </is>
      </c>
      <c r="B1315" s="1" t="n">
        <v>45135.5841087963</v>
      </c>
      <c r="C1315" s="1" t="n">
        <v>45992</v>
      </c>
      <c r="D1315" t="inlineStr">
        <is>
          <t>GÄVLEBORGS LÄN</t>
        </is>
      </c>
      <c r="E1315" t="inlineStr">
        <is>
          <t>LJUSDAL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57189-2024</t>
        </is>
      </c>
      <c r="B1316" s="1" t="n">
        <v>45629</v>
      </c>
      <c r="C1316" s="1" t="n">
        <v>45992</v>
      </c>
      <c r="D1316" t="inlineStr">
        <is>
          <t>GÄVLEBORGS LÄN</t>
        </is>
      </c>
      <c r="E1316" t="inlineStr">
        <is>
          <t>LJUSDAL</t>
        </is>
      </c>
      <c r="F1316" t="inlineStr">
        <is>
          <t>Holmen skog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13116-2023</t>
        </is>
      </c>
      <c r="B1317" s="1" t="n">
        <v>45002.47825231482</v>
      </c>
      <c r="C1317" s="1" t="n">
        <v>45992</v>
      </c>
      <c r="D1317" t="inlineStr">
        <is>
          <t>GÄVLEBORGS LÄN</t>
        </is>
      </c>
      <c r="E1317" t="inlineStr">
        <is>
          <t>LJUSDAL</t>
        </is>
      </c>
      <c r="F1317" t="inlineStr">
        <is>
          <t>Allmännings- och besparingsskogar</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14263-2024</t>
        </is>
      </c>
      <c r="B1318" s="1" t="n">
        <v>45393.55355324074</v>
      </c>
      <c r="C1318" s="1" t="n">
        <v>45992</v>
      </c>
      <c r="D1318" t="inlineStr">
        <is>
          <t>GÄVLEBORGS LÄN</t>
        </is>
      </c>
      <c r="E1318" t="inlineStr">
        <is>
          <t>LJUSDAL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48587-2021</t>
        </is>
      </c>
      <c r="B1319" s="1" t="n">
        <v>44452.47790509259</v>
      </c>
      <c r="C1319" s="1" t="n">
        <v>45992</v>
      </c>
      <c r="D1319" t="inlineStr">
        <is>
          <t>GÄVLEBORGS LÄN</t>
        </is>
      </c>
      <c r="E1319" t="inlineStr">
        <is>
          <t>LJUSDAL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22248-2024</t>
        </is>
      </c>
      <c r="B1320" s="1" t="n">
        <v>45446.45638888889</v>
      </c>
      <c r="C1320" s="1" t="n">
        <v>45992</v>
      </c>
      <c r="D1320" t="inlineStr">
        <is>
          <t>GÄVLEBORGS LÄN</t>
        </is>
      </c>
      <c r="E1320" t="inlineStr">
        <is>
          <t>LJUSDAL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32924-2023</t>
        </is>
      </c>
      <c r="B1321" s="1" t="n">
        <v>45125.36489583334</v>
      </c>
      <c r="C1321" s="1" t="n">
        <v>45992</v>
      </c>
      <c r="D1321" t="inlineStr">
        <is>
          <t>GÄVLEBORGS LÄN</t>
        </is>
      </c>
      <c r="E1321" t="inlineStr">
        <is>
          <t>LJUSDAL</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32943-2023</t>
        </is>
      </c>
      <c r="B1322" s="1" t="n">
        <v>45125</v>
      </c>
      <c r="C1322" s="1" t="n">
        <v>45992</v>
      </c>
      <c r="D1322" t="inlineStr">
        <is>
          <t>GÄVLEBORGS LÄN</t>
        </is>
      </c>
      <c r="E1322" t="inlineStr">
        <is>
          <t>LJUSDAL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43016-2022</t>
        </is>
      </c>
      <c r="B1323" s="1" t="n">
        <v>44833</v>
      </c>
      <c r="C1323" s="1" t="n">
        <v>45992</v>
      </c>
      <c r="D1323" t="inlineStr">
        <is>
          <t>GÄVLEBORGS LÄN</t>
        </is>
      </c>
      <c r="E1323" t="inlineStr">
        <is>
          <t>LJUSDAL</t>
        </is>
      </c>
      <c r="F1323" t="inlineStr">
        <is>
          <t>Naturvårdsverket</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23191-2022</t>
        </is>
      </c>
      <c r="B1324" s="1" t="n">
        <v>44719.92519675926</v>
      </c>
      <c r="C1324" s="1" t="n">
        <v>45992</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23192-2022</t>
        </is>
      </c>
      <c r="B1325" s="1" t="n">
        <v>44719.92523148148</v>
      </c>
      <c r="C1325" s="1" t="n">
        <v>45992</v>
      </c>
      <c r="D1325" t="inlineStr">
        <is>
          <t>GÄVLEBORGS LÄN</t>
        </is>
      </c>
      <c r="E1325" t="inlineStr">
        <is>
          <t>LJUSDAL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3434-2024</t>
        </is>
      </c>
      <c r="B1326" s="1" t="n">
        <v>45320.35980324074</v>
      </c>
      <c r="C1326" s="1" t="n">
        <v>45992</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20477-2025</t>
        </is>
      </c>
      <c r="B1327" s="1" t="n">
        <v>45775.55076388889</v>
      </c>
      <c r="C1327" s="1" t="n">
        <v>45992</v>
      </c>
      <c r="D1327" t="inlineStr">
        <is>
          <t>GÄVLEBORGS LÄN</t>
        </is>
      </c>
      <c r="E1327" t="inlineStr">
        <is>
          <t>LJUSDAL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62420-2022</t>
        </is>
      </c>
      <c r="B1328" s="1" t="n">
        <v>44924</v>
      </c>
      <c r="C1328" s="1" t="n">
        <v>45992</v>
      </c>
      <c r="D1328" t="inlineStr">
        <is>
          <t>GÄVLEBORGS LÄN</t>
        </is>
      </c>
      <c r="E1328" t="inlineStr">
        <is>
          <t>LJUSDAL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58626-2023</t>
        </is>
      </c>
      <c r="B1329" s="1" t="n">
        <v>45251.55770833333</v>
      </c>
      <c r="C1329" s="1" t="n">
        <v>45992</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52339-2024</t>
        </is>
      </c>
      <c r="B1330" s="1" t="n">
        <v>45609.33740740741</v>
      </c>
      <c r="C1330" s="1" t="n">
        <v>45992</v>
      </c>
      <c r="D1330" t="inlineStr">
        <is>
          <t>GÄVLEBORGS LÄN</t>
        </is>
      </c>
      <c r="E1330" t="inlineStr">
        <is>
          <t>LJUSDAL</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45992</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44633-2024</t>
        </is>
      </c>
      <c r="B1332" s="1" t="n">
        <v>45574</v>
      </c>
      <c r="C1332" s="1" t="n">
        <v>45992</v>
      </c>
      <c r="D1332" t="inlineStr">
        <is>
          <t>GÄVLEBORGS LÄN</t>
        </is>
      </c>
      <c r="E1332" t="inlineStr">
        <is>
          <t>LJUSDAL</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64601-2021</t>
        </is>
      </c>
      <c r="B1333" s="1" t="n">
        <v>44511</v>
      </c>
      <c r="C1333" s="1" t="n">
        <v>45992</v>
      </c>
      <c r="D1333" t="inlineStr">
        <is>
          <t>GÄVLEBORGS LÄN</t>
        </is>
      </c>
      <c r="E1333" t="inlineStr">
        <is>
          <t>LJUSDAL</t>
        </is>
      </c>
      <c r="F1333" t="inlineStr">
        <is>
          <t>Kommuner</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6308-2022</t>
        </is>
      </c>
      <c r="B1334" s="1" t="n">
        <v>44600.53630787037</v>
      </c>
      <c r="C1334" s="1" t="n">
        <v>45992</v>
      </c>
      <c r="D1334" t="inlineStr">
        <is>
          <t>GÄVLEBORGS LÄN</t>
        </is>
      </c>
      <c r="E1334" t="inlineStr">
        <is>
          <t>LJUSDAL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48188-2023</t>
        </is>
      </c>
      <c r="B1335" s="1" t="n">
        <v>45205.45511574074</v>
      </c>
      <c r="C1335" s="1" t="n">
        <v>45992</v>
      </c>
      <c r="D1335" t="inlineStr">
        <is>
          <t>GÄVLEBORGS LÄN</t>
        </is>
      </c>
      <c r="E1335" t="inlineStr">
        <is>
          <t>LJUSDAL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55962-2022</t>
        </is>
      </c>
      <c r="B1336" s="1" t="n">
        <v>44889</v>
      </c>
      <c r="C1336" s="1" t="n">
        <v>45992</v>
      </c>
      <c r="D1336" t="inlineStr">
        <is>
          <t>GÄVLEBORGS LÄN</t>
        </is>
      </c>
      <c r="E1336" t="inlineStr">
        <is>
          <t>LJUSDAL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23985-2022</t>
        </is>
      </c>
      <c r="B1337" s="1" t="n">
        <v>44722.9260300926</v>
      </c>
      <c r="C1337" s="1" t="n">
        <v>45992</v>
      </c>
      <c r="D1337" t="inlineStr">
        <is>
          <t>GÄVLEBORGS LÄN</t>
        </is>
      </c>
      <c r="E1337" t="inlineStr">
        <is>
          <t>LJUSDAL</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13894-2025</t>
        </is>
      </c>
      <c r="B1338" s="1" t="n">
        <v>45737.62081018519</v>
      </c>
      <c r="C1338" s="1" t="n">
        <v>45992</v>
      </c>
      <c r="D1338" t="inlineStr">
        <is>
          <t>GÄVLEBORGS LÄN</t>
        </is>
      </c>
      <c r="E1338" t="inlineStr">
        <is>
          <t>LJUSDAL</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20653-2024</t>
        </is>
      </c>
      <c r="B1339" s="1" t="n">
        <v>45436.53184027778</v>
      </c>
      <c r="C1339" s="1" t="n">
        <v>45992</v>
      </c>
      <c r="D1339" t="inlineStr">
        <is>
          <t>GÄVLEBORGS LÄN</t>
        </is>
      </c>
      <c r="E1339" t="inlineStr">
        <is>
          <t>LJUSDAL</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21709-2024</t>
        </is>
      </c>
      <c r="B1340" s="1" t="n">
        <v>45442.47200231482</v>
      </c>
      <c r="C1340" s="1" t="n">
        <v>45992</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56158-2024</t>
        </is>
      </c>
      <c r="B1341" s="1" t="n">
        <v>45624.53408564815</v>
      </c>
      <c r="C1341" s="1" t="n">
        <v>45992</v>
      </c>
      <c r="D1341" t="inlineStr">
        <is>
          <t>GÄVLEBORGS LÄN</t>
        </is>
      </c>
      <c r="E1341" t="inlineStr">
        <is>
          <t>LJUSDAL</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14479-2023</t>
        </is>
      </c>
      <c r="B1342" s="1" t="n">
        <v>45012</v>
      </c>
      <c r="C1342" s="1" t="n">
        <v>45992</v>
      </c>
      <c r="D1342" t="inlineStr">
        <is>
          <t>GÄVLEBORGS LÄN</t>
        </is>
      </c>
      <c r="E1342" t="inlineStr">
        <is>
          <t>LJUSDAL</t>
        </is>
      </c>
      <c r="F1342" t="inlineStr">
        <is>
          <t>Kyrkan</t>
        </is>
      </c>
      <c r="G1342" t="n">
        <v>27.5</v>
      </c>
      <c r="H1342" t="n">
        <v>0</v>
      </c>
      <c r="I1342" t="n">
        <v>0</v>
      </c>
      <c r="J1342" t="n">
        <v>0</v>
      </c>
      <c r="K1342" t="n">
        <v>0</v>
      </c>
      <c r="L1342" t="n">
        <v>0</v>
      </c>
      <c r="M1342" t="n">
        <v>0</v>
      </c>
      <c r="N1342" t="n">
        <v>0</v>
      </c>
      <c r="O1342" t="n">
        <v>0</v>
      </c>
      <c r="P1342" t="n">
        <v>0</v>
      </c>
      <c r="Q1342" t="n">
        <v>0</v>
      </c>
      <c r="R1342" s="2" t="inlineStr"/>
    </row>
    <row r="1343" ht="15" customHeight="1">
      <c r="A1343" t="inlineStr">
        <is>
          <t>A 56082-2024</t>
        </is>
      </c>
      <c r="B1343" s="1" t="n">
        <v>45624.39293981482</v>
      </c>
      <c r="C1343" s="1" t="n">
        <v>45992</v>
      </c>
      <c r="D1343" t="inlineStr">
        <is>
          <t>GÄVLEBORGS LÄN</t>
        </is>
      </c>
      <c r="E1343" t="inlineStr">
        <is>
          <t>LJUSDAL</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32365-2023</t>
        </is>
      </c>
      <c r="B1344" s="1" t="n">
        <v>45120.56810185185</v>
      </c>
      <c r="C1344" s="1" t="n">
        <v>45992</v>
      </c>
      <c r="D1344" t="inlineStr">
        <is>
          <t>GÄVLEBORGS LÄN</t>
        </is>
      </c>
      <c r="E1344" t="inlineStr">
        <is>
          <t>LJUSDAL</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56464-2023</t>
        </is>
      </c>
      <c r="B1345" s="1" t="n">
        <v>45243.4821875</v>
      </c>
      <c r="C1345" s="1" t="n">
        <v>45992</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45992</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21637-2024</t>
        </is>
      </c>
      <c r="B1347" s="1" t="n">
        <v>45442.34444444445</v>
      </c>
      <c r="C1347" s="1" t="n">
        <v>45992</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19797-2024</t>
        </is>
      </c>
      <c r="B1348" s="1" t="n">
        <v>45432.92788194444</v>
      </c>
      <c r="C1348" s="1" t="n">
        <v>45992</v>
      </c>
      <c r="D1348" t="inlineStr">
        <is>
          <t>GÄVLEBORGS LÄN</t>
        </is>
      </c>
      <c r="E1348" t="inlineStr">
        <is>
          <t>LJUSDAL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32287-2023</t>
        </is>
      </c>
      <c r="B1349" s="1" t="n">
        <v>45107</v>
      </c>
      <c r="C1349" s="1" t="n">
        <v>45992</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26181-2023</t>
        </is>
      </c>
      <c r="B1350" s="1" t="n">
        <v>45091.53126157408</v>
      </c>
      <c r="C1350" s="1" t="n">
        <v>45992</v>
      </c>
      <c r="D1350" t="inlineStr">
        <is>
          <t>GÄVLEBORGS LÄN</t>
        </is>
      </c>
      <c r="E1350" t="inlineStr">
        <is>
          <t>LJUSDAL</t>
        </is>
      </c>
      <c r="F1350" t="inlineStr">
        <is>
          <t>Sveaskog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26184-2023</t>
        </is>
      </c>
      <c r="B1351" s="1" t="n">
        <v>45091.53296296296</v>
      </c>
      <c r="C1351" s="1" t="n">
        <v>45992</v>
      </c>
      <c r="D1351" t="inlineStr">
        <is>
          <t>GÄVLEBORGS LÄN</t>
        </is>
      </c>
      <c r="E1351" t="inlineStr">
        <is>
          <t>LJUSDAL</t>
        </is>
      </c>
      <c r="F1351" t="inlineStr">
        <is>
          <t>Sveaskog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33389-2024</t>
        </is>
      </c>
      <c r="B1352" s="1" t="n">
        <v>45519.47418981481</v>
      </c>
      <c r="C1352" s="1" t="n">
        <v>45992</v>
      </c>
      <c r="D1352" t="inlineStr">
        <is>
          <t>GÄVLEBORGS LÄN</t>
        </is>
      </c>
      <c r="E1352" t="inlineStr">
        <is>
          <t>LJUSDAL</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57101-2023</t>
        </is>
      </c>
      <c r="B1353" s="1" t="n">
        <v>45245.34210648148</v>
      </c>
      <c r="C1353" s="1" t="n">
        <v>45992</v>
      </c>
      <c r="D1353" t="inlineStr">
        <is>
          <t>GÄVLEBORGS LÄN</t>
        </is>
      </c>
      <c r="E1353" t="inlineStr">
        <is>
          <t>LJUSDAL</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41293-2023</t>
        </is>
      </c>
      <c r="B1354" s="1" t="n">
        <v>45174.59391203704</v>
      </c>
      <c r="C1354" s="1" t="n">
        <v>45992</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15168-2024</t>
        </is>
      </c>
      <c r="B1355" s="1" t="n">
        <v>45400.34232638889</v>
      </c>
      <c r="C1355" s="1" t="n">
        <v>45992</v>
      </c>
      <c r="D1355" t="inlineStr">
        <is>
          <t>GÄVLEBORGS LÄN</t>
        </is>
      </c>
      <c r="E1355" t="inlineStr">
        <is>
          <t>LJUSDAL</t>
        </is>
      </c>
      <c r="F1355" t="inlineStr">
        <is>
          <t>Holmen skog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40318-2024</t>
        </is>
      </c>
      <c r="B1356" s="1" t="n">
        <v>45554.79619212963</v>
      </c>
      <c r="C1356" s="1" t="n">
        <v>45992</v>
      </c>
      <c r="D1356" t="inlineStr">
        <is>
          <t>GÄVLEBORGS LÄN</t>
        </is>
      </c>
      <c r="E1356" t="inlineStr">
        <is>
          <t>LJUSDAL</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36446-2024</t>
        </is>
      </c>
      <c r="B1357" s="1" t="n">
        <v>45537</v>
      </c>
      <c r="C1357" s="1" t="n">
        <v>45992</v>
      </c>
      <c r="D1357" t="inlineStr">
        <is>
          <t>GÄVLEBORGS LÄN</t>
        </is>
      </c>
      <c r="E1357" t="inlineStr">
        <is>
          <t>LJUSDAL</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5833-2023</t>
        </is>
      </c>
      <c r="B1358" s="1" t="n">
        <v>44963</v>
      </c>
      <c r="C1358" s="1" t="n">
        <v>45992</v>
      </c>
      <c r="D1358" t="inlineStr">
        <is>
          <t>GÄVLEBORGS LÄN</t>
        </is>
      </c>
      <c r="E1358" t="inlineStr">
        <is>
          <t>LJUSDAL</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24158-2021</t>
        </is>
      </c>
      <c r="B1359" s="1" t="n">
        <v>44336</v>
      </c>
      <c r="C1359" s="1" t="n">
        <v>45992</v>
      </c>
      <c r="D1359" t="inlineStr">
        <is>
          <t>GÄVLEBORGS LÄN</t>
        </is>
      </c>
      <c r="E1359" t="inlineStr">
        <is>
          <t>LJUSDAL</t>
        </is>
      </c>
      <c r="G1359" t="n">
        <v>9</v>
      </c>
      <c r="H1359" t="n">
        <v>0</v>
      </c>
      <c r="I1359" t="n">
        <v>0</v>
      </c>
      <c r="J1359" t="n">
        <v>0</v>
      </c>
      <c r="K1359" t="n">
        <v>0</v>
      </c>
      <c r="L1359" t="n">
        <v>0</v>
      </c>
      <c r="M1359" t="n">
        <v>0</v>
      </c>
      <c r="N1359" t="n">
        <v>0</v>
      </c>
      <c r="O1359" t="n">
        <v>0</v>
      </c>
      <c r="P1359" t="n">
        <v>0</v>
      </c>
      <c r="Q1359" t="n">
        <v>0</v>
      </c>
      <c r="R1359" s="2" t="inlineStr"/>
      <c r="U1359">
        <f>HYPERLINK("https://klasma.github.io/Logging_2161/knärot/A 24158-2021 karta knärot.png", "A 24158-2021")</f>
        <v/>
      </c>
      <c r="V1359">
        <f>HYPERLINK("https://klasma.github.io/Logging_2161/klagomål/A 24158-2021 FSC-klagomål.docx", "A 24158-2021")</f>
        <v/>
      </c>
      <c r="W1359">
        <f>HYPERLINK("https://klasma.github.io/Logging_2161/klagomålsmail/A 24158-2021 FSC-klagomål mail.docx", "A 24158-2021")</f>
        <v/>
      </c>
      <c r="X1359">
        <f>HYPERLINK("https://klasma.github.io/Logging_2161/tillsyn/A 24158-2021 tillsynsbegäran.docx", "A 24158-2021")</f>
        <v/>
      </c>
      <c r="Y1359">
        <f>HYPERLINK("https://klasma.github.io/Logging_2161/tillsynsmail/A 24158-2021 tillsynsbegäran mail.docx", "A 24158-2021")</f>
        <v/>
      </c>
    </row>
    <row r="1360" ht="15" customHeight="1">
      <c r="A1360" t="inlineStr">
        <is>
          <t>A 26236-2021</t>
        </is>
      </c>
      <c r="B1360" s="1" t="n">
        <v>44347.45221064815</v>
      </c>
      <c r="C1360" s="1" t="n">
        <v>45992</v>
      </c>
      <c r="D1360" t="inlineStr">
        <is>
          <t>GÄVLEBORGS LÄN</t>
        </is>
      </c>
      <c r="E1360" t="inlineStr">
        <is>
          <t>LJUSDAL</t>
        </is>
      </c>
      <c r="F1360" t="inlineStr">
        <is>
          <t>Bergvik skog väst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34617-2024</t>
        </is>
      </c>
      <c r="B1361" s="1" t="n">
        <v>45526</v>
      </c>
      <c r="C1361" s="1" t="n">
        <v>45992</v>
      </c>
      <c r="D1361" t="inlineStr">
        <is>
          <t>GÄVLEBORGS LÄN</t>
        </is>
      </c>
      <c r="E1361" t="inlineStr">
        <is>
          <t>LJUSDAL</t>
        </is>
      </c>
      <c r="F1361" t="inlineStr">
        <is>
          <t>Sveaskog</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17539-2025</t>
        </is>
      </c>
      <c r="B1362" s="1" t="n">
        <v>45757</v>
      </c>
      <c r="C1362" s="1" t="n">
        <v>45992</v>
      </c>
      <c r="D1362" t="inlineStr">
        <is>
          <t>GÄVLEBORGS LÄN</t>
        </is>
      </c>
      <c r="E1362" t="inlineStr">
        <is>
          <t>LJUSDAL</t>
        </is>
      </c>
      <c r="F1362" t="inlineStr">
        <is>
          <t>Sveaskog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23162-2024</t>
        </is>
      </c>
      <c r="B1363" s="1" t="n">
        <v>45450.73319444444</v>
      </c>
      <c r="C1363" s="1" t="n">
        <v>45992</v>
      </c>
      <c r="D1363" t="inlineStr">
        <is>
          <t>GÄVLEBORGS LÄN</t>
        </is>
      </c>
      <c r="E1363" t="inlineStr">
        <is>
          <t>LJUSDAL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22039-2023</t>
        </is>
      </c>
      <c r="B1364" s="1" t="n">
        <v>45069</v>
      </c>
      <c r="C1364" s="1" t="n">
        <v>45992</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203-2025</t>
        </is>
      </c>
      <c r="B1365" s="1" t="n">
        <v>45660.31256944445</v>
      </c>
      <c r="C1365" s="1" t="n">
        <v>45992</v>
      </c>
      <c r="D1365" t="inlineStr">
        <is>
          <t>GÄVLEBORGS LÄN</t>
        </is>
      </c>
      <c r="E1365" t="inlineStr">
        <is>
          <t>LJUSDAL</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208-2025</t>
        </is>
      </c>
      <c r="B1366" s="1" t="n">
        <v>45660.32690972222</v>
      </c>
      <c r="C1366" s="1" t="n">
        <v>45992</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7569-2023</t>
        </is>
      </c>
      <c r="B1367" s="1" t="n">
        <v>44972</v>
      </c>
      <c r="C1367" s="1" t="n">
        <v>45992</v>
      </c>
      <c r="D1367" t="inlineStr">
        <is>
          <t>GÄVLEBORGS LÄN</t>
        </is>
      </c>
      <c r="E1367" t="inlineStr">
        <is>
          <t>LJUSDAL</t>
        </is>
      </c>
      <c r="F1367" t="inlineStr">
        <is>
          <t>Kommuner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31415-2024</t>
        </is>
      </c>
      <c r="B1368" s="1" t="n">
        <v>45505.61702546296</v>
      </c>
      <c r="C1368" s="1" t="n">
        <v>45992</v>
      </c>
      <c r="D1368" t="inlineStr">
        <is>
          <t>GÄVLEBORGS LÄN</t>
        </is>
      </c>
      <c r="E1368" t="inlineStr">
        <is>
          <t>LJUSDAL</t>
        </is>
      </c>
      <c r="F1368" t="inlineStr">
        <is>
          <t>Sveaskog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30-2022</t>
        </is>
      </c>
      <c r="B1369" s="1" t="n">
        <v>44564</v>
      </c>
      <c r="C1369" s="1" t="n">
        <v>45992</v>
      </c>
      <c r="D1369" t="inlineStr">
        <is>
          <t>GÄVLEBORGS LÄN</t>
        </is>
      </c>
      <c r="E1369" t="inlineStr">
        <is>
          <t>LJUSDAL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32293-2023</t>
        </is>
      </c>
      <c r="B1370" s="1" t="n">
        <v>45107</v>
      </c>
      <c r="C1370" s="1" t="n">
        <v>45992</v>
      </c>
      <c r="D1370" t="inlineStr">
        <is>
          <t>GÄVLEBORGS LÄN</t>
        </is>
      </c>
      <c r="E1370" t="inlineStr">
        <is>
          <t>LJUSDAL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32294-2023</t>
        </is>
      </c>
      <c r="B1371" s="1" t="n">
        <v>45107</v>
      </c>
      <c r="C1371" s="1" t="n">
        <v>45992</v>
      </c>
      <c r="D1371" t="inlineStr">
        <is>
          <t>GÄVLEBORGS LÄN</t>
        </is>
      </c>
      <c r="E1371" t="inlineStr">
        <is>
          <t>LJUSDAL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45701-2021</t>
        </is>
      </c>
      <c r="B1372" s="1" t="n">
        <v>44441.38833333334</v>
      </c>
      <c r="C1372" s="1" t="n">
        <v>45992</v>
      </c>
      <c r="D1372" t="inlineStr">
        <is>
          <t>GÄVLEBORGS LÄN</t>
        </is>
      </c>
      <c r="E1372" t="inlineStr">
        <is>
          <t>LJUSDAL</t>
        </is>
      </c>
      <c r="F1372" t="inlineStr">
        <is>
          <t>Allmännings- och besparingsskogar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48580-2024</t>
        </is>
      </c>
      <c r="B1373" s="1" t="n">
        <v>45593.41601851852</v>
      </c>
      <c r="C1373" s="1" t="n">
        <v>45992</v>
      </c>
      <c r="D1373" t="inlineStr">
        <is>
          <t>GÄVLEBORGS LÄN</t>
        </is>
      </c>
      <c r="E1373" t="inlineStr">
        <is>
          <t>LJUSDAL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7600-2025</t>
        </is>
      </c>
      <c r="B1374" s="1" t="n">
        <v>45705.65464120371</v>
      </c>
      <c r="C1374" s="1" t="n">
        <v>45992</v>
      </c>
      <c r="D1374" t="inlineStr">
        <is>
          <t>GÄVLEBORGS LÄN</t>
        </is>
      </c>
      <c r="E1374" t="inlineStr">
        <is>
          <t>LJUSDAL</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18102-2025</t>
        </is>
      </c>
      <c r="B1375" s="1" t="n">
        <v>45761.55295138889</v>
      </c>
      <c r="C1375" s="1" t="n">
        <v>45992</v>
      </c>
      <c r="D1375" t="inlineStr">
        <is>
          <t>GÄVLEBORGS LÄN</t>
        </is>
      </c>
      <c r="E1375" t="inlineStr">
        <is>
          <t>LJUSDAL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23619-2022</t>
        </is>
      </c>
      <c r="B1376" s="1" t="n">
        <v>44721.62302083334</v>
      </c>
      <c r="C1376" s="1" t="n">
        <v>45992</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55370-2023</t>
        </is>
      </c>
      <c r="B1377" s="1" t="n">
        <v>45238</v>
      </c>
      <c r="C1377" s="1" t="n">
        <v>45992</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26264-2023</t>
        </is>
      </c>
      <c r="B1378" s="1" t="n">
        <v>45091.60821759259</v>
      </c>
      <c r="C1378" s="1" t="n">
        <v>45992</v>
      </c>
      <c r="D1378" t="inlineStr">
        <is>
          <t>GÄVLEBORGS LÄN</t>
        </is>
      </c>
      <c r="E1378" t="inlineStr">
        <is>
          <t>LJUSDAL</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51798-2023</t>
        </is>
      </c>
      <c r="B1379" s="1" t="n">
        <v>45222</v>
      </c>
      <c r="C1379" s="1" t="n">
        <v>45992</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70478-2021</t>
        </is>
      </c>
      <c r="B1380" s="1" t="n">
        <v>44536</v>
      </c>
      <c r="C1380" s="1" t="n">
        <v>45992</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59710-2022</t>
        </is>
      </c>
      <c r="B1381" s="1" t="n">
        <v>44908.40505787037</v>
      </c>
      <c r="C1381" s="1" t="n">
        <v>45992</v>
      </c>
      <c r="D1381" t="inlineStr">
        <is>
          <t>GÄVLEBORGS LÄN</t>
        </is>
      </c>
      <c r="E1381" t="inlineStr">
        <is>
          <t>LJUSDAL</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20032-2024</t>
        </is>
      </c>
      <c r="B1382" s="1" t="n">
        <v>45434.33524305555</v>
      </c>
      <c r="C1382" s="1" t="n">
        <v>45992</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19564-2025</t>
        </is>
      </c>
      <c r="B1383" s="1" t="n">
        <v>45770.53148148148</v>
      </c>
      <c r="C1383" s="1" t="n">
        <v>45992</v>
      </c>
      <c r="D1383" t="inlineStr">
        <is>
          <t>GÄVLEBORGS LÄN</t>
        </is>
      </c>
      <c r="E1383" t="inlineStr">
        <is>
          <t>LJUSDAL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45992</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52145-2023</t>
        </is>
      </c>
      <c r="B1385" s="1" t="n">
        <v>45223.96797453704</v>
      </c>
      <c r="C1385" s="1" t="n">
        <v>45992</v>
      </c>
      <c r="D1385" t="inlineStr">
        <is>
          <t>GÄVLEBORGS LÄN</t>
        </is>
      </c>
      <c r="E1385" t="inlineStr">
        <is>
          <t>LJUSDAL</t>
        </is>
      </c>
      <c r="F1385" t="inlineStr">
        <is>
          <t>Naturvårdsverket</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35714-2023</t>
        </is>
      </c>
      <c r="B1386" s="1" t="n">
        <v>45147.68084490741</v>
      </c>
      <c r="C1386" s="1" t="n">
        <v>45992</v>
      </c>
      <c r="D1386" t="inlineStr">
        <is>
          <t>GÄVLEBORGS LÄN</t>
        </is>
      </c>
      <c r="E1386" t="inlineStr">
        <is>
          <t>LJUSDAL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29404-2021</t>
        </is>
      </c>
      <c r="B1387" s="1" t="n">
        <v>44361</v>
      </c>
      <c r="C1387" s="1" t="n">
        <v>45992</v>
      </c>
      <c r="D1387" t="inlineStr">
        <is>
          <t>GÄVLEBORGS LÄN</t>
        </is>
      </c>
      <c r="E1387" t="inlineStr">
        <is>
          <t>LJUSDAL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50345-2022</t>
        </is>
      </c>
      <c r="B1388" s="1" t="n">
        <v>44866.26518518518</v>
      </c>
      <c r="C1388" s="1" t="n">
        <v>45992</v>
      </c>
      <c r="D1388" t="inlineStr">
        <is>
          <t>GÄVLEBORGS LÄN</t>
        </is>
      </c>
      <c r="E1388" t="inlineStr">
        <is>
          <t>LJUSDAL</t>
        </is>
      </c>
      <c r="F1388" t="inlineStr">
        <is>
          <t>Holmen skog AB</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45260-2023</t>
        </is>
      </c>
      <c r="B1389" s="1" t="n">
        <v>45191.62356481481</v>
      </c>
      <c r="C1389" s="1" t="n">
        <v>45992</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40280-2023</t>
        </is>
      </c>
      <c r="B1390" s="1" t="n">
        <v>45169.5669212963</v>
      </c>
      <c r="C1390" s="1" t="n">
        <v>45992</v>
      </c>
      <c r="D1390" t="inlineStr">
        <is>
          <t>GÄVLEBORGS LÄN</t>
        </is>
      </c>
      <c r="E1390" t="inlineStr">
        <is>
          <t>LJUSDAL</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38870-2024</t>
        </is>
      </c>
      <c r="B1391" s="1" t="n">
        <v>45547.64189814815</v>
      </c>
      <c r="C1391" s="1" t="n">
        <v>45992</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15372-2024</t>
        </is>
      </c>
      <c r="B1392" s="1" t="n">
        <v>45400.92311342592</v>
      </c>
      <c r="C1392" s="1" t="n">
        <v>45992</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40345-2021</t>
        </is>
      </c>
      <c r="B1393" s="1" t="n">
        <v>44419</v>
      </c>
      <c r="C1393" s="1" t="n">
        <v>45992</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60197-2023</t>
        </is>
      </c>
      <c r="B1394" s="1" t="n">
        <v>45258.58435185185</v>
      </c>
      <c r="C1394" s="1" t="n">
        <v>45992</v>
      </c>
      <c r="D1394" t="inlineStr">
        <is>
          <t>GÄVLEBORGS LÄN</t>
        </is>
      </c>
      <c r="E1394" t="inlineStr">
        <is>
          <t>LJUSDAL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8667-2024</t>
        </is>
      </c>
      <c r="B1395" s="1" t="n">
        <v>45356.29768518519</v>
      </c>
      <c r="C1395" s="1" t="n">
        <v>45992</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60346-2021</t>
        </is>
      </c>
      <c r="B1396" s="1" t="n">
        <v>44496.3164699074</v>
      </c>
      <c r="C1396" s="1" t="n">
        <v>45992</v>
      </c>
      <c r="D1396" t="inlineStr">
        <is>
          <t>GÄVLEBORGS LÄN</t>
        </is>
      </c>
      <c r="E1396" t="inlineStr">
        <is>
          <t>LJUSDAL</t>
        </is>
      </c>
      <c r="F1396" t="inlineStr">
        <is>
          <t>Kommuner</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57475-2023</t>
        </is>
      </c>
      <c r="B1397" s="1" t="n">
        <v>45246.38005787037</v>
      </c>
      <c r="C1397" s="1" t="n">
        <v>45992</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11199-2025</t>
        </is>
      </c>
      <c r="B1398" s="1" t="n">
        <v>45725.91207175926</v>
      </c>
      <c r="C1398" s="1" t="n">
        <v>45992</v>
      </c>
      <c r="D1398" t="inlineStr">
        <is>
          <t>GÄVLEBORGS LÄN</t>
        </is>
      </c>
      <c r="E1398" t="inlineStr">
        <is>
          <t>LJUSDAL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53013-2023</t>
        </is>
      </c>
      <c r="B1399" s="1" t="n">
        <v>45226.66094907407</v>
      </c>
      <c r="C1399" s="1" t="n">
        <v>45992</v>
      </c>
      <c r="D1399" t="inlineStr">
        <is>
          <t>GÄVLEBORGS LÄN</t>
        </is>
      </c>
      <c r="E1399" t="inlineStr">
        <is>
          <t>LJUSDAL</t>
        </is>
      </c>
      <c r="F1399" t="inlineStr">
        <is>
          <t>Sveaskog</t>
        </is>
      </c>
      <c r="G1399" t="n">
        <v>21.1</v>
      </c>
      <c r="H1399" t="n">
        <v>0</v>
      </c>
      <c r="I1399" t="n">
        <v>0</v>
      </c>
      <c r="J1399" t="n">
        <v>0</v>
      </c>
      <c r="K1399" t="n">
        <v>0</v>
      </c>
      <c r="L1399" t="n">
        <v>0</v>
      </c>
      <c r="M1399" t="n">
        <v>0</v>
      </c>
      <c r="N1399" t="n">
        <v>0</v>
      </c>
      <c r="O1399" t="n">
        <v>0</v>
      </c>
      <c r="P1399" t="n">
        <v>0</v>
      </c>
      <c r="Q1399" t="n">
        <v>0</v>
      </c>
      <c r="R1399" s="2" t="inlineStr"/>
    </row>
    <row r="1400" ht="15" customHeight="1">
      <c r="A1400" t="inlineStr">
        <is>
          <t>A 28892-2023</t>
        </is>
      </c>
      <c r="B1400" s="1" t="n">
        <v>45104.49465277778</v>
      </c>
      <c r="C1400" s="1" t="n">
        <v>45992</v>
      </c>
      <c r="D1400" t="inlineStr">
        <is>
          <t>GÄVLEBORGS LÄN</t>
        </is>
      </c>
      <c r="E1400" t="inlineStr">
        <is>
          <t>LJUSDAL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49855-2023</t>
        </is>
      </c>
      <c r="B1401" s="1" t="n">
        <v>45212.92893518518</v>
      </c>
      <c r="C1401" s="1" t="n">
        <v>45992</v>
      </c>
      <c r="D1401" t="inlineStr">
        <is>
          <t>GÄVLEBORGS LÄN</t>
        </is>
      </c>
      <c r="E1401" t="inlineStr">
        <is>
          <t>LJUSDAL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29238-2023</t>
        </is>
      </c>
      <c r="B1402" s="1" t="n">
        <v>45105</v>
      </c>
      <c r="C1402" s="1" t="n">
        <v>45992</v>
      </c>
      <c r="D1402" t="inlineStr">
        <is>
          <t>GÄVLEBORGS LÄN</t>
        </is>
      </c>
      <c r="E1402" t="inlineStr">
        <is>
          <t>LJUSDAL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20909-2023</t>
        </is>
      </c>
      <c r="B1403" s="1" t="n">
        <v>45060</v>
      </c>
      <c r="C1403" s="1" t="n">
        <v>45992</v>
      </c>
      <c r="D1403" t="inlineStr">
        <is>
          <t>GÄVLEBORGS LÄN</t>
        </is>
      </c>
      <c r="E1403" t="inlineStr">
        <is>
          <t>LJUSDAL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45444-2021</t>
        </is>
      </c>
      <c r="B1404" s="1" t="n">
        <v>44440.43269675926</v>
      </c>
      <c r="C1404" s="1" t="n">
        <v>45992</v>
      </c>
      <c r="D1404" t="inlineStr">
        <is>
          <t>GÄVLEBORGS LÄN</t>
        </is>
      </c>
      <c r="E1404" t="inlineStr">
        <is>
          <t>LJUSDAL</t>
        </is>
      </c>
      <c r="F1404" t="inlineStr">
        <is>
          <t>Allmännings- och besparingsskogar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35029-2024</t>
        </is>
      </c>
      <c r="B1405" s="1" t="n">
        <v>45527.6052662037</v>
      </c>
      <c r="C1405" s="1" t="n">
        <v>45992</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52099-2024</t>
        </is>
      </c>
      <c r="B1406" s="1" t="n">
        <v>45608</v>
      </c>
      <c r="C1406" s="1" t="n">
        <v>45992</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18733-2024</t>
        </is>
      </c>
      <c r="B1407" s="1" t="n">
        <v>45426.48637731482</v>
      </c>
      <c r="C1407" s="1" t="n">
        <v>45992</v>
      </c>
      <c r="D1407" t="inlineStr">
        <is>
          <t>GÄVLEBORGS LÄN</t>
        </is>
      </c>
      <c r="E1407" t="inlineStr">
        <is>
          <t>LJUSDAL</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37892-2023</t>
        </is>
      </c>
      <c r="B1408" s="1" t="n">
        <v>45160.46523148148</v>
      </c>
      <c r="C1408" s="1" t="n">
        <v>45992</v>
      </c>
      <c r="D1408" t="inlineStr">
        <is>
          <t>GÄVLEBORGS LÄN</t>
        </is>
      </c>
      <c r="E1408" t="inlineStr">
        <is>
          <t>LJUSDAL</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43580-2024</t>
        </is>
      </c>
      <c r="B1409" s="1" t="n">
        <v>45569.42083333333</v>
      </c>
      <c r="C1409" s="1" t="n">
        <v>45992</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40191-2023</t>
        </is>
      </c>
      <c r="B1410" s="1" t="n">
        <v>45169</v>
      </c>
      <c r="C1410" s="1" t="n">
        <v>45992</v>
      </c>
      <c r="D1410" t="inlineStr">
        <is>
          <t>GÄVLEBORGS LÄN</t>
        </is>
      </c>
      <c r="E1410" t="inlineStr">
        <is>
          <t>LJUSDAL</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61010-2021</t>
        </is>
      </c>
      <c r="B1411" s="1" t="n">
        <v>44497</v>
      </c>
      <c r="C1411" s="1" t="n">
        <v>45992</v>
      </c>
      <c r="D1411" t="inlineStr">
        <is>
          <t>GÄVLEBORGS LÄN</t>
        </is>
      </c>
      <c r="E1411" t="inlineStr">
        <is>
          <t>LJUSDAL</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12855-2024</t>
        </is>
      </c>
      <c r="B1412" s="1" t="n">
        <v>45384.92469907407</v>
      </c>
      <c r="C1412" s="1" t="n">
        <v>45992</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13623-2025</t>
        </is>
      </c>
      <c r="B1413" s="1" t="n">
        <v>45736.63565972223</v>
      </c>
      <c r="C1413" s="1" t="n">
        <v>45992</v>
      </c>
      <c r="D1413" t="inlineStr">
        <is>
          <t>GÄVLEBORGS LÄN</t>
        </is>
      </c>
      <c r="E1413" t="inlineStr">
        <is>
          <t>LJUSDAL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13505-2025</t>
        </is>
      </c>
      <c r="B1414" s="1" t="n">
        <v>45736.46898148148</v>
      </c>
      <c r="C1414" s="1" t="n">
        <v>45992</v>
      </c>
      <c r="D1414" t="inlineStr">
        <is>
          <t>GÄVLEBORGS LÄN</t>
        </is>
      </c>
      <c r="E1414" t="inlineStr">
        <is>
          <t>LJUSDAL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6073-2024</t>
        </is>
      </c>
      <c r="B1415" s="1" t="n">
        <v>45336</v>
      </c>
      <c r="C1415" s="1" t="n">
        <v>45992</v>
      </c>
      <c r="D1415" t="inlineStr">
        <is>
          <t>GÄVLEBORGS LÄN</t>
        </is>
      </c>
      <c r="E1415" t="inlineStr">
        <is>
          <t>LJUSDAL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10591-2022</t>
        </is>
      </c>
      <c r="B1416" s="1" t="n">
        <v>44624.40858796296</v>
      </c>
      <c r="C1416" s="1" t="n">
        <v>45992</v>
      </c>
      <c r="D1416" t="inlineStr">
        <is>
          <t>GÄVLEBORGS LÄN</t>
        </is>
      </c>
      <c r="E1416" t="inlineStr">
        <is>
          <t>LJUSDAL</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50385-2023</t>
        </is>
      </c>
      <c r="B1417" s="1" t="n">
        <v>45216.62857638889</v>
      </c>
      <c r="C1417" s="1" t="n">
        <v>45992</v>
      </c>
      <c r="D1417" t="inlineStr">
        <is>
          <t>GÄVLEBORGS LÄN</t>
        </is>
      </c>
      <c r="E1417" t="inlineStr">
        <is>
          <t>LJUSDAL</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35465-2024</t>
        </is>
      </c>
      <c r="B1418" s="1" t="n">
        <v>45531.46347222223</v>
      </c>
      <c r="C1418" s="1" t="n">
        <v>45992</v>
      </c>
      <c r="D1418" t="inlineStr">
        <is>
          <t>GÄVLEBORGS LÄN</t>
        </is>
      </c>
      <c r="E1418" t="inlineStr">
        <is>
          <t>LJUSDAL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17372-2025</t>
        </is>
      </c>
      <c r="B1419" s="1" t="n">
        <v>45756.8629050926</v>
      </c>
      <c r="C1419" s="1" t="n">
        <v>45992</v>
      </c>
      <c r="D1419" t="inlineStr">
        <is>
          <t>GÄVLEBORGS LÄN</t>
        </is>
      </c>
      <c r="E1419" t="inlineStr">
        <is>
          <t>LJUSDAL</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33120-2024</t>
        </is>
      </c>
      <c r="B1420" s="1" t="n">
        <v>45517</v>
      </c>
      <c r="C1420" s="1" t="n">
        <v>45992</v>
      </c>
      <c r="D1420" t="inlineStr">
        <is>
          <t>GÄVLEBORGS LÄN</t>
        </is>
      </c>
      <c r="E1420" t="inlineStr">
        <is>
          <t>LJUSDAL</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33131-2024</t>
        </is>
      </c>
      <c r="B1421" s="1" t="n">
        <v>45518.30189814815</v>
      </c>
      <c r="C1421" s="1" t="n">
        <v>45992</v>
      </c>
      <c r="D1421" t="inlineStr">
        <is>
          <t>GÄVLEBORGS LÄN</t>
        </is>
      </c>
      <c r="E1421" t="inlineStr">
        <is>
          <t>LJUSDAL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57886-2024</t>
        </is>
      </c>
      <c r="B1422" s="1" t="n">
        <v>45631.46252314815</v>
      </c>
      <c r="C1422" s="1" t="n">
        <v>45992</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37249-2021</t>
        </is>
      </c>
      <c r="B1423" s="1" t="n">
        <v>44397</v>
      </c>
      <c r="C1423" s="1" t="n">
        <v>45992</v>
      </c>
      <c r="D1423" t="inlineStr">
        <is>
          <t>GÄVLEBORGS LÄN</t>
        </is>
      </c>
      <c r="E1423" t="inlineStr">
        <is>
          <t>LJUSDAL</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4582-2024</t>
        </is>
      </c>
      <c r="B1424" s="1" t="n">
        <v>45327</v>
      </c>
      <c r="C1424" s="1" t="n">
        <v>45992</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40695-2023</t>
        </is>
      </c>
      <c r="B1425" s="1" t="n">
        <v>45170.60664351852</v>
      </c>
      <c r="C1425" s="1" t="n">
        <v>45992</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26721-2024</t>
        </is>
      </c>
      <c r="B1426" s="1" t="n">
        <v>45470.41822916667</v>
      </c>
      <c r="C1426" s="1" t="n">
        <v>45992</v>
      </c>
      <c r="D1426" t="inlineStr">
        <is>
          <t>GÄVLEBORGS LÄN</t>
        </is>
      </c>
      <c r="E1426" t="inlineStr">
        <is>
          <t>LJUSDAL</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36321-2023</t>
        </is>
      </c>
      <c r="B1427" s="1" t="n">
        <v>45152.425</v>
      </c>
      <c r="C1427" s="1" t="n">
        <v>45992</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47954-2024</t>
        </is>
      </c>
      <c r="B1428" s="1" t="n">
        <v>45589.36817129629</v>
      </c>
      <c r="C1428" s="1" t="n">
        <v>45992</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50331-2021</t>
        </is>
      </c>
      <c r="B1429" s="1" t="n">
        <v>44459.41059027778</v>
      </c>
      <c r="C1429" s="1" t="n">
        <v>45992</v>
      </c>
      <c r="D1429" t="inlineStr">
        <is>
          <t>GÄVLEBORGS LÄN</t>
        </is>
      </c>
      <c r="E1429" t="inlineStr">
        <is>
          <t>LJUSDAL</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29845-2023</t>
        </is>
      </c>
      <c r="B1430" s="1" t="n">
        <v>45099</v>
      </c>
      <c r="C1430" s="1" t="n">
        <v>45992</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45289-2023</t>
        </is>
      </c>
      <c r="B1431" s="1" t="n">
        <v>45191.65313657407</v>
      </c>
      <c r="C1431" s="1" t="n">
        <v>45992</v>
      </c>
      <c r="D1431" t="inlineStr">
        <is>
          <t>GÄVLEBORGS LÄN</t>
        </is>
      </c>
      <c r="E1431" t="inlineStr">
        <is>
          <t>LJUSDAL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18802-2025</t>
        </is>
      </c>
      <c r="B1432" s="1" t="n">
        <v>45764.35001157408</v>
      </c>
      <c r="C1432" s="1" t="n">
        <v>45992</v>
      </c>
      <c r="D1432" t="inlineStr">
        <is>
          <t>GÄVLEBORGS LÄN</t>
        </is>
      </c>
      <c r="E1432" t="inlineStr">
        <is>
          <t>LJUSDAL</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2248-2023</t>
        </is>
      </c>
      <c r="B1433" s="1" t="n">
        <v>44942.47626157408</v>
      </c>
      <c r="C1433" s="1" t="n">
        <v>45992</v>
      </c>
      <c r="D1433" t="inlineStr">
        <is>
          <t>GÄVLEBORGS LÄN</t>
        </is>
      </c>
      <c r="E1433" t="inlineStr">
        <is>
          <t>LJUSDAL</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45992</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36713-2021</t>
        </is>
      </c>
      <c r="B1435" s="1" t="n">
        <v>44392.53925925926</v>
      </c>
      <c r="C1435" s="1" t="n">
        <v>45992</v>
      </c>
      <c r="D1435" t="inlineStr">
        <is>
          <t>GÄVLEBORGS LÄN</t>
        </is>
      </c>
      <c r="E1435" t="inlineStr">
        <is>
          <t>LJUSDAL</t>
        </is>
      </c>
      <c r="F1435" t="inlineStr">
        <is>
          <t>Holmen skog AB</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51738-2022</t>
        </is>
      </c>
      <c r="B1436" s="1" t="n">
        <v>44872.48086805556</v>
      </c>
      <c r="C1436" s="1" t="n">
        <v>45992</v>
      </c>
      <c r="D1436" t="inlineStr">
        <is>
          <t>GÄVLEBORGS LÄN</t>
        </is>
      </c>
      <c r="E1436" t="inlineStr">
        <is>
          <t>LJUSDAL</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39526-2023</t>
        </is>
      </c>
      <c r="B1437" s="1" t="n">
        <v>45167.33568287037</v>
      </c>
      <c r="C1437" s="1" t="n">
        <v>45992</v>
      </c>
      <c r="D1437" t="inlineStr">
        <is>
          <t>GÄVLEBORGS LÄN</t>
        </is>
      </c>
      <c r="E1437" t="inlineStr">
        <is>
          <t>LJUSDAL</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45912-2024</t>
        </is>
      </c>
      <c r="B1438" s="1" t="n">
        <v>45580</v>
      </c>
      <c r="C1438" s="1" t="n">
        <v>45992</v>
      </c>
      <c r="D1438" t="inlineStr">
        <is>
          <t>GÄVLEBORGS LÄN</t>
        </is>
      </c>
      <c r="E1438" t="inlineStr">
        <is>
          <t>LJUSDAL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43673-2023</t>
        </is>
      </c>
      <c r="B1439" s="1" t="n">
        <v>45187.37011574074</v>
      </c>
      <c r="C1439" s="1" t="n">
        <v>45992</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34229-2024</t>
        </is>
      </c>
      <c r="B1440" s="1" t="n">
        <v>45524</v>
      </c>
      <c r="C1440" s="1" t="n">
        <v>45992</v>
      </c>
      <c r="D1440" t="inlineStr">
        <is>
          <t>GÄVLEBORGS LÄN</t>
        </is>
      </c>
      <c r="E1440" t="inlineStr">
        <is>
          <t>LJUSDAL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3663-2021</t>
        </is>
      </c>
      <c r="B1441" s="1" t="n">
        <v>44221</v>
      </c>
      <c r="C1441" s="1" t="n">
        <v>45992</v>
      </c>
      <c r="D1441" t="inlineStr">
        <is>
          <t>GÄVLEBORGS LÄN</t>
        </is>
      </c>
      <c r="E1441" t="inlineStr">
        <is>
          <t>LJUSDAL</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22440-2023</t>
        </is>
      </c>
      <c r="B1442" s="1" t="n">
        <v>45070.69100694444</v>
      </c>
      <c r="C1442" s="1" t="n">
        <v>45992</v>
      </c>
      <c r="D1442" t="inlineStr">
        <is>
          <t>GÄVLEBORGS LÄN</t>
        </is>
      </c>
      <c r="E1442" t="inlineStr">
        <is>
          <t>LJUSDAL</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574-2025</t>
        </is>
      </c>
      <c r="B1443" s="1" t="n">
        <v>45664.56424768519</v>
      </c>
      <c r="C1443" s="1" t="n">
        <v>45992</v>
      </c>
      <c r="D1443" t="inlineStr">
        <is>
          <t>GÄVLEBORGS LÄN</t>
        </is>
      </c>
      <c r="E1443" t="inlineStr">
        <is>
          <t>LJUSDAL</t>
        </is>
      </c>
      <c r="F1443" t="inlineStr">
        <is>
          <t>Bergvik skog väst AB</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25208-2024</t>
        </is>
      </c>
      <c r="B1444" s="1" t="n">
        <v>45462.57657407408</v>
      </c>
      <c r="C1444" s="1" t="n">
        <v>45992</v>
      </c>
      <c r="D1444" t="inlineStr">
        <is>
          <t>GÄVLEBORGS LÄN</t>
        </is>
      </c>
      <c r="E1444" t="inlineStr">
        <is>
          <t>LJUSDAL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38040-2021</t>
        </is>
      </c>
      <c r="B1445" s="1" t="n">
        <v>44404</v>
      </c>
      <c r="C1445" s="1" t="n">
        <v>45992</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22294-2024</t>
        </is>
      </c>
      <c r="B1446" s="1" t="n">
        <v>45446.56048611111</v>
      </c>
      <c r="C1446" s="1" t="n">
        <v>45992</v>
      </c>
      <c r="D1446" t="inlineStr">
        <is>
          <t>GÄVLEBORGS LÄN</t>
        </is>
      </c>
      <c r="E1446" t="inlineStr">
        <is>
          <t>LJUSDAL</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29837-2023</t>
        </is>
      </c>
      <c r="B1447" s="1" t="n">
        <v>45107.58168981481</v>
      </c>
      <c r="C1447" s="1" t="n">
        <v>45992</v>
      </c>
      <c r="D1447" t="inlineStr">
        <is>
          <t>GÄVLEBORGS LÄN</t>
        </is>
      </c>
      <c r="E1447" t="inlineStr">
        <is>
          <t>LJUSDAL</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58168-2024</t>
        </is>
      </c>
      <c r="B1448" s="1" t="n">
        <v>45632.45894675926</v>
      </c>
      <c r="C1448" s="1" t="n">
        <v>45992</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42959-2021</t>
        </is>
      </c>
      <c r="B1449" s="1" t="n">
        <v>44431.40888888889</v>
      </c>
      <c r="C1449" s="1" t="n">
        <v>45992</v>
      </c>
      <c r="D1449" t="inlineStr">
        <is>
          <t>GÄVLEBORGS LÄN</t>
        </is>
      </c>
      <c r="E1449" t="inlineStr">
        <is>
          <t>LJUSDAL</t>
        </is>
      </c>
      <c r="F1449" t="inlineStr">
        <is>
          <t>Bergvik skog väst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60282-2024</t>
        </is>
      </c>
      <c r="B1450" s="1" t="n">
        <v>45642.91938657407</v>
      </c>
      <c r="C1450" s="1" t="n">
        <v>45992</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47875-2023</t>
        </is>
      </c>
      <c r="B1451" s="1" t="n">
        <v>45204.4600462963</v>
      </c>
      <c r="C1451" s="1" t="n">
        <v>45992</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40281-2023</t>
        </is>
      </c>
      <c r="B1452" s="1" t="n">
        <v>45169</v>
      </c>
      <c r="C1452" s="1" t="n">
        <v>45992</v>
      </c>
      <c r="D1452" t="inlineStr">
        <is>
          <t>GÄVLEBORGS LÄN</t>
        </is>
      </c>
      <c r="E1452" t="inlineStr">
        <is>
          <t>LJUSDAL</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54167-2023</t>
        </is>
      </c>
      <c r="B1453" s="1" t="n">
        <v>45232</v>
      </c>
      <c r="C1453" s="1" t="n">
        <v>45992</v>
      </c>
      <c r="D1453" t="inlineStr">
        <is>
          <t>GÄVLEBORGS LÄN</t>
        </is>
      </c>
      <c r="E1453" t="inlineStr">
        <is>
          <t>LJUSDAL</t>
        </is>
      </c>
      <c r="F1453" t="inlineStr">
        <is>
          <t>Sveaskog</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13822-2024</t>
        </is>
      </c>
      <c r="B1454" s="1" t="n">
        <v>45391.42918981481</v>
      </c>
      <c r="C1454" s="1" t="n">
        <v>45992</v>
      </c>
      <c r="D1454" t="inlineStr">
        <is>
          <t>GÄVLEBORGS LÄN</t>
        </is>
      </c>
      <c r="E1454" t="inlineStr">
        <is>
          <t>LJUSDAL</t>
        </is>
      </c>
      <c r="F1454" t="inlineStr">
        <is>
          <t>Kommuner</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13829-2024</t>
        </is>
      </c>
      <c r="B1455" s="1" t="n">
        <v>45391.43280092593</v>
      </c>
      <c r="C1455" s="1" t="n">
        <v>45992</v>
      </c>
      <c r="D1455" t="inlineStr">
        <is>
          <t>GÄVLEBORGS LÄN</t>
        </is>
      </c>
      <c r="E1455" t="inlineStr">
        <is>
          <t>LJUSDAL</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18576-2024</t>
        </is>
      </c>
      <c r="B1456" s="1" t="n">
        <v>45425</v>
      </c>
      <c r="C1456" s="1" t="n">
        <v>45992</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30296-2024</t>
        </is>
      </c>
      <c r="B1457" s="1" t="n">
        <v>45490</v>
      </c>
      <c r="C1457" s="1" t="n">
        <v>45992</v>
      </c>
      <c r="D1457" t="inlineStr">
        <is>
          <t>GÄVLEBORGS LÄN</t>
        </is>
      </c>
      <c r="E1457" t="inlineStr">
        <is>
          <t>LJUSDAL</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61431-2023</t>
        </is>
      </c>
      <c r="B1458" s="1" t="n">
        <v>45264</v>
      </c>
      <c r="C1458" s="1" t="n">
        <v>45992</v>
      </c>
      <c r="D1458" t="inlineStr">
        <is>
          <t>GÄVLEBORGS LÄN</t>
        </is>
      </c>
      <c r="E1458" t="inlineStr">
        <is>
          <t>LJUSDAL</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71070-2021</t>
        </is>
      </c>
      <c r="B1459" s="1" t="n">
        <v>44538.92322916666</v>
      </c>
      <c r="C1459" s="1" t="n">
        <v>45992</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5034-2025</t>
        </is>
      </c>
      <c r="B1460" s="1" t="n">
        <v>45691.42743055556</v>
      </c>
      <c r="C1460" s="1" t="n">
        <v>45992</v>
      </c>
      <c r="D1460" t="inlineStr">
        <is>
          <t>GÄVLEBORGS LÄN</t>
        </is>
      </c>
      <c r="E1460" t="inlineStr">
        <is>
          <t>LJUSDAL</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4043-2024</t>
        </is>
      </c>
      <c r="B1461" s="1" t="n">
        <v>45323</v>
      </c>
      <c r="C1461" s="1" t="n">
        <v>45992</v>
      </c>
      <c r="D1461" t="inlineStr">
        <is>
          <t>GÄVLEBORGS LÄN</t>
        </is>
      </c>
      <c r="E1461" t="inlineStr">
        <is>
          <t>LJUSDAL</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204-2025</t>
        </is>
      </c>
      <c r="B1462" s="1" t="n">
        <v>45660.31596064815</v>
      </c>
      <c r="C1462" s="1" t="n">
        <v>45992</v>
      </c>
      <c r="D1462" t="inlineStr">
        <is>
          <t>GÄVLEBORGS LÄN</t>
        </is>
      </c>
      <c r="E1462" t="inlineStr">
        <is>
          <t>LJUSDAL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3464-2023</t>
        </is>
      </c>
      <c r="B1463" s="1" t="n">
        <v>44949.65045138889</v>
      </c>
      <c r="C1463" s="1" t="n">
        <v>45992</v>
      </c>
      <c r="D1463" t="inlineStr">
        <is>
          <t>GÄVLEBORGS LÄN</t>
        </is>
      </c>
      <c r="E1463" t="inlineStr">
        <is>
          <t>LJUSDAL</t>
        </is>
      </c>
      <c r="G1463" t="n">
        <v>18.6</v>
      </c>
      <c r="H1463" t="n">
        <v>0</v>
      </c>
      <c r="I1463" t="n">
        <v>0</v>
      </c>
      <c r="J1463" t="n">
        <v>0</v>
      </c>
      <c r="K1463" t="n">
        <v>0</v>
      </c>
      <c r="L1463" t="n">
        <v>0</v>
      </c>
      <c r="M1463" t="n">
        <v>0</v>
      </c>
      <c r="N1463" t="n">
        <v>0</v>
      </c>
      <c r="O1463" t="n">
        <v>0</v>
      </c>
      <c r="P1463" t="n">
        <v>0</v>
      </c>
      <c r="Q1463" t="n">
        <v>0</v>
      </c>
      <c r="R1463" s="2" t="inlineStr"/>
    </row>
    <row r="1464" ht="15" customHeight="1">
      <c r="A1464" t="inlineStr">
        <is>
          <t>A 22678-2023</t>
        </is>
      </c>
      <c r="B1464" s="1" t="n">
        <v>45071</v>
      </c>
      <c r="C1464" s="1" t="n">
        <v>45992</v>
      </c>
      <c r="D1464" t="inlineStr">
        <is>
          <t>GÄVLEBORGS LÄN</t>
        </is>
      </c>
      <c r="E1464" t="inlineStr">
        <is>
          <t>LJUSDAL</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5701-2025</t>
        </is>
      </c>
      <c r="B1465" s="1" t="n">
        <v>45694</v>
      </c>
      <c r="C1465" s="1" t="n">
        <v>45992</v>
      </c>
      <c r="D1465" t="inlineStr">
        <is>
          <t>GÄVLEBORGS LÄN</t>
        </is>
      </c>
      <c r="E1465" t="inlineStr">
        <is>
          <t>LJUSDAL</t>
        </is>
      </c>
      <c r="F1465" t="inlineStr">
        <is>
          <t>Bergvik skog väst AB</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18011-2025</t>
        </is>
      </c>
      <c r="B1466" s="1" t="n">
        <v>45761.43108796296</v>
      </c>
      <c r="C1466" s="1" t="n">
        <v>45992</v>
      </c>
      <c r="D1466" t="inlineStr">
        <is>
          <t>GÄVLEBORGS LÄN</t>
        </is>
      </c>
      <c r="E1466" t="inlineStr">
        <is>
          <t>LJUSDAL</t>
        </is>
      </c>
      <c r="F1466" t="inlineStr">
        <is>
          <t>Bergvik skog väst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51364-2024</t>
        </is>
      </c>
      <c r="B1467" s="1" t="n">
        <v>45604.36947916666</v>
      </c>
      <c r="C1467" s="1" t="n">
        <v>45992</v>
      </c>
      <c r="D1467" t="inlineStr">
        <is>
          <t>GÄVLEBORGS LÄN</t>
        </is>
      </c>
      <c r="E1467" t="inlineStr">
        <is>
          <t>LJUSDAL</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22558-2023</t>
        </is>
      </c>
      <c r="B1468" s="1" t="n">
        <v>45071</v>
      </c>
      <c r="C1468" s="1" t="n">
        <v>45992</v>
      </c>
      <c r="D1468" t="inlineStr">
        <is>
          <t>GÄVLEBORGS LÄN</t>
        </is>
      </c>
      <c r="E1468" t="inlineStr">
        <is>
          <t>LJUSDAL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13557-2025</t>
        </is>
      </c>
      <c r="B1469" s="1" t="n">
        <v>45736.54907407407</v>
      </c>
      <c r="C1469" s="1" t="n">
        <v>45992</v>
      </c>
      <c r="D1469" t="inlineStr">
        <is>
          <t>GÄVLEBORGS LÄN</t>
        </is>
      </c>
      <c r="E1469" t="inlineStr">
        <is>
          <t>LJUSDAL</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43562-2024</t>
        </is>
      </c>
      <c r="B1470" s="1" t="n">
        <v>45569.40412037037</v>
      </c>
      <c r="C1470" s="1" t="n">
        <v>45992</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13369-2021</t>
        </is>
      </c>
      <c r="B1471" s="1" t="n">
        <v>44273.39921296296</v>
      </c>
      <c r="C1471" s="1" t="n">
        <v>45992</v>
      </c>
      <c r="D1471" t="inlineStr">
        <is>
          <t>GÄVLEBORGS LÄN</t>
        </is>
      </c>
      <c r="E1471" t="inlineStr">
        <is>
          <t>LJUSDAL</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38814-2024</t>
        </is>
      </c>
      <c r="B1472" s="1" t="n">
        <v>45547.54760416667</v>
      </c>
      <c r="C1472" s="1" t="n">
        <v>45992</v>
      </c>
      <c r="D1472" t="inlineStr">
        <is>
          <t>GÄVLEBORGS LÄN</t>
        </is>
      </c>
      <c r="E1472" t="inlineStr">
        <is>
          <t>LJUSDAL</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30286-2024</t>
        </is>
      </c>
      <c r="B1473" s="1" t="n">
        <v>45490</v>
      </c>
      <c r="C1473" s="1" t="n">
        <v>45992</v>
      </c>
      <c r="D1473" t="inlineStr">
        <is>
          <t>GÄVLEBORGS LÄN</t>
        </is>
      </c>
      <c r="E1473" t="inlineStr">
        <is>
          <t>LJUSDAL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30292-2024</t>
        </is>
      </c>
      <c r="B1474" s="1" t="n">
        <v>45490</v>
      </c>
      <c r="C1474" s="1" t="n">
        <v>45992</v>
      </c>
      <c r="D1474" t="inlineStr">
        <is>
          <t>GÄVLEBORGS LÄN</t>
        </is>
      </c>
      <c r="E1474" t="inlineStr">
        <is>
          <t>LJUSDAL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23394-2024</t>
        </is>
      </c>
      <c r="B1475" s="1" t="n">
        <v>45453</v>
      </c>
      <c r="C1475" s="1" t="n">
        <v>45992</v>
      </c>
      <c r="D1475" t="inlineStr">
        <is>
          <t>GÄVLEBORGS LÄN</t>
        </is>
      </c>
      <c r="E1475" t="inlineStr">
        <is>
          <t>LJUSDAL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27867-2024</t>
        </is>
      </c>
      <c r="B1476" s="1" t="n">
        <v>45475</v>
      </c>
      <c r="C1476" s="1" t="n">
        <v>45992</v>
      </c>
      <c r="D1476" t="inlineStr">
        <is>
          <t>GÄVLEBORGS LÄN</t>
        </is>
      </c>
      <c r="E1476" t="inlineStr">
        <is>
          <t>LJUSDAL</t>
        </is>
      </c>
      <c r="F1476" t="inlineStr">
        <is>
          <t>Allmännings- och besparingsskogar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20756-2022</t>
        </is>
      </c>
      <c r="B1477" s="1" t="n">
        <v>44701.33546296296</v>
      </c>
      <c r="C1477" s="1" t="n">
        <v>45992</v>
      </c>
      <c r="D1477" t="inlineStr">
        <is>
          <t>GÄVLEBORGS LÄN</t>
        </is>
      </c>
      <c r="E1477" t="inlineStr">
        <is>
          <t>LJUSDAL</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37646-2021</t>
        </is>
      </c>
      <c r="B1478" s="1" t="n">
        <v>44400.37629629629</v>
      </c>
      <c r="C1478" s="1" t="n">
        <v>45992</v>
      </c>
      <c r="D1478" t="inlineStr">
        <is>
          <t>GÄVLEBORGS LÄN</t>
        </is>
      </c>
      <c r="E1478" t="inlineStr">
        <is>
          <t>LJUSDAL</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43018-2023</t>
        </is>
      </c>
      <c r="B1479" s="1" t="n">
        <v>45182.64844907408</v>
      </c>
      <c r="C1479" s="1" t="n">
        <v>45992</v>
      </c>
      <c r="D1479" t="inlineStr">
        <is>
          <t>GÄVLEBORGS LÄN</t>
        </is>
      </c>
      <c r="E1479" t="inlineStr">
        <is>
          <t>LJUSDAL</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53852-2023</t>
        </is>
      </c>
      <c r="B1480" s="1" t="n">
        <v>45231.46224537037</v>
      </c>
      <c r="C1480" s="1" t="n">
        <v>45992</v>
      </c>
      <c r="D1480" t="inlineStr">
        <is>
          <t>GÄVLEBORGS LÄN</t>
        </is>
      </c>
      <c r="E1480" t="inlineStr">
        <is>
          <t>LJUSDAL</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18025-2025</t>
        </is>
      </c>
      <c r="B1481" s="1" t="n">
        <v>45761.44814814815</v>
      </c>
      <c r="C1481" s="1" t="n">
        <v>45992</v>
      </c>
      <c r="D1481" t="inlineStr">
        <is>
          <t>GÄVLEBORGS LÄN</t>
        </is>
      </c>
      <c r="E1481" t="inlineStr">
        <is>
          <t>LJUSDAL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32164-2024</t>
        </is>
      </c>
      <c r="B1482" s="1" t="n">
        <v>45511.59428240741</v>
      </c>
      <c r="C1482" s="1" t="n">
        <v>45992</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34228-2023</t>
        </is>
      </c>
      <c r="B1483" s="1" t="n">
        <v>45127</v>
      </c>
      <c r="C1483" s="1" t="n">
        <v>45992</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6432-2023</t>
        </is>
      </c>
      <c r="B1484" s="1" t="n">
        <v>44965.82097222222</v>
      </c>
      <c r="C1484" s="1" t="n">
        <v>45992</v>
      </c>
      <c r="D1484" t="inlineStr">
        <is>
          <t>GÄVLEBORGS LÄN</t>
        </is>
      </c>
      <c r="E1484" t="inlineStr">
        <is>
          <t>LJUSDAL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56356-2024</t>
        </is>
      </c>
      <c r="B1485" s="1" t="n">
        <v>45624.93702546296</v>
      </c>
      <c r="C1485" s="1" t="n">
        <v>45992</v>
      </c>
      <c r="D1485" t="inlineStr">
        <is>
          <t>GÄVLEBORGS LÄN</t>
        </is>
      </c>
      <c r="E1485" t="inlineStr">
        <is>
          <t>LJUSDAL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26539-2023</t>
        </is>
      </c>
      <c r="B1486" s="1" t="n">
        <v>45092</v>
      </c>
      <c r="C1486" s="1" t="n">
        <v>45992</v>
      </c>
      <c r="D1486" t="inlineStr">
        <is>
          <t>GÄVLEBORGS LÄN</t>
        </is>
      </c>
      <c r="E1486" t="inlineStr">
        <is>
          <t>LJUSDAL</t>
        </is>
      </c>
      <c r="F1486" t="inlineStr">
        <is>
          <t>Sveaskog</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35122-2024</t>
        </is>
      </c>
      <c r="B1487" s="1" t="n">
        <v>45530</v>
      </c>
      <c r="C1487" s="1" t="n">
        <v>45992</v>
      </c>
      <c r="D1487" t="inlineStr">
        <is>
          <t>GÄVLEBORGS LÄN</t>
        </is>
      </c>
      <c r="E1487" t="inlineStr">
        <is>
          <t>LJUSDAL</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26506-2023</t>
        </is>
      </c>
      <c r="B1488" s="1" t="n">
        <v>45092.52630787037</v>
      </c>
      <c r="C1488" s="1" t="n">
        <v>45992</v>
      </c>
      <c r="D1488" t="inlineStr">
        <is>
          <t>GÄVLEBORGS LÄN</t>
        </is>
      </c>
      <c r="E1488" t="inlineStr">
        <is>
          <t>LJUSDAL</t>
        </is>
      </c>
      <c r="F1488" t="inlineStr">
        <is>
          <t>Sveaskog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13849-2025</t>
        </is>
      </c>
      <c r="B1489" s="1" t="n">
        <v>45737.56753472222</v>
      </c>
      <c r="C1489" s="1" t="n">
        <v>45992</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37792-2022</t>
        </is>
      </c>
      <c r="B1490" s="1" t="n">
        <v>44810.68939814815</v>
      </c>
      <c r="C1490" s="1" t="n">
        <v>45992</v>
      </c>
      <c r="D1490" t="inlineStr">
        <is>
          <t>GÄVLEBORGS LÄN</t>
        </is>
      </c>
      <c r="E1490" t="inlineStr">
        <is>
          <t>LJUSDAL</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52057-2023</t>
        </is>
      </c>
      <c r="B1491" s="1" t="n">
        <v>45223.65407407407</v>
      </c>
      <c r="C1491" s="1" t="n">
        <v>45992</v>
      </c>
      <c r="D1491" t="inlineStr">
        <is>
          <t>GÄVLEBORGS LÄN</t>
        </is>
      </c>
      <c r="E1491" t="inlineStr">
        <is>
          <t>LJUSDAL</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42537-2024</t>
        </is>
      </c>
      <c r="B1492" s="1" t="n">
        <v>45565.58545138889</v>
      </c>
      <c r="C1492" s="1" t="n">
        <v>45992</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53857-2023</t>
        </is>
      </c>
      <c r="B1493" s="1" t="n">
        <v>45231.46946759259</v>
      </c>
      <c r="C1493" s="1" t="n">
        <v>45992</v>
      </c>
      <c r="D1493" t="inlineStr">
        <is>
          <t>GÄVLEBORGS LÄN</t>
        </is>
      </c>
      <c r="E1493" t="inlineStr">
        <is>
          <t>LJUSDAL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9194-2022</t>
        </is>
      </c>
      <c r="B1494" s="1" t="n">
        <v>44615</v>
      </c>
      <c r="C1494" s="1" t="n">
        <v>45992</v>
      </c>
      <c r="D1494" t="inlineStr">
        <is>
          <t>GÄVLEBORGS LÄN</t>
        </is>
      </c>
      <c r="E1494" t="inlineStr">
        <is>
          <t>LJUSDAL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58802-2024</t>
        </is>
      </c>
      <c r="B1495" s="1" t="n">
        <v>45636.33385416667</v>
      </c>
      <c r="C1495" s="1" t="n">
        <v>45992</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19405-2021</t>
        </is>
      </c>
      <c r="B1496" s="1" t="n">
        <v>44309</v>
      </c>
      <c r="C1496" s="1" t="n">
        <v>45992</v>
      </c>
      <c r="D1496" t="inlineStr">
        <is>
          <t>GÄVLEBORGS LÄN</t>
        </is>
      </c>
      <c r="E1496" t="inlineStr">
        <is>
          <t>LJUSDAL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31892-2023</t>
        </is>
      </c>
      <c r="B1497" s="1" t="n">
        <v>45118</v>
      </c>
      <c r="C1497" s="1" t="n">
        <v>45992</v>
      </c>
      <c r="D1497" t="inlineStr">
        <is>
          <t>GÄVLEBORGS LÄN</t>
        </is>
      </c>
      <c r="E1497" t="inlineStr">
        <is>
          <t>LJUSDAL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2412-2025</t>
        </is>
      </c>
      <c r="B1498" s="1" t="n">
        <v>45674.37393518518</v>
      </c>
      <c r="C1498" s="1" t="n">
        <v>45992</v>
      </c>
      <c r="D1498" t="inlineStr">
        <is>
          <t>GÄVLEBORGS LÄN</t>
        </is>
      </c>
      <c r="E1498" t="inlineStr">
        <is>
          <t>LJUSDAL</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3289-2023</t>
        </is>
      </c>
      <c r="B1499" s="1" t="n">
        <v>44949.37563657408</v>
      </c>
      <c r="C1499" s="1" t="n">
        <v>45992</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60118-2022</t>
        </is>
      </c>
      <c r="B1500" s="1" t="n">
        <v>44909</v>
      </c>
      <c r="C1500" s="1" t="n">
        <v>45992</v>
      </c>
      <c r="D1500" t="inlineStr">
        <is>
          <t>GÄVLEBORGS LÄN</t>
        </is>
      </c>
      <c r="E1500" t="inlineStr">
        <is>
          <t>LJUSDAL</t>
        </is>
      </c>
      <c r="F1500" t="inlineStr">
        <is>
          <t>Bergvik skog väst AB</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47551-2021</t>
        </is>
      </c>
      <c r="B1501" s="1" t="n">
        <v>44447.92180555555</v>
      </c>
      <c r="C1501" s="1" t="n">
        <v>45992</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34651-2021</t>
        </is>
      </c>
      <c r="B1502" s="1" t="n">
        <v>44382</v>
      </c>
      <c r="C1502" s="1" t="n">
        <v>45992</v>
      </c>
      <c r="D1502" t="inlineStr">
        <is>
          <t>GÄVLEBORGS LÄN</t>
        </is>
      </c>
      <c r="E1502" t="inlineStr">
        <is>
          <t>LJUSDAL</t>
        </is>
      </c>
      <c r="F1502" t="inlineStr">
        <is>
          <t>SCA</t>
        </is>
      </c>
      <c r="G1502" t="n">
        <v>15.5</v>
      </c>
      <c r="H1502" t="n">
        <v>0</v>
      </c>
      <c r="I1502" t="n">
        <v>0</v>
      </c>
      <c r="J1502" t="n">
        <v>0</v>
      </c>
      <c r="K1502" t="n">
        <v>0</v>
      </c>
      <c r="L1502" t="n">
        <v>0</v>
      </c>
      <c r="M1502" t="n">
        <v>0</v>
      </c>
      <c r="N1502" t="n">
        <v>0</v>
      </c>
      <c r="O1502" t="n">
        <v>0</v>
      </c>
      <c r="P1502" t="n">
        <v>0</v>
      </c>
      <c r="Q1502" t="n">
        <v>0</v>
      </c>
      <c r="R1502" s="2" t="inlineStr"/>
    </row>
    <row r="1503" ht="15" customHeight="1">
      <c r="A1503" t="inlineStr">
        <is>
          <t>A 7461-2025</t>
        </is>
      </c>
      <c r="B1503" s="1" t="n">
        <v>45705.4404050926</v>
      </c>
      <c r="C1503" s="1" t="n">
        <v>45992</v>
      </c>
      <c r="D1503" t="inlineStr">
        <is>
          <t>GÄVLEBORGS LÄN</t>
        </is>
      </c>
      <c r="E1503" t="inlineStr">
        <is>
          <t>LJUSDAL</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43499-2024</t>
        </is>
      </c>
      <c r="B1504" s="1" t="n">
        <v>45569.29876157407</v>
      </c>
      <c r="C1504" s="1" t="n">
        <v>45992</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15171-2023</t>
        </is>
      </c>
      <c r="B1505" s="1" t="n">
        <v>45016</v>
      </c>
      <c r="C1505" s="1" t="n">
        <v>45992</v>
      </c>
      <c r="D1505" t="inlineStr">
        <is>
          <t>GÄVLEBORGS LÄN</t>
        </is>
      </c>
      <c r="E1505" t="inlineStr">
        <is>
          <t>LJUSDAL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29260-2023</t>
        </is>
      </c>
      <c r="B1506" s="1" t="n">
        <v>45105.6580787037</v>
      </c>
      <c r="C1506" s="1" t="n">
        <v>45992</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19064-2025</t>
        </is>
      </c>
      <c r="B1507" s="1" t="n">
        <v>45765.40659722222</v>
      </c>
      <c r="C1507" s="1" t="n">
        <v>45992</v>
      </c>
      <c r="D1507" t="inlineStr">
        <is>
          <t>GÄVLEBORGS LÄN</t>
        </is>
      </c>
      <c r="E1507" t="inlineStr">
        <is>
          <t>LJUSDAL</t>
        </is>
      </c>
      <c r="F1507" t="inlineStr">
        <is>
          <t>SCA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33802-2023</t>
        </is>
      </c>
      <c r="B1508" s="1" t="n">
        <v>45133.57393518519</v>
      </c>
      <c r="C1508" s="1" t="n">
        <v>45992</v>
      </c>
      <c r="D1508" t="inlineStr">
        <is>
          <t>GÄVLEBORGS LÄN</t>
        </is>
      </c>
      <c r="E1508" t="inlineStr">
        <is>
          <t>LJUSDAL</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55781-2022</t>
        </is>
      </c>
      <c r="B1509" s="1" t="n">
        <v>44888</v>
      </c>
      <c r="C1509" s="1" t="n">
        <v>45992</v>
      </c>
      <c r="D1509" t="inlineStr">
        <is>
          <t>GÄVLEBORGS LÄN</t>
        </is>
      </c>
      <c r="E1509" t="inlineStr">
        <is>
          <t>LJUSDAL</t>
        </is>
      </c>
      <c r="F1509" t="inlineStr">
        <is>
          <t>Kommuner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13911-2024</t>
        </is>
      </c>
      <c r="B1510" s="1" t="n">
        <v>45391.70934027778</v>
      </c>
      <c r="C1510" s="1" t="n">
        <v>45992</v>
      </c>
      <c r="D1510" t="inlineStr">
        <is>
          <t>GÄVLEBORGS LÄN</t>
        </is>
      </c>
      <c r="E1510" t="inlineStr">
        <is>
          <t>LJUSDAL</t>
        </is>
      </c>
      <c r="G1510" t="n">
        <v>18.2</v>
      </c>
      <c r="H1510" t="n">
        <v>0</v>
      </c>
      <c r="I1510" t="n">
        <v>0</v>
      </c>
      <c r="J1510" t="n">
        <v>0</v>
      </c>
      <c r="K1510" t="n">
        <v>0</v>
      </c>
      <c r="L1510" t="n">
        <v>0</v>
      </c>
      <c r="M1510" t="n">
        <v>0</v>
      </c>
      <c r="N1510" t="n">
        <v>0</v>
      </c>
      <c r="O1510" t="n">
        <v>0</v>
      </c>
      <c r="P1510" t="n">
        <v>0</v>
      </c>
      <c r="Q1510" t="n">
        <v>0</v>
      </c>
      <c r="R1510" s="2" t="inlineStr"/>
    </row>
    <row r="1511" ht="15" customHeight="1">
      <c r="A1511" t="inlineStr">
        <is>
          <t>A 29568-2021</t>
        </is>
      </c>
      <c r="B1511" s="1" t="n">
        <v>44361.91872685185</v>
      </c>
      <c r="C1511" s="1" t="n">
        <v>45992</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3532-2023</t>
        </is>
      </c>
      <c r="B1512" s="1" t="n">
        <v>44950</v>
      </c>
      <c r="C1512" s="1" t="n">
        <v>45992</v>
      </c>
      <c r="D1512" t="inlineStr">
        <is>
          <t>GÄVLEBORGS LÄN</t>
        </is>
      </c>
      <c r="E1512" t="inlineStr">
        <is>
          <t>LJUSDAL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21965-2022</t>
        </is>
      </c>
      <c r="B1513" s="1" t="n">
        <v>44711</v>
      </c>
      <c r="C1513" s="1" t="n">
        <v>45992</v>
      </c>
      <c r="D1513" t="inlineStr">
        <is>
          <t>GÄVLEBORGS LÄN</t>
        </is>
      </c>
      <c r="E1513" t="inlineStr">
        <is>
          <t>LJUSDAL</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60099-2022</t>
        </is>
      </c>
      <c r="B1514" s="1" t="n">
        <v>44909.62553240741</v>
      </c>
      <c r="C1514" s="1" t="n">
        <v>45992</v>
      </c>
      <c r="D1514" t="inlineStr">
        <is>
          <t>GÄVLEBORGS LÄN</t>
        </is>
      </c>
      <c r="E1514" t="inlineStr">
        <is>
          <t>LJUSDAL</t>
        </is>
      </c>
      <c r="F1514" t="inlineStr">
        <is>
          <t>Bergvik skog väst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32832-2022</t>
        </is>
      </c>
      <c r="B1515" s="1" t="n">
        <v>44784.42042824074</v>
      </c>
      <c r="C1515" s="1" t="n">
        <v>45992</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52915-2024</t>
        </is>
      </c>
      <c r="B1516" s="1" t="n">
        <v>45610.71055555555</v>
      </c>
      <c r="C1516" s="1" t="n">
        <v>45992</v>
      </c>
      <c r="D1516" t="inlineStr">
        <is>
          <t>GÄVLEBORGS LÄN</t>
        </is>
      </c>
      <c r="E1516" t="inlineStr">
        <is>
          <t>LJUSDAL</t>
        </is>
      </c>
      <c r="F1516" t="inlineStr">
        <is>
          <t>Allmännings- och besparingsskogar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20288-2024</t>
        </is>
      </c>
      <c r="B1517" s="1" t="n">
        <v>45435</v>
      </c>
      <c r="C1517" s="1" t="n">
        <v>45992</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3635-2023</t>
        </is>
      </c>
      <c r="B1518" s="1" t="n">
        <v>44950</v>
      </c>
      <c r="C1518" s="1" t="n">
        <v>45992</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51869-2024</t>
        </is>
      </c>
      <c r="B1519" s="1" t="n">
        <v>45607.553125</v>
      </c>
      <c r="C1519" s="1" t="n">
        <v>45992</v>
      </c>
      <c r="D1519" t="inlineStr">
        <is>
          <t>GÄVLEBORGS LÄN</t>
        </is>
      </c>
      <c r="E1519" t="inlineStr">
        <is>
          <t>LJUSDAL</t>
        </is>
      </c>
      <c r="F1519" t="inlineStr">
        <is>
          <t>Naturvårdsverket</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51634-2022</t>
        </is>
      </c>
      <c r="B1520" s="1" t="n">
        <v>44872</v>
      </c>
      <c r="C1520" s="1" t="n">
        <v>45992</v>
      </c>
      <c r="D1520" t="inlineStr">
        <is>
          <t>GÄVLEBORGS LÄN</t>
        </is>
      </c>
      <c r="E1520" t="inlineStr">
        <is>
          <t>LJUSDAL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10514-2024</t>
        </is>
      </c>
      <c r="B1521" s="1" t="n">
        <v>45366</v>
      </c>
      <c r="C1521" s="1" t="n">
        <v>45992</v>
      </c>
      <c r="D1521" t="inlineStr">
        <is>
          <t>GÄVLEBORGS LÄN</t>
        </is>
      </c>
      <c r="E1521" t="inlineStr">
        <is>
          <t>LJUSDAL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21756-2024</t>
        </is>
      </c>
      <c r="B1522" s="1" t="n">
        <v>45442</v>
      </c>
      <c r="C1522" s="1" t="n">
        <v>45992</v>
      </c>
      <c r="D1522" t="inlineStr">
        <is>
          <t>GÄVLEBORGS LÄN</t>
        </is>
      </c>
      <c r="E1522" t="inlineStr">
        <is>
          <t>LJUSDAL</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29586-2021</t>
        </is>
      </c>
      <c r="B1523" s="1" t="n">
        <v>44361.9196875</v>
      </c>
      <c r="C1523" s="1" t="n">
        <v>45992</v>
      </c>
      <c r="D1523" t="inlineStr">
        <is>
          <t>GÄVLEBORGS LÄN</t>
        </is>
      </c>
      <c r="E1523" t="inlineStr">
        <is>
          <t>LJUSDAL</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48148-2024</t>
        </is>
      </c>
      <c r="B1524" s="1" t="n">
        <v>45589.67875</v>
      </c>
      <c r="C1524" s="1" t="n">
        <v>45992</v>
      </c>
      <c r="D1524" t="inlineStr">
        <is>
          <t>GÄVLEBORGS LÄN</t>
        </is>
      </c>
      <c r="E1524" t="inlineStr">
        <is>
          <t>LJUSDAL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52842-2023</t>
        </is>
      </c>
      <c r="B1525" s="1" t="n">
        <v>45226.43016203704</v>
      </c>
      <c r="C1525" s="1" t="n">
        <v>45992</v>
      </c>
      <c r="D1525" t="inlineStr">
        <is>
          <t>GÄVLEBORGS LÄN</t>
        </is>
      </c>
      <c r="E1525" t="inlineStr">
        <is>
          <t>LJUSDAL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9111-2024</t>
        </is>
      </c>
      <c r="B1526" s="1" t="n">
        <v>45357.96122685185</v>
      </c>
      <c r="C1526" s="1" t="n">
        <v>45992</v>
      </c>
      <c r="D1526" t="inlineStr">
        <is>
          <t>GÄVLEBORGS LÄN</t>
        </is>
      </c>
      <c r="E1526" t="inlineStr">
        <is>
          <t>LJUSDAL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45992</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20513-2025</t>
        </is>
      </c>
      <c r="B1528" s="1" t="n">
        <v>45775.59555555556</v>
      </c>
      <c r="C1528" s="1" t="n">
        <v>45992</v>
      </c>
      <c r="D1528" t="inlineStr">
        <is>
          <t>GÄVLEBORGS LÄN</t>
        </is>
      </c>
      <c r="E1528" t="inlineStr">
        <is>
          <t>LJUSDAL</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61474-2024</t>
        </is>
      </c>
      <c r="B1529" s="1" t="n">
        <v>45646.51774305556</v>
      </c>
      <c r="C1529" s="1" t="n">
        <v>45992</v>
      </c>
      <c r="D1529" t="inlineStr">
        <is>
          <t>GÄVLEBORGS LÄN</t>
        </is>
      </c>
      <c r="E1529" t="inlineStr">
        <is>
          <t>LJUSDAL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28114-2023</t>
        </is>
      </c>
      <c r="B1530" s="1" t="n">
        <v>45099</v>
      </c>
      <c r="C1530" s="1" t="n">
        <v>45992</v>
      </c>
      <c r="D1530" t="inlineStr">
        <is>
          <t>GÄVLEBORGS LÄN</t>
        </is>
      </c>
      <c r="E1530" t="inlineStr">
        <is>
          <t>LJUSDAL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4341-2021</t>
        </is>
      </c>
      <c r="B1531" s="1" t="n">
        <v>44223</v>
      </c>
      <c r="C1531" s="1" t="n">
        <v>45992</v>
      </c>
      <c r="D1531" t="inlineStr">
        <is>
          <t>GÄVLEBORGS LÄN</t>
        </is>
      </c>
      <c r="E1531" t="inlineStr">
        <is>
          <t>LJUSDAL</t>
        </is>
      </c>
      <c r="F1531" t="inlineStr">
        <is>
          <t>Kommuner</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16925-2021</t>
        </is>
      </c>
      <c r="B1532" s="1" t="n">
        <v>44295</v>
      </c>
      <c r="C1532" s="1" t="n">
        <v>45992</v>
      </c>
      <c r="D1532" t="inlineStr">
        <is>
          <t>GÄVLEBORGS LÄN</t>
        </is>
      </c>
      <c r="E1532" t="inlineStr">
        <is>
          <t>LJUSDAL</t>
        </is>
      </c>
      <c r="F1532" t="inlineStr">
        <is>
          <t>Bergvik skog väst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52626-2022</t>
        </is>
      </c>
      <c r="B1533" s="1" t="n">
        <v>44874</v>
      </c>
      <c r="C1533" s="1" t="n">
        <v>45992</v>
      </c>
      <c r="D1533" t="inlineStr">
        <is>
          <t>GÄVLEBORGS LÄN</t>
        </is>
      </c>
      <c r="E1533" t="inlineStr">
        <is>
          <t>LJUSDAL</t>
        </is>
      </c>
      <c r="F1533" t="inlineStr">
        <is>
          <t>Kyrkan</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26073-2024</t>
        </is>
      </c>
      <c r="B1534" s="1" t="n">
        <v>45468.3650462963</v>
      </c>
      <c r="C1534" s="1" t="n">
        <v>45992</v>
      </c>
      <c r="D1534" t="inlineStr">
        <is>
          <t>GÄVLEBORGS LÄN</t>
        </is>
      </c>
      <c r="E1534" t="inlineStr">
        <is>
          <t>LJUSDAL</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26078-2024</t>
        </is>
      </c>
      <c r="B1535" s="1" t="n">
        <v>45468.37726851852</v>
      </c>
      <c r="C1535" s="1" t="n">
        <v>45992</v>
      </c>
      <c r="D1535" t="inlineStr">
        <is>
          <t>GÄVLEBORGS LÄN</t>
        </is>
      </c>
      <c r="E1535" t="inlineStr">
        <is>
          <t>LJUSDAL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18854-2025</t>
        </is>
      </c>
      <c r="B1536" s="1" t="n">
        <v>45764.42233796296</v>
      </c>
      <c r="C1536" s="1" t="n">
        <v>45992</v>
      </c>
      <c r="D1536" t="inlineStr">
        <is>
          <t>GÄVLEBORGS LÄN</t>
        </is>
      </c>
      <c r="E1536" t="inlineStr">
        <is>
          <t>LJUSDAL</t>
        </is>
      </c>
      <c r="F1536" t="inlineStr">
        <is>
          <t>Sveaskog</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16962-2025</t>
        </is>
      </c>
      <c r="B1537" s="1" t="n">
        <v>45755</v>
      </c>
      <c r="C1537" s="1" t="n">
        <v>45992</v>
      </c>
      <c r="D1537" t="inlineStr">
        <is>
          <t>GÄVLEBORGS LÄN</t>
        </is>
      </c>
      <c r="E1537" t="inlineStr">
        <is>
          <t>LJUSDAL</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51880-2024</t>
        </is>
      </c>
      <c r="B1538" s="1" t="n">
        <v>45607.5674537037</v>
      </c>
      <c r="C1538" s="1" t="n">
        <v>45992</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40554-2022</t>
        </is>
      </c>
      <c r="B1539" s="1" t="n">
        <v>44823.66243055555</v>
      </c>
      <c r="C1539" s="1" t="n">
        <v>45992</v>
      </c>
      <c r="D1539" t="inlineStr">
        <is>
          <t>GÄVLEBORGS LÄN</t>
        </is>
      </c>
      <c r="E1539" t="inlineStr">
        <is>
          <t>LJUSDAL</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8153-2022</t>
        </is>
      </c>
      <c r="B1540" s="1" t="n">
        <v>44609.62958333334</v>
      </c>
      <c r="C1540" s="1" t="n">
        <v>45992</v>
      </c>
      <c r="D1540" t="inlineStr">
        <is>
          <t>GÄVLEBORGS LÄN</t>
        </is>
      </c>
      <c r="E1540" t="inlineStr">
        <is>
          <t>LJUSDAL</t>
        </is>
      </c>
      <c r="F1540" t="inlineStr">
        <is>
          <t>Holmen skog AB</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32151-2023</t>
        </is>
      </c>
      <c r="B1541" s="1" t="n">
        <v>45119.70157407408</v>
      </c>
      <c r="C1541" s="1" t="n">
        <v>45992</v>
      </c>
      <c r="D1541" t="inlineStr">
        <is>
          <t>GÄVLEBORGS LÄN</t>
        </is>
      </c>
      <c r="E1541" t="inlineStr">
        <is>
          <t>LJUSDAL</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47291-2024</t>
        </is>
      </c>
      <c r="B1542" s="1" t="n">
        <v>45587.33782407407</v>
      </c>
      <c r="C1542" s="1" t="n">
        <v>45992</v>
      </c>
      <c r="D1542" t="inlineStr">
        <is>
          <t>GÄVLEBORGS LÄN</t>
        </is>
      </c>
      <c r="E1542" t="inlineStr">
        <is>
          <t>LJUSDAL</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42703-2024</t>
        </is>
      </c>
      <c r="B1543" s="1" t="n">
        <v>45566.43296296296</v>
      </c>
      <c r="C1543" s="1" t="n">
        <v>45992</v>
      </c>
      <c r="D1543" t="inlineStr">
        <is>
          <t>GÄVLEBORGS LÄN</t>
        </is>
      </c>
      <c r="E1543" t="inlineStr">
        <is>
          <t>LJUSDAL</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4864-2023</t>
        </is>
      </c>
      <c r="B1544" s="1" t="n">
        <v>44957.92511574074</v>
      </c>
      <c r="C1544" s="1" t="n">
        <v>45992</v>
      </c>
      <c r="D1544" t="inlineStr">
        <is>
          <t>GÄVLEBORGS LÄN</t>
        </is>
      </c>
      <c r="E1544" t="inlineStr">
        <is>
          <t>LJUSDAL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57344-2021</t>
        </is>
      </c>
      <c r="B1545" s="1" t="n">
        <v>44483.48961805556</v>
      </c>
      <c r="C1545" s="1" t="n">
        <v>45992</v>
      </c>
      <c r="D1545" t="inlineStr">
        <is>
          <t>GÄVLEBORGS LÄN</t>
        </is>
      </c>
      <c r="E1545" t="inlineStr">
        <is>
          <t>LJUSDAL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574-2022</t>
        </is>
      </c>
      <c r="B1546" s="1" t="n">
        <v>44566</v>
      </c>
      <c r="C1546" s="1" t="n">
        <v>45992</v>
      </c>
      <c r="D1546" t="inlineStr">
        <is>
          <t>GÄVLEBORGS LÄN</t>
        </is>
      </c>
      <c r="E1546" t="inlineStr">
        <is>
          <t>LJUSDAL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22559-2023</t>
        </is>
      </c>
      <c r="B1547" s="1" t="n">
        <v>45071.44723379629</v>
      </c>
      <c r="C1547" s="1" t="n">
        <v>45992</v>
      </c>
      <c r="D1547" t="inlineStr">
        <is>
          <t>GÄVLEBORGS LÄN</t>
        </is>
      </c>
      <c r="E1547" t="inlineStr">
        <is>
          <t>LJUSDAL</t>
        </is>
      </c>
      <c r="F1547" t="inlineStr">
        <is>
          <t>Holmen skog AB</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1445-2023</t>
        </is>
      </c>
      <c r="B1548" s="1" t="n">
        <v>44937.38020833334</v>
      </c>
      <c r="C1548" s="1" t="n">
        <v>45992</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13882-2025</t>
        </is>
      </c>
      <c r="B1549" s="1" t="n">
        <v>45737.60047453704</v>
      </c>
      <c r="C1549" s="1" t="n">
        <v>45992</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15864-2025</t>
        </is>
      </c>
      <c r="B1550" s="1" t="n">
        <v>45749.35642361111</v>
      </c>
      <c r="C1550" s="1" t="n">
        <v>45992</v>
      </c>
      <c r="D1550" t="inlineStr">
        <is>
          <t>GÄVLEBORGS LÄN</t>
        </is>
      </c>
      <c r="E1550" t="inlineStr">
        <is>
          <t>LJUSDAL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19471-2025</t>
        </is>
      </c>
      <c r="B1551" s="1" t="n">
        <v>45770.38461805556</v>
      </c>
      <c r="C1551" s="1" t="n">
        <v>45992</v>
      </c>
      <c r="D1551" t="inlineStr">
        <is>
          <t>GÄVLEBORGS LÄN</t>
        </is>
      </c>
      <c r="E1551" t="inlineStr">
        <is>
          <t>LJUSDAL</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20847-2025</t>
        </is>
      </c>
      <c r="B1552" s="1" t="n">
        <v>45777.29842592592</v>
      </c>
      <c r="C1552" s="1" t="n">
        <v>45992</v>
      </c>
      <c r="D1552" t="inlineStr">
        <is>
          <t>GÄVLEBORGS LÄN</t>
        </is>
      </c>
      <c r="E1552" t="inlineStr">
        <is>
          <t>LJUSDAL</t>
        </is>
      </c>
      <c r="G1552" t="n">
        <v>21.6</v>
      </c>
      <c r="H1552" t="n">
        <v>0</v>
      </c>
      <c r="I1552" t="n">
        <v>0</v>
      </c>
      <c r="J1552" t="n">
        <v>0</v>
      </c>
      <c r="K1552" t="n">
        <v>0</v>
      </c>
      <c r="L1552" t="n">
        <v>0</v>
      </c>
      <c r="M1552" t="n">
        <v>0</v>
      </c>
      <c r="N1552" t="n">
        <v>0</v>
      </c>
      <c r="O1552" t="n">
        <v>0</v>
      </c>
      <c r="P1552" t="n">
        <v>0</v>
      </c>
      <c r="Q1552" t="n">
        <v>0</v>
      </c>
      <c r="R1552" s="2" t="inlineStr"/>
    </row>
    <row r="1553" ht="15" customHeight="1">
      <c r="A1553" t="inlineStr">
        <is>
          <t>A 21071-2025</t>
        </is>
      </c>
      <c r="B1553" s="1" t="n">
        <v>45777.59451388889</v>
      </c>
      <c r="C1553" s="1" t="n">
        <v>45992</v>
      </c>
      <c r="D1553" t="inlineStr">
        <is>
          <t>GÄVLEBORGS LÄN</t>
        </is>
      </c>
      <c r="E1553" t="inlineStr">
        <is>
          <t>LJUSDAL</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21098-2025</t>
        </is>
      </c>
      <c r="B1554" s="1" t="n">
        <v>45777.6434837963</v>
      </c>
      <c r="C1554" s="1" t="n">
        <v>45992</v>
      </c>
      <c r="D1554" t="inlineStr">
        <is>
          <t>GÄVLEBORGS LÄN</t>
        </is>
      </c>
      <c r="E1554" t="inlineStr">
        <is>
          <t>LJUSDAL</t>
        </is>
      </c>
      <c r="F1554" t="inlineStr">
        <is>
          <t>Sveaskog</t>
        </is>
      </c>
      <c r="G1554" t="n">
        <v>30.7</v>
      </c>
      <c r="H1554" t="n">
        <v>0</v>
      </c>
      <c r="I1554" t="n">
        <v>0</v>
      </c>
      <c r="J1554" t="n">
        <v>0</v>
      </c>
      <c r="K1554" t="n">
        <v>0</v>
      </c>
      <c r="L1554" t="n">
        <v>0</v>
      </c>
      <c r="M1554" t="n">
        <v>0</v>
      </c>
      <c r="N1554" t="n">
        <v>0</v>
      </c>
      <c r="O1554" t="n">
        <v>0</v>
      </c>
      <c r="P1554" t="n">
        <v>0</v>
      </c>
      <c r="Q1554" t="n">
        <v>0</v>
      </c>
      <c r="R1554" s="2" t="inlineStr"/>
    </row>
    <row r="1555" ht="15" customHeight="1">
      <c r="A1555" t="inlineStr">
        <is>
          <t>A 7179-2025</t>
        </is>
      </c>
      <c r="B1555" s="1" t="n">
        <v>45702</v>
      </c>
      <c r="C1555" s="1" t="n">
        <v>45992</v>
      </c>
      <c r="D1555" t="inlineStr">
        <is>
          <t>GÄVLEBORGS LÄN</t>
        </is>
      </c>
      <c r="E1555" t="inlineStr">
        <is>
          <t>LJUSDAL</t>
        </is>
      </c>
      <c r="F1555" t="inlineStr">
        <is>
          <t>Kommuner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21592-2025</t>
        </is>
      </c>
      <c r="B1556" s="1" t="n">
        <v>45783.34420138889</v>
      </c>
      <c r="C1556" s="1" t="n">
        <v>45992</v>
      </c>
      <c r="D1556" t="inlineStr">
        <is>
          <t>GÄVLEBORGS LÄN</t>
        </is>
      </c>
      <c r="E1556" t="inlineStr">
        <is>
          <t>LJUSDAL</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21588-2025</t>
        </is>
      </c>
      <c r="B1557" s="1" t="n">
        <v>45783.30799768519</v>
      </c>
      <c r="C1557" s="1" t="n">
        <v>45992</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21334-2025</t>
        </is>
      </c>
      <c r="B1558" s="1" t="n">
        <v>45782.37358796296</v>
      </c>
      <c r="C1558" s="1" t="n">
        <v>45992</v>
      </c>
      <c r="D1558" t="inlineStr">
        <is>
          <t>GÄVLEBORGS LÄN</t>
        </is>
      </c>
      <c r="E1558" t="inlineStr">
        <is>
          <t>LJUSDAL</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33199-2024</t>
        </is>
      </c>
      <c r="B1559" s="1" t="n">
        <v>45518.51728009259</v>
      </c>
      <c r="C1559" s="1" t="n">
        <v>45992</v>
      </c>
      <c r="D1559" t="inlineStr">
        <is>
          <t>GÄVLEBORGS LÄN</t>
        </is>
      </c>
      <c r="E1559" t="inlineStr">
        <is>
          <t>LJUSDAL</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22194-2025</t>
        </is>
      </c>
      <c r="B1560" s="1" t="n">
        <v>45785.64438657407</v>
      </c>
      <c r="C1560" s="1" t="n">
        <v>45992</v>
      </c>
      <c r="D1560" t="inlineStr">
        <is>
          <t>GÄVLEBORGS LÄN</t>
        </is>
      </c>
      <c r="E1560" t="inlineStr">
        <is>
          <t>LJUSDAL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22713-2024</t>
        </is>
      </c>
      <c r="B1561" s="1" t="n">
        <v>45448.35930555555</v>
      </c>
      <c r="C1561" s="1" t="n">
        <v>45992</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21940-2025</t>
        </is>
      </c>
      <c r="B1562" s="1" t="n">
        <v>45784.58482638889</v>
      </c>
      <c r="C1562" s="1" t="n">
        <v>45992</v>
      </c>
      <c r="D1562" t="inlineStr">
        <is>
          <t>GÄVLEBORGS LÄN</t>
        </is>
      </c>
      <c r="E1562" t="inlineStr">
        <is>
          <t>LJUSDAL</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41385-2024</t>
        </is>
      </c>
      <c r="B1563" s="1" t="n">
        <v>45560.29936342593</v>
      </c>
      <c r="C1563" s="1" t="n">
        <v>45992</v>
      </c>
      <c r="D1563" t="inlineStr">
        <is>
          <t>GÄVLEBORGS LÄN</t>
        </is>
      </c>
      <c r="E1563" t="inlineStr">
        <is>
          <t>LJUSDAL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41525-2022</t>
        </is>
      </c>
      <c r="B1564" s="1" t="n">
        <v>44827.34787037037</v>
      </c>
      <c r="C1564" s="1" t="n">
        <v>45992</v>
      </c>
      <c r="D1564" t="inlineStr">
        <is>
          <t>GÄVLEBORGS LÄN</t>
        </is>
      </c>
      <c r="E1564" t="inlineStr">
        <is>
          <t>LJUSDAL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22786-2024</t>
        </is>
      </c>
      <c r="B1565" s="1" t="n">
        <v>45448.48175925926</v>
      </c>
      <c r="C1565" s="1" t="n">
        <v>45992</v>
      </c>
      <c r="D1565" t="inlineStr">
        <is>
          <t>GÄVLEBORGS LÄN</t>
        </is>
      </c>
      <c r="E1565" t="inlineStr">
        <is>
          <t>LJUSDAL</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18297-2024</t>
        </is>
      </c>
      <c r="B1566" s="1" t="n">
        <v>45422.43357638889</v>
      </c>
      <c r="C1566" s="1" t="n">
        <v>45992</v>
      </c>
      <c r="D1566" t="inlineStr">
        <is>
          <t>GÄVLEBORGS LÄN</t>
        </is>
      </c>
      <c r="E1566" t="inlineStr">
        <is>
          <t>LJUSDAL</t>
        </is>
      </c>
      <c r="F1566" t="inlineStr">
        <is>
          <t>Holmen skog AB</t>
        </is>
      </c>
      <c r="G1566" t="n">
        <v>1.6</v>
      </c>
      <c r="H1566" t="n">
        <v>0</v>
      </c>
      <c r="I1566" t="n">
        <v>0</v>
      </c>
      <c r="J1566" t="n">
        <v>0</v>
      </c>
      <c r="K1566" t="n">
        <v>0</v>
      </c>
      <c r="L1566" t="n">
        <v>0</v>
      </c>
      <c r="M1566" t="n">
        <v>0</v>
      </c>
      <c r="N1566" t="n">
        <v>0</v>
      </c>
      <c r="O1566" t="n">
        <v>0</v>
      </c>
      <c r="P1566" t="n">
        <v>0</v>
      </c>
      <c r="Q1566" t="n">
        <v>0</v>
      </c>
      <c r="R1566" s="2" t="inlineStr"/>
      <c r="U1566">
        <f>HYPERLINK("https://klasma.github.io/Logging_2161/knärot/A 18297-2024 karta knärot.png", "A 18297-2024")</f>
        <v/>
      </c>
      <c r="V1566">
        <f>HYPERLINK("https://klasma.github.io/Logging_2161/klagomål/A 18297-2024 FSC-klagomål.docx", "A 18297-2024")</f>
        <v/>
      </c>
      <c r="W1566">
        <f>HYPERLINK("https://klasma.github.io/Logging_2161/klagomålsmail/A 18297-2024 FSC-klagomål mail.docx", "A 18297-2024")</f>
        <v/>
      </c>
      <c r="X1566">
        <f>HYPERLINK("https://klasma.github.io/Logging_2161/tillsyn/A 18297-2024 tillsynsbegäran.docx", "A 18297-2024")</f>
        <v/>
      </c>
      <c r="Y1566">
        <f>HYPERLINK("https://klasma.github.io/Logging_2161/tillsynsmail/A 18297-2024 tillsynsbegäran mail.docx", "A 18297-2024")</f>
        <v/>
      </c>
    </row>
    <row r="1567" ht="15" customHeight="1">
      <c r="A1567" t="inlineStr">
        <is>
          <t>A 10105-2024</t>
        </is>
      </c>
      <c r="B1567" s="1" t="n">
        <v>45364.53116898148</v>
      </c>
      <c r="C1567" s="1" t="n">
        <v>45992</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22163-2025</t>
        </is>
      </c>
      <c r="B1568" s="1" t="n">
        <v>45785.59113425926</v>
      </c>
      <c r="C1568" s="1" t="n">
        <v>45992</v>
      </c>
      <c r="D1568" t="inlineStr">
        <is>
          <t>GÄVLEBORGS LÄN</t>
        </is>
      </c>
      <c r="E1568" t="inlineStr">
        <is>
          <t>LJUSDAL</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20897-2024</t>
        </is>
      </c>
      <c r="B1569" s="1" t="n">
        <v>45439.46805555555</v>
      </c>
      <c r="C1569" s="1" t="n">
        <v>45992</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21957-2025</t>
        </is>
      </c>
      <c r="B1570" s="1" t="n">
        <v>45784.6053587963</v>
      </c>
      <c r="C1570" s="1" t="n">
        <v>45992</v>
      </c>
      <c r="D1570" t="inlineStr">
        <is>
          <t>GÄVLEBORGS LÄN</t>
        </is>
      </c>
      <c r="E1570" t="inlineStr">
        <is>
          <t>LJUSDAL</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35789-2024</t>
        </is>
      </c>
      <c r="B1571" s="1" t="n">
        <v>45532</v>
      </c>
      <c r="C1571" s="1" t="n">
        <v>45992</v>
      </c>
      <c r="D1571" t="inlineStr">
        <is>
          <t>GÄVLEBORGS LÄN</t>
        </is>
      </c>
      <c r="E1571" t="inlineStr">
        <is>
          <t>LJUSDAL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33947-2024</t>
        </is>
      </c>
      <c r="B1572" s="1" t="n">
        <v>45523</v>
      </c>
      <c r="C1572" s="1" t="n">
        <v>45992</v>
      </c>
      <c r="D1572" t="inlineStr">
        <is>
          <t>GÄVLEBORGS LÄN</t>
        </is>
      </c>
      <c r="E1572" t="inlineStr">
        <is>
          <t>LJUSDAL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22598-2025</t>
        </is>
      </c>
      <c r="B1573" s="1" t="n">
        <v>45789.41481481482</v>
      </c>
      <c r="C1573" s="1" t="n">
        <v>45992</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6964-2025</t>
        </is>
      </c>
      <c r="B1574" s="1" t="n">
        <v>45701</v>
      </c>
      <c r="C1574" s="1" t="n">
        <v>45992</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23340-2025</t>
        </is>
      </c>
      <c r="B1575" s="1" t="n">
        <v>45791.65630787037</v>
      </c>
      <c r="C1575" s="1" t="n">
        <v>45992</v>
      </c>
      <c r="D1575" t="inlineStr">
        <is>
          <t>GÄVLEBORGS LÄN</t>
        </is>
      </c>
      <c r="E1575" t="inlineStr">
        <is>
          <t>LJUSDAL</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44041-2022</t>
        </is>
      </c>
      <c r="B1576" s="1" t="n">
        <v>44838.94871527778</v>
      </c>
      <c r="C1576" s="1" t="n">
        <v>45992</v>
      </c>
      <c r="D1576" t="inlineStr">
        <is>
          <t>GÄVLEBORGS LÄN</t>
        </is>
      </c>
      <c r="E1576" t="inlineStr">
        <is>
          <t>LJUSDAL</t>
        </is>
      </c>
      <c r="F1576" t="inlineStr">
        <is>
          <t>Naturvårdsverket</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23353-2025</t>
        </is>
      </c>
      <c r="B1577" s="1" t="n">
        <v>45791.66635416666</v>
      </c>
      <c r="C1577" s="1" t="n">
        <v>45992</v>
      </c>
      <c r="D1577" t="inlineStr">
        <is>
          <t>GÄVLEBORGS LÄN</t>
        </is>
      </c>
      <c r="E1577" t="inlineStr">
        <is>
          <t>LJUSDAL</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23350-2025</t>
        </is>
      </c>
      <c r="B1578" s="1" t="n">
        <v>45791.660625</v>
      </c>
      <c r="C1578" s="1" t="n">
        <v>45992</v>
      </c>
      <c r="D1578" t="inlineStr">
        <is>
          <t>GÄVLEBORGS LÄN</t>
        </is>
      </c>
      <c r="E1578" t="inlineStr">
        <is>
          <t>LJUSDAL</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9359-2024</t>
        </is>
      </c>
      <c r="B1579" s="1" t="n">
        <v>45359.32847222222</v>
      </c>
      <c r="C1579" s="1" t="n">
        <v>45992</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23036-2025</t>
        </is>
      </c>
      <c r="B1580" s="1" t="n">
        <v>45790.66123842593</v>
      </c>
      <c r="C1580" s="1" t="n">
        <v>45992</v>
      </c>
      <c r="D1580" t="inlineStr">
        <is>
          <t>GÄVLEBORGS LÄN</t>
        </is>
      </c>
      <c r="E1580" t="inlineStr">
        <is>
          <t>LJUSDAL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23016-2025</t>
        </is>
      </c>
      <c r="B1581" s="1" t="n">
        <v>45790.6394212963</v>
      </c>
      <c r="C1581" s="1" t="n">
        <v>45992</v>
      </c>
      <c r="D1581" t="inlineStr">
        <is>
          <t>GÄVLEBORGS LÄN</t>
        </is>
      </c>
      <c r="E1581" t="inlineStr">
        <is>
          <t>LJUSDAL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23594-2025</t>
        </is>
      </c>
      <c r="B1582" s="1" t="n">
        <v>45792.64136574074</v>
      </c>
      <c r="C1582" s="1" t="n">
        <v>45992</v>
      </c>
      <c r="D1582" t="inlineStr">
        <is>
          <t>GÄVLEBORGS LÄN</t>
        </is>
      </c>
      <c r="E1582" t="inlineStr">
        <is>
          <t>LJUSDAL</t>
        </is>
      </c>
      <c r="F1582" t="inlineStr">
        <is>
          <t>Bergvik skog väst AB</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23591-2025</t>
        </is>
      </c>
      <c r="B1583" s="1" t="n">
        <v>45792.63633101852</v>
      </c>
      <c r="C1583" s="1" t="n">
        <v>45992</v>
      </c>
      <c r="D1583" t="inlineStr">
        <is>
          <t>GÄVLEBORGS LÄN</t>
        </is>
      </c>
      <c r="E1583" t="inlineStr">
        <is>
          <t>LJUSDAL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23603-2025</t>
        </is>
      </c>
      <c r="B1584" s="1" t="n">
        <v>45792.65420138889</v>
      </c>
      <c r="C1584" s="1" t="n">
        <v>45992</v>
      </c>
      <c r="D1584" t="inlineStr">
        <is>
          <t>GÄVLEBORGS LÄN</t>
        </is>
      </c>
      <c r="E1584" t="inlineStr">
        <is>
          <t>LJUSDAL</t>
        </is>
      </c>
      <c r="F1584" t="inlineStr">
        <is>
          <t>Bergvik skog väst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23710-2025</t>
        </is>
      </c>
      <c r="B1585" s="1" t="n">
        <v>45793.38253472222</v>
      </c>
      <c r="C1585" s="1" t="n">
        <v>45992</v>
      </c>
      <c r="D1585" t="inlineStr">
        <is>
          <t>GÄVLEBORGS LÄN</t>
        </is>
      </c>
      <c r="E1585" t="inlineStr">
        <is>
          <t>LJUSDAL</t>
        </is>
      </c>
      <c r="F1585" t="inlineStr">
        <is>
          <t>Bergvik skog väst AB</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23571-2025</t>
        </is>
      </c>
      <c r="B1586" s="1" t="n">
        <v>45792.61167824074</v>
      </c>
      <c r="C1586" s="1" t="n">
        <v>45992</v>
      </c>
      <c r="D1586" t="inlineStr">
        <is>
          <t>GÄVLEBORGS LÄN</t>
        </is>
      </c>
      <c r="E1586" t="inlineStr">
        <is>
          <t>LJUSDAL</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23595-2025</t>
        </is>
      </c>
      <c r="B1587" s="1" t="n">
        <v>45792.64585648148</v>
      </c>
      <c r="C1587" s="1" t="n">
        <v>45992</v>
      </c>
      <c r="D1587" t="inlineStr">
        <is>
          <t>GÄVLEBORGS LÄN</t>
        </is>
      </c>
      <c r="E1587" t="inlineStr">
        <is>
          <t>LJUSDAL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23656-2025</t>
        </is>
      </c>
      <c r="B1588" s="1" t="n">
        <v>45792.7308449074</v>
      </c>
      <c r="C1588" s="1" t="n">
        <v>45992</v>
      </c>
      <c r="D1588" t="inlineStr">
        <is>
          <t>GÄVLEBORGS LÄN</t>
        </is>
      </c>
      <c r="E1588" t="inlineStr">
        <is>
          <t>LJUSDAL</t>
        </is>
      </c>
      <c r="F1588" t="inlineStr">
        <is>
          <t>Sveaskog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4420-2024</t>
        </is>
      </c>
      <c r="B1589" s="1" t="n">
        <v>45327</v>
      </c>
      <c r="C1589" s="1" t="n">
        <v>45992</v>
      </c>
      <c r="D1589" t="inlineStr">
        <is>
          <t>GÄVLEBORGS LÄN</t>
        </is>
      </c>
      <c r="E1589" t="inlineStr">
        <is>
          <t>LJUSDAL</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23477-2025</t>
        </is>
      </c>
      <c r="B1590" s="1" t="n">
        <v>45792.45667824074</v>
      </c>
      <c r="C1590" s="1" t="n">
        <v>45992</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26631-2024</t>
        </is>
      </c>
      <c r="B1591" s="1" t="n">
        <v>45469</v>
      </c>
      <c r="C1591" s="1" t="n">
        <v>45992</v>
      </c>
      <c r="D1591" t="inlineStr">
        <is>
          <t>GÄVLEBORGS LÄN</t>
        </is>
      </c>
      <c r="E1591" t="inlineStr">
        <is>
          <t>LJUSDAL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60957-2023</t>
        </is>
      </c>
      <c r="B1592" s="1" t="n">
        <v>45261</v>
      </c>
      <c r="C1592" s="1" t="n">
        <v>45992</v>
      </c>
      <c r="D1592" t="inlineStr">
        <is>
          <t>GÄVLEBORGS LÄN</t>
        </is>
      </c>
      <c r="E1592" t="inlineStr">
        <is>
          <t>LJUSDAL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24398-2025</t>
        </is>
      </c>
      <c r="B1593" s="1" t="n">
        <v>45797.64421296296</v>
      </c>
      <c r="C1593" s="1" t="n">
        <v>45992</v>
      </c>
      <c r="D1593" t="inlineStr">
        <is>
          <t>GÄVLEBORGS LÄN</t>
        </is>
      </c>
      <c r="E1593" t="inlineStr">
        <is>
          <t>LJUSDAL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24400-2025</t>
        </is>
      </c>
      <c r="B1594" s="1" t="n">
        <v>45797.64821759259</v>
      </c>
      <c r="C1594" s="1" t="n">
        <v>45992</v>
      </c>
      <c r="D1594" t="inlineStr">
        <is>
          <t>GÄVLEBORGS LÄN</t>
        </is>
      </c>
      <c r="E1594" t="inlineStr">
        <is>
          <t>LJUSDAL</t>
        </is>
      </c>
      <c r="G1594" t="n">
        <v>4.9</v>
      </c>
      <c r="H1594" t="n">
        <v>0</v>
      </c>
      <c r="I1594" t="n">
        <v>0</v>
      </c>
      <c r="J1594" t="n">
        <v>0</v>
      </c>
      <c r="K1594" t="n">
        <v>0</v>
      </c>
      <c r="L1594" t="n">
        <v>0</v>
      </c>
      <c r="M1594" t="n">
        <v>0</v>
      </c>
      <c r="N1594" t="n">
        <v>0</v>
      </c>
      <c r="O1594" t="n">
        <v>0</v>
      </c>
      <c r="P1594" t="n">
        <v>0</v>
      </c>
      <c r="Q1594" t="n">
        <v>0</v>
      </c>
      <c r="R1594" s="2" t="inlineStr"/>
    </row>
    <row r="1595">
      <c r="A1595" t="inlineStr">
        <is>
          <t>A 48870-2023</t>
        </is>
      </c>
      <c r="B1595" s="1" t="n">
        <v>45209.46043981481</v>
      </c>
      <c r="C1595" s="1" t="n">
        <v>45992</v>
      </c>
      <c r="D1595" t="inlineStr">
        <is>
          <t>GÄVLEBORGS LÄN</t>
        </is>
      </c>
      <c r="E1595" t="inlineStr">
        <is>
          <t>LJUSDAL</t>
        </is>
      </c>
      <c r="G1595" t="n">
        <v>1.8</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2025-12-01T10:27:27Z</dcterms:created>
  <dcterms:modified xmlns:dcterms="http://purl.org/dc/terms/" xmlns:xsi="http://www.w3.org/2001/XMLSchema-instance" xsi:type="dcterms:W3CDTF">2025-12-01T10:27:28Z</dcterms:modified>
</cp:coreProperties>
</file>