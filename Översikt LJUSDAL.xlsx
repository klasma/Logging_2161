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45363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45363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45363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45363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45363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45363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45363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45363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23984-2022</t>
        </is>
      </c>
      <c r="B10" s="1" t="n">
        <v>44722</v>
      </c>
      <c r="C10" s="1" t="n">
        <v>45363</v>
      </c>
      <c r="D10" t="inlineStr">
        <is>
          <t>GÄVLEBORGS LÄN</t>
        </is>
      </c>
      <c r="E10" t="inlineStr">
        <is>
          <t>LJUSDAL</t>
        </is>
      </c>
      <c r="G10" t="n">
        <v>36.7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Vågticka
Blanksvart spiklav
Garnlav
Kortskaftad ärgspik
Lunglav
Stjärntagging
Vedskivlav
Vitgrynig nållav
Dropptaggsvamp</t>
        </is>
      </c>
      <c r="S10">
        <f>HYPERLINK("https://klasma.github.io/Logging_2161/artfynd/A 23984-2022 artfynd.xlsx", "A 23984-2022")</f>
        <v/>
      </c>
      <c r="T10">
        <f>HYPERLINK("https://klasma.github.io/Logging_2161/kartor/A 23984-2022 karta.png", "A 23984-2022")</f>
        <v/>
      </c>
      <c r="U10">
        <f>HYPERLINK("https://klasma.github.io/Logging_2161/knärot/A 23984-2022 karta knärot.png", "A 23984-2022")</f>
        <v/>
      </c>
      <c r="V10">
        <f>HYPERLINK("https://klasma.github.io/Logging_2161/klagomål/A 23984-2022 FSC-klagomål.docx", "A 23984-2022")</f>
        <v/>
      </c>
      <c r="W10">
        <f>HYPERLINK("https://klasma.github.io/Logging_2161/klagomålsmail/A 23984-2022 FSC-klagomål mail.docx", "A 23984-2022")</f>
        <v/>
      </c>
      <c r="X10">
        <f>HYPERLINK("https://klasma.github.io/Logging_2161/tillsyn/A 23984-2022 tillsynsbegäran.docx", "A 23984-2022")</f>
        <v/>
      </c>
      <c r="Y10">
        <f>HYPERLINK("https://klasma.github.io/Logging_2161/tillsynsmail/A 23984-2022 tillsynsbegäran mail.docx", "A 23984-2022")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45363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69572-2020</t>
        </is>
      </c>
      <c r="B12" s="1" t="n">
        <v>44194</v>
      </c>
      <c r="C12" s="1" t="n">
        <v>45363</v>
      </c>
      <c r="D12" t="inlineStr">
        <is>
          <t>GÄVLEBORGS LÄN</t>
        </is>
      </c>
      <c r="E12" t="inlineStr">
        <is>
          <t>LJUSDAL</t>
        </is>
      </c>
      <c r="G12" t="n">
        <v>16.1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Knärot
Rynkskinn
Garnlav
Rosenticka
Stuplav
Vedticka
Vårärt
Nattviol</t>
        </is>
      </c>
      <c r="S12">
        <f>HYPERLINK("https://klasma.github.io/Logging_2161/artfynd/A 69572-2020 artfynd.xlsx", "A 69572-2020")</f>
        <v/>
      </c>
      <c r="T12">
        <f>HYPERLINK("https://klasma.github.io/Logging_2161/kartor/A 69572-2020 karta.png", "A 69572-2020")</f>
        <v/>
      </c>
      <c r="U12">
        <f>HYPERLINK("https://klasma.github.io/Logging_2161/knärot/A 69572-2020 karta knärot.png", "A 69572-2020")</f>
        <v/>
      </c>
      <c r="V12">
        <f>HYPERLINK("https://klasma.github.io/Logging_2161/klagomål/A 69572-2020 FSC-klagomål.docx", "A 69572-2020")</f>
        <v/>
      </c>
      <c r="W12">
        <f>HYPERLINK("https://klasma.github.io/Logging_2161/klagomålsmail/A 69572-2020 FSC-klagomål mail.docx", "A 69572-2020")</f>
        <v/>
      </c>
      <c r="X12">
        <f>HYPERLINK("https://klasma.github.io/Logging_2161/tillsyn/A 69572-2020 tillsynsbegäran.docx", "A 69572-2020")</f>
        <v/>
      </c>
      <c r="Y12">
        <f>HYPERLINK("https://klasma.github.io/Logging_2161/tillsynsmail/A 69572-2020 tillsynsbegäran mail.docx", "A 69572-2020")</f>
        <v/>
      </c>
    </row>
    <row r="13" ht="15" customHeight="1">
      <c r="A13" t="inlineStr">
        <is>
          <t>A 27315-2023</t>
        </is>
      </c>
      <c r="B13" s="1" t="n">
        <v>45096</v>
      </c>
      <c r="C13" s="1" t="n">
        <v>45363</v>
      </c>
      <c r="D13" t="inlineStr">
        <is>
          <t>GÄVLEBORGS LÄN</t>
        </is>
      </c>
      <c r="E13" t="inlineStr">
        <is>
          <t>LJUSDAL</t>
        </is>
      </c>
      <c r="G13" t="n">
        <v>10.5</v>
      </c>
      <c r="H13" t="n">
        <v>1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Lunglav
Skrovellav
Korallblylav
Mörk husmossa
Spindelblomster
Stuplav</t>
        </is>
      </c>
      <c r="S13">
        <f>HYPERLINK("https://klasma.github.io/Logging_2161/artfynd/A 27315-2023 artfynd.xlsx", "A 27315-2023")</f>
        <v/>
      </c>
      <c r="T13">
        <f>HYPERLINK("https://klasma.github.io/Logging_2161/kartor/A 27315-2023 karta.png", "A 27315-2023")</f>
        <v/>
      </c>
      <c r="V13">
        <f>HYPERLINK("https://klasma.github.io/Logging_2161/klagomål/A 27315-2023 FSC-klagomål.docx", "A 27315-2023")</f>
        <v/>
      </c>
      <c r="W13">
        <f>HYPERLINK("https://klasma.github.io/Logging_2161/klagomålsmail/A 27315-2023 FSC-klagomål mail.docx", "A 27315-2023")</f>
        <v/>
      </c>
      <c r="X13">
        <f>HYPERLINK("https://klasma.github.io/Logging_2161/tillsyn/A 27315-2023 tillsynsbegäran.docx", "A 27315-2023")</f>
        <v/>
      </c>
      <c r="Y13">
        <f>HYPERLINK("https://klasma.github.io/Logging_2161/tillsynsmail/A 27315-2023 tillsynsbegäran mail.docx", "A 27315-2023")</f>
        <v/>
      </c>
    </row>
    <row r="14" ht="15" customHeight="1">
      <c r="A14" t="inlineStr">
        <is>
          <t>A 40223-2018</t>
        </is>
      </c>
      <c r="B14" s="1" t="n">
        <v>43343</v>
      </c>
      <c r="C14" s="1" t="n">
        <v>45363</v>
      </c>
      <c r="D14" t="inlineStr">
        <is>
          <t>GÄVLEBORGS LÄN</t>
        </is>
      </c>
      <c r="E14" t="inlineStr">
        <is>
          <t>LJUSDAL</t>
        </is>
      </c>
      <c r="G14" t="n">
        <v>33.8</v>
      </c>
      <c r="H14" t="n">
        <v>0</v>
      </c>
      <c r="I14" t="n">
        <v>1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7</v>
      </c>
      <c r="R14" s="2" t="inlineStr">
        <is>
          <t>Goliatmusseron
Tallgråticka
Blå taggsvamp
Orange taggsvamp
Skrovlig taggsvamp
Tallriska
Dropptaggsvamp</t>
        </is>
      </c>
      <c r="S14">
        <f>HYPERLINK("https://klasma.github.io/Logging_2161/artfynd/A 40223-2018 artfynd.xlsx", "A 40223-2018")</f>
        <v/>
      </c>
      <c r="T14">
        <f>HYPERLINK("https://klasma.github.io/Logging_2161/kartor/A 40223-2018 karta.png", "A 40223-2018")</f>
        <v/>
      </c>
      <c r="V14">
        <f>HYPERLINK("https://klasma.github.io/Logging_2161/klagomål/A 40223-2018 FSC-klagomål.docx", "A 40223-2018")</f>
        <v/>
      </c>
      <c r="W14">
        <f>HYPERLINK("https://klasma.github.io/Logging_2161/klagomålsmail/A 40223-2018 FSC-klagomål mail.docx", "A 40223-2018")</f>
        <v/>
      </c>
      <c r="X14">
        <f>HYPERLINK("https://klasma.github.io/Logging_2161/tillsyn/A 40223-2018 tillsynsbegäran.docx", "A 40223-2018")</f>
        <v/>
      </c>
      <c r="Y14">
        <f>HYPERLINK("https://klasma.github.io/Logging_2161/tillsynsmail/A 40223-2018 tillsynsbegäran mail.docx", "A 40223-2018")</f>
        <v/>
      </c>
    </row>
    <row r="15" ht="15" customHeight="1">
      <c r="A15" t="inlineStr">
        <is>
          <t>A 51557-2022</t>
        </is>
      </c>
      <c r="B15" s="1" t="n">
        <v>44869</v>
      </c>
      <c r="C15" s="1" t="n">
        <v>45363</v>
      </c>
      <c r="D15" t="inlineStr">
        <is>
          <t>GÄVLEBORGS LÄN</t>
        </is>
      </c>
      <c r="E15" t="inlineStr">
        <is>
          <t>LJUSDAL</t>
        </is>
      </c>
      <c r="F15" t="inlineStr">
        <is>
          <t>SCA</t>
        </is>
      </c>
      <c r="G15" t="n">
        <v>8.300000000000001</v>
      </c>
      <c r="H15" t="n">
        <v>3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Kolflarnlav
Mörk kolflarnlav
Korallrot
Plattlummer
Revlummer</t>
        </is>
      </c>
      <c r="S15">
        <f>HYPERLINK("https://klasma.github.io/Logging_2161/artfynd/A 51557-2022 artfynd.xlsx", "A 51557-2022")</f>
        <v/>
      </c>
      <c r="T15">
        <f>HYPERLINK("https://klasma.github.io/Logging_2161/kartor/A 51557-2022 karta.png", "A 51557-2022")</f>
        <v/>
      </c>
      <c r="V15">
        <f>HYPERLINK("https://klasma.github.io/Logging_2161/klagomål/A 51557-2022 FSC-klagomål.docx", "A 51557-2022")</f>
        <v/>
      </c>
      <c r="W15">
        <f>HYPERLINK("https://klasma.github.io/Logging_2161/klagomålsmail/A 51557-2022 FSC-klagomål mail.docx", "A 51557-2022")</f>
        <v/>
      </c>
      <c r="X15">
        <f>HYPERLINK("https://klasma.github.io/Logging_2161/tillsyn/A 51557-2022 tillsynsbegäran.docx", "A 51557-2022")</f>
        <v/>
      </c>
      <c r="Y15">
        <f>HYPERLINK("https://klasma.github.io/Logging_2161/tillsynsmail/A 51557-2022 tillsynsbegäran mail.docx", "A 51557-2022")</f>
        <v/>
      </c>
    </row>
    <row r="16" ht="15" customHeight="1">
      <c r="A16" t="inlineStr">
        <is>
          <t>A 54276-2023</t>
        </is>
      </c>
      <c r="B16" s="1" t="n">
        <v>45232</v>
      </c>
      <c r="C16" s="1" t="n">
        <v>45363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7.2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Alflugsvamp
Garnlav
Kolflarnlav
Lunglav
Skrovellav
Vedflamlav</t>
        </is>
      </c>
      <c r="S16">
        <f>HYPERLINK("https://klasma.github.io/Logging_2161/artfynd/A 54276-2023 artfynd.xlsx", "A 54276-2023")</f>
        <v/>
      </c>
      <c r="T16">
        <f>HYPERLINK("https://klasma.github.io/Logging_2161/kartor/A 54276-2023 karta.png", "A 54276-2023")</f>
        <v/>
      </c>
      <c r="U16">
        <f>HYPERLINK("https://klasma.github.io/Logging_2161/knärot/A 54276-2023 karta knärot.png", "A 54276-2023")</f>
        <v/>
      </c>
      <c r="V16">
        <f>HYPERLINK("https://klasma.github.io/Logging_2161/klagomål/A 54276-2023 FSC-klagomål.docx", "A 54276-2023")</f>
        <v/>
      </c>
      <c r="W16">
        <f>HYPERLINK("https://klasma.github.io/Logging_2161/klagomålsmail/A 54276-2023 FSC-klagomål mail.docx", "A 54276-2023")</f>
        <v/>
      </c>
      <c r="X16">
        <f>HYPERLINK("https://klasma.github.io/Logging_2161/tillsyn/A 54276-2023 tillsynsbegäran.docx", "A 54276-2023")</f>
        <v/>
      </c>
      <c r="Y16">
        <f>HYPERLINK("https://klasma.github.io/Logging_2161/tillsynsmail/A 54276-2023 tillsynsbegäran mail.docx", "A 54276-2023")</f>
        <v/>
      </c>
    </row>
    <row r="17" ht="15" customHeight="1">
      <c r="A17" t="inlineStr">
        <is>
          <t>A 43108-2021</t>
        </is>
      </c>
      <c r="B17" s="1" t="n">
        <v>44431</v>
      </c>
      <c r="C17" s="1" t="n">
        <v>45363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6</v>
      </c>
      <c r="R17" s="2" t="inlineStr">
        <is>
          <t>Knärot
Rynkskinn
Gammelgransskål
Garnlav
Lunglav
Ullticka</t>
        </is>
      </c>
      <c r="S17">
        <f>HYPERLINK("https://klasma.github.io/Logging_2161/artfynd/A 43108-2021 artfynd.xlsx", "A 43108-2021")</f>
        <v/>
      </c>
      <c r="T17">
        <f>HYPERLINK("https://klasma.github.io/Logging_2161/kartor/A 43108-2021 karta.png", "A 43108-2021")</f>
        <v/>
      </c>
      <c r="U17">
        <f>HYPERLINK("https://klasma.github.io/Logging_2161/knärot/A 43108-2021 karta knärot.png", "A 43108-2021")</f>
        <v/>
      </c>
      <c r="V17">
        <f>HYPERLINK("https://klasma.github.io/Logging_2161/klagomål/A 43108-2021 FSC-klagomål.docx", "A 43108-2021")</f>
        <v/>
      </c>
      <c r="W17">
        <f>HYPERLINK("https://klasma.github.io/Logging_2161/klagomålsmail/A 43108-2021 FSC-klagomål mail.docx", "A 43108-2021")</f>
        <v/>
      </c>
      <c r="X17">
        <f>HYPERLINK("https://klasma.github.io/Logging_2161/tillsyn/A 43108-2021 tillsynsbegäran.docx", "A 43108-2021")</f>
        <v/>
      </c>
      <c r="Y17">
        <f>HYPERLINK("https://klasma.github.io/Logging_2161/tillsynsmail/A 43108-2021 tillsynsbegäran mail.docx", "A 43108-2021")</f>
        <v/>
      </c>
    </row>
    <row r="18" ht="15" customHeight="1">
      <c r="A18" t="inlineStr">
        <is>
          <t>A 18631-2022</t>
        </is>
      </c>
      <c r="B18" s="1" t="n">
        <v>44687</v>
      </c>
      <c r="C18" s="1" t="n">
        <v>45363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10.8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Lunglav
Mörk kolflarnlav
Spillkråka
Tretåig hackspett
Rävticka</t>
        </is>
      </c>
      <c r="S18">
        <f>HYPERLINK("https://klasma.github.io/Logging_2161/artfynd/A 18631-2022 artfynd.xlsx", "A 18631-2022")</f>
        <v/>
      </c>
      <c r="T18">
        <f>HYPERLINK("https://klasma.github.io/Logging_2161/kartor/A 18631-2022 karta.png", "A 18631-2022")</f>
        <v/>
      </c>
      <c r="U18">
        <f>HYPERLINK("https://klasma.github.io/Logging_2161/knärot/A 18631-2022 karta knärot.png", "A 18631-2022")</f>
        <v/>
      </c>
      <c r="V18">
        <f>HYPERLINK("https://klasma.github.io/Logging_2161/klagomål/A 18631-2022 FSC-klagomål.docx", "A 18631-2022")</f>
        <v/>
      </c>
      <c r="W18">
        <f>HYPERLINK("https://klasma.github.io/Logging_2161/klagomålsmail/A 18631-2022 FSC-klagomål mail.docx", "A 18631-2022")</f>
        <v/>
      </c>
      <c r="X18">
        <f>HYPERLINK("https://klasma.github.io/Logging_2161/tillsyn/A 18631-2022 tillsynsbegäran.docx", "A 18631-2022")</f>
        <v/>
      </c>
      <c r="Y18">
        <f>HYPERLINK("https://klasma.github.io/Logging_2161/tillsynsmail/A 18631-2022 tillsynsbegäran mail.docx", "A 18631-2022")</f>
        <v/>
      </c>
      <c r="Z18">
        <f>HYPERLINK("https://klasma.github.io/Logging_2161/fåglar/A 18631-2022 prioriterade fågelarter.docx", "A 18631-2022")</f>
        <v/>
      </c>
    </row>
    <row r="19" ht="15" customHeight="1">
      <c r="A19" t="inlineStr">
        <is>
          <t>A 18705-2022</t>
        </is>
      </c>
      <c r="B19" s="1" t="n">
        <v>44687</v>
      </c>
      <c r="C19" s="1" t="n">
        <v>45363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3.3</v>
      </c>
      <c r="H19" t="n">
        <v>2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Doftticka
Garnlav
Lunglav
Tretåig hackspett
Skinnlav
Stuplav</t>
        </is>
      </c>
      <c r="S19">
        <f>HYPERLINK("https://klasma.github.io/Logging_2161/artfynd/A 18705-2022 artfynd.xlsx", "A 18705-2022")</f>
        <v/>
      </c>
      <c r="T19">
        <f>HYPERLINK("https://klasma.github.io/Logging_2161/kartor/A 18705-2022 karta.png", "A 18705-2022")</f>
        <v/>
      </c>
      <c r="U19">
        <f>HYPERLINK("https://klasma.github.io/Logging_2161/knärot/A 18705-2022 karta knärot.png", "A 18705-2022")</f>
        <v/>
      </c>
      <c r="V19">
        <f>HYPERLINK("https://klasma.github.io/Logging_2161/klagomål/A 18705-2022 FSC-klagomål.docx", "A 18705-2022")</f>
        <v/>
      </c>
      <c r="W19">
        <f>HYPERLINK("https://klasma.github.io/Logging_2161/klagomålsmail/A 18705-2022 FSC-klagomål mail.docx", "A 18705-2022")</f>
        <v/>
      </c>
      <c r="X19">
        <f>HYPERLINK("https://klasma.github.io/Logging_2161/tillsyn/A 18705-2022 tillsynsbegäran.docx", "A 18705-2022")</f>
        <v/>
      </c>
      <c r="Y19">
        <f>HYPERLINK("https://klasma.github.io/Logging_2161/tillsynsmail/A 18705-2022 tillsynsbegäran mail.docx", "A 18705-2022")</f>
        <v/>
      </c>
      <c r="Z19">
        <f>HYPERLINK("https://klasma.github.io/Logging_2161/fåglar/A 18705-2022 prioriterade fågelarter.docx", "A 18705-2022")</f>
        <v/>
      </c>
    </row>
    <row r="20" ht="15" customHeight="1">
      <c r="A20" t="inlineStr">
        <is>
          <t>A 20628-2022</t>
        </is>
      </c>
      <c r="B20" s="1" t="n">
        <v>44700</v>
      </c>
      <c r="C20" s="1" t="n">
        <v>45363</v>
      </c>
      <c r="D20" t="inlineStr">
        <is>
          <t>GÄVLEBORGS LÄN</t>
        </is>
      </c>
      <c r="E20" t="inlineStr">
        <is>
          <t>LJUSDAL</t>
        </is>
      </c>
      <c r="F20" t="inlineStr">
        <is>
          <t>Holmen skog AB</t>
        </is>
      </c>
      <c r="G20" t="n">
        <v>6.9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Talltita
Tretåig hackspett
Fläcknycklar
Revlummer</t>
        </is>
      </c>
      <c r="S20">
        <f>HYPERLINK("https://klasma.github.io/Logging_2161/artfynd/A 20628-2022 artfynd.xlsx", "A 20628-2022")</f>
        <v/>
      </c>
      <c r="T20">
        <f>HYPERLINK("https://klasma.github.io/Logging_2161/kartor/A 20628-2022 karta.png", "A 20628-2022")</f>
        <v/>
      </c>
      <c r="V20">
        <f>HYPERLINK("https://klasma.github.io/Logging_2161/klagomål/A 20628-2022 FSC-klagomål.docx", "A 20628-2022")</f>
        <v/>
      </c>
      <c r="W20">
        <f>HYPERLINK("https://klasma.github.io/Logging_2161/klagomålsmail/A 20628-2022 FSC-klagomål mail.docx", "A 20628-2022")</f>
        <v/>
      </c>
      <c r="X20">
        <f>HYPERLINK("https://klasma.github.io/Logging_2161/tillsyn/A 20628-2022 tillsynsbegäran.docx", "A 20628-2022")</f>
        <v/>
      </c>
      <c r="Y20">
        <f>HYPERLINK("https://klasma.github.io/Logging_2161/tillsynsmail/A 20628-2022 tillsynsbegäran mail.docx", "A 20628-2022")</f>
        <v/>
      </c>
      <c r="Z20">
        <f>HYPERLINK("https://klasma.github.io/Logging_2161/fåglar/A 20628-2022 prioriterade fågelarter.docx", "A 20628-2022")</f>
        <v/>
      </c>
    </row>
    <row r="21" ht="15" customHeight="1">
      <c r="A21" t="inlineStr">
        <is>
          <t>A 63252-2023</t>
        </is>
      </c>
      <c r="B21" s="1" t="n">
        <v>45273</v>
      </c>
      <c r="C21" s="1" t="n">
        <v>45363</v>
      </c>
      <c r="D21" t="inlineStr">
        <is>
          <t>GÄVLEBORGS LÄN</t>
        </is>
      </c>
      <c r="E21" t="inlineStr">
        <is>
          <t>LJUSDAL</t>
        </is>
      </c>
      <c r="G21" t="n">
        <v>17.1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Lunglav
Motaggsvamp
Tallticka
Dropptaggsvamp
Skarp dropptaggsvamp</t>
        </is>
      </c>
      <c r="S21">
        <f>HYPERLINK("https://klasma.github.io/Logging_2161/artfynd/A 63252-2023 artfynd.xlsx", "A 63252-2023")</f>
        <v/>
      </c>
      <c r="T21">
        <f>HYPERLINK("https://klasma.github.io/Logging_2161/kartor/A 63252-2023 karta.png", "A 63252-2023")</f>
        <v/>
      </c>
      <c r="V21">
        <f>HYPERLINK("https://klasma.github.io/Logging_2161/klagomål/A 63252-2023 FSC-klagomål.docx", "A 63252-2023")</f>
        <v/>
      </c>
      <c r="W21">
        <f>HYPERLINK("https://klasma.github.io/Logging_2161/klagomålsmail/A 63252-2023 FSC-klagomål mail.docx", "A 63252-2023")</f>
        <v/>
      </c>
      <c r="X21">
        <f>HYPERLINK("https://klasma.github.io/Logging_2161/tillsyn/A 63252-2023 tillsynsbegäran.docx", "A 63252-2023")</f>
        <v/>
      </c>
      <c r="Y21">
        <f>HYPERLINK("https://klasma.github.io/Logging_2161/tillsynsmail/A 63252-2023 tillsynsbegäran mail.docx", "A 63252-2023")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45363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45363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45363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45363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45363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45363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45363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45363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45363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45363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45363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45363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46239-2018</t>
        </is>
      </c>
      <c r="B34" s="1" t="n">
        <v>43367</v>
      </c>
      <c r="C34" s="1" t="n">
        <v>45363</v>
      </c>
      <c r="D34" t="inlineStr">
        <is>
          <t>GÄVLEBORGS LÄN</t>
        </is>
      </c>
      <c r="E34" t="inlineStr">
        <is>
          <t>LJUSDAL</t>
        </is>
      </c>
      <c r="G34" t="n">
        <v>113.5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Buskskvätta
Slåtterfibbla
Nattviol</t>
        </is>
      </c>
      <c r="S34">
        <f>HYPERLINK("https://klasma.github.io/Logging_2161/artfynd/A 46239-2018 artfynd.xlsx", "A 46239-2018")</f>
        <v/>
      </c>
      <c r="T34">
        <f>HYPERLINK("https://klasma.github.io/Logging_2161/kartor/A 46239-2018 karta.png", "A 46239-2018")</f>
        <v/>
      </c>
      <c r="V34">
        <f>HYPERLINK("https://klasma.github.io/Logging_2161/klagomål/A 46239-2018 FSC-klagomål.docx", "A 46239-2018")</f>
        <v/>
      </c>
      <c r="W34">
        <f>HYPERLINK("https://klasma.github.io/Logging_2161/klagomålsmail/A 46239-2018 FSC-klagomål mail.docx", "A 46239-2018")</f>
        <v/>
      </c>
      <c r="X34">
        <f>HYPERLINK("https://klasma.github.io/Logging_2161/tillsyn/A 46239-2018 tillsynsbegäran.docx", "A 46239-2018")</f>
        <v/>
      </c>
      <c r="Y34">
        <f>HYPERLINK("https://klasma.github.io/Logging_2161/tillsynsmail/A 46239-2018 tillsynsbegäran mail.docx", "A 46239-2018")</f>
        <v/>
      </c>
      <c r="Z34">
        <f>HYPERLINK("https://klasma.github.io/Logging_2161/fåglar/A 46239-2018 prioriterade fågelarter.docx", "A 46239-2018")</f>
        <v/>
      </c>
    </row>
    <row r="35" ht="15" customHeight="1">
      <c r="A35" t="inlineStr">
        <is>
          <t>A 67528-2018</t>
        </is>
      </c>
      <c r="B35" s="1" t="n">
        <v>43432</v>
      </c>
      <c r="C35" s="1" t="n">
        <v>45363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509.1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Ortolansparv
Brunag
Svedjenäva
Tibast</t>
        </is>
      </c>
      <c r="S35">
        <f>HYPERLINK("https://klasma.github.io/Logging_2161/artfynd/A 67528-2018 artfynd.xlsx", "A 67528-2018")</f>
        <v/>
      </c>
      <c r="T35">
        <f>HYPERLINK("https://klasma.github.io/Logging_2161/kartor/A 67528-2018 karta.png", "A 67528-2018")</f>
        <v/>
      </c>
      <c r="V35">
        <f>HYPERLINK("https://klasma.github.io/Logging_2161/klagomål/A 67528-2018 FSC-klagomål.docx", "A 67528-2018")</f>
        <v/>
      </c>
      <c r="W35">
        <f>HYPERLINK("https://klasma.github.io/Logging_2161/klagomålsmail/A 67528-2018 FSC-klagomål mail.docx", "A 67528-2018")</f>
        <v/>
      </c>
      <c r="X35">
        <f>HYPERLINK("https://klasma.github.io/Logging_2161/tillsyn/A 67528-2018 tillsynsbegäran.docx", "A 67528-2018")</f>
        <v/>
      </c>
      <c r="Y35">
        <f>HYPERLINK("https://klasma.github.io/Logging_2161/tillsynsmail/A 67528-2018 tillsynsbegäran mail.docx", "A 67528-2018")</f>
        <v/>
      </c>
      <c r="Z35">
        <f>HYPERLINK("https://klasma.github.io/Logging_2161/fåglar/A 67528-2018 prioriterade fågelarter.docx", "A 67528-2018")</f>
        <v/>
      </c>
    </row>
    <row r="36" ht="15" customHeight="1">
      <c r="A36" t="inlineStr">
        <is>
          <t>A 7569-2020</t>
        </is>
      </c>
      <c r="B36" s="1" t="n">
        <v>43872</v>
      </c>
      <c r="C36" s="1" t="n">
        <v>45363</v>
      </c>
      <c r="D36" t="inlineStr">
        <is>
          <t>GÄVLEBORGS LÄN</t>
        </is>
      </c>
      <c r="E36" t="inlineStr">
        <is>
          <t>LJUSDAL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Blanksvart spiklav
Garnlav
Mörk kolflarnlav
Skrovellav</t>
        </is>
      </c>
      <c r="S36">
        <f>HYPERLINK("https://klasma.github.io/Logging_2161/artfynd/A 7569-2020 artfynd.xlsx", "A 7569-2020")</f>
        <v/>
      </c>
      <c r="T36">
        <f>HYPERLINK("https://klasma.github.io/Logging_2161/kartor/A 7569-2020 karta.png", "A 7569-2020")</f>
        <v/>
      </c>
      <c r="V36">
        <f>HYPERLINK("https://klasma.github.io/Logging_2161/klagomål/A 7569-2020 FSC-klagomål.docx", "A 7569-2020")</f>
        <v/>
      </c>
      <c r="W36">
        <f>HYPERLINK("https://klasma.github.io/Logging_2161/klagomålsmail/A 7569-2020 FSC-klagomål mail.docx", "A 7569-2020")</f>
        <v/>
      </c>
      <c r="X36">
        <f>HYPERLINK("https://klasma.github.io/Logging_2161/tillsyn/A 7569-2020 tillsynsbegäran.docx", "A 7569-2020")</f>
        <v/>
      </c>
      <c r="Y36">
        <f>HYPERLINK("https://klasma.github.io/Logging_2161/tillsynsmail/A 7569-2020 tillsynsbegäran mail.docx", "A 7569-2020")</f>
        <v/>
      </c>
    </row>
    <row r="37" ht="15" customHeight="1">
      <c r="A37" t="inlineStr">
        <is>
          <t>A 48181-2021</t>
        </is>
      </c>
      <c r="B37" s="1" t="n">
        <v>44449</v>
      </c>
      <c r="C37" s="1" t="n">
        <v>45363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Dropptaggsvamp</t>
        </is>
      </c>
      <c r="S37">
        <f>HYPERLINK("https://klasma.github.io/Logging_2161/artfynd/A 48181-2021 artfynd.xlsx", "A 48181-2021")</f>
        <v/>
      </c>
      <c r="T37">
        <f>HYPERLINK("https://klasma.github.io/Logging_2161/kartor/A 48181-2021 karta.png", "A 48181-2021")</f>
        <v/>
      </c>
      <c r="V37">
        <f>HYPERLINK("https://klasma.github.io/Logging_2161/klagomål/A 48181-2021 FSC-klagomål.docx", "A 48181-2021")</f>
        <v/>
      </c>
      <c r="W37">
        <f>HYPERLINK("https://klasma.github.io/Logging_2161/klagomålsmail/A 48181-2021 FSC-klagomål mail.docx", "A 48181-2021")</f>
        <v/>
      </c>
      <c r="X37">
        <f>HYPERLINK("https://klasma.github.io/Logging_2161/tillsyn/A 48181-2021 tillsynsbegäran.docx", "A 48181-2021")</f>
        <v/>
      </c>
      <c r="Y37">
        <f>HYPERLINK("https://klasma.github.io/Logging_2161/tillsynsmail/A 48181-2021 tillsynsbegäran mail.docx", "A 48181-2021")</f>
        <v/>
      </c>
    </row>
    <row r="38" ht="15" customHeight="1">
      <c r="A38" t="inlineStr">
        <is>
          <t>A 18543-2022</t>
        </is>
      </c>
      <c r="B38" s="1" t="n">
        <v>44686</v>
      </c>
      <c r="C38" s="1" t="n">
        <v>45363</v>
      </c>
      <c r="D38" t="inlineStr">
        <is>
          <t>GÄVLEBORGS LÄN</t>
        </is>
      </c>
      <c r="E38" t="inlineStr">
        <is>
          <t>LJUSDAL</t>
        </is>
      </c>
      <c r="G38" t="n">
        <v>3.6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Vedtrappmossa
Bårdlav
Stuplav</t>
        </is>
      </c>
      <c r="S38">
        <f>HYPERLINK("https://klasma.github.io/Logging_2161/artfynd/A 18543-2022 artfynd.xlsx", "A 18543-2022")</f>
        <v/>
      </c>
      <c r="T38">
        <f>HYPERLINK("https://klasma.github.io/Logging_2161/kartor/A 18543-2022 karta.png", "A 18543-2022")</f>
        <v/>
      </c>
      <c r="U38">
        <f>HYPERLINK("https://klasma.github.io/Logging_2161/knärot/A 18543-2022 karta knärot.png", "A 18543-2022")</f>
        <v/>
      </c>
      <c r="V38">
        <f>HYPERLINK("https://klasma.github.io/Logging_2161/klagomål/A 18543-2022 FSC-klagomål.docx", "A 18543-2022")</f>
        <v/>
      </c>
      <c r="W38">
        <f>HYPERLINK("https://klasma.github.io/Logging_2161/klagomålsmail/A 18543-2022 FSC-klagomål mail.docx", "A 18543-2022")</f>
        <v/>
      </c>
      <c r="X38">
        <f>HYPERLINK("https://klasma.github.io/Logging_2161/tillsyn/A 18543-2022 tillsynsbegäran.docx", "A 18543-2022")</f>
        <v/>
      </c>
      <c r="Y38">
        <f>HYPERLINK("https://klasma.github.io/Logging_2161/tillsynsmail/A 18543-2022 tillsynsbegäran mail.docx", "A 18543-2022")</f>
        <v/>
      </c>
    </row>
    <row r="39" ht="15" customHeight="1">
      <c r="A39" t="inlineStr">
        <is>
          <t>A 30311-2022</t>
        </is>
      </c>
      <c r="B39" s="1" t="n">
        <v>44760</v>
      </c>
      <c r="C39" s="1" t="n">
        <v>45363</v>
      </c>
      <c r="D39" t="inlineStr">
        <is>
          <t>GÄVLEBORGS LÄN</t>
        </is>
      </c>
      <c r="E39" t="inlineStr">
        <is>
          <t>LJUSDAL</t>
        </is>
      </c>
      <c r="F39" t="inlineStr">
        <is>
          <t>Bergvik skog väst AB</t>
        </is>
      </c>
      <c r="G39" t="n">
        <v>18.3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Mörk kolflarnlav
Vedflamlav
Vedskivlav</t>
        </is>
      </c>
      <c r="S39">
        <f>HYPERLINK("https://klasma.github.io/Logging_2161/artfynd/A 30311-2022 artfynd.xlsx", "A 30311-2022")</f>
        <v/>
      </c>
      <c r="T39">
        <f>HYPERLINK("https://klasma.github.io/Logging_2161/kartor/A 30311-2022 karta.png", "A 30311-2022")</f>
        <v/>
      </c>
      <c r="V39">
        <f>HYPERLINK("https://klasma.github.io/Logging_2161/klagomål/A 30311-2022 FSC-klagomål.docx", "A 30311-2022")</f>
        <v/>
      </c>
      <c r="W39">
        <f>HYPERLINK("https://klasma.github.io/Logging_2161/klagomålsmail/A 30311-2022 FSC-klagomål mail.docx", "A 30311-2022")</f>
        <v/>
      </c>
      <c r="X39">
        <f>HYPERLINK("https://klasma.github.io/Logging_2161/tillsyn/A 30311-2022 tillsynsbegäran.docx", "A 30311-2022")</f>
        <v/>
      </c>
      <c r="Y39">
        <f>HYPERLINK("https://klasma.github.io/Logging_2161/tillsynsmail/A 30311-2022 tillsynsbegäran mail.docx", "A 30311-2022")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45363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45363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45363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45363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45363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45363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45363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45363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45363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43562-2018</t>
        </is>
      </c>
      <c r="B49" s="1" t="n">
        <v>43357</v>
      </c>
      <c r="C49" s="1" t="n">
        <v>45363</v>
      </c>
      <c r="D49" t="inlineStr">
        <is>
          <t>GÄVLEBORGS LÄN</t>
        </is>
      </c>
      <c r="E49" t="inlineStr">
        <is>
          <t>LJUSDAL</t>
        </is>
      </c>
      <c r="G49" t="n">
        <v>64.59999999999999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Björktrast
Rödvingetrast
Tretåig hackspett</t>
        </is>
      </c>
      <c r="S49">
        <f>HYPERLINK("https://klasma.github.io/Logging_2161/artfynd/A 43562-2018 artfynd.xlsx", "A 43562-2018")</f>
        <v/>
      </c>
      <c r="T49">
        <f>HYPERLINK("https://klasma.github.io/Logging_2161/kartor/A 43562-2018 karta.png", "A 43562-2018")</f>
        <v/>
      </c>
      <c r="V49">
        <f>HYPERLINK("https://klasma.github.io/Logging_2161/klagomål/A 43562-2018 FSC-klagomål.docx", "A 43562-2018")</f>
        <v/>
      </c>
      <c r="W49">
        <f>HYPERLINK("https://klasma.github.io/Logging_2161/klagomålsmail/A 43562-2018 FSC-klagomål mail.docx", "A 43562-2018")</f>
        <v/>
      </c>
      <c r="X49">
        <f>HYPERLINK("https://klasma.github.io/Logging_2161/tillsyn/A 43562-2018 tillsynsbegäran.docx", "A 43562-2018")</f>
        <v/>
      </c>
      <c r="Y49">
        <f>HYPERLINK("https://klasma.github.io/Logging_2161/tillsynsmail/A 43562-2018 tillsynsbegäran mail.docx", "A 43562-2018")</f>
        <v/>
      </c>
      <c r="Z49">
        <f>HYPERLINK("https://klasma.github.io/Logging_2161/fåglar/A 43562-2018 prioriterade fågelarter.docx", "A 43562-2018")</f>
        <v/>
      </c>
    </row>
    <row r="50" ht="15" customHeight="1">
      <c r="A50" t="inlineStr">
        <is>
          <t>A 29664-2019</t>
        </is>
      </c>
      <c r="B50" s="1" t="n">
        <v>43628</v>
      </c>
      <c r="C50" s="1" t="n">
        <v>45363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Dropptaggsvamp</t>
        </is>
      </c>
      <c r="S50">
        <f>HYPERLINK("https://klasma.github.io/Logging_2161/artfynd/A 29664-2019 artfynd.xlsx", "A 29664-2019")</f>
        <v/>
      </c>
      <c r="T50">
        <f>HYPERLINK("https://klasma.github.io/Logging_2161/kartor/A 29664-2019 karta.png", "A 29664-2019")</f>
        <v/>
      </c>
      <c r="U50">
        <f>HYPERLINK("https://klasma.github.io/Logging_2161/knärot/A 29664-2019 karta knärot.png", "A 29664-2019")</f>
        <v/>
      </c>
      <c r="V50">
        <f>HYPERLINK("https://klasma.github.io/Logging_2161/klagomål/A 29664-2019 FSC-klagomål.docx", "A 29664-2019")</f>
        <v/>
      </c>
      <c r="W50">
        <f>HYPERLINK("https://klasma.github.io/Logging_2161/klagomålsmail/A 29664-2019 FSC-klagomål mail.docx", "A 29664-2019")</f>
        <v/>
      </c>
      <c r="X50">
        <f>HYPERLINK("https://klasma.github.io/Logging_2161/tillsyn/A 29664-2019 tillsynsbegäran.docx", "A 29664-2019")</f>
        <v/>
      </c>
      <c r="Y50">
        <f>HYPERLINK("https://klasma.github.io/Logging_2161/tillsynsmail/A 29664-2019 tillsynsbegäran mail.docx", "A 29664-2019")</f>
        <v/>
      </c>
    </row>
    <row r="51" ht="15" customHeight="1">
      <c r="A51" t="inlineStr">
        <is>
          <t>A 3258-2020</t>
        </is>
      </c>
      <c r="B51" s="1" t="n">
        <v>43852</v>
      </c>
      <c r="C51" s="1" t="n">
        <v>45363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4.3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Tallticka
Dropptaggsvamp</t>
        </is>
      </c>
      <c r="S51">
        <f>HYPERLINK("https://klasma.github.io/Logging_2161/artfynd/A 3258-2020 artfynd.xlsx", "A 3258-2020")</f>
        <v/>
      </c>
      <c r="T51">
        <f>HYPERLINK("https://klasma.github.io/Logging_2161/kartor/A 3258-2020 karta.png", "A 3258-2020")</f>
        <v/>
      </c>
      <c r="U51">
        <f>HYPERLINK("https://klasma.github.io/Logging_2161/knärot/A 3258-2020 karta knärot.png", "A 3258-2020")</f>
        <v/>
      </c>
      <c r="V51">
        <f>HYPERLINK("https://klasma.github.io/Logging_2161/klagomål/A 3258-2020 FSC-klagomål.docx", "A 3258-2020")</f>
        <v/>
      </c>
      <c r="W51">
        <f>HYPERLINK("https://klasma.github.io/Logging_2161/klagomålsmail/A 3258-2020 FSC-klagomål mail.docx", "A 3258-2020")</f>
        <v/>
      </c>
      <c r="X51">
        <f>HYPERLINK("https://klasma.github.io/Logging_2161/tillsyn/A 3258-2020 tillsynsbegäran.docx", "A 3258-2020")</f>
        <v/>
      </c>
      <c r="Y51">
        <f>HYPERLINK("https://klasma.github.io/Logging_2161/tillsynsmail/A 3258-2020 tillsynsbegäran mail.docx", "A 3258-2020")</f>
        <v/>
      </c>
    </row>
    <row r="52" ht="15" customHeight="1">
      <c r="A52" t="inlineStr">
        <is>
          <t>A 7558-2020</t>
        </is>
      </c>
      <c r="B52" s="1" t="n">
        <v>43872</v>
      </c>
      <c r="C52" s="1" t="n">
        <v>45363</v>
      </c>
      <c r="D52" t="inlineStr">
        <is>
          <t>GÄVLEBORGS LÄN</t>
        </is>
      </c>
      <c r="E52" t="inlineStr">
        <is>
          <t>LJUSDAL</t>
        </is>
      </c>
      <c r="G52" t="n">
        <v>2.9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Dropptaggsvamp</t>
        </is>
      </c>
      <c r="S52">
        <f>HYPERLINK("https://klasma.github.io/Logging_2161/artfynd/A 7558-2020 artfynd.xlsx", "A 7558-2020")</f>
        <v/>
      </c>
      <c r="T52">
        <f>HYPERLINK("https://klasma.github.io/Logging_2161/kartor/A 7558-2020 karta.png", "A 7558-2020")</f>
        <v/>
      </c>
      <c r="V52">
        <f>HYPERLINK("https://klasma.github.io/Logging_2161/klagomål/A 7558-2020 FSC-klagomål.docx", "A 7558-2020")</f>
        <v/>
      </c>
      <c r="W52">
        <f>HYPERLINK("https://klasma.github.io/Logging_2161/klagomålsmail/A 7558-2020 FSC-klagomål mail.docx", "A 7558-2020")</f>
        <v/>
      </c>
      <c r="X52">
        <f>HYPERLINK("https://klasma.github.io/Logging_2161/tillsyn/A 7558-2020 tillsynsbegäran.docx", "A 7558-2020")</f>
        <v/>
      </c>
      <c r="Y52">
        <f>HYPERLINK("https://klasma.github.io/Logging_2161/tillsynsmail/A 7558-2020 tillsynsbegäran mail.docx", "A 7558-2020")</f>
        <v/>
      </c>
    </row>
    <row r="53" ht="15" customHeight="1">
      <c r="A53" t="inlineStr">
        <is>
          <t>A 24470-2020</t>
        </is>
      </c>
      <c r="B53" s="1" t="n">
        <v>43977</v>
      </c>
      <c r="C53" s="1" t="n">
        <v>45363</v>
      </c>
      <c r="D53" t="inlineStr">
        <is>
          <t>GÄVLEBORGS LÄN</t>
        </is>
      </c>
      <c r="E53" t="inlineStr">
        <is>
          <t>LJUSDAL</t>
        </is>
      </c>
      <c r="F53" t="inlineStr">
        <is>
          <t>Naturvårdsverket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Mörk kolflarnlav
Nattviol</t>
        </is>
      </c>
      <c r="S53">
        <f>HYPERLINK("https://klasma.github.io/Logging_2161/artfynd/A 24470-2020 artfynd.xlsx", "A 24470-2020")</f>
        <v/>
      </c>
      <c r="T53">
        <f>HYPERLINK("https://klasma.github.io/Logging_2161/kartor/A 24470-2020 karta.png", "A 24470-2020")</f>
        <v/>
      </c>
      <c r="V53">
        <f>HYPERLINK("https://klasma.github.io/Logging_2161/klagomål/A 24470-2020 FSC-klagomål.docx", "A 24470-2020")</f>
        <v/>
      </c>
      <c r="W53">
        <f>HYPERLINK("https://klasma.github.io/Logging_2161/klagomålsmail/A 24470-2020 FSC-klagomål mail.docx", "A 24470-2020")</f>
        <v/>
      </c>
      <c r="X53">
        <f>HYPERLINK("https://klasma.github.io/Logging_2161/tillsyn/A 24470-2020 tillsynsbegäran.docx", "A 24470-2020")</f>
        <v/>
      </c>
      <c r="Y53">
        <f>HYPERLINK("https://klasma.github.io/Logging_2161/tillsynsmail/A 24470-2020 tillsynsbegäran mail.docx", "A 24470-2020")</f>
        <v/>
      </c>
    </row>
    <row r="54" ht="15" customHeight="1">
      <c r="A54" t="inlineStr">
        <is>
          <t>A 56674-2020</t>
        </is>
      </c>
      <c r="B54" s="1" t="n">
        <v>44137</v>
      </c>
      <c r="C54" s="1" t="n">
        <v>45363</v>
      </c>
      <c r="D54" t="inlineStr">
        <is>
          <t>GÄVLEBORGS LÄN</t>
        </is>
      </c>
      <c r="E54" t="inlineStr">
        <is>
          <t>LJUSDAL</t>
        </is>
      </c>
      <c r="G54" t="n">
        <v>11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56674-2020 artfynd.xlsx", "A 56674-2020")</f>
        <v/>
      </c>
      <c r="T54">
        <f>HYPERLINK("https://klasma.github.io/Logging_2161/kartor/A 56674-2020 karta.png", "A 56674-2020")</f>
        <v/>
      </c>
      <c r="U54">
        <f>HYPERLINK("https://klasma.github.io/Logging_2161/knärot/A 56674-2020 karta knärot.png", "A 56674-2020")</f>
        <v/>
      </c>
      <c r="V54">
        <f>HYPERLINK("https://klasma.github.io/Logging_2161/klagomål/A 56674-2020 FSC-klagomål.docx", "A 56674-2020")</f>
        <v/>
      </c>
      <c r="W54">
        <f>HYPERLINK("https://klasma.github.io/Logging_2161/klagomålsmail/A 56674-2020 FSC-klagomål mail.docx", "A 56674-2020")</f>
        <v/>
      </c>
      <c r="X54">
        <f>HYPERLINK("https://klasma.github.io/Logging_2161/tillsyn/A 56674-2020 tillsynsbegäran.docx", "A 56674-2020")</f>
        <v/>
      </c>
      <c r="Y54">
        <f>HYPERLINK("https://klasma.github.io/Logging_2161/tillsynsmail/A 56674-2020 tillsynsbegäran mail.docx", "A 56674-2020")</f>
        <v/>
      </c>
    </row>
    <row r="55" ht="15" customHeight="1">
      <c r="A55" t="inlineStr">
        <is>
          <t>A 60162-2020</t>
        </is>
      </c>
      <c r="B55" s="1" t="n">
        <v>44152</v>
      </c>
      <c r="C55" s="1" t="n">
        <v>45363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8.4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Kolflarnlav
Lunglav
Skrovellav</t>
        </is>
      </c>
      <c r="S55">
        <f>HYPERLINK("https://klasma.github.io/Logging_2161/artfynd/A 60162-2020 artfynd.xlsx", "A 60162-2020")</f>
        <v/>
      </c>
      <c r="T55">
        <f>HYPERLINK("https://klasma.github.io/Logging_2161/kartor/A 60162-2020 karta.png", "A 60162-2020")</f>
        <v/>
      </c>
      <c r="V55">
        <f>HYPERLINK("https://klasma.github.io/Logging_2161/klagomål/A 60162-2020 FSC-klagomål.docx", "A 60162-2020")</f>
        <v/>
      </c>
      <c r="W55">
        <f>HYPERLINK("https://klasma.github.io/Logging_2161/klagomålsmail/A 60162-2020 FSC-klagomål mail.docx", "A 60162-2020")</f>
        <v/>
      </c>
      <c r="X55">
        <f>HYPERLINK("https://klasma.github.io/Logging_2161/tillsyn/A 60162-2020 tillsynsbegäran.docx", "A 60162-2020")</f>
        <v/>
      </c>
      <c r="Y55">
        <f>HYPERLINK("https://klasma.github.io/Logging_2161/tillsynsmail/A 60162-2020 tillsynsbegäran mail.docx", "A 60162-2020")</f>
        <v/>
      </c>
    </row>
    <row r="56" ht="15" customHeight="1">
      <c r="A56" t="inlineStr">
        <is>
          <t>A 64591-2020</t>
        </is>
      </c>
      <c r="B56" s="1" t="n">
        <v>44169</v>
      </c>
      <c r="C56" s="1" t="n">
        <v>45363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3.5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Kandelabersvamp
Aspvedgnagare
Skinnlav</t>
        </is>
      </c>
      <c r="S56">
        <f>HYPERLINK("https://klasma.github.io/Logging_2161/artfynd/A 64591-2020 artfynd.xlsx", "A 64591-2020")</f>
        <v/>
      </c>
      <c r="T56">
        <f>HYPERLINK("https://klasma.github.io/Logging_2161/kartor/A 64591-2020 karta.png", "A 64591-2020")</f>
        <v/>
      </c>
      <c r="V56">
        <f>HYPERLINK("https://klasma.github.io/Logging_2161/klagomål/A 64591-2020 FSC-klagomål.docx", "A 64591-2020")</f>
        <v/>
      </c>
      <c r="W56">
        <f>HYPERLINK("https://klasma.github.io/Logging_2161/klagomålsmail/A 64591-2020 FSC-klagomål mail.docx", "A 64591-2020")</f>
        <v/>
      </c>
      <c r="X56">
        <f>HYPERLINK("https://klasma.github.io/Logging_2161/tillsyn/A 64591-2020 tillsynsbegäran.docx", "A 64591-2020")</f>
        <v/>
      </c>
      <c r="Y56">
        <f>HYPERLINK("https://klasma.github.io/Logging_2161/tillsynsmail/A 64591-2020 tillsynsbegäran mail.docx", "A 64591-2020")</f>
        <v/>
      </c>
    </row>
    <row r="57" ht="15" customHeight="1">
      <c r="A57" t="inlineStr">
        <is>
          <t>A 22461-2021</t>
        </is>
      </c>
      <c r="B57" s="1" t="n">
        <v>44326</v>
      </c>
      <c r="C57" s="1" t="n">
        <v>45363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Stuplav
Revlummer</t>
        </is>
      </c>
      <c r="S57">
        <f>HYPERLINK("https://klasma.github.io/Logging_2161/artfynd/A 22461-2021 artfynd.xlsx", "A 22461-2021")</f>
        <v/>
      </c>
      <c r="T57">
        <f>HYPERLINK("https://klasma.github.io/Logging_2161/kartor/A 22461-2021 karta.png", "A 22461-2021")</f>
        <v/>
      </c>
      <c r="V57">
        <f>HYPERLINK("https://klasma.github.io/Logging_2161/klagomål/A 22461-2021 FSC-klagomål.docx", "A 22461-2021")</f>
        <v/>
      </c>
      <c r="W57">
        <f>HYPERLINK("https://klasma.github.io/Logging_2161/klagomålsmail/A 22461-2021 FSC-klagomål mail.docx", "A 22461-2021")</f>
        <v/>
      </c>
      <c r="X57">
        <f>HYPERLINK("https://klasma.github.io/Logging_2161/tillsyn/A 22461-2021 tillsynsbegäran.docx", "A 22461-2021")</f>
        <v/>
      </c>
      <c r="Y57">
        <f>HYPERLINK("https://klasma.github.io/Logging_2161/tillsynsmail/A 22461-2021 tillsynsbegäran mail.docx", "A 22461-2021")</f>
        <v/>
      </c>
    </row>
    <row r="58" ht="15" customHeight="1">
      <c r="A58" t="inlineStr">
        <is>
          <t>A 21538-2022</t>
        </is>
      </c>
      <c r="B58" s="1" t="n">
        <v>44706</v>
      </c>
      <c r="C58" s="1" t="n">
        <v>45363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Mörk kolflarnlav
Dropptaggsvamp</t>
        </is>
      </c>
      <c r="S58">
        <f>HYPERLINK("https://klasma.github.io/Logging_2161/artfynd/A 21538-2022 artfynd.xlsx", "A 21538-2022")</f>
        <v/>
      </c>
      <c r="T58">
        <f>HYPERLINK("https://klasma.github.io/Logging_2161/kartor/A 21538-2022 karta.png", "A 21538-2022")</f>
        <v/>
      </c>
      <c r="V58">
        <f>HYPERLINK("https://klasma.github.io/Logging_2161/klagomål/A 21538-2022 FSC-klagomål.docx", "A 21538-2022")</f>
        <v/>
      </c>
      <c r="W58">
        <f>HYPERLINK("https://klasma.github.io/Logging_2161/klagomålsmail/A 21538-2022 FSC-klagomål mail.docx", "A 21538-2022")</f>
        <v/>
      </c>
      <c r="X58">
        <f>HYPERLINK("https://klasma.github.io/Logging_2161/tillsyn/A 21538-2022 tillsynsbegäran.docx", "A 21538-2022")</f>
        <v/>
      </c>
      <c r="Y58">
        <f>HYPERLINK("https://klasma.github.io/Logging_2161/tillsynsmail/A 21538-2022 tillsynsbegäran mail.docx", "A 21538-2022")</f>
        <v/>
      </c>
    </row>
    <row r="59" ht="15" customHeight="1">
      <c r="A59" t="inlineStr">
        <is>
          <t>A 21797-2022</t>
        </is>
      </c>
      <c r="B59" s="1" t="n">
        <v>44708</v>
      </c>
      <c r="C59" s="1" t="n">
        <v>45363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Skinnlav
Vedticka</t>
        </is>
      </c>
      <c r="S59">
        <f>HYPERLINK("https://klasma.github.io/Logging_2161/artfynd/A 21797-2022 artfynd.xlsx", "A 21797-2022")</f>
        <v/>
      </c>
      <c r="T59">
        <f>HYPERLINK("https://klasma.github.io/Logging_2161/kartor/A 21797-2022 karta.png", "A 21797-2022")</f>
        <v/>
      </c>
      <c r="V59">
        <f>HYPERLINK("https://klasma.github.io/Logging_2161/klagomål/A 21797-2022 FSC-klagomål.docx", "A 21797-2022")</f>
        <v/>
      </c>
      <c r="W59">
        <f>HYPERLINK("https://klasma.github.io/Logging_2161/klagomålsmail/A 21797-2022 FSC-klagomål mail.docx", "A 21797-2022")</f>
        <v/>
      </c>
      <c r="X59">
        <f>HYPERLINK("https://klasma.github.io/Logging_2161/tillsyn/A 21797-2022 tillsynsbegäran.docx", "A 21797-2022")</f>
        <v/>
      </c>
      <c r="Y59">
        <f>HYPERLINK("https://klasma.github.io/Logging_2161/tillsynsmail/A 21797-2022 tillsynsbegäran mail.docx", "A 21797-2022")</f>
        <v/>
      </c>
    </row>
    <row r="60" ht="15" customHeight="1">
      <c r="A60" t="inlineStr">
        <is>
          <t>A 26055-2022</t>
        </is>
      </c>
      <c r="B60" s="1" t="n">
        <v>44734</v>
      </c>
      <c r="C60" s="1" t="n">
        <v>45363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23.3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Aspfjädermossa
Stiftgelélav
Vedtrappmossa</t>
        </is>
      </c>
      <c r="S60">
        <f>HYPERLINK("https://klasma.github.io/Logging_2161/artfynd/A 26055-2022 artfynd.xlsx", "A 26055-2022")</f>
        <v/>
      </c>
      <c r="T60">
        <f>HYPERLINK("https://klasma.github.io/Logging_2161/kartor/A 26055-2022 karta.png", "A 26055-2022")</f>
        <v/>
      </c>
      <c r="V60">
        <f>HYPERLINK("https://klasma.github.io/Logging_2161/klagomål/A 26055-2022 FSC-klagomål.docx", "A 26055-2022")</f>
        <v/>
      </c>
      <c r="W60">
        <f>HYPERLINK("https://klasma.github.io/Logging_2161/klagomålsmail/A 26055-2022 FSC-klagomål mail.docx", "A 26055-2022")</f>
        <v/>
      </c>
      <c r="X60">
        <f>HYPERLINK("https://klasma.github.io/Logging_2161/tillsyn/A 26055-2022 tillsynsbegäran.docx", "A 26055-2022")</f>
        <v/>
      </c>
      <c r="Y60">
        <f>HYPERLINK("https://klasma.github.io/Logging_2161/tillsynsmail/A 26055-2022 tillsynsbegäran mail.docx", "A 26055-2022")</f>
        <v/>
      </c>
    </row>
    <row r="61" ht="15" customHeight="1">
      <c r="A61" t="inlineStr">
        <is>
          <t>A 40292-2022</t>
        </is>
      </c>
      <c r="B61" s="1" t="n">
        <v>44821</v>
      </c>
      <c r="C61" s="1" t="n">
        <v>45363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Mörk kolflarnlav
Dropptaggsvamp</t>
        </is>
      </c>
      <c r="S61">
        <f>HYPERLINK("https://klasma.github.io/Logging_2161/artfynd/A 40292-2022 artfynd.xlsx", "A 40292-2022")</f>
        <v/>
      </c>
      <c r="T61">
        <f>HYPERLINK("https://klasma.github.io/Logging_2161/kartor/A 40292-2022 karta.png", "A 40292-2022")</f>
        <v/>
      </c>
      <c r="V61">
        <f>HYPERLINK("https://klasma.github.io/Logging_2161/klagomål/A 40292-2022 FSC-klagomål.docx", "A 40292-2022")</f>
        <v/>
      </c>
      <c r="W61">
        <f>HYPERLINK("https://klasma.github.io/Logging_2161/klagomålsmail/A 40292-2022 FSC-klagomål mail.docx", "A 40292-2022")</f>
        <v/>
      </c>
      <c r="X61">
        <f>HYPERLINK("https://klasma.github.io/Logging_2161/tillsyn/A 40292-2022 tillsynsbegäran.docx", "A 40292-2022")</f>
        <v/>
      </c>
      <c r="Y61">
        <f>HYPERLINK("https://klasma.github.io/Logging_2161/tillsynsmail/A 40292-2022 tillsynsbegäran mail.docx", "A 40292-2022")</f>
        <v/>
      </c>
    </row>
    <row r="62" ht="15" customHeight="1">
      <c r="A62" t="inlineStr">
        <is>
          <t>A 54472-2022</t>
        </is>
      </c>
      <c r="B62" s="1" t="n">
        <v>44882</v>
      </c>
      <c r="C62" s="1" t="n">
        <v>45363</v>
      </c>
      <c r="D62" t="inlineStr">
        <is>
          <t>GÄVLEBORGS LÄN</t>
        </is>
      </c>
      <c r="E62" t="inlineStr">
        <is>
          <t>LJUSDAL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Skrovellav
Källmossa</t>
        </is>
      </c>
      <c r="S62">
        <f>HYPERLINK("https://klasma.github.io/Logging_2161/artfynd/A 54472-2022 artfynd.xlsx", "A 54472-2022")</f>
        <v/>
      </c>
      <c r="T62">
        <f>HYPERLINK("https://klasma.github.io/Logging_2161/kartor/A 54472-2022 karta.png", "A 54472-2022")</f>
        <v/>
      </c>
      <c r="U62">
        <f>HYPERLINK("https://klasma.github.io/Logging_2161/knärot/A 54472-2022 karta knärot.png", "A 54472-2022")</f>
        <v/>
      </c>
      <c r="V62">
        <f>HYPERLINK("https://klasma.github.io/Logging_2161/klagomål/A 54472-2022 FSC-klagomål.docx", "A 54472-2022")</f>
        <v/>
      </c>
      <c r="W62">
        <f>HYPERLINK("https://klasma.github.io/Logging_2161/klagomålsmail/A 54472-2022 FSC-klagomål mail.docx", "A 54472-2022")</f>
        <v/>
      </c>
      <c r="X62">
        <f>HYPERLINK("https://klasma.github.io/Logging_2161/tillsyn/A 54472-2022 tillsynsbegäran.docx", "A 54472-2022")</f>
        <v/>
      </c>
      <c r="Y62">
        <f>HYPERLINK("https://klasma.github.io/Logging_2161/tillsynsmail/A 54472-2022 tillsynsbegäran mail.docx", "A 54472-2022")</f>
        <v/>
      </c>
    </row>
    <row r="63" ht="15" customHeight="1">
      <c r="A63" t="inlineStr">
        <is>
          <t>A 12105-2023</t>
        </is>
      </c>
      <c r="B63" s="1" t="n">
        <v>44998</v>
      </c>
      <c r="C63" s="1" t="n">
        <v>45363</v>
      </c>
      <c r="D63" t="inlineStr">
        <is>
          <t>GÄVLEBORGS LÄN</t>
        </is>
      </c>
      <c r="E63" t="inlineStr">
        <is>
          <t>LJUSDAL</t>
        </is>
      </c>
      <c r="G63" t="n">
        <v>11.7</v>
      </c>
      <c r="H63" t="n">
        <v>1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Korallblylav
Mörk husmossa</t>
        </is>
      </c>
      <c r="S63">
        <f>HYPERLINK("https://klasma.github.io/Logging_2161/artfynd/A 12105-2023 artfynd.xlsx", "A 12105-2023")</f>
        <v/>
      </c>
      <c r="T63">
        <f>HYPERLINK("https://klasma.github.io/Logging_2161/kartor/A 12105-2023 karta.png", "A 12105-2023")</f>
        <v/>
      </c>
      <c r="U63">
        <f>HYPERLINK("https://klasma.github.io/Logging_2161/knärot/A 12105-2023 karta knärot.png", "A 12105-2023")</f>
        <v/>
      </c>
      <c r="V63">
        <f>HYPERLINK("https://klasma.github.io/Logging_2161/klagomål/A 12105-2023 FSC-klagomål.docx", "A 12105-2023")</f>
        <v/>
      </c>
      <c r="W63">
        <f>HYPERLINK("https://klasma.github.io/Logging_2161/klagomålsmail/A 12105-2023 FSC-klagomål mail.docx", "A 12105-2023")</f>
        <v/>
      </c>
      <c r="X63">
        <f>HYPERLINK("https://klasma.github.io/Logging_2161/tillsyn/A 12105-2023 tillsynsbegäran.docx", "A 12105-2023")</f>
        <v/>
      </c>
      <c r="Y63">
        <f>HYPERLINK("https://klasma.github.io/Logging_2161/tillsynsmail/A 12105-2023 tillsynsbegäran mail.docx", "A 12105-2023")</f>
        <v/>
      </c>
    </row>
    <row r="64" ht="15" customHeight="1">
      <c r="A64" t="inlineStr">
        <is>
          <t>A 24519-2023</t>
        </is>
      </c>
      <c r="B64" s="1" t="n">
        <v>45082</v>
      </c>
      <c r="C64" s="1" t="n">
        <v>45363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Lunglav</t>
        </is>
      </c>
      <c r="S64">
        <f>HYPERLINK("https://klasma.github.io/Logging_2161/artfynd/A 24519-2023 artfynd.xlsx", "A 24519-2023")</f>
        <v/>
      </c>
      <c r="T64">
        <f>HYPERLINK("https://klasma.github.io/Logging_2161/kartor/A 24519-2023 karta.png", "A 24519-2023")</f>
        <v/>
      </c>
      <c r="V64">
        <f>HYPERLINK("https://klasma.github.io/Logging_2161/klagomål/A 24519-2023 FSC-klagomål.docx", "A 24519-2023")</f>
        <v/>
      </c>
      <c r="W64">
        <f>HYPERLINK("https://klasma.github.io/Logging_2161/klagomålsmail/A 24519-2023 FSC-klagomål mail.docx", "A 24519-2023")</f>
        <v/>
      </c>
      <c r="X64">
        <f>HYPERLINK("https://klasma.github.io/Logging_2161/tillsyn/A 24519-2023 tillsynsbegäran.docx", "A 24519-2023")</f>
        <v/>
      </c>
      <c r="Y64">
        <f>HYPERLINK("https://klasma.github.io/Logging_2161/tillsynsmail/A 24519-2023 tillsynsbegäran mail.docx", "A 24519-2023")</f>
        <v/>
      </c>
    </row>
    <row r="65" ht="15" customHeight="1">
      <c r="A65" t="inlineStr">
        <is>
          <t>A 25182-2023</t>
        </is>
      </c>
      <c r="B65" s="1" t="n">
        <v>45086</v>
      </c>
      <c r="C65" s="1" t="n">
        <v>45363</v>
      </c>
      <c r="D65" t="inlineStr">
        <is>
          <t>GÄVLEBORGS LÄN</t>
        </is>
      </c>
      <c r="E65" t="inlineStr">
        <is>
          <t>LJUSDAL</t>
        </is>
      </c>
      <c r="F65" t="inlineStr">
        <is>
          <t>Holmen skog AB</t>
        </is>
      </c>
      <c r="G65" t="n">
        <v>16.6</v>
      </c>
      <c r="H65" t="n">
        <v>3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Fläcknycklar
Myggblomster
Revlummer</t>
        </is>
      </c>
      <c r="S65">
        <f>HYPERLINK("https://klasma.github.io/Logging_2161/artfynd/A 25182-2023 artfynd.xlsx", "A 25182-2023")</f>
        <v/>
      </c>
      <c r="T65">
        <f>HYPERLINK("https://klasma.github.io/Logging_2161/kartor/A 25182-2023 karta.png", "A 25182-2023")</f>
        <v/>
      </c>
      <c r="V65">
        <f>HYPERLINK("https://klasma.github.io/Logging_2161/klagomål/A 25182-2023 FSC-klagomål.docx", "A 25182-2023")</f>
        <v/>
      </c>
      <c r="W65">
        <f>HYPERLINK("https://klasma.github.io/Logging_2161/klagomålsmail/A 25182-2023 FSC-klagomål mail.docx", "A 25182-2023")</f>
        <v/>
      </c>
      <c r="X65">
        <f>HYPERLINK("https://klasma.github.io/Logging_2161/tillsyn/A 25182-2023 tillsynsbegäran.docx", "A 25182-2023")</f>
        <v/>
      </c>
      <c r="Y65">
        <f>HYPERLINK("https://klasma.github.io/Logging_2161/tillsynsmail/A 25182-2023 tillsynsbegäran mail.docx", "A 25182-2023")</f>
        <v/>
      </c>
    </row>
    <row r="66" ht="15" customHeight="1">
      <c r="A66" t="inlineStr">
        <is>
          <t>A 31473-2023</t>
        </is>
      </c>
      <c r="B66" s="1" t="n">
        <v>45114</v>
      </c>
      <c r="C66" s="1" t="n">
        <v>45363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15.5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Plattlummer</t>
        </is>
      </c>
      <c r="S66">
        <f>HYPERLINK("https://klasma.github.io/Logging_2161/artfynd/A 31473-2023 artfynd.xlsx", "A 31473-2023")</f>
        <v/>
      </c>
      <c r="T66">
        <f>HYPERLINK("https://klasma.github.io/Logging_2161/kartor/A 31473-2023 karta.png", "A 31473-2023")</f>
        <v/>
      </c>
      <c r="V66">
        <f>HYPERLINK("https://klasma.github.io/Logging_2161/klagomål/A 31473-2023 FSC-klagomål.docx", "A 31473-2023")</f>
        <v/>
      </c>
      <c r="W66">
        <f>HYPERLINK("https://klasma.github.io/Logging_2161/klagomålsmail/A 31473-2023 FSC-klagomål mail.docx", "A 31473-2023")</f>
        <v/>
      </c>
      <c r="X66">
        <f>HYPERLINK("https://klasma.github.io/Logging_2161/tillsyn/A 31473-2023 tillsynsbegäran.docx", "A 31473-2023")</f>
        <v/>
      </c>
      <c r="Y66">
        <f>HYPERLINK("https://klasma.github.io/Logging_2161/tillsynsmail/A 31473-2023 tillsynsbegäran mail.docx", "A 31473-2023")</f>
        <v/>
      </c>
    </row>
    <row r="67" ht="15" customHeight="1">
      <c r="A67" t="inlineStr">
        <is>
          <t>A 38216-2018</t>
        </is>
      </c>
      <c r="B67" s="1" t="n">
        <v>43338</v>
      </c>
      <c r="C67" s="1" t="n">
        <v>45363</v>
      </c>
      <c r="D67" t="inlineStr">
        <is>
          <t>GÄVLEBORGS LÄN</t>
        </is>
      </c>
      <c r="E67" t="inlineStr">
        <is>
          <t>LJUSDAL</t>
        </is>
      </c>
      <c r="G67" t="n">
        <v>138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Flodpärlmussla
Myggblomster</t>
        </is>
      </c>
      <c r="S67">
        <f>HYPERLINK("https://klasma.github.io/Logging_2161/artfynd/A 38216-2018 artfynd.xlsx", "A 38216-2018")</f>
        <v/>
      </c>
      <c r="T67">
        <f>HYPERLINK("https://klasma.github.io/Logging_2161/kartor/A 38216-2018 karta.png", "A 38216-2018")</f>
        <v/>
      </c>
      <c r="V67">
        <f>HYPERLINK("https://klasma.github.io/Logging_2161/klagomål/A 38216-2018 FSC-klagomål.docx", "A 38216-2018")</f>
        <v/>
      </c>
      <c r="W67">
        <f>HYPERLINK("https://klasma.github.io/Logging_2161/klagomålsmail/A 38216-2018 FSC-klagomål mail.docx", "A 38216-2018")</f>
        <v/>
      </c>
      <c r="X67">
        <f>HYPERLINK("https://klasma.github.io/Logging_2161/tillsyn/A 38216-2018 tillsynsbegäran.docx", "A 38216-2018")</f>
        <v/>
      </c>
      <c r="Y67">
        <f>HYPERLINK("https://klasma.github.io/Logging_2161/tillsynsmail/A 38216-2018 tillsynsbegäran mail.docx", "A 38216-2018")</f>
        <v/>
      </c>
    </row>
    <row r="68" ht="15" customHeight="1">
      <c r="A68" t="inlineStr">
        <is>
          <t>A 42763-2018</t>
        </is>
      </c>
      <c r="B68" s="1" t="n">
        <v>43354</v>
      </c>
      <c r="C68" s="1" t="n">
        <v>45363</v>
      </c>
      <c r="D68" t="inlineStr">
        <is>
          <t>GÄVLEBORGS LÄN</t>
        </is>
      </c>
      <c r="E68" t="inlineStr">
        <is>
          <t>LJUSDAL</t>
        </is>
      </c>
      <c r="F68" t="inlineStr">
        <is>
          <t>Holmen skog AB</t>
        </is>
      </c>
      <c r="G68" t="n">
        <v>165.3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Drillsnäppa
Järpe</t>
        </is>
      </c>
      <c r="S68">
        <f>HYPERLINK("https://klasma.github.io/Logging_2161/artfynd/A 42763-2018 artfynd.xlsx", "A 42763-2018")</f>
        <v/>
      </c>
      <c r="T68">
        <f>HYPERLINK("https://klasma.github.io/Logging_2161/kartor/A 42763-2018 karta.png", "A 42763-2018")</f>
        <v/>
      </c>
      <c r="V68">
        <f>HYPERLINK("https://klasma.github.io/Logging_2161/klagomål/A 42763-2018 FSC-klagomål.docx", "A 42763-2018")</f>
        <v/>
      </c>
      <c r="W68">
        <f>HYPERLINK("https://klasma.github.io/Logging_2161/klagomålsmail/A 42763-2018 FSC-klagomål mail.docx", "A 42763-2018")</f>
        <v/>
      </c>
      <c r="X68">
        <f>HYPERLINK("https://klasma.github.io/Logging_2161/tillsyn/A 42763-2018 tillsynsbegäran.docx", "A 42763-2018")</f>
        <v/>
      </c>
      <c r="Y68">
        <f>HYPERLINK("https://klasma.github.io/Logging_2161/tillsynsmail/A 42763-2018 tillsynsbegäran mail.docx", "A 42763-2018")</f>
        <v/>
      </c>
      <c r="Z68">
        <f>HYPERLINK("https://klasma.github.io/Logging_2161/fåglar/A 42763-2018 prioriterade fågelarter.docx", "A 42763-2018")</f>
        <v/>
      </c>
    </row>
    <row r="69" ht="15" customHeight="1">
      <c r="A69" t="inlineStr">
        <is>
          <t>A 49899-2018</t>
        </is>
      </c>
      <c r="B69" s="1" t="n">
        <v>43377</v>
      </c>
      <c r="C69" s="1" t="n">
        <v>45363</v>
      </c>
      <c r="D69" t="inlineStr">
        <is>
          <t>GÄVLEBORGS LÄN</t>
        </is>
      </c>
      <c r="E69" t="inlineStr">
        <is>
          <t>LJUSDAL</t>
        </is>
      </c>
      <c r="G69" t="n">
        <v>43.6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Mosippa
Mattlummer</t>
        </is>
      </c>
      <c r="S69">
        <f>HYPERLINK("https://klasma.github.io/Logging_2161/artfynd/A 49899-2018 artfynd.xlsx", "A 49899-2018")</f>
        <v/>
      </c>
      <c r="T69">
        <f>HYPERLINK("https://klasma.github.io/Logging_2161/kartor/A 49899-2018 karta.png", "A 49899-2018")</f>
        <v/>
      </c>
      <c r="V69">
        <f>HYPERLINK("https://klasma.github.io/Logging_2161/klagomål/A 49899-2018 FSC-klagomål.docx", "A 49899-2018")</f>
        <v/>
      </c>
      <c r="W69">
        <f>HYPERLINK("https://klasma.github.io/Logging_2161/klagomålsmail/A 49899-2018 FSC-klagomål mail.docx", "A 49899-2018")</f>
        <v/>
      </c>
      <c r="X69">
        <f>HYPERLINK("https://klasma.github.io/Logging_2161/tillsyn/A 49899-2018 tillsynsbegäran.docx", "A 49899-2018")</f>
        <v/>
      </c>
      <c r="Y69">
        <f>HYPERLINK("https://klasma.github.io/Logging_2161/tillsynsmail/A 49899-2018 tillsynsbegäran mail.docx", "A 49899-2018")</f>
        <v/>
      </c>
    </row>
    <row r="70" ht="15" customHeight="1">
      <c r="A70" t="inlineStr">
        <is>
          <t>A 50872-2018</t>
        </is>
      </c>
      <c r="B70" s="1" t="n">
        <v>43381</v>
      </c>
      <c r="C70" s="1" t="n">
        <v>45363</v>
      </c>
      <c r="D70" t="inlineStr">
        <is>
          <t>GÄVLEBORGS LÄN</t>
        </is>
      </c>
      <c r="E70" t="inlineStr">
        <is>
          <t>LJUSDAL</t>
        </is>
      </c>
      <c r="F70" t="inlineStr">
        <is>
          <t>SCA</t>
        </is>
      </c>
      <c r="G70" t="n">
        <v>19.9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Stor aspticka</t>
        </is>
      </c>
      <c r="S70">
        <f>HYPERLINK("https://klasma.github.io/Logging_2161/artfynd/A 50872-2018 artfynd.xlsx", "A 50872-2018")</f>
        <v/>
      </c>
      <c r="T70">
        <f>HYPERLINK("https://klasma.github.io/Logging_2161/kartor/A 50872-2018 karta.png", "A 50872-2018")</f>
        <v/>
      </c>
      <c r="V70">
        <f>HYPERLINK("https://klasma.github.io/Logging_2161/klagomål/A 50872-2018 FSC-klagomål.docx", "A 50872-2018")</f>
        <v/>
      </c>
      <c r="W70">
        <f>HYPERLINK("https://klasma.github.io/Logging_2161/klagomålsmail/A 50872-2018 FSC-klagomål mail.docx", "A 50872-2018")</f>
        <v/>
      </c>
      <c r="X70">
        <f>HYPERLINK("https://klasma.github.io/Logging_2161/tillsyn/A 50872-2018 tillsynsbegäran.docx", "A 50872-2018")</f>
        <v/>
      </c>
      <c r="Y70">
        <f>HYPERLINK("https://klasma.github.io/Logging_2161/tillsynsmail/A 50872-2018 tillsynsbegäran mail.docx", "A 50872-2018")</f>
        <v/>
      </c>
    </row>
    <row r="71" ht="15" customHeight="1">
      <c r="A71" t="inlineStr">
        <is>
          <t>A 2528-2019</t>
        </is>
      </c>
      <c r="B71" s="1" t="n">
        <v>43476</v>
      </c>
      <c r="C71" s="1" t="n">
        <v>45363</v>
      </c>
      <c r="D71" t="inlineStr">
        <is>
          <t>GÄVLEBORGS LÄN</t>
        </is>
      </c>
      <c r="E71" t="inlineStr">
        <is>
          <t>LJUSDAL</t>
        </is>
      </c>
      <c r="G71" t="n">
        <v>130.7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Lopplummer
Revlummer</t>
        </is>
      </c>
      <c r="S71">
        <f>HYPERLINK("https://klasma.github.io/Logging_2161/artfynd/A 2528-2019 artfynd.xlsx", "A 2528-2019")</f>
        <v/>
      </c>
      <c r="T71">
        <f>HYPERLINK("https://klasma.github.io/Logging_2161/kartor/A 2528-2019 karta.png", "A 2528-2019")</f>
        <v/>
      </c>
      <c r="V71">
        <f>HYPERLINK("https://klasma.github.io/Logging_2161/klagomål/A 2528-2019 FSC-klagomål.docx", "A 2528-2019")</f>
        <v/>
      </c>
      <c r="W71">
        <f>HYPERLINK("https://klasma.github.io/Logging_2161/klagomålsmail/A 2528-2019 FSC-klagomål mail.docx", "A 2528-2019")</f>
        <v/>
      </c>
      <c r="X71">
        <f>HYPERLINK("https://klasma.github.io/Logging_2161/tillsyn/A 2528-2019 tillsynsbegäran.docx", "A 2528-2019")</f>
        <v/>
      </c>
      <c r="Y71">
        <f>HYPERLINK("https://klasma.github.io/Logging_2161/tillsynsmail/A 2528-2019 tillsynsbegäran mail.docx", "A 2528-2019")</f>
        <v/>
      </c>
    </row>
    <row r="72" ht="15" customHeight="1">
      <c r="A72" t="inlineStr">
        <is>
          <t>A 29812-2019</t>
        </is>
      </c>
      <c r="B72" s="1" t="n">
        <v>43629</v>
      </c>
      <c r="C72" s="1" t="n">
        <v>45363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2.4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Skinnlav</t>
        </is>
      </c>
      <c r="S72">
        <f>HYPERLINK("https://klasma.github.io/Logging_2161/artfynd/A 29812-2019 artfynd.xlsx", "A 29812-2019")</f>
        <v/>
      </c>
      <c r="T72">
        <f>HYPERLINK("https://klasma.github.io/Logging_2161/kartor/A 29812-2019 karta.png", "A 29812-2019")</f>
        <v/>
      </c>
      <c r="U72">
        <f>HYPERLINK("https://klasma.github.io/Logging_2161/knärot/A 29812-2019 karta knärot.png", "A 29812-2019")</f>
        <v/>
      </c>
      <c r="V72">
        <f>HYPERLINK("https://klasma.github.io/Logging_2161/klagomål/A 29812-2019 FSC-klagomål.docx", "A 29812-2019")</f>
        <v/>
      </c>
      <c r="W72">
        <f>HYPERLINK("https://klasma.github.io/Logging_2161/klagomålsmail/A 29812-2019 FSC-klagomål mail.docx", "A 29812-2019")</f>
        <v/>
      </c>
      <c r="X72">
        <f>HYPERLINK("https://klasma.github.io/Logging_2161/tillsyn/A 29812-2019 tillsynsbegäran.docx", "A 29812-2019")</f>
        <v/>
      </c>
      <c r="Y72">
        <f>HYPERLINK("https://klasma.github.io/Logging_2161/tillsynsmail/A 29812-2019 tillsynsbegäran mail.docx", "A 29812-2019")</f>
        <v/>
      </c>
    </row>
    <row r="73" ht="15" customHeight="1">
      <c r="A73" t="inlineStr">
        <is>
          <t>A 24617-2020</t>
        </is>
      </c>
      <c r="B73" s="1" t="n">
        <v>43977</v>
      </c>
      <c r="C73" s="1" t="n">
        <v>45363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HYPERLINK("https://klasma.github.io/Logging_2161/artfynd/A 24617-2020 artfynd.xlsx", "A 24617-2020")</f>
        <v/>
      </c>
      <c r="T73">
        <f>HYPERLINK("https://klasma.github.io/Logging_2161/kartor/A 24617-2020 karta.png", "A 24617-2020")</f>
        <v/>
      </c>
      <c r="V73">
        <f>HYPERLINK("https://klasma.github.io/Logging_2161/klagomål/A 24617-2020 FSC-klagomål.docx", "A 24617-2020")</f>
        <v/>
      </c>
      <c r="W73">
        <f>HYPERLINK("https://klasma.github.io/Logging_2161/klagomålsmail/A 24617-2020 FSC-klagomål mail.docx", "A 24617-2020")</f>
        <v/>
      </c>
      <c r="X73">
        <f>HYPERLINK("https://klasma.github.io/Logging_2161/tillsyn/A 24617-2020 tillsynsbegäran.docx", "A 24617-2020")</f>
        <v/>
      </c>
      <c r="Y73">
        <f>HYPERLINK("https://klasma.github.io/Logging_2161/tillsynsmail/A 24617-2020 tillsynsbegäran mail.docx", "A 24617-2020")</f>
        <v/>
      </c>
    </row>
    <row r="74" ht="15" customHeight="1">
      <c r="A74" t="inlineStr">
        <is>
          <t>A 21765-2021</t>
        </is>
      </c>
      <c r="B74" s="1" t="n">
        <v>44322</v>
      </c>
      <c r="C74" s="1" t="n">
        <v>45363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Stenfalk
Ärtsångare</t>
        </is>
      </c>
      <c r="S74">
        <f>HYPERLINK("https://klasma.github.io/Logging_2161/artfynd/A 21765-2021 artfynd.xlsx", "A 21765-2021")</f>
        <v/>
      </c>
      <c r="T74">
        <f>HYPERLINK("https://klasma.github.io/Logging_2161/kartor/A 21765-2021 karta.png", "A 21765-2021")</f>
        <v/>
      </c>
      <c r="V74">
        <f>HYPERLINK("https://klasma.github.io/Logging_2161/klagomål/A 21765-2021 FSC-klagomål.docx", "A 21765-2021")</f>
        <v/>
      </c>
      <c r="W74">
        <f>HYPERLINK("https://klasma.github.io/Logging_2161/klagomålsmail/A 21765-2021 FSC-klagomål mail.docx", "A 21765-2021")</f>
        <v/>
      </c>
      <c r="X74">
        <f>HYPERLINK("https://klasma.github.io/Logging_2161/tillsyn/A 21765-2021 tillsynsbegäran.docx", "A 21765-2021")</f>
        <v/>
      </c>
      <c r="Y74">
        <f>HYPERLINK("https://klasma.github.io/Logging_2161/tillsynsmail/A 21765-2021 tillsynsbegäran mail.docx", "A 21765-2021")</f>
        <v/>
      </c>
      <c r="Z74">
        <f>HYPERLINK("https://klasma.github.io/Logging_2161/fåglar/A 21765-2021 prioriterade fågelarter.docx", "A 21765-2021")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45363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45363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45363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45363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45363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45363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45363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45363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45363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45363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45363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45363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45363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45363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45363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45363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45363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45363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45363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45363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45363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45363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45363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45363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45363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45363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45363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45363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45363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45363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45363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45363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45363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45363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45363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45363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45363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45363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45363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45363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45363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45363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45363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45363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45363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45363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45363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45363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45363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45363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45363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45363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45363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45363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45363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45363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45363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45363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45363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45363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45363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45363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45363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45363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45363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45363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45363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45363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45363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45363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45363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45363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45363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45363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45363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45363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45363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45363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45363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45363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45363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45363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45363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45363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45363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45363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45363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45363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45363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45363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45363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45363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45363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45363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45363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45363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45363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45363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45363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45363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45363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45363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45363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45363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45363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45363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45363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45363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45363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45363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45363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45363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45363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45363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45363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45363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45363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45363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45363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45363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45363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45363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45363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45363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45363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45363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45363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45363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45363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45363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45363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45363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45363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45363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45363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45363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45363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45363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45363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45363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45363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45363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45363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45363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45363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45363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45363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45363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45363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45363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45363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45363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45363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45363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45363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45363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45363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45363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45363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45363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45363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45363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45363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45363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45363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45363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45363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45363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45363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45363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45363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45363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45363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45363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45363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45363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45363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45363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45363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45363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45363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45363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45363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45363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45363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45363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45363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45363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45363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45363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45363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45363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45363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45363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45363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45363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45363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45363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45363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45363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45363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45363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45363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45363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45363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45363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45363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45363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45363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45363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45363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45363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45363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45363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45363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45363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45363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45363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45363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45363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45363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45363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45363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45363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45363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45363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45363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45363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45363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45363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45363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45363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45363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45363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45363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45363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45363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45363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45363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45363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45363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45363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45363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45363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45363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45363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45363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45363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45363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45363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45363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45363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45363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45363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45363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45363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45363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45363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45363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45363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45363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45363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45363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45363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45363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45363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45363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45363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45363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45363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45363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45363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45363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45363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45363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45363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45363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45363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45363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45363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45363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45363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45363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45363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45363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45363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45363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45363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45363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45363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45363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45363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45363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45363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45363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45363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45363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45363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45363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45363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45363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45363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45363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45363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45363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45363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45363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45363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45363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45363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45363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45363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45363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45363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45363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45363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45363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45363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45363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45363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45363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45363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45363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45363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45363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45363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45363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45363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45363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45363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45363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45363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45363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45363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45363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45363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45363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45363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45363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45363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45363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45363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45363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45363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45363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45363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45363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45363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45363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45363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45363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45363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45363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45363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45363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45363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45363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45363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45363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45363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45363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45363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45363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45363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45363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45363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45363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45363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45363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45363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45363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45363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45363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45363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45363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45363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45363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45363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45363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45363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45363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45363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45363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45363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45363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45363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45363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45363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45363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45363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45363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45363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45363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45363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45363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45363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45363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45363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45363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45363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45363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45363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45363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45363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45363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45363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45363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45363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45363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45363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45363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45363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45363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45363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45363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45363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45363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45363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45363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45363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45363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45363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45363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45363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45363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45363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45363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45363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45363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45363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45363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45363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45363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45363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45363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45363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45363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45363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45363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45363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45363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45363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45363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45363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45363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45363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45363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45363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45363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45363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45363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45363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45363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45363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45363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45363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45363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45363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45363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45363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45363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45363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45363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45363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45363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45363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45363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45363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45363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45363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45363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45363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45363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45363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45363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45363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45363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45363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45363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45363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45363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45363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45363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45363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45363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45363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45363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45363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45363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45363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45363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45363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45363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45363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45363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45363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45363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45363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45363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45363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45363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45363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45363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45363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45363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45363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45363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45363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45363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45363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45363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45363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45363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45363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45363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45363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45363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45363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45363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45363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45363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45363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45363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45363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45363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45363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45363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45363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45363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45363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45363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45363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45363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45363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45363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45363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45363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45363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45363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45363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45363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45363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45363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45363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45363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45363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45363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45363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45363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45363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45363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45363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45363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45363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45363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45363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45363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45363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45363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45363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45363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45363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45363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45363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45363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45363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45363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45363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45363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45363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45363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45363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45363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45363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45363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45363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45363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45363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45363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45363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45363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45363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45363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45363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45363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45363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45363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45363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45363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45363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45363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45363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45363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45363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45363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45363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45363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45363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45363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45363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45363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45363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45363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45363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45363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45363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45363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45363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45363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45363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45363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45363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45363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45363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45363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45363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45363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45363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45363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45363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45363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45363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45363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45363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45363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45363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45363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45363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45363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45363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45363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45363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45363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45363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45363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45363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45363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45363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45363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45363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45363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45363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45363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45363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45363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45363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45363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45363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45363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45363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45363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45363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45363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45363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45363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45363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45363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45363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45363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45363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45363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45363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45363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45363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45363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45363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45363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45363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45363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45363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45363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45363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45363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45363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45363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45363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45363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45363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45363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45363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45363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45363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45363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45363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45363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45363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45363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45363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45363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45363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45363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45363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45363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45363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45363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45363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45363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45363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45363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45363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45363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45363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45363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45363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45363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45363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45363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45363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45363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45363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45363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45363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45363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45363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45363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45363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45363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45363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45363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45363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45363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45363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45363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45363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45363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45363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45363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45363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45363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45363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45363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45363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45363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45363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45363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45363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45363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45363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45363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45363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45363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45363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45363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45363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45363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45363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45363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45363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45363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45363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45363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45363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45363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45363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45363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45363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45363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45363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45363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45363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45363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45363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45363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45363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45363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45363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45363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45363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45363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45363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45363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45363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45363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45363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45363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45363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45363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45363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45363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45363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45363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45363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45363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45363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45363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45363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45363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45363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45363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45363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45363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45363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45363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45363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45363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45363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45363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45363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45363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45363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45363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45363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45363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45363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45363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45363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45363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45363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45363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45363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45363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45363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45363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45363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45363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45363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45363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45363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45363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45363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45363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45363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45363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45363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45363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45363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45363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45363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45363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45363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45363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45363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45363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45363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45363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45363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45363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45363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45363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45363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45363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45363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45363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45363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45363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45363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45363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45363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45363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45363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45363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45363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45363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45363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45363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45363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45363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45363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45363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45363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45363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45363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45363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45363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45363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45363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45363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45363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45363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45363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45363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45363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45363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45363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45363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45363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45363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45363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45363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45363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45363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45363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45363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45363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45363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45363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45363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45363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45363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45363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45363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45363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45363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45363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45363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45363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45363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45363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45363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45363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45363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45363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45363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45363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45363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45363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45363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45363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45363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45363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45363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45363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45363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45363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45363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45363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45363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45363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45363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45363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45363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45363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45363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45363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45363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45363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45363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45363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45363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45363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45363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45363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45363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45363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45363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45363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45363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45363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45363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45363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45363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45363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45363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45363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45363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45363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45363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45363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45363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45363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45363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45363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45363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45363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45363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45363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45363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45363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45363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45363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45363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45363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45363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45363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45363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45363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45363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45363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45363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45363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45363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45363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45363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45363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45363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45363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45363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45363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45363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45363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45363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45363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45363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45363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45363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45363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45363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45363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45363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45363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45363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45363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45363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45363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45363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45363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45363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45363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45363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45363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45363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45363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45363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45363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45363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45363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45363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45363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45363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45363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45363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45363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45363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45363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45363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45363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45363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45363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45363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45363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45363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45363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45363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45363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45363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45363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45363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45363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45363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45363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45363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45363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45363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45363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45363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45363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45363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45363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45363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45363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45363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45363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45363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45363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45363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45363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45363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45363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45363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45363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45363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45363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45363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45363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45363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45363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45363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45363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45363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45363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45363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45363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45363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45363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45363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45363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45363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45363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45363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45363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45363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45363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45363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45363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45363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45363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45363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45363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45363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45363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45363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45363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45363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45363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45363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45363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45363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45363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45363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45363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45363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45363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45363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45363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45363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45363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45363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45363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45363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45363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45363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45363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45363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45363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45363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45363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45363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45363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45363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45363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45363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45363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45363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45363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45363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45363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45363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45363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45363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45363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45363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45363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45363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45363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45363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45363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45363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45363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45363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45363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45363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45363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45363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45363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45363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45363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45363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45363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45363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45363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45363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45363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45363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45363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45363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45363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45363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45363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45363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45363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45363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45363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45363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45363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45363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45363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45363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45363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45363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45363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45363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45363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45363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45363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45363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45363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45363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45363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45363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45363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45363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45363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45363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45363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45363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45363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45363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45363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45363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45363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45363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45363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45363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45363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45363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45363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45363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45363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45363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45363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45363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45363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45363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45363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45363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45363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45363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45363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45363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45363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45363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45363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45363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45363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45363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45363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45363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45363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45363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45363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45363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45363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45363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45363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45363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45363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45363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45363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45363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45363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45363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45363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45363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45363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45363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45363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45363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45363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45363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45363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45363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45363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45363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45363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45363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45363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45363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45363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45363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45363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45363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45363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45363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45363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45363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45363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45363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45363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45363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45363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45363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45363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45363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45363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45363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45363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45363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45363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45363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45363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45363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45363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45363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45363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45363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45363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45363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45363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45363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45363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45363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45363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45363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45363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45363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45363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45363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45363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45363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45363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45363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45363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45363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45363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45363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45363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45363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45363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45363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45363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45363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45363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45363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45363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45363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45363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45363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45363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45363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45363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45363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45363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45363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45363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45363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45363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45363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45363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45363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45363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45363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45363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45363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45363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45363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45363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45363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45363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45363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45363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45363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45363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45363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45363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45363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45363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45363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45363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45363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45363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45363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45363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45363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45363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45363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45363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45363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45363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45363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45363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45363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45363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45363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45363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45363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45363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45363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45363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45363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45363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45363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45363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45363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45363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45363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45363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45363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45363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45363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45363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45363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45363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45363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45363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45363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45363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45363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45363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45363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45363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45363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45363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45363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45363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45363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45363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45363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45363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45363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45363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45363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45363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45363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45363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45363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45363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45363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45363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45363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45363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45363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45363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45363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45363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45363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45363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45363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45363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45363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45363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45363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45363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45363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45363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45363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45363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45363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45363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45363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45363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45363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45363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45363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45363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45363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45363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45363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45363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45363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45363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45363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45363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45363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45363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45363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45363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45363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45363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45363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45363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45363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45363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45363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45363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45363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45363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45363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45363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45363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45363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45363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45363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45363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45363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45363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45363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45363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45363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45363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45363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45363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45363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45363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45363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45363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45363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45363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45363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45363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45363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45363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45363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45363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45363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45363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45363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45363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45363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45363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45363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45363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45363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45363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45363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45363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45363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45363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45363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45363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45363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45363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45363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45363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45363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45363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45363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45363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45363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45363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45363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45363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45363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45363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45363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45363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45363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45363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45363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45363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45363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45363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45363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45363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45363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45363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45363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45363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45363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45363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45363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45363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45363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45363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45363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45363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45363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45363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45363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45363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45363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45363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45363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45363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45363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45363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45363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45363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45363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45363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45363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45363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45363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45363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45363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45363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45363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45363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45363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45363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45363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45363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45363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45363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45363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45363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45363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45363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45363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45363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45363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45363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45363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45363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45363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45363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45363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45363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45363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45363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45363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45363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45363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45363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45363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45363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45363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45363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45363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45363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45363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45363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45363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45363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45363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45363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45363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45363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45363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45363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45363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45363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45363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45363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45363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45363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45363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45363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45363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45363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45363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45363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45363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45363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45363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45363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45363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45363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45363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45363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45363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45363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45363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45363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45363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45363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45363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45363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45363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45363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45363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45363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45363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45363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45363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45363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45363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45363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45363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45363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45363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45363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45363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45363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45363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45363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45363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45363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45363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45363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45363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45363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45363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45363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45363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45363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45363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45363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45363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45363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45363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45363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45363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45363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45363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45363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45363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45363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45363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45363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45363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45363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45363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45363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45363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45363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45363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45363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45363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45363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45363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45363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45363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45363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45363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45363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45363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45363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45363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45363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45363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45363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45363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45363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45363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45363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45363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45363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45363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45363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45363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45363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45363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45363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45363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45363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45363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45363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45363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45363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45363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45363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45363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45363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45363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45363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45363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45363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45363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45363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45363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45363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45363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45363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45363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45363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45363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45363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45363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45363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45363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45363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45363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45363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45363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45363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45363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45363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45363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45363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45363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45363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45363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45363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45363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45363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45363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45363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45363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45363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45363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45363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45363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45363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45363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45363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45363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45363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45363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45363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45363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45363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45363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45363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45363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45363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45363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45363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45363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45363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45363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45363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45363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45363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45363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45363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45363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45363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45363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45363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45363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45363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45363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45363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45363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45363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45363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45363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45363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45363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45363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45363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45363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45363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45363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45363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45363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45363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45363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45363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45363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45363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45363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45363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45363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45363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45363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45363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45363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45363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45363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45363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45363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45363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45363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45363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45363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45363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45363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45363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45363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45363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45363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45363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45363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45363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45363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45363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45363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45363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45363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45363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45363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45363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45363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45363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45363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45363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45363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45363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45363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45363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45363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45363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45363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45363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45363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45363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45363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45363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45363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45363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45363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45363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45363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45363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45363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45363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45363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45363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45363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45363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45363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45363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45363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45363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45363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45363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45363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45363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45363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45363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45363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45363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45363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45363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45363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45363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45363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45363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45363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45363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45363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45363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45363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45363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45363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45363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45363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45363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45363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45363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45363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45363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45363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45363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45363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45363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45363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45363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45363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45363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45363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45363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45363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45363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45363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45363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45363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45363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45363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45363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45363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45363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45363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45363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45363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45363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45363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45363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45363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45363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45363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45363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45363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45363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45363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45363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45363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45363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45363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45363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45363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45363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45363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45363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45363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45363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45363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45363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45363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45363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45363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45363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45363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45363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45363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45363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45363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45363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45363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45363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45363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45363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45363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45363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45363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45363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45363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45363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45363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45363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45363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45363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45363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45363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45363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45363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45363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45363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45363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45363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45363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45363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45363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45363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45363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45363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45363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45363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45363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45363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45363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45363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45363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45363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45363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45363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45363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45363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45363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45363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45363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45363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45363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45363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45363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45363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45363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45363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45363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45363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45363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45363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45363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45363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45363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45363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45363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45363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45363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45363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45363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45363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45363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45363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45363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45363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45363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45363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45363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45363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45363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45363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45363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45363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45363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45363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45363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45363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45363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45363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45363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45363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45363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45363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45363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45363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45363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45363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45363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45363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45363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45363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45363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45363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45363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45363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45363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45363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45363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45363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45363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45363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45363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45363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45363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45363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45363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45363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45363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45363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45363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45363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45363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45363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45363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45363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45363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45363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45363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45363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45363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45363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45363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45363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45363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45363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45363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45363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45363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45363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45363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45363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45363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45363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45363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4238-2024</t>
        </is>
      </c>
      <c r="B2141" s="1" t="n">
        <v>45324</v>
      </c>
      <c r="C2141" s="1" t="n">
        <v>45363</v>
      </c>
      <c r="D2141" t="inlineStr">
        <is>
          <t>GÄVLEBORGS LÄN</t>
        </is>
      </c>
      <c r="E2141" t="inlineStr">
        <is>
          <t>LJUSDAL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45363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4221-2024</t>
        </is>
      </c>
      <c r="B2143" s="1" t="n">
        <v>45324</v>
      </c>
      <c r="C2143" s="1" t="n">
        <v>45363</v>
      </c>
      <c r="D2143" t="inlineStr">
        <is>
          <t>GÄVLEBORGS LÄN</t>
        </is>
      </c>
      <c r="E2143" t="inlineStr">
        <is>
          <t>LJUSDAL</t>
        </is>
      </c>
      <c r="G2143" t="n">
        <v>14.5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45363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45363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45363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45363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4582-2024</t>
        </is>
      </c>
      <c r="B2148" s="1" t="n">
        <v>45327</v>
      </c>
      <c r="C2148" s="1" t="n">
        <v>45363</v>
      </c>
      <c r="D2148" t="inlineStr">
        <is>
          <t>GÄVLEBORGS LÄN</t>
        </is>
      </c>
      <c r="E2148" t="inlineStr">
        <is>
          <t>LJUSDAL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4580-2024</t>
        </is>
      </c>
      <c r="B2149" s="1" t="n">
        <v>45327</v>
      </c>
      <c r="C2149" s="1" t="n">
        <v>45363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45363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45363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45363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5090-2024</t>
        </is>
      </c>
      <c r="B2153" s="1" t="n">
        <v>45330</v>
      </c>
      <c r="C2153" s="1" t="n">
        <v>45363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5098-2024</t>
        </is>
      </c>
      <c r="B2154" s="1" t="n">
        <v>45330</v>
      </c>
      <c r="C2154" s="1" t="n">
        <v>45363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45363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45363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5535-2024</t>
        </is>
      </c>
      <c r="B2157" s="1" t="n">
        <v>45334</v>
      </c>
      <c r="C2157" s="1" t="n">
        <v>45363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45363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6073-2024</t>
        </is>
      </c>
      <c r="B2159" s="1" t="n">
        <v>45336</v>
      </c>
      <c r="C2159" s="1" t="n">
        <v>45363</v>
      </c>
      <c r="D2159" t="inlineStr">
        <is>
          <t>GÄVLEBORGS LÄN</t>
        </is>
      </c>
      <c r="E2159" t="inlineStr">
        <is>
          <t>LJUSDAL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6072-2024</t>
        </is>
      </c>
      <c r="B2160" s="1" t="n">
        <v>45336</v>
      </c>
      <c r="C2160" s="1" t="n">
        <v>45363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6074-2024</t>
        </is>
      </c>
      <c r="B2161" s="1" t="n">
        <v>45336</v>
      </c>
      <c r="C2161" s="1" t="n">
        <v>45363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45363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6724-2024</t>
        </is>
      </c>
      <c r="B2163" s="1" t="n">
        <v>45342</v>
      </c>
      <c r="C2163" s="1" t="n">
        <v>45363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6729-2024</t>
        </is>
      </c>
      <c r="B2164" s="1" t="n">
        <v>45342</v>
      </c>
      <c r="C2164" s="1" t="n">
        <v>45363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22.5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6802-2024</t>
        </is>
      </c>
      <c r="B2165" s="1" t="n">
        <v>45342</v>
      </c>
      <c r="C2165" s="1" t="n">
        <v>45363</v>
      </c>
      <c r="D2165" t="inlineStr">
        <is>
          <t>GÄVLEBORGS LÄN</t>
        </is>
      </c>
      <c r="E2165" t="inlineStr">
        <is>
          <t>LJUSDAL</t>
        </is>
      </c>
      <c r="F2165" t="inlineStr">
        <is>
          <t>Holmen skog AB</t>
        </is>
      </c>
      <c r="G2165" t="n">
        <v>23.2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6844-2024</t>
        </is>
      </c>
      <c r="B2166" s="1" t="n">
        <v>45342</v>
      </c>
      <c r="C2166" s="1" t="n">
        <v>45363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45363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7386-2024</t>
        </is>
      </c>
      <c r="B2168" s="1" t="n">
        <v>45345</v>
      </c>
      <c r="C2168" s="1" t="n">
        <v>45363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7348-2024</t>
        </is>
      </c>
      <c r="B2169" s="1" t="n">
        <v>45345</v>
      </c>
      <c r="C2169" s="1" t="n">
        <v>45363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13.4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7514-2024</t>
        </is>
      </c>
      <c r="B2170" s="1" t="n">
        <v>45348</v>
      </c>
      <c r="C2170" s="1" t="n">
        <v>45363</v>
      </c>
      <c r="D2170" t="inlineStr">
        <is>
          <t>GÄVLEBORGS LÄN</t>
        </is>
      </c>
      <c r="E2170" t="inlineStr">
        <is>
          <t>LJUSDAL</t>
        </is>
      </c>
      <c r="G2170" t="n">
        <v>8.6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7513-2024</t>
        </is>
      </c>
      <c r="B2171" s="1" t="n">
        <v>45348</v>
      </c>
      <c r="C2171" s="1" t="n">
        <v>45363</v>
      </c>
      <c r="D2171" t="inlineStr">
        <is>
          <t>GÄVLEBORGS LÄN</t>
        </is>
      </c>
      <c r="E2171" t="inlineStr">
        <is>
          <t>LJUSDAL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7603-2024</t>
        </is>
      </c>
      <c r="B2172" s="1" t="n">
        <v>45348</v>
      </c>
      <c r="C2172" s="1" t="n">
        <v>45363</v>
      </c>
      <c r="D2172" t="inlineStr">
        <is>
          <t>GÄVLEBORGS LÄN</t>
        </is>
      </c>
      <c r="E2172" t="inlineStr">
        <is>
          <t>LJUSDAL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7606-2024</t>
        </is>
      </c>
      <c r="B2173" s="1" t="n">
        <v>45348</v>
      </c>
      <c r="C2173" s="1" t="n">
        <v>45363</v>
      </c>
      <c r="D2173" t="inlineStr">
        <is>
          <t>GÄVLEBORGS LÄN</t>
        </is>
      </c>
      <c r="E2173" t="inlineStr">
        <is>
          <t>LJUSDAL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7709-2024</t>
        </is>
      </c>
      <c r="B2174" s="1" t="n">
        <v>45349</v>
      </c>
      <c r="C2174" s="1" t="n">
        <v>45363</v>
      </c>
      <c r="D2174" t="inlineStr">
        <is>
          <t>GÄVLEBORGS LÄN</t>
        </is>
      </c>
      <c r="E2174" t="inlineStr">
        <is>
          <t>LJUSDAL</t>
        </is>
      </c>
      <c r="F2174" t="inlineStr">
        <is>
          <t>Holmen skog AB</t>
        </is>
      </c>
      <c r="G2174" t="n">
        <v>7.5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7724-2024</t>
        </is>
      </c>
      <c r="B2175" s="1" t="n">
        <v>45349</v>
      </c>
      <c r="C2175" s="1" t="n">
        <v>45363</v>
      </c>
      <c r="D2175" t="inlineStr">
        <is>
          <t>GÄVLEBORGS LÄN</t>
        </is>
      </c>
      <c r="E2175" t="inlineStr">
        <is>
          <t>LJUSDAL</t>
        </is>
      </c>
      <c r="F2175" t="inlineStr">
        <is>
          <t>Bergvik skog väst AB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7729-2024</t>
        </is>
      </c>
      <c r="B2176" s="1" t="n">
        <v>45349</v>
      </c>
      <c r="C2176" s="1" t="n">
        <v>45363</v>
      </c>
      <c r="D2176" t="inlineStr">
        <is>
          <t>GÄVLEBORGS LÄN</t>
        </is>
      </c>
      <c r="E2176" t="inlineStr">
        <is>
          <t>LJUSDAL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7731-2024</t>
        </is>
      </c>
      <c r="B2177" s="1" t="n">
        <v>45349</v>
      </c>
      <c r="C2177" s="1" t="n">
        <v>45363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7994-2024</t>
        </is>
      </c>
      <c r="B2178" s="1" t="n">
        <v>45350</v>
      </c>
      <c r="C2178" s="1" t="n">
        <v>45363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8061-2024</t>
        </is>
      </c>
      <c r="B2179" s="1" t="n">
        <v>45351</v>
      </c>
      <c r="C2179" s="1" t="n">
        <v>45363</v>
      </c>
      <c r="D2179" t="inlineStr">
        <is>
          <t>GÄVLEBORGS LÄN</t>
        </is>
      </c>
      <c r="E2179" t="inlineStr">
        <is>
          <t>LJUSDAL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8081-2024</t>
        </is>
      </c>
      <c r="B2180" s="1" t="n">
        <v>45351</v>
      </c>
      <c r="C2180" s="1" t="n">
        <v>45363</v>
      </c>
      <c r="D2180" t="inlineStr">
        <is>
          <t>GÄVLEBORGS LÄN</t>
        </is>
      </c>
      <c r="E2180" t="inlineStr">
        <is>
          <t>LJUSDAL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8142-2024</t>
        </is>
      </c>
      <c r="B2181" s="1" t="n">
        <v>45351</v>
      </c>
      <c r="C2181" s="1" t="n">
        <v>45363</v>
      </c>
      <c r="D2181" t="inlineStr">
        <is>
          <t>GÄVLEBORGS LÄN</t>
        </is>
      </c>
      <c r="E2181" t="inlineStr">
        <is>
          <t>LJUSDAL</t>
        </is>
      </c>
      <c r="F2181" t="inlineStr">
        <is>
          <t>Holmen skog AB</t>
        </is>
      </c>
      <c r="G2181" t="n">
        <v>17.1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8335-2024</t>
        </is>
      </c>
      <c r="B2182" s="1" t="n">
        <v>45352</v>
      </c>
      <c r="C2182" s="1" t="n">
        <v>45363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8384-2024</t>
        </is>
      </c>
      <c r="B2183" s="1" t="n">
        <v>45352</v>
      </c>
      <c r="C2183" s="1" t="n">
        <v>45363</v>
      </c>
      <c r="D2183" t="inlineStr">
        <is>
          <t>GÄVLEBORGS LÄN</t>
        </is>
      </c>
      <c r="E2183" t="inlineStr">
        <is>
          <t>LJUSDAL</t>
        </is>
      </c>
      <c r="G2183" t="n">
        <v>9.4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8289-2024</t>
        </is>
      </c>
      <c r="B2184" s="1" t="n">
        <v>45352</v>
      </c>
      <c r="C2184" s="1" t="n">
        <v>45363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8339-2024</t>
        </is>
      </c>
      <c r="B2185" s="1" t="n">
        <v>45352</v>
      </c>
      <c r="C2185" s="1" t="n">
        <v>45363</v>
      </c>
      <c r="D2185" t="inlineStr">
        <is>
          <t>GÄVLEBORGS LÄN</t>
        </is>
      </c>
      <c r="E2185" t="inlineStr">
        <is>
          <t>LJUSDAL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8667-2024</t>
        </is>
      </c>
      <c r="B2186" s="1" t="n">
        <v>45356</v>
      </c>
      <c r="C2186" s="1" t="n">
        <v>45363</v>
      </c>
      <c r="D2186" t="inlineStr">
        <is>
          <t>GÄVLEBORGS LÄN</t>
        </is>
      </c>
      <c r="E2186" t="inlineStr">
        <is>
          <t>LJUSDAL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8979-2024</t>
        </is>
      </c>
      <c r="B2187" s="1" t="n">
        <v>45357</v>
      </c>
      <c r="C2187" s="1" t="n">
        <v>45363</v>
      </c>
      <c r="D2187" t="inlineStr">
        <is>
          <t>GÄVLEBORGS LÄN</t>
        </is>
      </c>
      <c r="E2187" t="inlineStr">
        <is>
          <t>LJUSDAL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9111-2024</t>
        </is>
      </c>
      <c r="B2188" s="1" t="n">
        <v>45358</v>
      </c>
      <c r="C2188" s="1" t="n">
        <v>45363</v>
      </c>
      <c r="D2188" t="inlineStr">
        <is>
          <t>GÄVLEBORGS LÄN</t>
        </is>
      </c>
      <c r="E2188" t="inlineStr">
        <is>
          <t>LJUSDAL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9232-2024</t>
        </is>
      </c>
      <c r="B2189" s="1" t="n">
        <v>45358</v>
      </c>
      <c r="C2189" s="1" t="n">
        <v>45363</v>
      </c>
      <c r="D2189" t="inlineStr">
        <is>
          <t>GÄVLEBORGS LÄN</t>
        </is>
      </c>
      <c r="E2189" t="inlineStr">
        <is>
          <t>LJUSDAL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9220-2024</t>
        </is>
      </c>
      <c r="B2190" s="1" t="n">
        <v>45358</v>
      </c>
      <c r="C2190" s="1" t="n">
        <v>45363</v>
      </c>
      <c r="D2190" t="inlineStr">
        <is>
          <t>GÄVLEBORGS LÄN</t>
        </is>
      </c>
      <c r="E2190" t="inlineStr">
        <is>
          <t>LJUSDAL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9224-2024</t>
        </is>
      </c>
      <c r="B2191" s="1" t="n">
        <v>45358</v>
      </c>
      <c r="C2191" s="1" t="n">
        <v>45363</v>
      </c>
      <c r="D2191" t="inlineStr">
        <is>
          <t>GÄVLEBORGS LÄN</t>
        </is>
      </c>
      <c r="E2191" t="inlineStr">
        <is>
          <t>LJUSDAL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9343-2024</t>
        </is>
      </c>
      <c r="B2192" s="1" t="n">
        <v>45359</v>
      </c>
      <c r="C2192" s="1" t="n">
        <v>45363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SCA</t>
        </is>
      </c>
      <c r="G2192" t="n">
        <v>7.8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9361-2024</t>
        </is>
      </c>
      <c r="B2193" s="1" t="n">
        <v>45359</v>
      </c>
      <c r="C2193" s="1" t="n">
        <v>45363</v>
      </c>
      <c r="D2193" t="inlineStr">
        <is>
          <t>GÄVLEBORGS LÄN</t>
        </is>
      </c>
      <c r="E2193" t="inlineStr">
        <is>
          <t>LJUSDAL</t>
        </is>
      </c>
      <c r="G2193" t="n">
        <v>5.4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9359-2024</t>
        </is>
      </c>
      <c r="B2194" s="1" t="n">
        <v>45359</v>
      </c>
      <c r="C2194" s="1" t="n">
        <v>45363</v>
      </c>
      <c r="D2194" t="inlineStr">
        <is>
          <t>GÄVLEBORGS LÄN</t>
        </is>
      </c>
      <c r="E2194" t="inlineStr">
        <is>
          <t>LJUSDAL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9363-2024</t>
        </is>
      </c>
      <c r="B2195" s="1" t="n">
        <v>45359</v>
      </c>
      <c r="C2195" s="1" t="n">
        <v>45363</v>
      </c>
      <c r="D2195" t="inlineStr">
        <is>
          <t>GÄVLEBORGS LÄN</t>
        </is>
      </c>
      <c r="E2195" t="inlineStr">
        <is>
          <t>LJUSDAL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9602-2024</t>
        </is>
      </c>
      <c r="B2196" s="1" t="n">
        <v>45361</v>
      </c>
      <c r="C2196" s="1" t="n">
        <v>45363</v>
      </c>
      <c r="D2196" t="inlineStr">
        <is>
          <t>GÄVLEBORGS LÄN</t>
        </is>
      </c>
      <c r="E2196" t="inlineStr">
        <is>
          <t>LJUSDAL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9603-2024</t>
        </is>
      </c>
      <c r="B2197" s="1" t="n">
        <v>45361</v>
      </c>
      <c r="C2197" s="1" t="n">
        <v>45363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>
      <c r="A2198" t="inlineStr">
        <is>
          <t>A 9661-2024</t>
        </is>
      </c>
      <c r="B2198" s="1" t="n">
        <v>45362</v>
      </c>
      <c r="C2198" s="1" t="n">
        <v>45363</v>
      </c>
      <c r="D2198" t="inlineStr">
        <is>
          <t>GÄVLEBORGS LÄN</t>
        </is>
      </c>
      <c r="E2198" t="inlineStr">
        <is>
          <t>LJUSDAL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2024-03-12T14:03:00Z</dcterms:created>
  <dcterms:modified xmlns:dcterms="http://purl.org/dc/terms/" xmlns:xsi="http://www.w3.org/2001/XMLSchema-instance" xsi:type="dcterms:W3CDTF">2024-03-12T14:03:01Z</dcterms:modified>
</cp:coreProperties>
</file>