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45344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45344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45344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45344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45344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45344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45344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45344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45344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45344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45344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40223-2018</t>
        </is>
      </c>
      <c r="B13" s="1" t="n">
        <v>43343</v>
      </c>
      <c r="C13" s="1" t="n">
        <v>45344</v>
      </c>
      <c r="D13" t="inlineStr">
        <is>
          <t>GÄVLEBORGS LÄN</t>
        </is>
      </c>
      <c r="E13" t="inlineStr">
        <is>
          <t>LJUSDAL</t>
        </is>
      </c>
      <c r="G13" t="n">
        <v>33.8</v>
      </c>
      <c r="H13" t="n">
        <v>0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Goliatmusseron
Tallgråticka
Blå taggsvamp
Orange taggsvamp
Skrovlig taggsvamp
Tallriska
Dropptaggsvamp</t>
        </is>
      </c>
      <c r="S13">
        <f>HYPERLINK("https://klasma.github.io/Logging_2161/artfynd/A 40223-2018 artfynd.xlsx", "A 40223-2018")</f>
        <v/>
      </c>
      <c r="T13">
        <f>HYPERLINK("https://klasma.github.io/Logging_2161/kartor/A 40223-2018 karta.png", "A 40223-2018")</f>
        <v/>
      </c>
      <c r="V13">
        <f>HYPERLINK("https://klasma.github.io/Logging_2161/klagomål/A 40223-2018 FSC-klagomål.docx", "A 40223-2018")</f>
        <v/>
      </c>
      <c r="W13">
        <f>HYPERLINK("https://klasma.github.io/Logging_2161/klagomålsmail/A 40223-2018 FSC-klagomål mail.docx", "A 40223-2018")</f>
        <v/>
      </c>
      <c r="X13">
        <f>HYPERLINK("https://klasma.github.io/Logging_2161/tillsyn/A 40223-2018 tillsynsbegäran.docx", "A 40223-2018")</f>
        <v/>
      </c>
      <c r="Y13">
        <f>HYPERLINK("https://klasma.github.io/Logging_2161/tillsynsmail/A 40223-2018 tillsynsbegäran mail.docx", "A 40223-2018")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45344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45344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45344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45344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45344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45344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45344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45344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45344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45344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45344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45344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45344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45344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45344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45344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45344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45344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45344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46239-2018</t>
        </is>
      </c>
      <c r="B33" s="1" t="n">
        <v>43367</v>
      </c>
      <c r="C33" s="1" t="n">
        <v>45344</v>
      </c>
      <c r="D33" t="inlineStr">
        <is>
          <t>GÄVLEBORGS LÄN</t>
        </is>
      </c>
      <c r="E33" t="inlineStr">
        <is>
          <t>LJUSDAL</t>
        </is>
      </c>
      <c r="G33" t="n">
        <v>113.5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Ortolansparv
Buskskvätta
Slåtterfibbla
Nattviol</t>
        </is>
      </c>
      <c r="S33">
        <f>HYPERLINK("https://klasma.github.io/Logging_2161/artfynd/A 46239-2018 artfynd.xlsx", "A 46239-2018")</f>
        <v/>
      </c>
      <c r="T33">
        <f>HYPERLINK("https://klasma.github.io/Logging_2161/kartor/A 46239-2018 karta.png", "A 46239-2018")</f>
        <v/>
      </c>
      <c r="V33">
        <f>HYPERLINK("https://klasma.github.io/Logging_2161/klagomål/A 46239-2018 FSC-klagomål.docx", "A 46239-2018")</f>
        <v/>
      </c>
      <c r="W33">
        <f>HYPERLINK("https://klasma.github.io/Logging_2161/klagomålsmail/A 46239-2018 FSC-klagomål mail.docx", "A 46239-2018")</f>
        <v/>
      </c>
      <c r="X33">
        <f>HYPERLINK("https://klasma.github.io/Logging_2161/tillsyn/A 46239-2018 tillsynsbegäran.docx", "A 46239-2018")</f>
        <v/>
      </c>
      <c r="Y33">
        <f>HYPERLINK("https://klasma.github.io/Logging_2161/tillsynsmail/A 46239-2018 tillsynsbegäran mail.docx", "A 46239-2018")</f>
        <v/>
      </c>
      <c r="Z33">
        <f>HYPERLINK("https://klasma.github.io/Logging_2161/fåglar/A 46239-2018 prioriterade fågelarter.docx", "A 46239-2018")</f>
        <v/>
      </c>
    </row>
    <row r="34" ht="15" customHeight="1">
      <c r="A34" t="inlineStr">
        <is>
          <t>A 67528-2018</t>
        </is>
      </c>
      <c r="B34" s="1" t="n">
        <v>43432</v>
      </c>
      <c r="C34" s="1" t="n">
        <v>45344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509.1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Brunag
Svedjenäva
Tibast</t>
        </is>
      </c>
      <c r="S34">
        <f>HYPERLINK("https://klasma.github.io/Logging_2161/artfynd/A 67528-2018 artfynd.xlsx", "A 67528-2018")</f>
        <v/>
      </c>
      <c r="T34">
        <f>HYPERLINK("https://klasma.github.io/Logging_2161/kartor/A 67528-2018 karta.png", "A 67528-2018")</f>
        <v/>
      </c>
      <c r="V34">
        <f>HYPERLINK("https://klasma.github.io/Logging_2161/klagomål/A 67528-2018 FSC-klagomål.docx", "A 67528-2018")</f>
        <v/>
      </c>
      <c r="W34">
        <f>HYPERLINK("https://klasma.github.io/Logging_2161/klagomålsmail/A 67528-2018 FSC-klagomål mail.docx", "A 67528-2018")</f>
        <v/>
      </c>
      <c r="X34">
        <f>HYPERLINK("https://klasma.github.io/Logging_2161/tillsyn/A 67528-2018 tillsynsbegäran.docx", "A 67528-2018")</f>
        <v/>
      </c>
      <c r="Y34">
        <f>HYPERLINK("https://klasma.github.io/Logging_2161/tillsynsmail/A 67528-2018 tillsynsbegäran mail.docx", "A 67528-2018")</f>
        <v/>
      </c>
      <c r="Z34">
        <f>HYPERLINK("https://klasma.github.io/Logging_2161/fåglar/A 67528-2018 prioriterade fågelarter.docx", "A 67528-2018")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45344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45344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45344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45344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45344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45344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45344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45344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45344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45344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45344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45344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45344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43562-2018</t>
        </is>
      </c>
      <c r="B48" s="1" t="n">
        <v>43357</v>
      </c>
      <c r="C48" s="1" t="n">
        <v>45344</v>
      </c>
      <c r="D48" t="inlineStr">
        <is>
          <t>GÄVLEBORGS LÄN</t>
        </is>
      </c>
      <c r="E48" t="inlineStr">
        <is>
          <t>LJUSDAL</t>
        </is>
      </c>
      <c r="G48" t="n">
        <v>64.59999999999999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Björktrast
Rödvingetrast
Tretåig hackspett</t>
        </is>
      </c>
      <c r="S48">
        <f>HYPERLINK("https://klasma.github.io/Logging_2161/artfynd/A 43562-2018 artfynd.xlsx", "A 43562-2018")</f>
        <v/>
      </c>
      <c r="T48">
        <f>HYPERLINK("https://klasma.github.io/Logging_2161/kartor/A 43562-2018 karta.png", "A 43562-2018")</f>
        <v/>
      </c>
      <c r="V48">
        <f>HYPERLINK("https://klasma.github.io/Logging_2161/klagomål/A 43562-2018 FSC-klagomål.docx", "A 43562-2018")</f>
        <v/>
      </c>
      <c r="W48">
        <f>HYPERLINK("https://klasma.github.io/Logging_2161/klagomålsmail/A 43562-2018 FSC-klagomål mail.docx", "A 43562-2018")</f>
        <v/>
      </c>
      <c r="X48">
        <f>HYPERLINK("https://klasma.github.io/Logging_2161/tillsyn/A 43562-2018 tillsynsbegäran.docx", "A 43562-2018")</f>
        <v/>
      </c>
      <c r="Y48">
        <f>HYPERLINK("https://klasma.github.io/Logging_2161/tillsynsmail/A 43562-2018 tillsynsbegäran mail.docx", "A 43562-2018")</f>
        <v/>
      </c>
      <c r="Z48">
        <f>HYPERLINK("https://klasma.github.io/Logging_2161/fåglar/A 43562-2018 prioriterade fågelarter.docx", "A 43562-2018")</f>
        <v/>
      </c>
    </row>
    <row r="49" ht="15" customHeight="1">
      <c r="A49" t="inlineStr">
        <is>
          <t>A 29664-2019</t>
        </is>
      </c>
      <c r="B49" s="1" t="n">
        <v>43628</v>
      </c>
      <c r="C49" s="1" t="n">
        <v>45344</v>
      </c>
      <c r="D49" t="inlineStr">
        <is>
          <t>GÄVLEBORGS LÄN</t>
        </is>
      </c>
      <c r="E49" t="inlineStr">
        <is>
          <t>LJUSDAL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Dropptaggsvamp</t>
        </is>
      </c>
      <c r="S49">
        <f>HYPERLINK("https://klasma.github.io/Logging_2161/artfynd/A 29664-2019 artfynd.xlsx", "A 29664-2019")</f>
        <v/>
      </c>
      <c r="T49">
        <f>HYPERLINK("https://klasma.github.io/Logging_2161/kartor/A 29664-2019 karta.png", "A 29664-2019")</f>
        <v/>
      </c>
      <c r="U49">
        <f>HYPERLINK("https://klasma.github.io/Logging_2161/knärot/A 29664-2019 karta knärot.png", "A 29664-2019")</f>
        <v/>
      </c>
      <c r="V49">
        <f>HYPERLINK("https://klasma.github.io/Logging_2161/klagomål/A 29664-2019 FSC-klagomål.docx", "A 29664-2019")</f>
        <v/>
      </c>
      <c r="W49">
        <f>HYPERLINK("https://klasma.github.io/Logging_2161/klagomålsmail/A 29664-2019 FSC-klagomål mail.docx", "A 29664-2019")</f>
        <v/>
      </c>
      <c r="X49">
        <f>HYPERLINK("https://klasma.github.io/Logging_2161/tillsyn/A 29664-2019 tillsynsbegäran.docx", "A 29664-2019")</f>
        <v/>
      </c>
      <c r="Y49">
        <f>HYPERLINK("https://klasma.github.io/Logging_2161/tillsynsmail/A 29664-2019 tillsynsbegäran mail.docx", "A 29664-2019")</f>
        <v/>
      </c>
    </row>
    <row r="50" ht="15" customHeight="1">
      <c r="A50" t="inlineStr">
        <is>
          <t>A 3258-2020</t>
        </is>
      </c>
      <c r="B50" s="1" t="n">
        <v>43852</v>
      </c>
      <c r="C50" s="1" t="n">
        <v>45344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Tallticka
Dropptaggsvamp</t>
        </is>
      </c>
      <c r="S50">
        <f>HYPERLINK("https://klasma.github.io/Logging_2161/artfynd/A 3258-2020 artfynd.xlsx", "A 3258-2020")</f>
        <v/>
      </c>
      <c r="T50">
        <f>HYPERLINK("https://klasma.github.io/Logging_2161/kartor/A 3258-2020 karta.png", "A 3258-2020")</f>
        <v/>
      </c>
      <c r="U50">
        <f>HYPERLINK("https://klasma.github.io/Logging_2161/knärot/A 3258-2020 karta knärot.png", "A 3258-2020")</f>
        <v/>
      </c>
      <c r="V50">
        <f>HYPERLINK("https://klasma.github.io/Logging_2161/klagomål/A 3258-2020 FSC-klagomål.docx", "A 3258-2020")</f>
        <v/>
      </c>
      <c r="W50">
        <f>HYPERLINK("https://klasma.github.io/Logging_2161/klagomålsmail/A 3258-2020 FSC-klagomål mail.docx", "A 3258-2020")</f>
        <v/>
      </c>
      <c r="X50">
        <f>HYPERLINK("https://klasma.github.io/Logging_2161/tillsyn/A 3258-2020 tillsynsbegäran.docx", "A 3258-2020")</f>
        <v/>
      </c>
      <c r="Y50">
        <f>HYPERLINK("https://klasma.github.io/Logging_2161/tillsynsmail/A 3258-2020 tillsynsbegäran mail.docx", "A 3258-2020")</f>
        <v/>
      </c>
    </row>
    <row r="51" ht="15" customHeight="1">
      <c r="A51" t="inlineStr">
        <is>
          <t>A 7558-2020</t>
        </is>
      </c>
      <c r="B51" s="1" t="n">
        <v>43872</v>
      </c>
      <c r="C51" s="1" t="n">
        <v>45344</v>
      </c>
      <c r="D51" t="inlineStr">
        <is>
          <t>GÄVLEBORGS LÄN</t>
        </is>
      </c>
      <c r="E51" t="inlineStr">
        <is>
          <t>LJUSDAL</t>
        </is>
      </c>
      <c r="G51" t="n">
        <v>2.9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Dvärgbägarlav
Vedskivlav
Dropptaggsvamp</t>
        </is>
      </c>
      <c r="S51">
        <f>HYPERLINK("https://klasma.github.io/Logging_2161/artfynd/A 7558-2020 artfynd.xlsx", "A 7558-2020")</f>
        <v/>
      </c>
      <c r="T51">
        <f>HYPERLINK("https://klasma.github.io/Logging_2161/kartor/A 7558-2020 karta.png", "A 7558-2020")</f>
        <v/>
      </c>
      <c r="V51">
        <f>HYPERLINK("https://klasma.github.io/Logging_2161/klagomål/A 7558-2020 FSC-klagomål.docx", "A 7558-2020")</f>
        <v/>
      </c>
      <c r="W51">
        <f>HYPERLINK("https://klasma.github.io/Logging_2161/klagomålsmail/A 7558-2020 FSC-klagomål mail.docx", "A 7558-2020")</f>
        <v/>
      </c>
      <c r="X51">
        <f>HYPERLINK("https://klasma.github.io/Logging_2161/tillsyn/A 7558-2020 tillsynsbegäran.docx", "A 7558-2020")</f>
        <v/>
      </c>
      <c r="Y51">
        <f>HYPERLINK("https://klasma.github.io/Logging_2161/tillsynsmail/A 7558-2020 tillsynsbegäran mail.docx", "A 7558-2020")</f>
        <v/>
      </c>
    </row>
    <row r="52" ht="15" customHeight="1">
      <c r="A52" t="inlineStr">
        <is>
          <t>A 24470-2020</t>
        </is>
      </c>
      <c r="B52" s="1" t="n">
        <v>43977</v>
      </c>
      <c r="C52" s="1" t="n">
        <v>45344</v>
      </c>
      <c r="D52" t="inlineStr">
        <is>
          <t>GÄVLEBORGS LÄN</t>
        </is>
      </c>
      <c r="E52" t="inlineStr">
        <is>
          <t>LJUSDAL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Mörk kolflarnlav
Nattviol</t>
        </is>
      </c>
      <c r="S52">
        <f>HYPERLINK("https://klasma.github.io/Logging_2161/artfynd/A 24470-2020 artfynd.xlsx", "A 24470-2020")</f>
        <v/>
      </c>
      <c r="T52">
        <f>HYPERLINK("https://klasma.github.io/Logging_2161/kartor/A 24470-2020 karta.png", "A 24470-2020")</f>
        <v/>
      </c>
      <c r="V52">
        <f>HYPERLINK("https://klasma.github.io/Logging_2161/klagomål/A 24470-2020 FSC-klagomål.docx", "A 24470-2020")</f>
        <v/>
      </c>
      <c r="W52">
        <f>HYPERLINK("https://klasma.github.io/Logging_2161/klagomålsmail/A 24470-2020 FSC-klagomål mail.docx", "A 24470-2020")</f>
        <v/>
      </c>
      <c r="X52">
        <f>HYPERLINK("https://klasma.github.io/Logging_2161/tillsyn/A 24470-2020 tillsynsbegäran.docx", "A 24470-2020")</f>
        <v/>
      </c>
      <c r="Y52">
        <f>HYPERLINK("https://klasma.github.io/Logging_2161/tillsynsmail/A 24470-2020 tillsynsbegäran mail.docx", "A 24470-2020")</f>
        <v/>
      </c>
    </row>
    <row r="53" ht="15" customHeight="1">
      <c r="A53" t="inlineStr">
        <is>
          <t>A 56674-2020</t>
        </is>
      </c>
      <c r="B53" s="1" t="n">
        <v>44137</v>
      </c>
      <c r="C53" s="1" t="n">
        <v>45344</v>
      </c>
      <c r="D53" t="inlineStr">
        <is>
          <t>GÄVLEBORGS LÄN</t>
        </is>
      </c>
      <c r="E53" t="inlineStr">
        <is>
          <t>LJUSDAL</t>
        </is>
      </c>
      <c r="G53" t="n">
        <v>11</v>
      </c>
      <c r="H53" t="n">
        <v>1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Korallblylav
Mörk husmossa</t>
        </is>
      </c>
      <c r="S53">
        <f>HYPERLINK("https://klasma.github.io/Logging_2161/artfynd/A 56674-2020 artfynd.xlsx", "A 56674-2020")</f>
        <v/>
      </c>
      <c r="T53">
        <f>HYPERLINK("https://klasma.github.io/Logging_2161/kartor/A 56674-2020 karta.png", "A 56674-2020")</f>
        <v/>
      </c>
      <c r="U53">
        <f>HYPERLINK("https://klasma.github.io/Logging_2161/knärot/A 56674-2020 karta knärot.png", "A 56674-2020")</f>
        <v/>
      </c>
      <c r="V53">
        <f>HYPERLINK("https://klasma.github.io/Logging_2161/klagomål/A 56674-2020 FSC-klagomål.docx", "A 56674-2020")</f>
        <v/>
      </c>
      <c r="W53">
        <f>HYPERLINK("https://klasma.github.io/Logging_2161/klagomålsmail/A 56674-2020 FSC-klagomål mail.docx", "A 56674-2020")</f>
        <v/>
      </c>
      <c r="X53">
        <f>HYPERLINK("https://klasma.github.io/Logging_2161/tillsyn/A 56674-2020 tillsynsbegäran.docx", "A 56674-2020")</f>
        <v/>
      </c>
      <c r="Y53">
        <f>HYPERLINK("https://klasma.github.io/Logging_2161/tillsynsmail/A 56674-2020 tillsynsbegäran mail.docx", "A 56674-2020")</f>
        <v/>
      </c>
    </row>
    <row r="54" ht="15" customHeight="1">
      <c r="A54" t="inlineStr">
        <is>
          <t>A 60162-2020</t>
        </is>
      </c>
      <c r="B54" s="1" t="n">
        <v>44152</v>
      </c>
      <c r="C54" s="1" t="n">
        <v>45344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Kolflarnlav
Lunglav
Skrovellav</t>
        </is>
      </c>
      <c r="S54">
        <f>HYPERLINK("https://klasma.github.io/Logging_2161/artfynd/A 60162-2020 artfynd.xlsx", "A 60162-2020")</f>
        <v/>
      </c>
      <c r="T54">
        <f>HYPERLINK("https://klasma.github.io/Logging_2161/kartor/A 60162-2020 karta.png", "A 60162-2020")</f>
        <v/>
      </c>
      <c r="V54">
        <f>HYPERLINK("https://klasma.github.io/Logging_2161/klagomål/A 60162-2020 FSC-klagomål.docx", "A 60162-2020")</f>
        <v/>
      </c>
      <c r="W54">
        <f>HYPERLINK("https://klasma.github.io/Logging_2161/klagomålsmail/A 60162-2020 FSC-klagomål mail.docx", "A 60162-2020")</f>
        <v/>
      </c>
      <c r="X54">
        <f>HYPERLINK("https://klasma.github.io/Logging_2161/tillsyn/A 60162-2020 tillsynsbegäran.docx", "A 60162-2020")</f>
        <v/>
      </c>
      <c r="Y54">
        <f>HYPERLINK("https://klasma.github.io/Logging_2161/tillsynsmail/A 60162-2020 tillsynsbegäran mail.docx", "A 60162-2020")</f>
        <v/>
      </c>
    </row>
    <row r="55" ht="15" customHeight="1">
      <c r="A55" t="inlineStr">
        <is>
          <t>A 64591-2020</t>
        </is>
      </c>
      <c r="B55" s="1" t="n">
        <v>44169</v>
      </c>
      <c r="C55" s="1" t="n">
        <v>45344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Kandelabersvamp
Aspvedgnagare
Skinnlav</t>
        </is>
      </c>
      <c r="S55">
        <f>HYPERLINK("https://klasma.github.io/Logging_2161/artfynd/A 64591-2020 artfynd.xlsx", "A 64591-2020")</f>
        <v/>
      </c>
      <c r="T55">
        <f>HYPERLINK("https://klasma.github.io/Logging_2161/kartor/A 64591-2020 karta.png", "A 64591-2020")</f>
        <v/>
      </c>
      <c r="V55">
        <f>HYPERLINK("https://klasma.github.io/Logging_2161/klagomål/A 64591-2020 FSC-klagomål.docx", "A 64591-2020")</f>
        <v/>
      </c>
      <c r="W55">
        <f>HYPERLINK("https://klasma.github.io/Logging_2161/klagomålsmail/A 64591-2020 FSC-klagomål mail.docx", "A 64591-2020")</f>
        <v/>
      </c>
      <c r="X55">
        <f>HYPERLINK("https://klasma.github.io/Logging_2161/tillsyn/A 64591-2020 tillsynsbegäran.docx", "A 64591-2020")</f>
        <v/>
      </c>
      <c r="Y55">
        <f>HYPERLINK("https://klasma.github.io/Logging_2161/tillsynsmail/A 64591-2020 tillsynsbegäran mail.docx", "A 64591-2020")</f>
        <v/>
      </c>
    </row>
    <row r="56" ht="15" customHeight="1">
      <c r="A56" t="inlineStr">
        <is>
          <t>A 22461-2021</t>
        </is>
      </c>
      <c r="B56" s="1" t="n">
        <v>44326</v>
      </c>
      <c r="C56" s="1" t="n">
        <v>45344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7.1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Stuplav
Revlummer</t>
        </is>
      </c>
      <c r="S56">
        <f>HYPERLINK("https://klasma.github.io/Logging_2161/artfynd/A 22461-2021 artfynd.xlsx", "A 22461-2021")</f>
        <v/>
      </c>
      <c r="T56">
        <f>HYPERLINK("https://klasma.github.io/Logging_2161/kartor/A 22461-2021 karta.png", "A 22461-2021")</f>
        <v/>
      </c>
      <c r="V56">
        <f>HYPERLINK("https://klasma.github.io/Logging_2161/klagomål/A 22461-2021 FSC-klagomål.docx", "A 22461-2021")</f>
        <v/>
      </c>
      <c r="W56">
        <f>HYPERLINK("https://klasma.github.io/Logging_2161/klagomålsmail/A 22461-2021 FSC-klagomål mail.docx", "A 22461-2021")</f>
        <v/>
      </c>
      <c r="X56">
        <f>HYPERLINK("https://klasma.github.io/Logging_2161/tillsyn/A 22461-2021 tillsynsbegäran.docx", "A 22461-2021")</f>
        <v/>
      </c>
      <c r="Y56">
        <f>HYPERLINK("https://klasma.github.io/Logging_2161/tillsynsmail/A 22461-2021 tillsynsbegäran mail.docx", "A 22461-2021")</f>
        <v/>
      </c>
    </row>
    <row r="57" ht="15" customHeight="1">
      <c r="A57" t="inlineStr">
        <is>
          <t>A 21538-2022</t>
        </is>
      </c>
      <c r="B57" s="1" t="n">
        <v>44706</v>
      </c>
      <c r="C57" s="1" t="n">
        <v>45344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Mörk kolflarnlav
Dropptaggsvamp</t>
        </is>
      </c>
      <c r="S57">
        <f>HYPERLINK("https://klasma.github.io/Logging_2161/artfynd/A 21538-2022 artfynd.xlsx", "A 21538-2022")</f>
        <v/>
      </c>
      <c r="T57">
        <f>HYPERLINK("https://klasma.github.io/Logging_2161/kartor/A 21538-2022 karta.png", "A 21538-2022")</f>
        <v/>
      </c>
      <c r="V57">
        <f>HYPERLINK("https://klasma.github.io/Logging_2161/klagomål/A 21538-2022 FSC-klagomål.docx", "A 21538-2022")</f>
        <v/>
      </c>
      <c r="W57">
        <f>HYPERLINK("https://klasma.github.io/Logging_2161/klagomålsmail/A 21538-2022 FSC-klagomål mail.docx", "A 21538-2022")</f>
        <v/>
      </c>
      <c r="X57">
        <f>HYPERLINK("https://klasma.github.io/Logging_2161/tillsyn/A 21538-2022 tillsynsbegäran.docx", "A 21538-2022")</f>
        <v/>
      </c>
      <c r="Y57">
        <f>HYPERLINK("https://klasma.github.io/Logging_2161/tillsynsmail/A 21538-2022 tillsynsbegäran mail.docx", "A 21538-2022")</f>
        <v/>
      </c>
    </row>
    <row r="58" ht="15" customHeight="1">
      <c r="A58" t="inlineStr">
        <is>
          <t>A 21797-2022</t>
        </is>
      </c>
      <c r="B58" s="1" t="n">
        <v>44708</v>
      </c>
      <c r="C58" s="1" t="n">
        <v>45344</v>
      </c>
      <c r="D58" t="inlineStr">
        <is>
          <t>GÄVLEBORGS LÄN</t>
        </is>
      </c>
      <c r="E58" t="inlineStr">
        <is>
          <t>LJUSDAL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Ullticka
Skinnlav
Vedticka</t>
        </is>
      </c>
      <c r="S58">
        <f>HYPERLINK("https://klasma.github.io/Logging_2161/artfynd/A 21797-2022 artfynd.xlsx", "A 21797-2022")</f>
        <v/>
      </c>
      <c r="T58">
        <f>HYPERLINK("https://klasma.github.io/Logging_2161/kartor/A 21797-2022 karta.png", "A 21797-2022")</f>
        <v/>
      </c>
      <c r="V58">
        <f>HYPERLINK("https://klasma.github.io/Logging_2161/klagomål/A 21797-2022 FSC-klagomål.docx", "A 21797-2022")</f>
        <v/>
      </c>
      <c r="W58">
        <f>HYPERLINK("https://klasma.github.io/Logging_2161/klagomålsmail/A 21797-2022 FSC-klagomål mail.docx", "A 21797-2022")</f>
        <v/>
      </c>
      <c r="X58">
        <f>HYPERLINK("https://klasma.github.io/Logging_2161/tillsyn/A 21797-2022 tillsynsbegäran.docx", "A 21797-2022")</f>
        <v/>
      </c>
      <c r="Y58">
        <f>HYPERLINK("https://klasma.github.io/Logging_2161/tillsynsmail/A 21797-2022 tillsynsbegäran mail.docx", "A 21797-2022")</f>
        <v/>
      </c>
    </row>
    <row r="59" ht="15" customHeight="1">
      <c r="A59" t="inlineStr">
        <is>
          <t>A 26055-2022</t>
        </is>
      </c>
      <c r="B59" s="1" t="n">
        <v>44734</v>
      </c>
      <c r="C59" s="1" t="n">
        <v>45344</v>
      </c>
      <c r="D59" t="inlineStr">
        <is>
          <t>GÄVLEBORGS LÄN</t>
        </is>
      </c>
      <c r="E59" t="inlineStr">
        <is>
          <t>LJUSDAL</t>
        </is>
      </c>
      <c r="F59" t="inlineStr">
        <is>
          <t>Bergvik skog väst AB</t>
        </is>
      </c>
      <c r="G59" t="n">
        <v>23.3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Aspfjädermossa
Stiftgelélav
Vedtrappmossa</t>
        </is>
      </c>
      <c r="S59">
        <f>HYPERLINK("https://klasma.github.io/Logging_2161/artfynd/A 26055-2022 artfynd.xlsx", "A 26055-2022")</f>
        <v/>
      </c>
      <c r="T59">
        <f>HYPERLINK("https://klasma.github.io/Logging_2161/kartor/A 26055-2022 karta.png", "A 26055-2022")</f>
        <v/>
      </c>
      <c r="V59">
        <f>HYPERLINK("https://klasma.github.io/Logging_2161/klagomål/A 26055-2022 FSC-klagomål.docx", "A 26055-2022")</f>
        <v/>
      </c>
      <c r="W59">
        <f>HYPERLINK("https://klasma.github.io/Logging_2161/klagomålsmail/A 26055-2022 FSC-klagomål mail.docx", "A 26055-2022")</f>
        <v/>
      </c>
      <c r="X59">
        <f>HYPERLINK("https://klasma.github.io/Logging_2161/tillsyn/A 26055-2022 tillsynsbegäran.docx", "A 26055-2022")</f>
        <v/>
      </c>
      <c r="Y59">
        <f>HYPERLINK("https://klasma.github.io/Logging_2161/tillsynsmail/A 26055-2022 tillsynsbegäran mail.docx", "A 26055-2022")</f>
        <v/>
      </c>
    </row>
    <row r="60" ht="15" customHeight="1">
      <c r="A60" t="inlineStr">
        <is>
          <t>A 40292-2022</t>
        </is>
      </c>
      <c r="B60" s="1" t="n">
        <v>44821</v>
      </c>
      <c r="C60" s="1" t="n">
        <v>45344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Mörk kolflarnlav
Dropptaggsvamp</t>
        </is>
      </c>
      <c r="S60">
        <f>HYPERLINK("https://klasma.github.io/Logging_2161/artfynd/A 40292-2022 artfynd.xlsx", "A 40292-2022")</f>
        <v/>
      </c>
      <c r="T60">
        <f>HYPERLINK("https://klasma.github.io/Logging_2161/kartor/A 40292-2022 karta.png", "A 40292-2022")</f>
        <v/>
      </c>
      <c r="V60">
        <f>HYPERLINK("https://klasma.github.io/Logging_2161/klagomål/A 40292-2022 FSC-klagomål.docx", "A 40292-2022")</f>
        <v/>
      </c>
      <c r="W60">
        <f>HYPERLINK("https://klasma.github.io/Logging_2161/klagomålsmail/A 40292-2022 FSC-klagomål mail.docx", "A 40292-2022")</f>
        <v/>
      </c>
      <c r="X60">
        <f>HYPERLINK("https://klasma.github.io/Logging_2161/tillsyn/A 40292-2022 tillsynsbegäran.docx", "A 40292-2022")</f>
        <v/>
      </c>
      <c r="Y60">
        <f>HYPERLINK("https://klasma.github.io/Logging_2161/tillsynsmail/A 40292-2022 tillsynsbegäran mail.docx", "A 40292-2022")</f>
        <v/>
      </c>
    </row>
    <row r="61" ht="15" customHeight="1">
      <c r="A61" t="inlineStr">
        <is>
          <t>A 54472-2022</t>
        </is>
      </c>
      <c r="B61" s="1" t="n">
        <v>44882</v>
      </c>
      <c r="C61" s="1" t="n">
        <v>45344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Skrovellav
Källmossa</t>
        </is>
      </c>
      <c r="S61">
        <f>HYPERLINK("https://klasma.github.io/Logging_2161/artfynd/A 54472-2022 artfynd.xlsx", "A 54472-2022")</f>
        <v/>
      </c>
      <c r="T61">
        <f>HYPERLINK("https://klasma.github.io/Logging_2161/kartor/A 54472-2022 karta.png", "A 54472-2022")</f>
        <v/>
      </c>
      <c r="U61">
        <f>HYPERLINK("https://klasma.github.io/Logging_2161/knärot/A 54472-2022 karta knärot.png", "A 54472-2022")</f>
        <v/>
      </c>
      <c r="V61">
        <f>HYPERLINK("https://klasma.github.io/Logging_2161/klagomål/A 54472-2022 FSC-klagomål.docx", "A 54472-2022")</f>
        <v/>
      </c>
      <c r="W61">
        <f>HYPERLINK("https://klasma.github.io/Logging_2161/klagomålsmail/A 54472-2022 FSC-klagomål mail.docx", "A 54472-2022")</f>
        <v/>
      </c>
      <c r="X61">
        <f>HYPERLINK("https://klasma.github.io/Logging_2161/tillsyn/A 54472-2022 tillsynsbegäran.docx", "A 54472-2022")</f>
        <v/>
      </c>
      <c r="Y61">
        <f>HYPERLINK("https://klasma.github.io/Logging_2161/tillsynsmail/A 54472-2022 tillsynsbegäran mail.docx", "A 54472-2022")</f>
        <v/>
      </c>
    </row>
    <row r="62" ht="15" customHeight="1">
      <c r="A62" t="inlineStr">
        <is>
          <t>A 12105-2023</t>
        </is>
      </c>
      <c r="B62" s="1" t="n">
        <v>44998</v>
      </c>
      <c r="C62" s="1" t="n">
        <v>45344</v>
      </c>
      <c r="D62" t="inlineStr">
        <is>
          <t>GÄVLEBORGS LÄN</t>
        </is>
      </c>
      <c r="E62" t="inlineStr">
        <is>
          <t>LJUSDAL</t>
        </is>
      </c>
      <c r="G62" t="n">
        <v>11.7</v>
      </c>
      <c r="H62" t="n">
        <v>1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Korallblylav
Mörk husmossa</t>
        </is>
      </c>
      <c r="S62">
        <f>HYPERLINK("https://klasma.github.io/Logging_2161/artfynd/A 12105-2023 artfynd.xlsx", "A 12105-2023")</f>
        <v/>
      </c>
      <c r="T62">
        <f>HYPERLINK("https://klasma.github.io/Logging_2161/kartor/A 12105-2023 karta.png", "A 12105-2023")</f>
        <v/>
      </c>
      <c r="U62">
        <f>HYPERLINK("https://klasma.github.io/Logging_2161/knärot/A 12105-2023 karta knärot.png", "A 12105-2023")</f>
        <v/>
      </c>
      <c r="V62">
        <f>HYPERLINK("https://klasma.github.io/Logging_2161/klagomål/A 12105-2023 FSC-klagomål.docx", "A 12105-2023")</f>
        <v/>
      </c>
      <c r="W62">
        <f>HYPERLINK("https://klasma.github.io/Logging_2161/klagomålsmail/A 12105-2023 FSC-klagomål mail.docx", "A 12105-2023")</f>
        <v/>
      </c>
      <c r="X62">
        <f>HYPERLINK("https://klasma.github.io/Logging_2161/tillsyn/A 12105-2023 tillsynsbegäran.docx", "A 12105-2023")</f>
        <v/>
      </c>
      <c r="Y62">
        <f>HYPERLINK("https://klasma.github.io/Logging_2161/tillsynsmail/A 12105-2023 tillsynsbegäran mail.docx", "A 12105-2023")</f>
        <v/>
      </c>
    </row>
    <row r="63" ht="15" customHeight="1">
      <c r="A63" t="inlineStr">
        <is>
          <t>A 24519-2023</t>
        </is>
      </c>
      <c r="B63" s="1" t="n">
        <v>45082</v>
      </c>
      <c r="C63" s="1" t="n">
        <v>45344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Lunglav</t>
        </is>
      </c>
      <c r="S63">
        <f>HYPERLINK("https://klasma.github.io/Logging_2161/artfynd/A 24519-2023 artfynd.xlsx", "A 24519-2023")</f>
        <v/>
      </c>
      <c r="T63">
        <f>HYPERLINK("https://klasma.github.io/Logging_2161/kartor/A 24519-2023 karta.png", "A 24519-2023")</f>
        <v/>
      </c>
      <c r="V63">
        <f>HYPERLINK("https://klasma.github.io/Logging_2161/klagomål/A 24519-2023 FSC-klagomål.docx", "A 24519-2023")</f>
        <v/>
      </c>
      <c r="W63">
        <f>HYPERLINK("https://klasma.github.io/Logging_2161/klagomålsmail/A 24519-2023 FSC-klagomål mail.docx", "A 24519-2023")</f>
        <v/>
      </c>
      <c r="X63">
        <f>HYPERLINK("https://klasma.github.io/Logging_2161/tillsyn/A 24519-2023 tillsynsbegäran.docx", "A 24519-2023")</f>
        <v/>
      </c>
      <c r="Y63">
        <f>HYPERLINK("https://klasma.github.io/Logging_2161/tillsynsmail/A 24519-2023 tillsynsbegäran mail.docx", "A 24519-2023")</f>
        <v/>
      </c>
    </row>
    <row r="64" ht="15" customHeight="1">
      <c r="A64" t="inlineStr">
        <is>
          <t>A 25182-2023</t>
        </is>
      </c>
      <c r="B64" s="1" t="n">
        <v>45086</v>
      </c>
      <c r="C64" s="1" t="n">
        <v>45344</v>
      </c>
      <c r="D64" t="inlineStr">
        <is>
          <t>GÄVLEBORGS LÄN</t>
        </is>
      </c>
      <c r="E64" t="inlineStr">
        <is>
          <t>LJUSDAL</t>
        </is>
      </c>
      <c r="F64" t="inlineStr">
        <is>
          <t>Holmen skog AB</t>
        </is>
      </c>
      <c r="G64" t="n">
        <v>16.6</v>
      </c>
      <c r="H64" t="n">
        <v>3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Fläcknycklar
Myggblomster
Revlummer</t>
        </is>
      </c>
      <c r="S64">
        <f>HYPERLINK("https://klasma.github.io/Logging_2161/artfynd/A 25182-2023 artfynd.xlsx", "A 25182-2023")</f>
        <v/>
      </c>
      <c r="T64">
        <f>HYPERLINK("https://klasma.github.io/Logging_2161/kartor/A 25182-2023 karta.png", "A 25182-2023")</f>
        <v/>
      </c>
      <c r="V64">
        <f>HYPERLINK("https://klasma.github.io/Logging_2161/klagomål/A 25182-2023 FSC-klagomål.docx", "A 25182-2023")</f>
        <v/>
      </c>
      <c r="W64">
        <f>HYPERLINK("https://klasma.github.io/Logging_2161/klagomålsmail/A 25182-2023 FSC-klagomål mail.docx", "A 25182-2023")</f>
        <v/>
      </c>
      <c r="X64">
        <f>HYPERLINK("https://klasma.github.io/Logging_2161/tillsyn/A 25182-2023 tillsynsbegäran.docx", "A 25182-2023")</f>
        <v/>
      </c>
      <c r="Y64">
        <f>HYPERLINK("https://klasma.github.io/Logging_2161/tillsynsmail/A 25182-2023 tillsynsbegäran mail.docx", "A 25182-2023")</f>
        <v/>
      </c>
    </row>
    <row r="65" ht="15" customHeight="1">
      <c r="A65" t="inlineStr">
        <is>
          <t>A 31473-2023</t>
        </is>
      </c>
      <c r="B65" s="1" t="n">
        <v>45114</v>
      </c>
      <c r="C65" s="1" t="n">
        <v>45344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15.5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Plattlummer</t>
        </is>
      </c>
      <c r="S65">
        <f>HYPERLINK("https://klasma.github.io/Logging_2161/artfynd/A 31473-2023 artfynd.xlsx", "A 31473-2023")</f>
        <v/>
      </c>
      <c r="T65">
        <f>HYPERLINK("https://klasma.github.io/Logging_2161/kartor/A 31473-2023 karta.png", "A 31473-2023")</f>
        <v/>
      </c>
      <c r="V65">
        <f>HYPERLINK("https://klasma.github.io/Logging_2161/klagomål/A 31473-2023 FSC-klagomål.docx", "A 31473-2023")</f>
        <v/>
      </c>
      <c r="W65">
        <f>HYPERLINK("https://klasma.github.io/Logging_2161/klagomålsmail/A 31473-2023 FSC-klagomål mail.docx", "A 31473-2023")</f>
        <v/>
      </c>
      <c r="X65">
        <f>HYPERLINK("https://klasma.github.io/Logging_2161/tillsyn/A 31473-2023 tillsynsbegäran.docx", "A 31473-2023")</f>
        <v/>
      </c>
      <c r="Y65">
        <f>HYPERLINK("https://klasma.github.io/Logging_2161/tillsynsmail/A 31473-2023 tillsynsbegäran mail.docx", "A 31473-2023")</f>
        <v/>
      </c>
    </row>
    <row r="66" ht="15" customHeight="1">
      <c r="A66" t="inlineStr">
        <is>
          <t>A 38216-2018</t>
        </is>
      </c>
      <c r="B66" s="1" t="n">
        <v>43338</v>
      </c>
      <c r="C66" s="1" t="n">
        <v>45344</v>
      </c>
      <c r="D66" t="inlineStr">
        <is>
          <t>GÄVLEBORGS LÄN</t>
        </is>
      </c>
      <c r="E66" t="inlineStr">
        <is>
          <t>LJUSDAL</t>
        </is>
      </c>
      <c r="G66" t="n">
        <v>138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Flodpärlmussla
Myggblomster</t>
        </is>
      </c>
      <c r="S66">
        <f>HYPERLINK("https://klasma.github.io/Logging_2161/artfynd/A 38216-2018 artfynd.xlsx", "A 38216-2018")</f>
        <v/>
      </c>
      <c r="T66">
        <f>HYPERLINK("https://klasma.github.io/Logging_2161/kartor/A 38216-2018 karta.png", "A 38216-2018")</f>
        <v/>
      </c>
      <c r="V66">
        <f>HYPERLINK("https://klasma.github.io/Logging_2161/klagomål/A 38216-2018 FSC-klagomål.docx", "A 38216-2018")</f>
        <v/>
      </c>
      <c r="W66">
        <f>HYPERLINK("https://klasma.github.io/Logging_2161/klagomålsmail/A 38216-2018 FSC-klagomål mail.docx", "A 38216-2018")</f>
        <v/>
      </c>
      <c r="X66">
        <f>HYPERLINK("https://klasma.github.io/Logging_2161/tillsyn/A 38216-2018 tillsynsbegäran.docx", "A 38216-2018")</f>
        <v/>
      </c>
      <c r="Y66">
        <f>HYPERLINK("https://klasma.github.io/Logging_2161/tillsynsmail/A 38216-2018 tillsynsbegäran mail.docx", "A 38216-2018")</f>
        <v/>
      </c>
    </row>
    <row r="67" ht="15" customHeight="1">
      <c r="A67" t="inlineStr">
        <is>
          <t>A 42763-2018</t>
        </is>
      </c>
      <c r="B67" s="1" t="n">
        <v>43354</v>
      </c>
      <c r="C67" s="1" t="n">
        <v>45344</v>
      </c>
      <c r="D67" t="inlineStr">
        <is>
          <t>GÄVLEBORGS LÄN</t>
        </is>
      </c>
      <c r="E67" t="inlineStr">
        <is>
          <t>LJUSDAL</t>
        </is>
      </c>
      <c r="F67" t="inlineStr">
        <is>
          <t>Holmen skog AB</t>
        </is>
      </c>
      <c r="G67" t="n">
        <v>165.3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Drillsnäppa
Järpe</t>
        </is>
      </c>
      <c r="S67">
        <f>HYPERLINK("https://klasma.github.io/Logging_2161/artfynd/A 42763-2018 artfynd.xlsx", "A 42763-2018")</f>
        <v/>
      </c>
      <c r="T67">
        <f>HYPERLINK("https://klasma.github.io/Logging_2161/kartor/A 42763-2018 karta.png", "A 42763-2018")</f>
        <v/>
      </c>
      <c r="V67">
        <f>HYPERLINK("https://klasma.github.io/Logging_2161/klagomål/A 42763-2018 FSC-klagomål.docx", "A 42763-2018")</f>
        <v/>
      </c>
      <c r="W67">
        <f>HYPERLINK("https://klasma.github.io/Logging_2161/klagomålsmail/A 42763-2018 FSC-klagomål mail.docx", "A 42763-2018")</f>
        <v/>
      </c>
      <c r="X67">
        <f>HYPERLINK("https://klasma.github.io/Logging_2161/tillsyn/A 42763-2018 tillsynsbegäran.docx", "A 42763-2018")</f>
        <v/>
      </c>
      <c r="Y67">
        <f>HYPERLINK("https://klasma.github.io/Logging_2161/tillsynsmail/A 42763-2018 tillsynsbegäran mail.docx", "A 42763-2018")</f>
        <v/>
      </c>
      <c r="Z67">
        <f>HYPERLINK("https://klasma.github.io/Logging_2161/fåglar/A 42763-2018 prioriterade fågelarter.docx", "A 42763-2018")</f>
        <v/>
      </c>
    </row>
    <row r="68" ht="15" customHeight="1">
      <c r="A68" t="inlineStr">
        <is>
          <t>A 49899-2018</t>
        </is>
      </c>
      <c r="B68" s="1" t="n">
        <v>43377</v>
      </c>
      <c r="C68" s="1" t="n">
        <v>45344</v>
      </c>
      <c r="D68" t="inlineStr">
        <is>
          <t>GÄVLEBORGS LÄN</t>
        </is>
      </c>
      <c r="E68" t="inlineStr">
        <is>
          <t>LJUSDAL</t>
        </is>
      </c>
      <c r="G68" t="n">
        <v>43.6</v>
      </c>
      <c r="H68" t="n">
        <v>2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Mosippa
Mattlummer</t>
        </is>
      </c>
      <c r="S68">
        <f>HYPERLINK("https://klasma.github.io/Logging_2161/artfynd/A 49899-2018 artfynd.xlsx", "A 49899-2018")</f>
        <v/>
      </c>
      <c r="T68">
        <f>HYPERLINK("https://klasma.github.io/Logging_2161/kartor/A 49899-2018 karta.png", "A 49899-2018")</f>
        <v/>
      </c>
      <c r="V68">
        <f>HYPERLINK("https://klasma.github.io/Logging_2161/klagomål/A 49899-2018 FSC-klagomål.docx", "A 49899-2018")</f>
        <v/>
      </c>
      <c r="W68">
        <f>HYPERLINK("https://klasma.github.io/Logging_2161/klagomålsmail/A 49899-2018 FSC-klagomål mail.docx", "A 49899-2018")</f>
        <v/>
      </c>
      <c r="X68">
        <f>HYPERLINK("https://klasma.github.io/Logging_2161/tillsyn/A 49899-2018 tillsynsbegäran.docx", "A 49899-2018")</f>
        <v/>
      </c>
      <c r="Y68">
        <f>HYPERLINK("https://klasma.github.io/Logging_2161/tillsynsmail/A 49899-2018 tillsynsbegäran mail.docx", "A 49899-2018")</f>
        <v/>
      </c>
    </row>
    <row r="69" ht="15" customHeight="1">
      <c r="A69" t="inlineStr">
        <is>
          <t>A 50872-2018</t>
        </is>
      </c>
      <c r="B69" s="1" t="n">
        <v>43381</v>
      </c>
      <c r="C69" s="1" t="n">
        <v>45344</v>
      </c>
      <c r="D69" t="inlineStr">
        <is>
          <t>GÄVLEBORGS LÄN</t>
        </is>
      </c>
      <c r="E69" t="inlineStr">
        <is>
          <t>LJUSDAL</t>
        </is>
      </c>
      <c r="F69" t="inlineStr">
        <is>
          <t>SCA</t>
        </is>
      </c>
      <c r="G69" t="n">
        <v>19.9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Stor aspticka</t>
        </is>
      </c>
      <c r="S69">
        <f>HYPERLINK("https://klasma.github.io/Logging_2161/artfynd/A 50872-2018 artfynd.xlsx", "A 50872-2018")</f>
        <v/>
      </c>
      <c r="T69">
        <f>HYPERLINK("https://klasma.github.io/Logging_2161/kartor/A 50872-2018 karta.png", "A 50872-2018")</f>
        <v/>
      </c>
      <c r="V69">
        <f>HYPERLINK("https://klasma.github.io/Logging_2161/klagomål/A 50872-2018 FSC-klagomål.docx", "A 50872-2018")</f>
        <v/>
      </c>
      <c r="W69">
        <f>HYPERLINK("https://klasma.github.io/Logging_2161/klagomålsmail/A 50872-2018 FSC-klagomål mail.docx", "A 50872-2018")</f>
        <v/>
      </c>
      <c r="X69">
        <f>HYPERLINK("https://klasma.github.io/Logging_2161/tillsyn/A 50872-2018 tillsynsbegäran.docx", "A 50872-2018")</f>
        <v/>
      </c>
      <c r="Y69">
        <f>HYPERLINK("https://klasma.github.io/Logging_2161/tillsynsmail/A 50872-2018 tillsynsbegäran mail.docx", "A 50872-2018")</f>
        <v/>
      </c>
    </row>
    <row r="70" ht="15" customHeight="1">
      <c r="A70" t="inlineStr">
        <is>
          <t>A 2528-2019</t>
        </is>
      </c>
      <c r="B70" s="1" t="n">
        <v>43476</v>
      </c>
      <c r="C70" s="1" t="n">
        <v>45344</v>
      </c>
      <c r="D70" t="inlineStr">
        <is>
          <t>GÄVLEBORGS LÄN</t>
        </is>
      </c>
      <c r="E70" t="inlineStr">
        <is>
          <t>LJUSDAL</t>
        </is>
      </c>
      <c r="G70" t="n">
        <v>130.7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Lopplummer
Revlummer</t>
        </is>
      </c>
      <c r="S70">
        <f>HYPERLINK("https://klasma.github.io/Logging_2161/artfynd/A 2528-2019 artfynd.xlsx", "A 2528-2019")</f>
        <v/>
      </c>
      <c r="T70">
        <f>HYPERLINK("https://klasma.github.io/Logging_2161/kartor/A 2528-2019 karta.png", "A 2528-2019")</f>
        <v/>
      </c>
      <c r="V70">
        <f>HYPERLINK("https://klasma.github.io/Logging_2161/klagomål/A 2528-2019 FSC-klagomål.docx", "A 2528-2019")</f>
        <v/>
      </c>
      <c r="W70">
        <f>HYPERLINK("https://klasma.github.io/Logging_2161/klagomålsmail/A 2528-2019 FSC-klagomål mail.docx", "A 2528-2019")</f>
        <v/>
      </c>
      <c r="X70">
        <f>HYPERLINK("https://klasma.github.io/Logging_2161/tillsyn/A 2528-2019 tillsynsbegäran.docx", "A 2528-2019")</f>
        <v/>
      </c>
      <c r="Y70">
        <f>HYPERLINK("https://klasma.github.io/Logging_2161/tillsynsmail/A 2528-2019 tillsynsbegäran mail.docx", "A 2528-2019")</f>
        <v/>
      </c>
    </row>
    <row r="71" ht="15" customHeight="1">
      <c r="A71" t="inlineStr">
        <is>
          <t>A 29812-2019</t>
        </is>
      </c>
      <c r="B71" s="1" t="n">
        <v>43629</v>
      </c>
      <c r="C71" s="1" t="n">
        <v>45344</v>
      </c>
      <c r="D71" t="inlineStr">
        <is>
          <t>GÄVLEBORGS LÄN</t>
        </is>
      </c>
      <c r="E71" t="inlineStr">
        <is>
          <t>LJUSDAL</t>
        </is>
      </c>
      <c r="F71" t="inlineStr">
        <is>
          <t>Holmen skog AB</t>
        </is>
      </c>
      <c r="G71" t="n">
        <v>2.4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Skinnlav</t>
        </is>
      </c>
      <c r="S71">
        <f>HYPERLINK("https://klasma.github.io/Logging_2161/artfynd/A 29812-2019 artfynd.xlsx", "A 29812-2019")</f>
        <v/>
      </c>
      <c r="T71">
        <f>HYPERLINK("https://klasma.github.io/Logging_2161/kartor/A 29812-2019 karta.png", "A 29812-2019")</f>
        <v/>
      </c>
      <c r="U71">
        <f>HYPERLINK("https://klasma.github.io/Logging_2161/knärot/A 29812-2019 karta knärot.png", "A 29812-2019")</f>
        <v/>
      </c>
      <c r="V71">
        <f>HYPERLINK("https://klasma.github.io/Logging_2161/klagomål/A 29812-2019 FSC-klagomål.docx", "A 29812-2019")</f>
        <v/>
      </c>
      <c r="W71">
        <f>HYPERLINK("https://klasma.github.io/Logging_2161/klagomålsmail/A 29812-2019 FSC-klagomål mail.docx", "A 29812-2019")</f>
        <v/>
      </c>
      <c r="X71">
        <f>HYPERLINK("https://klasma.github.io/Logging_2161/tillsyn/A 29812-2019 tillsynsbegäran.docx", "A 29812-2019")</f>
        <v/>
      </c>
      <c r="Y71">
        <f>HYPERLINK("https://klasma.github.io/Logging_2161/tillsynsmail/A 29812-2019 tillsynsbegäran mail.docx", "A 29812-2019")</f>
        <v/>
      </c>
    </row>
    <row r="72" ht="15" customHeight="1">
      <c r="A72" t="inlineStr">
        <is>
          <t>A 24617-2020</t>
        </is>
      </c>
      <c r="B72" s="1" t="n">
        <v>43977</v>
      </c>
      <c r="C72" s="1" t="n">
        <v>45344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9.300000000000001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HYPERLINK("https://klasma.github.io/Logging_2161/artfynd/A 24617-2020 artfynd.xlsx", "A 24617-2020")</f>
        <v/>
      </c>
      <c r="T72">
        <f>HYPERLINK("https://klasma.github.io/Logging_2161/kartor/A 24617-2020 karta.png", "A 24617-2020")</f>
        <v/>
      </c>
      <c r="V72">
        <f>HYPERLINK("https://klasma.github.io/Logging_2161/klagomål/A 24617-2020 FSC-klagomål.docx", "A 24617-2020")</f>
        <v/>
      </c>
      <c r="W72">
        <f>HYPERLINK("https://klasma.github.io/Logging_2161/klagomålsmail/A 24617-2020 FSC-klagomål mail.docx", "A 24617-2020")</f>
        <v/>
      </c>
      <c r="X72">
        <f>HYPERLINK("https://klasma.github.io/Logging_2161/tillsyn/A 24617-2020 tillsynsbegäran.docx", "A 24617-2020")</f>
        <v/>
      </c>
      <c r="Y72">
        <f>HYPERLINK("https://klasma.github.io/Logging_2161/tillsynsmail/A 24617-2020 tillsynsbegäran mail.docx", "A 24617-2020")</f>
        <v/>
      </c>
    </row>
    <row r="73" ht="15" customHeight="1">
      <c r="A73" t="inlineStr">
        <is>
          <t>A 21765-2021</t>
        </is>
      </c>
      <c r="B73" s="1" t="n">
        <v>44322</v>
      </c>
      <c r="C73" s="1" t="n">
        <v>45344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1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Stenfalk
Ärtsångare</t>
        </is>
      </c>
      <c r="S73">
        <f>HYPERLINK("https://klasma.github.io/Logging_2161/artfynd/A 21765-2021 artfynd.xlsx", "A 21765-2021")</f>
        <v/>
      </c>
      <c r="T73">
        <f>HYPERLINK("https://klasma.github.io/Logging_2161/kartor/A 21765-2021 karta.png", "A 21765-2021")</f>
        <v/>
      </c>
      <c r="V73">
        <f>HYPERLINK("https://klasma.github.io/Logging_2161/klagomål/A 21765-2021 FSC-klagomål.docx", "A 21765-2021")</f>
        <v/>
      </c>
      <c r="W73">
        <f>HYPERLINK("https://klasma.github.io/Logging_2161/klagomålsmail/A 21765-2021 FSC-klagomål mail.docx", "A 21765-2021")</f>
        <v/>
      </c>
      <c r="X73">
        <f>HYPERLINK("https://klasma.github.io/Logging_2161/tillsyn/A 21765-2021 tillsynsbegäran.docx", "A 21765-2021")</f>
        <v/>
      </c>
      <c r="Y73">
        <f>HYPERLINK("https://klasma.github.io/Logging_2161/tillsynsmail/A 21765-2021 tillsynsbegäran mail.docx", "A 21765-2021")</f>
        <v/>
      </c>
      <c r="Z73">
        <f>HYPERLINK("https://klasma.github.io/Logging_2161/fåglar/A 21765-2021 prioriterade fågelarter.docx", "A 21765-2021")</f>
        <v/>
      </c>
    </row>
    <row r="74" ht="15" customHeight="1">
      <c r="A74" t="inlineStr">
        <is>
          <t>A 27326-2021</t>
        </is>
      </c>
      <c r="B74" s="1" t="n">
        <v>44351</v>
      </c>
      <c r="C74" s="1" t="n">
        <v>45344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Skarp dropptaggsvamp
Revlummer</t>
        </is>
      </c>
      <c r="S74">
        <f>HYPERLINK("https://klasma.github.io/Logging_2161/artfynd/A 27326-2021 artfynd.xlsx", "A 27326-2021")</f>
        <v/>
      </c>
      <c r="T74">
        <f>HYPERLINK("https://klasma.github.io/Logging_2161/kartor/A 27326-2021 karta.png", "A 27326-2021")</f>
        <v/>
      </c>
      <c r="V74">
        <f>HYPERLINK("https://klasma.github.io/Logging_2161/klagomål/A 27326-2021 FSC-klagomål.docx", "A 27326-2021")</f>
        <v/>
      </c>
      <c r="W74">
        <f>HYPERLINK("https://klasma.github.io/Logging_2161/klagomålsmail/A 27326-2021 FSC-klagomål mail.docx", "A 27326-2021")</f>
        <v/>
      </c>
      <c r="X74">
        <f>HYPERLINK("https://klasma.github.io/Logging_2161/tillsyn/A 27326-2021 tillsynsbegäran.docx", "A 27326-2021")</f>
        <v/>
      </c>
      <c r="Y74">
        <f>HYPERLINK("https://klasma.github.io/Logging_2161/tillsynsmail/A 27326-2021 tillsynsbegäran mail.docx", "A 27326-2021")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45344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45344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45344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45344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45344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45344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45344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45344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45344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45344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45344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45344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45344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45344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45344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45344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45344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45344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45344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45344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45344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45344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45344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45344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45344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45344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45344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45344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45344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45344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45344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45344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45344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45344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45344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45344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45344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45344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45344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45344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45344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45344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45344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45344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45344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45344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45344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45344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45344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45344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45344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45344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45344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45344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45344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45344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45344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45344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45344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45344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45344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45344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45344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45344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45344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45344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45344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45344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45344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45344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45344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45344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45344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45344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45344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45344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45344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45344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45344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45344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45344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45344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45344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45344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45344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45344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45344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45344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45344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45344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45344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45344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45344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45344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45344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45344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45344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45344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45344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45344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45344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45344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45344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45344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45344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45344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45344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45344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45344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45344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45344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45344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45344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45344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45344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45344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45344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45344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45344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45344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45344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45344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45344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45344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45344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45344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45344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45344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45344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45344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45344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45344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45344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45344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45344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45344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45344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45344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45344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45344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45344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45344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45344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45344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45344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45344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45344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45344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45344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45344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45344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45344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45344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45344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45344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45344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45344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45344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45344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45344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45344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45344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45344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45344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45344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45344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45344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45344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45344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45344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45344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45344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45344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45344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45344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45344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45344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45344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45344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45344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45344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45344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45344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45344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45344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45344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45344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45344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45344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45344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45344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45344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45344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45344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45344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45344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45344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45344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45344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45344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45344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45344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45344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45344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45344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45344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45344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45344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45344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45344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45344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45344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45344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45344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45344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45344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45344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45344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45344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45344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45344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45344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45344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45344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45344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45344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45344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45344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45344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45344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45344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45344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45344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45344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45344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45344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45344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45344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45344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45344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45344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45344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45344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45344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45344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45344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45344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45344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45344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45344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45344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45344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45344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45344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45344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45344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45344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45344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45344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45344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45344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45344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45344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45344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45344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45344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45344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45344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45344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45344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45344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45344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45344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45344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45344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45344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45344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45344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45344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45344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45344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45344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45344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45344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45344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45344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45344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45344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45344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45344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45344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45344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45344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45344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45344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45344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45344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45344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45344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45344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45344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45344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45344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45344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45344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45344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45344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45344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45344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45344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45344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45344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45344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45344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45344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45344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45344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45344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45344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45344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45344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45344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45344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45344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45344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45344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45344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45344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45344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45344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45344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45344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45344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45344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45344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45344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45344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45344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45344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45344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45344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45344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45344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45344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45344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45344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45344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45344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45344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45344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45344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45344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45344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45344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45344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45344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45344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45344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45344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45344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45344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45344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45344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45344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45344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45344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45344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45344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45344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45344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45344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45344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45344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45344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45344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45344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45344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45344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45344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45344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45344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45344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45344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45344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45344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45344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45344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45344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45344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45344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45344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45344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45344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45344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45344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45344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45344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45344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45344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45344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45344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45344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45344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45344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45344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45344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45344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45344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45344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45344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45344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45344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45344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45344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45344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45344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45344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45344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45344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45344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45344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45344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45344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45344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45344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45344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45344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45344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45344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45344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45344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45344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45344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45344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45344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45344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45344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45344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45344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45344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45344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45344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45344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45344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45344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45344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45344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45344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45344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45344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45344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45344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45344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45344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45344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45344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45344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45344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45344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45344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45344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45344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45344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45344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45344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45344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45344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45344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45344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45344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45344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45344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45344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45344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45344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45344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45344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45344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45344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45344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45344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45344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45344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45344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45344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45344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45344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45344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45344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45344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45344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45344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45344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45344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45344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45344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45344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45344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45344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45344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45344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45344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45344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45344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45344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45344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45344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45344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45344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45344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45344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45344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45344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45344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45344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45344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45344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45344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45344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45344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45344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45344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45344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45344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45344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45344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45344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45344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45344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45344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45344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45344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45344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45344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45344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45344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45344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45344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45344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45344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45344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45344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45344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45344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45344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45344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45344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45344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45344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45344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45344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45344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45344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45344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45344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45344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45344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45344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45344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45344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45344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45344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45344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45344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45344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45344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45344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45344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45344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45344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45344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45344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45344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45344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45344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45344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45344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45344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45344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45344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45344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45344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45344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45344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45344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45344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45344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45344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45344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45344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45344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45344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45344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45344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45344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45344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45344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45344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45344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45344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45344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45344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45344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45344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45344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45344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45344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45344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45344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45344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45344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45344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45344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45344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45344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45344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45344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45344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45344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45344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45344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45344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45344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45344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45344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45344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45344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45344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45344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45344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45344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45344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45344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45344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45344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45344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45344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45344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45344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45344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45344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45344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45344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45344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45344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45344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45344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45344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45344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45344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45344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45344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45344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45344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45344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45344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45344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45344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45344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45344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45344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45344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45344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45344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45344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45344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45344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45344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45344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45344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45344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45344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45344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45344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45344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45344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45344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45344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45344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45344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45344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45344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45344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45344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45344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45344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45344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45344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45344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45344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45344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45344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45344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45344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45344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45344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45344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45344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45344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45344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45344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45344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45344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45344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45344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45344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45344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45344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45344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45344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45344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45344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45344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45344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45344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45344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45344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45344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45344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45344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45344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45344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45344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45344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45344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45344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45344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45344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45344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45344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45344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45344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45344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45344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45344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45344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45344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45344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45344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45344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45344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45344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45344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45344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45344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45344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45344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45344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45344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45344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45344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45344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45344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45344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45344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45344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45344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45344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45344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45344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45344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45344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45344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45344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45344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45344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45344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45344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45344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45344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45344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45344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45344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45344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45344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45344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45344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45344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45344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45344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45344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45344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45344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45344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45344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45344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45344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45344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45344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45344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45344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45344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45344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45344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45344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45344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45344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45344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45344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45344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45344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45344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45344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45344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45344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45344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45344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45344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45344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45344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45344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45344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45344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45344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45344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45344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45344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45344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45344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45344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45344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45344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45344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45344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45344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45344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45344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45344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45344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45344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45344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45344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45344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45344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45344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45344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45344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45344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45344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45344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45344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45344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45344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45344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45344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45344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45344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45344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45344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45344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45344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45344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45344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45344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45344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45344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45344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45344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45344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45344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45344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45344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45344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45344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45344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45344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45344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45344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45344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45344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45344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45344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45344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45344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45344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45344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45344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45344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45344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45344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45344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45344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45344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45344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45344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45344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45344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45344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45344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45344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45344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45344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45344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45344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45344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45344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45344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45344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45344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45344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45344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45344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45344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45344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45344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45344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45344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45344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45344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45344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45344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45344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45344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45344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45344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45344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45344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45344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45344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45344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45344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45344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45344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45344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45344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45344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45344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45344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45344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45344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45344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45344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45344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45344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45344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45344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45344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45344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45344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45344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45344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45344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45344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45344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45344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45344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45344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45344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45344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45344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45344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45344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45344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45344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45344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45344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45344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45344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45344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45344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45344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45344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45344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45344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45344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45344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45344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45344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45344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45344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45344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45344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45344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45344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45344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45344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45344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45344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45344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45344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45344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45344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45344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45344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45344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45344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45344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45344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45344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45344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45344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45344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45344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45344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45344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45344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45344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45344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45344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45344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45344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45344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45344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45344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45344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45344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45344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45344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45344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45344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45344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45344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45344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45344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45344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45344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45344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45344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45344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45344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45344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45344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45344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45344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45344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45344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45344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45344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45344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45344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45344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45344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45344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45344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45344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45344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45344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45344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45344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45344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45344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45344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45344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45344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45344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45344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45344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45344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45344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45344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45344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45344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45344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45344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45344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45344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45344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45344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45344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45344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45344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45344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45344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45344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45344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45344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45344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45344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45344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45344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45344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45344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45344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45344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45344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45344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45344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45344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45344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45344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45344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45344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45344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45344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45344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45344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45344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45344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45344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45344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45344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45344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45344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45344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45344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45344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45344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45344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45344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45344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45344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45344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45344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45344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45344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45344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45344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45344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45344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45344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45344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45344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45344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45344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45344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45344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45344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45344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45344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45344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45344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45344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45344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45344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45344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45344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45344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45344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45344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45344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45344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45344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45344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45344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45344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45344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45344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45344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45344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45344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45344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45344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45344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45344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45344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45344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45344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45344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45344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45344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45344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45344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45344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45344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45344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45344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45344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45344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45344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45344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45344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45344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45344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45344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45344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45344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45344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45344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45344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45344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45344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45344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45344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45344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45344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45344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45344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45344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45344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45344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45344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45344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45344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45344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45344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45344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45344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45344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45344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45344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45344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45344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45344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45344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45344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45344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45344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45344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45344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45344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45344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45344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45344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45344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45344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45344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45344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45344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45344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45344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45344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45344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45344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45344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45344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45344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45344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45344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45344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45344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45344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45344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45344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45344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45344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45344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45344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45344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45344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45344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45344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45344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45344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45344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45344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45344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45344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45344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45344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45344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45344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45344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45344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45344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45344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45344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45344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45344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45344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45344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45344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45344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45344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45344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45344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45344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45344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45344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45344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45344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45344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45344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45344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45344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45344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45344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45344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45344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45344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45344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45344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45344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45344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45344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45344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45344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45344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45344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45344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45344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45344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45344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45344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45344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45344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45344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45344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45344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45344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45344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45344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45344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45344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45344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45344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45344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45344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45344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45344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45344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45344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45344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45344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45344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45344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45344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45344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45344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45344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45344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45344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45344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45344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45344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45344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45344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45344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45344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45344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45344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45344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45344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45344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45344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45344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45344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45344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45344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45344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45344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45344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45344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45344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45344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45344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45344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45344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45344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45344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45344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45344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45344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45344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45344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45344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45344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45344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45344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45344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45344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45344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45344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45344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45344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45344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45344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45344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45344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45344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45344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45344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45344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45344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45344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45344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45344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45344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45344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45344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45344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45344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45344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45344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45344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45344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45344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45344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45344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45344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45344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45344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45344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45344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45344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45344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45344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45344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45344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45344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45344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45344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45344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45344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45344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45344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45344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45344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45344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45344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45344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45344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45344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45344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45344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45344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45344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45344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45344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45344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45344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45344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45344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45344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45344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45344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45344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45344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45344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45344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45344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45344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45344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45344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45344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45344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45344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45344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45344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45344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45344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45344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45344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45344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45344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45344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45344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45344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45344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45344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45344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45344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45344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45344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45344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45344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45344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45344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45344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45344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45344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45344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45344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45344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45344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45344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45344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45344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45344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45344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45344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45344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45344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45344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45344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45344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45344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45344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45344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45344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45344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45344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45344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45344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45344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45344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45344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45344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45344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45344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45344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45344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45344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45344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45344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45344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45344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45344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45344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45344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45344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45344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45344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45344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45344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45344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45344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45344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45344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45344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45344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45344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45344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45344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45344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45344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45344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45344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45344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45344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45344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45344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45344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45344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45344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45344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45344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45344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45344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45344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45344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45344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45344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45344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45344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45344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45344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45344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45344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45344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45344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45344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45344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45344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45344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45344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45344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45344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45344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45344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45344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45344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45344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45344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45344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45344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45344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45344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45344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45344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45344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45344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45344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45344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45344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45344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45344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45344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45344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45344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45344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45344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45344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45344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45344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45344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45344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45344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45344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45344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45344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45344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45344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45344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45344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45344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45344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45344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45344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45344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45344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45344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45344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45344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45344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45344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45344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45344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45344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45344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45344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45344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45344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45344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45344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45344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45344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45344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45344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45344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45344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45344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45344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45344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45344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45344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45344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45344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45344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45344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45344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45344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45344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45344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45344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45344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45344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45344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45344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45344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45344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45344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45344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45344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45344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45344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45344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45344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45344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45344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45344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45344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45344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45344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45344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45344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45344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45344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45344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45344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45344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45344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45344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45344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45344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45344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45344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45344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45344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45344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45344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45344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45344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45344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45344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45344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45344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45344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45344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45344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45344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45344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45344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45344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45344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45344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45344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45344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45344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45344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45344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45344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45344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45344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45344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45344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45344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45344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45344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45344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45344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45344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45344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45344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45344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45344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45344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45344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45344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45344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45344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45344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45344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45344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45344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45344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45344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45344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45344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45344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45344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45344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45344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45344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45344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45344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45344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45344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45344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45344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45344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45344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45344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45344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45344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45344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45344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45344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45344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45344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45344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45344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45344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45344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45344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45344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45344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45344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45344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45344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45344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45344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45344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45344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45344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45344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45344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45344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45344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45344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45344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45344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45344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45344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45344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45344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45344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45344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45344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45344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45344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45344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45344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45344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45344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45344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45344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45344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45344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45344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45344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45344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45344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45344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45344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45344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45344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45344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45344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45344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45344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45344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45344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45344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45344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45344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45344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45344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45344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45344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45344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45344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45344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45344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45344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45344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45344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45344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45344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45344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45344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45344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45344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45344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45344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45344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45344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45344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45344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45344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45344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45344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45344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45344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45344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45344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45344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45344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45344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45344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45344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45344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45344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45344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45344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45344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45344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45344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45344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45344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45344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45344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45344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45344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45344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45344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45344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45344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45344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45344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45344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45344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45344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45344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45344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45344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45344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45344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45344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45344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45344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45344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45344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45344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45344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45344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45344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45344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45344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45344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45344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45344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45344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45344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45344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45344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45344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45344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45344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45344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45344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45344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45344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45344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45344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45344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45344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45344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45344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45344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45344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45344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45344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45344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45344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45344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45344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45344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45344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45344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45344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45344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45344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45344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45344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45344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45344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45344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45344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45344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45344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45344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45344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45344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45344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45344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45344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45344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45344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45344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45344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45344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45344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45344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45344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45344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45344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45344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45344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45344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45344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45344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45344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45344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45344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45344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45344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45344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45344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45344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45344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45344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45344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45344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45344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45344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45344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45344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45344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45344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45344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45344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45344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45344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45344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45344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45344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45344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45344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45344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45344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45344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45344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45344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45344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45344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45344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45344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45344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45344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45344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45344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45344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45344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45344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45344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45344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45344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45344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45344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45344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45344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45344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45344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45344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45344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45344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45344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45344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45344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45344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45344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45344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45344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45344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45344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45344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45344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45344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45344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45344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45344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45344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45344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45344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45344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45344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45344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45344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45344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45344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45344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45344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45344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45344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45344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45344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45344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45344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45344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45344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45344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45344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45344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45344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45344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45344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45344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45344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45344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45344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45344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45344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45344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45344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45344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45344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45344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45344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45344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45344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45344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45344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45344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45344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45344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45344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45344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45344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45344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45344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45344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45344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45344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45344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45344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45344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45344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45344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45344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45344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45344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45344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45344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45344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45344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45344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45344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45344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45344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2985-2024</t>
        </is>
      </c>
      <c r="B2124" s="1" t="n">
        <v>45315</v>
      </c>
      <c r="C2124" s="1" t="n">
        <v>45344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2894-2024</t>
        </is>
      </c>
      <c r="B2125" s="1" t="n">
        <v>45315</v>
      </c>
      <c r="C2125" s="1" t="n">
        <v>45344</v>
      </c>
      <c r="D2125" t="inlineStr">
        <is>
          <t>GÄVLEBORGS LÄN</t>
        </is>
      </c>
      <c r="E2125" t="inlineStr">
        <is>
          <t>LJUSDAL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2909-2024</t>
        </is>
      </c>
      <c r="B2126" s="1" t="n">
        <v>45315</v>
      </c>
      <c r="C2126" s="1" t="n">
        <v>45344</v>
      </c>
      <c r="D2126" t="inlineStr">
        <is>
          <t>GÄVLEBORGS LÄN</t>
        </is>
      </c>
      <c r="E2126" t="inlineStr">
        <is>
          <t>LJUSDAL</t>
        </is>
      </c>
      <c r="G2126" t="n">
        <v>4.2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45344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45344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3267-2024</t>
        </is>
      </c>
      <c r="B2129" s="1" t="n">
        <v>45317</v>
      </c>
      <c r="C2129" s="1" t="n">
        <v>45344</v>
      </c>
      <c r="D2129" t="inlineStr">
        <is>
          <t>GÄVLEBORGS LÄN</t>
        </is>
      </c>
      <c r="E2129" t="inlineStr">
        <is>
          <t>LJUSDAL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45344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3375-2024</t>
        </is>
      </c>
      <c r="B2131" s="1" t="n">
        <v>45317</v>
      </c>
      <c r="C2131" s="1" t="n">
        <v>45344</v>
      </c>
      <c r="D2131" t="inlineStr">
        <is>
          <t>GÄVLEBORGS LÄN</t>
        </is>
      </c>
      <c r="E2131" t="inlineStr">
        <is>
          <t>LJUSDAL</t>
        </is>
      </c>
      <c r="G2131" t="n">
        <v>7.3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45344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45344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45344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45344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45344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45344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4021-2024</t>
        </is>
      </c>
      <c r="B2138" s="1" t="n">
        <v>45323</v>
      </c>
      <c r="C2138" s="1" t="n">
        <v>45344</v>
      </c>
      <c r="D2138" t="inlineStr">
        <is>
          <t>GÄVLEBORGS LÄN</t>
        </is>
      </c>
      <c r="E2138" t="inlineStr">
        <is>
          <t>LJUSDAL</t>
        </is>
      </c>
      <c r="G2138" t="n">
        <v>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4043-2024</t>
        </is>
      </c>
      <c r="B2139" s="1" t="n">
        <v>45323</v>
      </c>
      <c r="C2139" s="1" t="n">
        <v>45344</v>
      </c>
      <c r="D2139" t="inlineStr">
        <is>
          <t>GÄVLEBORGS LÄN</t>
        </is>
      </c>
      <c r="E2139" t="inlineStr">
        <is>
          <t>LJUSDAL</t>
        </is>
      </c>
      <c r="G2139" t="n">
        <v>9.9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45344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4221-2024</t>
        </is>
      </c>
      <c r="B2141" s="1" t="n">
        <v>45324</v>
      </c>
      <c r="C2141" s="1" t="n">
        <v>45344</v>
      </c>
      <c r="D2141" t="inlineStr">
        <is>
          <t>GÄVLEBORGS LÄN</t>
        </is>
      </c>
      <c r="E2141" t="inlineStr">
        <is>
          <t>LJUSDAL</t>
        </is>
      </c>
      <c r="G2141" t="n">
        <v>14.5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45344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4238-2024</t>
        </is>
      </c>
      <c r="B2143" s="1" t="n">
        <v>45324</v>
      </c>
      <c r="C2143" s="1" t="n">
        <v>45344</v>
      </c>
      <c r="D2143" t="inlineStr">
        <is>
          <t>GÄVLEBORGS LÄN</t>
        </is>
      </c>
      <c r="E2143" t="inlineStr">
        <is>
          <t>LJUSDAL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45344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45344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45344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4581-2024</t>
        </is>
      </c>
      <c r="B2147" s="1" t="n">
        <v>45327</v>
      </c>
      <c r="C2147" s="1" t="n">
        <v>45344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4580-2024</t>
        </is>
      </c>
      <c r="B2148" s="1" t="n">
        <v>45327</v>
      </c>
      <c r="C2148" s="1" t="n">
        <v>45344</v>
      </c>
      <c r="D2148" t="inlineStr">
        <is>
          <t>GÄVLEBORGS LÄN</t>
        </is>
      </c>
      <c r="E2148" t="inlineStr">
        <is>
          <t>LJUSDAL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4582-2024</t>
        </is>
      </c>
      <c r="B2149" s="1" t="n">
        <v>45327</v>
      </c>
      <c r="C2149" s="1" t="n">
        <v>45344</v>
      </c>
      <c r="D2149" t="inlineStr">
        <is>
          <t>GÄVLEBORGS LÄN</t>
        </is>
      </c>
      <c r="E2149" t="inlineStr">
        <is>
          <t>LJUSDAL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45344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45344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5090-2024</t>
        </is>
      </c>
      <c r="B2152" s="1" t="n">
        <v>45330</v>
      </c>
      <c r="C2152" s="1" t="n">
        <v>45344</v>
      </c>
      <c r="D2152" t="inlineStr">
        <is>
          <t>GÄVLEBORGS LÄN</t>
        </is>
      </c>
      <c r="E2152" t="inlineStr">
        <is>
          <t>LJUSDAL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5098-2024</t>
        </is>
      </c>
      <c r="B2153" s="1" t="n">
        <v>45330</v>
      </c>
      <c r="C2153" s="1" t="n">
        <v>45344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5092-2024</t>
        </is>
      </c>
      <c r="B2154" s="1" t="n">
        <v>45330</v>
      </c>
      <c r="C2154" s="1" t="n">
        <v>45344</v>
      </c>
      <c r="D2154" t="inlineStr">
        <is>
          <t>GÄVLEBORGS LÄN</t>
        </is>
      </c>
      <c r="E2154" t="inlineStr">
        <is>
          <t>LJUSDAL</t>
        </is>
      </c>
      <c r="G2154" t="n">
        <v>4.8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45344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5535-2024</t>
        </is>
      </c>
      <c r="B2156" s="1" t="n">
        <v>45334</v>
      </c>
      <c r="C2156" s="1" t="n">
        <v>45344</v>
      </c>
      <c r="D2156" t="inlineStr">
        <is>
          <t>GÄVLEBORGS LÄN</t>
        </is>
      </c>
      <c r="E2156" t="inlineStr">
        <is>
          <t>LJUSDAL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5579-2024</t>
        </is>
      </c>
      <c r="B2157" s="1" t="n">
        <v>45334</v>
      </c>
      <c r="C2157" s="1" t="n">
        <v>45344</v>
      </c>
      <c r="D2157" t="inlineStr">
        <is>
          <t>GÄVLEBORGS LÄN</t>
        </is>
      </c>
      <c r="E2157" t="inlineStr">
        <is>
          <t>LJUSDAL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5534-2024</t>
        </is>
      </c>
      <c r="B2158" s="1" t="n">
        <v>45334</v>
      </c>
      <c r="C2158" s="1" t="n">
        <v>45344</v>
      </c>
      <c r="D2158" t="inlineStr">
        <is>
          <t>GÄVLEBORGS LÄN</t>
        </is>
      </c>
      <c r="E2158" t="inlineStr">
        <is>
          <t>LJUSDAL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6074-2024</t>
        </is>
      </c>
      <c r="B2159" s="1" t="n">
        <v>45336</v>
      </c>
      <c r="C2159" s="1" t="n">
        <v>45344</v>
      </c>
      <c r="D2159" t="inlineStr">
        <is>
          <t>GÄVLEBORGS LÄN</t>
        </is>
      </c>
      <c r="E2159" t="inlineStr">
        <is>
          <t>LJUSDAL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6073-2024</t>
        </is>
      </c>
      <c r="B2160" s="1" t="n">
        <v>45336</v>
      </c>
      <c r="C2160" s="1" t="n">
        <v>45344</v>
      </c>
      <c r="D2160" t="inlineStr">
        <is>
          <t>GÄVLEBORGS LÄN</t>
        </is>
      </c>
      <c r="E2160" t="inlineStr">
        <is>
          <t>LJUSDAL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6072-2024</t>
        </is>
      </c>
      <c r="B2161" s="1" t="n">
        <v>45336</v>
      </c>
      <c r="C2161" s="1" t="n">
        <v>45344</v>
      </c>
      <c r="D2161" t="inlineStr">
        <is>
          <t>GÄVLEBORGS LÄN</t>
        </is>
      </c>
      <c r="E2161" t="inlineStr">
        <is>
          <t>LJUSDAL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45344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6724-2024</t>
        </is>
      </c>
      <c r="B2163" s="1" t="n">
        <v>45342</v>
      </c>
      <c r="C2163" s="1" t="n">
        <v>45344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6729-2024</t>
        </is>
      </c>
      <c r="B2164" s="1" t="n">
        <v>45342</v>
      </c>
      <c r="C2164" s="1" t="n">
        <v>45344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22.5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6802-2024</t>
        </is>
      </c>
      <c r="B2165" s="1" t="n">
        <v>45342</v>
      </c>
      <c r="C2165" s="1" t="n">
        <v>45344</v>
      </c>
      <c r="D2165" t="inlineStr">
        <is>
          <t>GÄVLEBORGS LÄN</t>
        </is>
      </c>
      <c r="E2165" t="inlineStr">
        <is>
          <t>LJUSDAL</t>
        </is>
      </c>
      <c r="F2165" t="inlineStr">
        <is>
          <t>Holmen skog AB</t>
        </is>
      </c>
      <c r="G2165" t="n">
        <v>23.2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6844-2024</t>
        </is>
      </c>
      <c r="B2166" s="1" t="n">
        <v>45342</v>
      </c>
      <c r="C2166" s="1" t="n">
        <v>45344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>
      <c r="A2167" t="inlineStr">
        <is>
          <t>A 7031-2024</t>
        </is>
      </c>
      <c r="B2167" s="1" t="n">
        <v>45343</v>
      </c>
      <c r="C2167" s="1" t="n">
        <v>45344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2024-02-22T06:49:38Z</dcterms:created>
  <dcterms:modified xmlns:dcterms="http://purl.org/dc/terms/" xmlns:xsi="http://www.w3.org/2001/XMLSchema-instance" xsi:type="dcterms:W3CDTF">2024-02-22T06:49:40Z</dcterms:modified>
</cp:coreProperties>
</file>