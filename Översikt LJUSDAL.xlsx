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45650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45650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45650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45650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45650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45650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45650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45650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45650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45650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45650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45650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45650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45650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45650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45650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45650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45650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45650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45650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45650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45650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45650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45650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45650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45650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45650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45650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45650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45650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45650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45650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45650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45650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45650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45650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45650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45650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45650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45650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45650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45650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45650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45650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45650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45650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45650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45650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45650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45650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45650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45650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45650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45650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45650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45650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45650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45650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45650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45650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45650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45650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45650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45650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45650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45650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45650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45650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45650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45650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45650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59375-2024</t>
        </is>
      </c>
      <c r="B73" s="1" t="n">
        <v>45638</v>
      </c>
      <c r="C73" s="1" t="n">
        <v>45650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Garnlav
Kolflarnlav
Dropptaggsvamp</t>
        </is>
      </c>
      <c r="S73">
        <f>HYPERLINK("https://klasma.github.io/Logging_2161/artfynd/A 59375-2024 artfynd.xlsx", "A 59375-2024")</f>
        <v/>
      </c>
      <c r="T73">
        <f>HYPERLINK("https://klasma.github.io/Logging_2161/kartor/A 59375-2024 karta.png", "A 59375-2024")</f>
        <v/>
      </c>
      <c r="U73">
        <f>HYPERLINK("https://klasma.github.io/Logging_2161/knärot/A 59375-2024 karta knärot.png", "A 59375-2024")</f>
        <v/>
      </c>
      <c r="V73">
        <f>HYPERLINK("https://klasma.github.io/Logging_2161/klagomål/A 59375-2024 FSC-klagomål.docx", "A 59375-2024")</f>
        <v/>
      </c>
      <c r="W73">
        <f>HYPERLINK("https://klasma.github.io/Logging_2161/klagomålsmail/A 59375-2024 FSC-klagomål mail.docx", "A 59375-2024")</f>
        <v/>
      </c>
      <c r="X73">
        <f>HYPERLINK("https://klasma.github.io/Logging_2161/tillsyn/A 59375-2024 tillsynsbegäran.docx", "A 59375-2024")</f>
        <v/>
      </c>
      <c r="Y73">
        <f>HYPERLINK("https://klasma.github.io/Logging_2161/tillsynsmail/A 59375-2024 tillsynsbegäran mail.docx", "A 59375-2024")</f>
        <v/>
      </c>
    </row>
    <row r="74" ht="15" customHeight="1">
      <c r="A74" t="inlineStr">
        <is>
          <t>A 29664-2019</t>
        </is>
      </c>
      <c r="B74" s="1" t="n">
        <v>43628</v>
      </c>
      <c r="C74" s="1" t="n">
        <v>45650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Ullticka
Dropptaggsvamp</t>
        </is>
      </c>
      <c r="S74">
        <f>HYPERLINK("https://klasma.github.io/Logging_2161/artfynd/A 29664-2019 artfynd.xlsx", "A 29664-2019")</f>
        <v/>
      </c>
      <c r="T74">
        <f>HYPERLINK("https://klasma.github.io/Logging_2161/kartor/A 29664-2019 karta.png", "A 29664-2019")</f>
        <v/>
      </c>
      <c r="U74">
        <f>HYPERLINK("https://klasma.github.io/Logging_2161/knärot/A 29664-2019 karta knärot.png", "A 29664-2019")</f>
        <v/>
      </c>
      <c r="V74">
        <f>HYPERLINK("https://klasma.github.io/Logging_2161/klagomål/A 29664-2019 FSC-klagomål.docx", "A 29664-2019")</f>
        <v/>
      </c>
      <c r="W74">
        <f>HYPERLINK("https://klasma.github.io/Logging_2161/klagomålsmail/A 29664-2019 FSC-klagomål mail.docx", "A 29664-2019")</f>
        <v/>
      </c>
      <c r="X74">
        <f>HYPERLINK("https://klasma.github.io/Logging_2161/tillsyn/A 29664-2019 tillsynsbegäran.docx", "A 29664-2019")</f>
        <v/>
      </c>
      <c r="Y74">
        <f>HYPERLINK("https://klasma.github.io/Logging_2161/tillsynsmail/A 29664-2019 tillsynsbegäran mail.docx", "A 29664-2019")</f>
        <v/>
      </c>
    </row>
    <row r="75" ht="15" customHeight="1">
      <c r="A75" t="inlineStr">
        <is>
          <t>A 3258-2020</t>
        </is>
      </c>
      <c r="B75" s="1" t="n">
        <v>43852</v>
      </c>
      <c r="C75" s="1" t="n">
        <v>45650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Dropptaggsvamp</t>
        </is>
      </c>
      <c r="S75">
        <f>HYPERLINK("https://klasma.github.io/Logging_2161/artfynd/A 3258-2020 artfynd.xlsx", "A 3258-2020")</f>
        <v/>
      </c>
      <c r="T75">
        <f>HYPERLINK("https://klasma.github.io/Logging_2161/kartor/A 3258-2020 karta.png", "A 3258-2020")</f>
        <v/>
      </c>
      <c r="U75">
        <f>HYPERLINK("https://klasma.github.io/Logging_2161/knärot/A 3258-2020 karta knärot.png", "A 3258-2020")</f>
        <v/>
      </c>
      <c r="V75">
        <f>HYPERLINK("https://klasma.github.io/Logging_2161/klagomål/A 3258-2020 FSC-klagomål.docx", "A 3258-2020")</f>
        <v/>
      </c>
      <c r="W75">
        <f>HYPERLINK("https://klasma.github.io/Logging_2161/klagomålsmail/A 3258-2020 FSC-klagomål mail.docx", "A 3258-2020")</f>
        <v/>
      </c>
      <c r="X75">
        <f>HYPERLINK("https://klasma.github.io/Logging_2161/tillsyn/A 3258-2020 tillsynsbegäran.docx", "A 3258-2020")</f>
        <v/>
      </c>
      <c r="Y75">
        <f>HYPERLINK("https://klasma.github.io/Logging_2161/tillsynsmail/A 3258-2020 tillsynsbegäran mail.docx", "A 3258-2020")</f>
        <v/>
      </c>
    </row>
    <row r="76" ht="15" customHeight="1">
      <c r="A76" t="inlineStr">
        <is>
          <t>A 7558-2020</t>
        </is>
      </c>
      <c r="B76" s="1" t="n">
        <v>43872</v>
      </c>
      <c r="C76" s="1" t="n">
        <v>45650</v>
      </c>
      <c r="D76" t="inlineStr">
        <is>
          <t>GÄVLEBORGS LÄN</t>
        </is>
      </c>
      <c r="E76" t="inlineStr">
        <is>
          <t>LJUSDAL</t>
        </is>
      </c>
      <c r="G76" t="n">
        <v>2.9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Dvärgbägarlav
Vedskivlav
Dropptaggsvamp</t>
        </is>
      </c>
      <c r="S76">
        <f>HYPERLINK("https://klasma.github.io/Logging_2161/artfynd/A 7558-2020 artfynd.xlsx", "A 7558-2020")</f>
        <v/>
      </c>
      <c r="T76">
        <f>HYPERLINK("https://klasma.github.io/Logging_2161/kartor/A 7558-2020 karta.png", "A 7558-2020")</f>
        <v/>
      </c>
      <c r="V76">
        <f>HYPERLINK("https://klasma.github.io/Logging_2161/klagomål/A 7558-2020 FSC-klagomål.docx", "A 7558-2020")</f>
        <v/>
      </c>
      <c r="W76">
        <f>HYPERLINK("https://klasma.github.io/Logging_2161/klagomålsmail/A 7558-2020 FSC-klagomål mail.docx", "A 7558-2020")</f>
        <v/>
      </c>
      <c r="X76">
        <f>HYPERLINK("https://klasma.github.io/Logging_2161/tillsyn/A 7558-2020 tillsynsbegäran.docx", "A 7558-2020")</f>
        <v/>
      </c>
      <c r="Y76">
        <f>HYPERLINK("https://klasma.github.io/Logging_2161/tillsynsmail/A 7558-2020 tillsynsbegäran mail.docx", "A 7558-2020")</f>
        <v/>
      </c>
    </row>
    <row r="77" ht="15" customHeight="1">
      <c r="A77" t="inlineStr">
        <is>
          <t>A 24470-2020</t>
        </is>
      </c>
      <c r="B77" s="1" t="n">
        <v>43977</v>
      </c>
      <c r="C77" s="1" t="n">
        <v>45650</v>
      </c>
      <c r="D77" t="inlineStr">
        <is>
          <t>GÄVLEBORGS LÄN</t>
        </is>
      </c>
      <c r="E77" t="inlineStr">
        <is>
          <t>LJUSDAL</t>
        </is>
      </c>
      <c r="F77" t="inlineStr">
        <is>
          <t>Naturvårdsverket</t>
        </is>
      </c>
      <c r="G77" t="n">
        <v>2.5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Mörk kolflarnlav
Nattviol</t>
        </is>
      </c>
      <c r="S77">
        <f>HYPERLINK("https://klasma.github.io/Logging_2161/artfynd/A 24470-2020 artfynd.xlsx", "A 24470-2020")</f>
        <v/>
      </c>
      <c r="T77">
        <f>HYPERLINK("https://klasma.github.io/Logging_2161/kartor/A 24470-2020 karta.png", "A 24470-2020")</f>
        <v/>
      </c>
      <c r="V77">
        <f>HYPERLINK("https://klasma.github.io/Logging_2161/klagomål/A 24470-2020 FSC-klagomål.docx", "A 24470-2020")</f>
        <v/>
      </c>
      <c r="W77">
        <f>HYPERLINK("https://klasma.github.io/Logging_2161/klagomålsmail/A 24470-2020 FSC-klagomål mail.docx", "A 24470-2020")</f>
        <v/>
      </c>
      <c r="X77">
        <f>HYPERLINK("https://klasma.github.io/Logging_2161/tillsyn/A 24470-2020 tillsynsbegäran.docx", "A 24470-2020")</f>
        <v/>
      </c>
      <c r="Y77">
        <f>HYPERLINK("https://klasma.github.io/Logging_2161/tillsynsmail/A 24470-2020 tillsynsbegäran mail.docx", "A 24470-2020")</f>
        <v/>
      </c>
    </row>
    <row r="78" ht="15" customHeight="1">
      <c r="A78" t="inlineStr">
        <is>
          <t>A 56674-2020</t>
        </is>
      </c>
      <c r="B78" s="1" t="n">
        <v>44137</v>
      </c>
      <c r="C78" s="1" t="n">
        <v>45650</v>
      </c>
      <c r="D78" t="inlineStr">
        <is>
          <t>GÄVLEBORGS LÄN</t>
        </is>
      </c>
      <c r="E78" t="inlineStr">
        <is>
          <t>LJUSDAL</t>
        </is>
      </c>
      <c r="G78" t="n">
        <v>11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Knärot
Korallblylav
Mörk husmossa</t>
        </is>
      </c>
      <c r="S78">
        <f>HYPERLINK("https://klasma.github.io/Logging_2161/artfynd/A 56674-2020 artfynd.xlsx", "A 56674-2020")</f>
        <v/>
      </c>
      <c r="T78">
        <f>HYPERLINK("https://klasma.github.io/Logging_2161/kartor/A 56674-2020 karta.png", "A 56674-2020")</f>
        <v/>
      </c>
      <c r="U78">
        <f>HYPERLINK("https://klasma.github.io/Logging_2161/knärot/A 56674-2020 karta knärot.png", "A 56674-2020")</f>
        <v/>
      </c>
      <c r="V78">
        <f>HYPERLINK("https://klasma.github.io/Logging_2161/klagomål/A 56674-2020 FSC-klagomål.docx", "A 56674-2020")</f>
        <v/>
      </c>
      <c r="W78">
        <f>HYPERLINK("https://klasma.github.io/Logging_2161/klagomålsmail/A 56674-2020 FSC-klagomål mail.docx", "A 56674-2020")</f>
        <v/>
      </c>
      <c r="X78">
        <f>HYPERLINK("https://klasma.github.io/Logging_2161/tillsyn/A 56674-2020 tillsynsbegäran.docx", "A 56674-2020")</f>
        <v/>
      </c>
      <c r="Y78">
        <f>HYPERLINK("https://klasma.github.io/Logging_2161/tillsynsmail/A 56674-2020 tillsynsbegäran mail.docx", "A 56674-2020")</f>
        <v/>
      </c>
    </row>
    <row r="79" ht="15" customHeight="1">
      <c r="A79" t="inlineStr">
        <is>
          <t>A 60162-2020</t>
        </is>
      </c>
      <c r="B79" s="1" t="n">
        <v>44152</v>
      </c>
      <c r="C79" s="1" t="n">
        <v>45650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Skrovellav</t>
        </is>
      </c>
      <c r="S79">
        <f>HYPERLINK("https://klasma.github.io/Logging_2161/artfynd/A 60162-2020 artfynd.xlsx", "A 60162-2020")</f>
        <v/>
      </c>
      <c r="T79">
        <f>HYPERLINK("https://klasma.github.io/Logging_2161/kartor/A 60162-2020 karta.png", "A 60162-2020")</f>
        <v/>
      </c>
      <c r="V79">
        <f>HYPERLINK("https://klasma.github.io/Logging_2161/klagomål/A 60162-2020 FSC-klagomål.docx", "A 60162-2020")</f>
        <v/>
      </c>
      <c r="W79">
        <f>HYPERLINK("https://klasma.github.io/Logging_2161/klagomålsmail/A 60162-2020 FSC-klagomål mail.docx", "A 60162-2020")</f>
        <v/>
      </c>
      <c r="X79">
        <f>HYPERLINK("https://klasma.github.io/Logging_2161/tillsyn/A 60162-2020 tillsynsbegäran.docx", "A 60162-2020")</f>
        <v/>
      </c>
      <c r="Y79">
        <f>HYPERLINK("https://klasma.github.io/Logging_2161/tillsynsmail/A 60162-2020 tillsynsbegäran mail.docx", "A 60162-2020")</f>
        <v/>
      </c>
    </row>
    <row r="80" ht="15" customHeight="1">
      <c r="A80" t="inlineStr">
        <is>
          <t>A 64591-2020</t>
        </is>
      </c>
      <c r="B80" s="1" t="n">
        <v>44169</v>
      </c>
      <c r="C80" s="1" t="n">
        <v>45650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Kandelabersvamp
Aspvedgnagare
Skinnlav</t>
        </is>
      </c>
      <c r="S80">
        <f>HYPERLINK("https://klasma.github.io/Logging_2161/artfynd/A 64591-2020 artfynd.xlsx", "A 64591-2020")</f>
        <v/>
      </c>
      <c r="T80">
        <f>HYPERLINK("https://klasma.github.io/Logging_2161/kartor/A 64591-2020 karta.png", "A 64591-2020")</f>
        <v/>
      </c>
      <c r="V80">
        <f>HYPERLINK("https://klasma.github.io/Logging_2161/klagomål/A 64591-2020 FSC-klagomål.docx", "A 64591-2020")</f>
        <v/>
      </c>
      <c r="W80">
        <f>HYPERLINK("https://klasma.github.io/Logging_2161/klagomålsmail/A 64591-2020 FSC-klagomål mail.docx", "A 64591-2020")</f>
        <v/>
      </c>
      <c r="X80">
        <f>HYPERLINK("https://klasma.github.io/Logging_2161/tillsyn/A 64591-2020 tillsynsbegäran.docx", "A 64591-2020")</f>
        <v/>
      </c>
      <c r="Y80">
        <f>HYPERLINK("https://klasma.github.io/Logging_2161/tillsynsmail/A 64591-2020 tillsynsbegäran mail.docx", "A 64591-2020")</f>
        <v/>
      </c>
    </row>
    <row r="81" ht="15" customHeight="1">
      <c r="A81" t="inlineStr">
        <is>
          <t>A 22461-2021</t>
        </is>
      </c>
      <c r="B81" s="1" t="n">
        <v>44326</v>
      </c>
      <c r="C81" s="1" t="n">
        <v>45650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Stuplav
Revlummer</t>
        </is>
      </c>
      <c r="S81">
        <f>HYPERLINK("https://klasma.github.io/Logging_2161/artfynd/A 22461-2021 artfynd.xlsx", "A 22461-2021")</f>
        <v/>
      </c>
      <c r="T81">
        <f>HYPERLINK("https://klasma.github.io/Logging_2161/kartor/A 22461-2021 karta.png", "A 22461-2021")</f>
        <v/>
      </c>
      <c r="V81">
        <f>HYPERLINK("https://klasma.github.io/Logging_2161/klagomål/A 22461-2021 FSC-klagomål.docx", "A 22461-2021")</f>
        <v/>
      </c>
      <c r="W81">
        <f>HYPERLINK("https://klasma.github.io/Logging_2161/klagomålsmail/A 22461-2021 FSC-klagomål mail.docx", "A 22461-2021")</f>
        <v/>
      </c>
      <c r="X81">
        <f>HYPERLINK("https://klasma.github.io/Logging_2161/tillsyn/A 22461-2021 tillsynsbegäran.docx", "A 22461-2021")</f>
        <v/>
      </c>
      <c r="Y81">
        <f>HYPERLINK("https://klasma.github.io/Logging_2161/tillsynsmail/A 22461-2021 tillsynsbegäran mail.docx", "A 22461-2021")</f>
        <v/>
      </c>
    </row>
    <row r="82" ht="15" customHeight="1">
      <c r="A82" t="inlineStr">
        <is>
          <t>A 21538-2022</t>
        </is>
      </c>
      <c r="B82" s="1" t="n">
        <v>44706</v>
      </c>
      <c r="C82" s="1" t="n">
        <v>45650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21538-2022 artfynd.xlsx", "A 21538-2022")</f>
        <v/>
      </c>
      <c r="T82">
        <f>HYPERLINK("https://klasma.github.io/Logging_2161/kartor/A 21538-2022 karta.png", "A 21538-2022")</f>
        <v/>
      </c>
      <c r="V82">
        <f>HYPERLINK("https://klasma.github.io/Logging_2161/klagomål/A 21538-2022 FSC-klagomål.docx", "A 21538-2022")</f>
        <v/>
      </c>
      <c r="W82">
        <f>HYPERLINK("https://klasma.github.io/Logging_2161/klagomålsmail/A 21538-2022 FSC-klagomål mail.docx", "A 21538-2022")</f>
        <v/>
      </c>
      <c r="X82">
        <f>HYPERLINK("https://klasma.github.io/Logging_2161/tillsyn/A 21538-2022 tillsynsbegäran.docx", "A 21538-2022")</f>
        <v/>
      </c>
      <c r="Y82">
        <f>HYPERLINK("https://klasma.github.io/Logging_2161/tillsynsmail/A 21538-2022 tillsynsbegäran mail.docx", "A 21538-2022")</f>
        <v/>
      </c>
    </row>
    <row r="83" ht="15" customHeight="1">
      <c r="A83" t="inlineStr">
        <is>
          <t>A 21797-2022</t>
        </is>
      </c>
      <c r="B83" s="1" t="n">
        <v>44708</v>
      </c>
      <c r="C83" s="1" t="n">
        <v>45650</v>
      </c>
      <c r="D83" t="inlineStr">
        <is>
          <t>GÄVLEBORGS LÄN</t>
        </is>
      </c>
      <c r="E83" t="inlineStr">
        <is>
          <t>LJUSDAL</t>
        </is>
      </c>
      <c r="F83" t="inlineStr">
        <is>
          <t>Holmen skog AB</t>
        </is>
      </c>
      <c r="G83" t="n">
        <v>2.5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Skinnlav
Vedticka</t>
        </is>
      </c>
      <c r="S83">
        <f>HYPERLINK("https://klasma.github.io/Logging_2161/artfynd/A 21797-2022 artfynd.xlsx", "A 21797-2022")</f>
        <v/>
      </c>
      <c r="T83">
        <f>HYPERLINK("https://klasma.github.io/Logging_2161/kartor/A 21797-2022 karta.png", "A 21797-2022")</f>
        <v/>
      </c>
      <c r="V83">
        <f>HYPERLINK("https://klasma.github.io/Logging_2161/klagomål/A 21797-2022 FSC-klagomål.docx", "A 21797-2022")</f>
        <v/>
      </c>
      <c r="W83">
        <f>HYPERLINK("https://klasma.github.io/Logging_2161/klagomålsmail/A 21797-2022 FSC-klagomål mail.docx", "A 21797-2022")</f>
        <v/>
      </c>
      <c r="X83">
        <f>HYPERLINK("https://klasma.github.io/Logging_2161/tillsyn/A 21797-2022 tillsynsbegäran.docx", "A 21797-2022")</f>
        <v/>
      </c>
      <c r="Y83">
        <f>HYPERLINK("https://klasma.github.io/Logging_2161/tillsynsmail/A 21797-2022 tillsynsbegäran mail.docx", "A 21797-2022")</f>
        <v/>
      </c>
    </row>
    <row r="84" ht="15" customHeight="1">
      <c r="A84" t="inlineStr">
        <is>
          <t>A 26055-2022</t>
        </is>
      </c>
      <c r="B84" s="1" t="n">
        <v>44734</v>
      </c>
      <c r="C84" s="1" t="n">
        <v>45650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23.3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Aspfjädermossa
Stiftgelélav
Vedtrappmossa</t>
        </is>
      </c>
      <c r="S84">
        <f>HYPERLINK("https://klasma.github.io/Logging_2161/artfynd/A 26055-2022 artfynd.xlsx", "A 26055-2022")</f>
        <v/>
      </c>
      <c r="T84">
        <f>HYPERLINK("https://klasma.github.io/Logging_2161/kartor/A 26055-2022 karta.png", "A 26055-2022")</f>
        <v/>
      </c>
      <c r="V84">
        <f>HYPERLINK("https://klasma.github.io/Logging_2161/klagomål/A 26055-2022 FSC-klagomål.docx", "A 26055-2022")</f>
        <v/>
      </c>
      <c r="W84">
        <f>HYPERLINK("https://klasma.github.io/Logging_2161/klagomålsmail/A 26055-2022 FSC-klagomål mail.docx", "A 26055-2022")</f>
        <v/>
      </c>
      <c r="X84">
        <f>HYPERLINK("https://klasma.github.io/Logging_2161/tillsyn/A 26055-2022 tillsynsbegäran.docx", "A 26055-2022")</f>
        <v/>
      </c>
      <c r="Y84">
        <f>HYPERLINK("https://klasma.github.io/Logging_2161/tillsynsmail/A 26055-2022 tillsynsbegäran mail.docx", "A 26055-2022")</f>
        <v/>
      </c>
    </row>
    <row r="85" ht="15" customHeight="1">
      <c r="A85" t="inlineStr">
        <is>
          <t>A 40292-2022</t>
        </is>
      </c>
      <c r="B85" s="1" t="n">
        <v>44821</v>
      </c>
      <c r="C85" s="1" t="n">
        <v>45650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Mörk kolflarnlav
Dropptaggsvamp</t>
        </is>
      </c>
      <c r="S85">
        <f>HYPERLINK("https://klasma.github.io/Logging_2161/artfynd/A 40292-2022 artfynd.xlsx", "A 40292-2022")</f>
        <v/>
      </c>
      <c r="T85">
        <f>HYPERLINK("https://klasma.github.io/Logging_2161/kartor/A 40292-2022 karta.png", "A 40292-2022")</f>
        <v/>
      </c>
      <c r="V85">
        <f>HYPERLINK("https://klasma.github.io/Logging_2161/klagomål/A 40292-2022 FSC-klagomål.docx", "A 40292-2022")</f>
        <v/>
      </c>
      <c r="W85">
        <f>HYPERLINK("https://klasma.github.io/Logging_2161/klagomålsmail/A 40292-2022 FSC-klagomål mail.docx", "A 40292-2022")</f>
        <v/>
      </c>
      <c r="X85">
        <f>HYPERLINK("https://klasma.github.io/Logging_2161/tillsyn/A 40292-2022 tillsynsbegäran.docx", "A 40292-2022")</f>
        <v/>
      </c>
      <c r="Y85">
        <f>HYPERLINK("https://klasma.github.io/Logging_2161/tillsynsmail/A 40292-2022 tillsynsbegäran mail.docx", "A 40292-2022")</f>
        <v/>
      </c>
    </row>
    <row r="86" ht="15" customHeight="1">
      <c r="A86" t="inlineStr">
        <is>
          <t>A 54472-2022</t>
        </is>
      </c>
      <c r="B86" s="1" t="n">
        <v>44882</v>
      </c>
      <c r="C86" s="1" t="n">
        <v>45650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Skrovellav
Källmossa</t>
        </is>
      </c>
      <c r="S86">
        <f>HYPERLINK("https://klasma.github.io/Logging_2161/artfynd/A 54472-2022 artfynd.xlsx", "A 54472-2022")</f>
        <v/>
      </c>
      <c r="T86">
        <f>HYPERLINK("https://klasma.github.io/Logging_2161/kartor/A 54472-2022 karta.png", "A 54472-2022")</f>
        <v/>
      </c>
      <c r="U86">
        <f>HYPERLINK("https://klasma.github.io/Logging_2161/knärot/A 54472-2022 karta knärot.png", "A 54472-2022")</f>
        <v/>
      </c>
      <c r="V86">
        <f>HYPERLINK("https://klasma.github.io/Logging_2161/klagomål/A 54472-2022 FSC-klagomål.docx", "A 54472-2022")</f>
        <v/>
      </c>
      <c r="W86">
        <f>HYPERLINK("https://klasma.github.io/Logging_2161/klagomålsmail/A 54472-2022 FSC-klagomål mail.docx", "A 54472-2022")</f>
        <v/>
      </c>
      <c r="X86">
        <f>HYPERLINK("https://klasma.github.io/Logging_2161/tillsyn/A 54472-2022 tillsynsbegäran.docx", "A 54472-2022")</f>
        <v/>
      </c>
      <c r="Y86">
        <f>HYPERLINK("https://klasma.github.io/Logging_2161/tillsynsmail/A 54472-2022 tillsynsbegäran mail.docx", "A 54472-2022")</f>
        <v/>
      </c>
    </row>
    <row r="87" ht="15" customHeight="1">
      <c r="A87" t="inlineStr">
        <is>
          <t>A 12105-2023</t>
        </is>
      </c>
      <c r="B87" s="1" t="n">
        <v>44998</v>
      </c>
      <c r="C87" s="1" t="n">
        <v>45650</v>
      </c>
      <c r="D87" t="inlineStr">
        <is>
          <t>GÄVLEBORGS LÄN</t>
        </is>
      </c>
      <c r="E87" t="inlineStr">
        <is>
          <t>LJUSDAL</t>
        </is>
      </c>
      <c r="G87" t="n">
        <v>11.7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Korallblylav
Mörk husmossa</t>
        </is>
      </c>
      <c r="S87">
        <f>HYPERLINK("https://klasma.github.io/Logging_2161/artfynd/A 12105-2023 artfynd.xlsx", "A 12105-2023")</f>
        <v/>
      </c>
      <c r="T87">
        <f>HYPERLINK("https://klasma.github.io/Logging_2161/kartor/A 12105-2023 karta.png", "A 12105-2023")</f>
        <v/>
      </c>
      <c r="U87">
        <f>HYPERLINK("https://klasma.github.io/Logging_2161/knärot/A 12105-2023 karta knärot.png", "A 12105-2023")</f>
        <v/>
      </c>
      <c r="V87">
        <f>HYPERLINK("https://klasma.github.io/Logging_2161/klagomål/A 12105-2023 FSC-klagomål.docx", "A 12105-2023")</f>
        <v/>
      </c>
      <c r="W87">
        <f>HYPERLINK("https://klasma.github.io/Logging_2161/klagomålsmail/A 12105-2023 FSC-klagomål mail.docx", "A 12105-2023")</f>
        <v/>
      </c>
      <c r="X87">
        <f>HYPERLINK("https://klasma.github.io/Logging_2161/tillsyn/A 12105-2023 tillsynsbegäran.docx", "A 12105-2023")</f>
        <v/>
      </c>
      <c r="Y87">
        <f>HYPERLINK("https://klasma.github.io/Logging_2161/tillsynsmail/A 12105-2023 tillsynsbegäran mail.docx", "A 12105-2023")</f>
        <v/>
      </c>
    </row>
    <row r="88" ht="15" customHeight="1">
      <c r="A88" t="inlineStr">
        <is>
          <t>A 24519-2023</t>
        </is>
      </c>
      <c r="B88" s="1" t="n">
        <v>45082</v>
      </c>
      <c r="C88" s="1" t="n">
        <v>45650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Dvärgbägarlav
Kolflarnlav
Lunglav</t>
        </is>
      </c>
      <c r="S88">
        <f>HYPERLINK("https://klasma.github.io/Logging_2161/artfynd/A 24519-2023 artfynd.xlsx", "A 24519-2023")</f>
        <v/>
      </c>
      <c r="T88">
        <f>HYPERLINK("https://klasma.github.io/Logging_2161/kartor/A 24519-2023 karta.png", "A 24519-2023")</f>
        <v/>
      </c>
      <c r="V88">
        <f>HYPERLINK("https://klasma.github.io/Logging_2161/klagomål/A 24519-2023 FSC-klagomål.docx", "A 24519-2023")</f>
        <v/>
      </c>
      <c r="W88">
        <f>HYPERLINK("https://klasma.github.io/Logging_2161/klagomålsmail/A 24519-2023 FSC-klagomål mail.docx", "A 24519-2023")</f>
        <v/>
      </c>
      <c r="X88">
        <f>HYPERLINK("https://klasma.github.io/Logging_2161/tillsyn/A 24519-2023 tillsynsbegäran.docx", "A 24519-2023")</f>
        <v/>
      </c>
      <c r="Y88">
        <f>HYPERLINK("https://klasma.github.io/Logging_2161/tillsynsmail/A 24519-2023 tillsynsbegäran mail.docx", "A 24519-2023")</f>
        <v/>
      </c>
    </row>
    <row r="89" ht="15" customHeight="1">
      <c r="A89" t="inlineStr">
        <is>
          <t>A 25182-2023</t>
        </is>
      </c>
      <c r="B89" s="1" t="n">
        <v>45086</v>
      </c>
      <c r="C89" s="1" t="n">
        <v>45650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16.6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Fläcknycklar
Myggblomster
Revlummer</t>
        </is>
      </c>
      <c r="S89">
        <f>HYPERLINK("https://klasma.github.io/Logging_2161/artfynd/A 25182-2023 artfynd.xlsx", "A 25182-2023")</f>
        <v/>
      </c>
      <c r="T89">
        <f>HYPERLINK("https://klasma.github.io/Logging_2161/kartor/A 25182-2023 karta.png", "A 25182-2023")</f>
        <v/>
      </c>
      <c r="V89">
        <f>HYPERLINK("https://klasma.github.io/Logging_2161/klagomål/A 25182-2023 FSC-klagomål.docx", "A 25182-2023")</f>
        <v/>
      </c>
      <c r="W89">
        <f>HYPERLINK("https://klasma.github.io/Logging_2161/klagomålsmail/A 25182-2023 FSC-klagomål mail.docx", "A 25182-2023")</f>
        <v/>
      </c>
      <c r="X89">
        <f>HYPERLINK("https://klasma.github.io/Logging_2161/tillsyn/A 25182-2023 tillsynsbegäran.docx", "A 25182-2023")</f>
        <v/>
      </c>
      <c r="Y89">
        <f>HYPERLINK("https://klasma.github.io/Logging_2161/tillsynsmail/A 25182-2023 tillsynsbegäran mail.docx", "A 25182-2023")</f>
        <v/>
      </c>
    </row>
    <row r="90" ht="15" customHeight="1">
      <c r="A90" t="inlineStr">
        <is>
          <t>A 31473-2023</t>
        </is>
      </c>
      <c r="B90" s="1" t="n">
        <v>45114</v>
      </c>
      <c r="C90" s="1" t="n">
        <v>45650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15.5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Lunglav
Plattlummer</t>
        </is>
      </c>
      <c r="S90">
        <f>HYPERLINK("https://klasma.github.io/Logging_2161/artfynd/A 31473-2023 artfynd.xlsx", "A 31473-2023")</f>
        <v/>
      </c>
      <c r="T90">
        <f>HYPERLINK("https://klasma.github.io/Logging_2161/kartor/A 31473-2023 karta.png", "A 31473-2023")</f>
        <v/>
      </c>
      <c r="V90">
        <f>HYPERLINK("https://klasma.github.io/Logging_2161/klagomål/A 31473-2023 FSC-klagomål.docx", "A 31473-2023")</f>
        <v/>
      </c>
      <c r="W90">
        <f>HYPERLINK("https://klasma.github.io/Logging_2161/klagomålsmail/A 31473-2023 FSC-klagomål mail.docx", "A 31473-2023")</f>
        <v/>
      </c>
      <c r="X90">
        <f>HYPERLINK("https://klasma.github.io/Logging_2161/tillsyn/A 31473-2023 tillsynsbegäran.docx", "A 31473-2023")</f>
        <v/>
      </c>
      <c r="Y90">
        <f>HYPERLINK("https://klasma.github.io/Logging_2161/tillsynsmail/A 31473-2023 tillsynsbegäran mail.docx", "A 31473-2023")</f>
        <v/>
      </c>
    </row>
    <row r="91" ht="15" customHeight="1">
      <c r="A91" t="inlineStr">
        <is>
          <t>A 56788-2023</t>
        </is>
      </c>
      <c r="B91" s="1" t="n">
        <v>45244</v>
      </c>
      <c r="C91" s="1" t="n">
        <v>45650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Garnlav
Järpe</t>
        </is>
      </c>
      <c r="S91">
        <f>HYPERLINK("https://klasma.github.io/Logging_2161/artfynd/A 56788-2023 artfynd.xlsx", "A 56788-2023")</f>
        <v/>
      </c>
      <c r="T91">
        <f>HYPERLINK("https://klasma.github.io/Logging_2161/kartor/A 56788-2023 karta.png", "A 56788-2023")</f>
        <v/>
      </c>
      <c r="U91">
        <f>HYPERLINK("https://klasma.github.io/Logging_2161/knärot/A 56788-2023 karta knärot.png", "A 56788-2023")</f>
        <v/>
      </c>
      <c r="V91">
        <f>HYPERLINK("https://klasma.github.io/Logging_2161/klagomål/A 56788-2023 FSC-klagomål.docx", "A 56788-2023")</f>
        <v/>
      </c>
      <c r="W91">
        <f>HYPERLINK("https://klasma.github.io/Logging_2161/klagomålsmail/A 56788-2023 FSC-klagomål mail.docx", "A 56788-2023")</f>
        <v/>
      </c>
      <c r="X91">
        <f>HYPERLINK("https://klasma.github.io/Logging_2161/tillsyn/A 56788-2023 tillsynsbegäran.docx", "A 56788-2023")</f>
        <v/>
      </c>
      <c r="Y91">
        <f>HYPERLINK("https://klasma.github.io/Logging_2161/tillsynsmail/A 56788-2023 tillsynsbegäran mail.docx", "A 56788-2023")</f>
        <v/>
      </c>
      <c r="Z91">
        <f>HYPERLINK("https://klasma.github.io/Logging_2161/fåglar/A 56788-2023 prioriterade fågelarter.docx", "A 56788-2023")</f>
        <v/>
      </c>
    </row>
    <row r="92" ht="15" customHeight="1">
      <c r="A92" t="inlineStr">
        <is>
          <t>A 21134-2024</t>
        </is>
      </c>
      <c r="B92" s="1" t="n">
        <v>45440</v>
      </c>
      <c r="C92" s="1" t="n">
        <v>45650</v>
      </c>
      <c r="D92" t="inlineStr">
        <is>
          <t>GÄVLEBORGS LÄN</t>
        </is>
      </c>
      <c r="E92" t="inlineStr">
        <is>
          <t>LJUSDAL</t>
        </is>
      </c>
      <c r="G92" t="n">
        <v>3.2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Kolflarnlav
Vedflamlav</t>
        </is>
      </c>
      <c r="S92">
        <f>HYPERLINK("https://klasma.github.io/Logging_2161/artfynd/A 21134-2024 artfynd.xlsx", "A 21134-2024")</f>
        <v/>
      </c>
      <c r="T92">
        <f>HYPERLINK("https://klasma.github.io/Logging_2161/kartor/A 21134-2024 karta.png", "A 21134-2024")</f>
        <v/>
      </c>
      <c r="U92">
        <f>HYPERLINK("https://klasma.github.io/Logging_2161/knärot/A 21134-2024 karta knärot.png", "A 21134-2024")</f>
        <v/>
      </c>
      <c r="V92">
        <f>HYPERLINK("https://klasma.github.io/Logging_2161/klagomål/A 21134-2024 FSC-klagomål.docx", "A 21134-2024")</f>
        <v/>
      </c>
      <c r="W92">
        <f>HYPERLINK("https://klasma.github.io/Logging_2161/klagomålsmail/A 21134-2024 FSC-klagomål mail.docx", "A 21134-2024")</f>
        <v/>
      </c>
      <c r="X92">
        <f>HYPERLINK("https://klasma.github.io/Logging_2161/tillsyn/A 21134-2024 tillsynsbegäran.docx", "A 21134-2024")</f>
        <v/>
      </c>
      <c r="Y92">
        <f>HYPERLINK("https://klasma.github.io/Logging_2161/tillsynsmail/A 21134-2024 tillsynsbegäran mail.docx", "A 21134-2024")</f>
        <v/>
      </c>
    </row>
    <row r="93" ht="15" customHeight="1">
      <c r="A93" t="inlineStr">
        <is>
          <t>A 22025-2024</t>
        </is>
      </c>
      <c r="B93" s="1" t="n">
        <v>45443</v>
      </c>
      <c r="C93" s="1" t="n">
        <v>45650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Mörk kolflarnlav</t>
        </is>
      </c>
      <c r="S93">
        <f>HYPERLINK("https://klasma.github.io/Logging_2161/artfynd/A 22025-2024 artfynd.xlsx", "A 22025-2024")</f>
        <v/>
      </c>
      <c r="T93">
        <f>HYPERLINK("https://klasma.github.io/Logging_2161/kartor/A 22025-2024 karta.png", "A 22025-2024")</f>
        <v/>
      </c>
      <c r="V93">
        <f>HYPERLINK("https://klasma.github.io/Logging_2161/klagomål/A 22025-2024 FSC-klagomål.docx", "A 22025-2024")</f>
        <v/>
      </c>
      <c r="W93">
        <f>HYPERLINK("https://klasma.github.io/Logging_2161/klagomålsmail/A 22025-2024 FSC-klagomål mail.docx", "A 22025-2024")</f>
        <v/>
      </c>
      <c r="X93">
        <f>HYPERLINK("https://klasma.github.io/Logging_2161/tillsyn/A 22025-2024 tillsynsbegäran.docx", "A 22025-2024")</f>
        <v/>
      </c>
      <c r="Y93">
        <f>HYPERLINK("https://klasma.github.io/Logging_2161/tillsynsmail/A 22025-2024 tillsynsbegäran mail.docx", "A 22025-2024")</f>
        <v/>
      </c>
    </row>
    <row r="94" ht="15" customHeight="1">
      <c r="A94" t="inlineStr">
        <is>
          <t>A 22229-2024</t>
        </is>
      </c>
      <c r="B94" s="1" t="n">
        <v>45446</v>
      </c>
      <c r="C94" s="1" t="n">
        <v>45650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4.2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Topplåsbräken
Höstlåsbräken
Månlåsbräken</t>
        </is>
      </c>
      <c r="S94">
        <f>HYPERLINK("https://klasma.github.io/Logging_2161/artfynd/A 22229-2024 artfynd.xlsx", "A 22229-2024")</f>
        <v/>
      </c>
      <c r="T94">
        <f>HYPERLINK("https://klasma.github.io/Logging_2161/kartor/A 22229-2024 karta.png", "A 22229-2024")</f>
        <v/>
      </c>
      <c r="V94">
        <f>HYPERLINK("https://klasma.github.io/Logging_2161/klagomål/A 22229-2024 FSC-klagomål.docx", "A 22229-2024")</f>
        <v/>
      </c>
      <c r="W94">
        <f>HYPERLINK("https://klasma.github.io/Logging_2161/klagomålsmail/A 22229-2024 FSC-klagomål mail.docx", "A 22229-2024")</f>
        <v/>
      </c>
      <c r="X94">
        <f>HYPERLINK("https://klasma.github.io/Logging_2161/tillsyn/A 22229-2024 tillsynsbegäran.docx", "A 22229-2024")</f>
        <v/>
      </c>
      <c r="Y94">
        <f>HYPERLINK("https://klasma.github.io/Logging_2161/tillsynsmail/A 22229-2024 tillsynsbegäran mail.docx", "A 22229-2024")</f>
        <v/>
      </c>
    </row>
    <row r="95" ht="15" customHeight="1">
      <c r="A95" t="inlineStr">
        <is>
          <t>A 22239-2024</t>
        </is>
      </c>
      <c r="B95" s="1" t="n">
        <v>45446</v>
      </c>
      <c r="C95" s="1" t="n">
        <v>45650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Vedflamlav
Vedskivlav</t>
        </is>
      </c>
      <c r="S95">
        <f>HYPERLINK("https://klasma.github.io/Logging_2161/artfynd/A 22239-2024 artfynd.xlsx", "A 22239-2024")</f>
        <v/>
      </c>
      <c r="T95">
        <f>HYPERLINK("https://klasma.github.io/Logging_2161/kartor/A 22239-2024 karta.png", "A 22239-2024")</f>
        <v/>
      </c>
      <c r="V95">
        <f>HYPERLINK("https://klasma.github.io/Logging_2161/klagomål/A 22239-2024 FSC-klagomål.docx", "A 22239-2024")</f>
        <v/>
      </c>
      <c r="W95">
        <f>HYPERLINK("https://klasma.github.io/Logging_2161/klagomålsmail/A 22239-2024 FSC-klagomål mail.docx", "A 22239-2024")</f>
        <v/>
      </c>
      <c r="X95">
        <f>HYPERLINK("https://klasma.github.io/Logging_2161/tillsyn/A 22239-2024 tillsynsbegäran.docx", "A 22239-2024")</f>
        <v/>
      </c>
      <c r="Y95">
        <f>HYPERLINK("https://klasma.github.io/Logging_2161/tillsynsmail/A 22239-2024 tillsynsbegäran mail.docx", "A 22239-2024")</f>
        <v/>
      </c>
    </row>
    <row r="96" ht="15" customHeight="1">
      <c r="A96" t="inlineStr">
        <is>
          <t>A 22916-2024</t>
        </is>
      </c>
      <c r="B96" s="1" t="n">
        <v>45448</v>
      </c>
      <c r="C96" s="1" t="n">
        <v>45650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Vedflamlav</t>
        </is>
      </c>
      <c r="S96">
        <f>HYPERLINK("https://klasma.github.io/Logging_2161/artfynd/A 22916-2024 artfynd.xlsx", "A 22916-2024")</f>
        <v/>
      </c>
      <c r="T96">
        <f>HYPERLINK("https://klasma.github.io/Logging_2161/kartor/A 22916-2024 karta.png", "A 22916-2024")</f>
        <v/>
      </c>
      <c r="V96">
        <f>HYPERLINK("https://klasma.github.io/Logging_2161/klagomål/A 22916-2024 FSC-klagomål.docx", "A 22916-2024")</f>
        <v/>
      </c>
      <c r="W96">
        <f>HYPERLINK("https://klasma.github.io/Logging_2161/klagomålsmail/A 22916-2024 FSC-klagomål mail.docx", "A 22916-2024")</f>
        <v/>
      </c>
      <c r="X96">
        <f>HYPERLINK("https://klasma.github.io/Logging_2161/tillsyn/A 22916-2024 tillsynsbegäran.docx", "A 22916-2024")</f>
        <v/>
      </c>
      <c r="Y96">
        <f>HYPERLINK("https://klasma.github.io/Logging_2161/tillsynsmail/A 22916-2024 tillsynsbegäran mail.docx", "A 22916-2024")</f>
        <v/>
      </c>
    </row>
    <row r="97" ht="15" customHeight="1">
      <c r="A97" t="inlineStr">
        <is>
          <t>A 26877-2024</t>
        </is>
      </c>
      <c r="B97" s="1" t="n">
        <v>45470</v>
      </c>
      <c r="C97" s="1" t="n">
        <v>45650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Nattviol</t>
        </is>
      </c>
      <c r="S97">
        <f>HYPERLINK("https://klasma.github.io/Logging_2161/artfynd/A 26877-2024 artfynd.xlsx", "A 26877-2024")</f>
        <v/>
      </c>
      <c r="T97">
        <f>HYPERLINK("https://klasma.github.io/Logging_2161/kartor/A 26877-2024 karta.png", "A 26877-2024")</f>
        <v/>
      </c>
      <c r="V97">
        <f>HYPERLINK("https://klasma.github.io/Logging_2161/klagomål/A 26877-2024 FSC-klagomål.docx", "A 26877-2024")</f>
        <v/>
      </c>
      <c r="W97">
        <f>HYPERLINK("https://klasma.github.io/Logging_2161/klagomålsmail/A 26877-2024 FSC-klagomål mail.docx", "A 26877-2024")</f>
        <v/>
      </c>
      <c r="X97">
        <f>HYPERLINK("https://klasma.github.io/Logging_2161/tillsyn/A 26877-2024 tillsynsbegäran.docx", "A 26877-2024")</f>
        <v/>
      </c>
      <c r="Y97">
        <f>HYPERLINK("https://klasma.github.io/Logging_2161/tillsynsmail/A 26877-2024 tillsynsbegäran mail.docx", "A 26877-2024")</f>
        <v/>
      </c>
    </row>
    <row r="98" ht="15" customHeight="1">
      <c r="A98" t="inlineStr">
        <is>
          <t>A 30783-2024</t>
        </is>
      </c>
      <c r="B98" s="1" t="n">
        <v>45497</v>
      </c>
      <c r="C98" s="1" t="n">
        <v>45650</v>
      </c>
      <c r="D98" t="inlineStr">
        <is>
          <t>GÄVLEBORGS LÄN</t>
        </is>
      </c>
      <c r="E98" t="inlineStr">
        <is>
          <t>LJUSDAL</t>
        </is>
      </c>
      <c r="F98" t="inlineStr">
        <is>
          <t>SCA</t>
        </is>
      </c>
      <c r="G98" t="n">
        <v>4.8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Plattlummer
Mattlummer</t>
        </is>
      </c>
      <c r="S98">
        <f>HYPERLINK("https://klasma.github.io/Logging_2161/artfynd/A 30783-2024 artfynd.xlsx", "A 30783-2024")</f>
        <v/>
      </c>
      <c r="T98">
        <f>HYPERLINK("https://klasma.github.io/Logging_2161/kartor/A 30783-2024 karta.png", "A 30783-2024")</f>
        <v/>
      </c>
      <c r="V98">
        <f>HYPERLINK("https://klasma.github.io/Logging_2161/klagomål/A 30783-2024 FSC-klagomål.docx", "A 30783-2024")</f>
        <v/>
      </c>
      <c r="W98">
        <f>HYPERLINK("https://klasma.github.io/Logging_2161/klagomålsmail/A 30783-2024 FSC-klagomål mail.docx", "A 30783-2024")</f>
        <v/>
      </c>
      <c r="X98">
        <f>HYPERLINK("https://klasma.github.io/Logging_2161/tillsyn/A 30783-2024 tillsynsbegäran.docx", "A 30783-2024")</f>
        <v/>
      </c>
      <c r="Y98">
        <f>HYPERLINK("https://klasma.github.io/Logging_2161/tillsynsmail/A 30783-2024 tillsynsbegäran mail.docx", "A 30783-2024")</f>
        <v/>
      </c>
    </row>
    <row r="99" ht="15" customHeight="1">
      <c r="A99" t="inlineStr">
        <is>
          <t>A 32134-2024</t>
        </is>
      </c>
      <c r="B99" s="1" t="n">
        <v>45511</v>
      </c>
      <c r="C99" s="1" t="n">
        <v>45650</v>
      </c>
      <c r="D99" t="inlineStr">
        <is>
          <t>GÄVLEBORGS LÄN</t>
        </is>
      </c>
      <c r="E99" t="inlineStr">
        <is>
          <t>LJUSDAL</t>
        </is>
      </c>
      <c r="G99" t="n">
        <v>6.5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Gulnål</t>
        </is>
      </c>
      <c r="S99">
        <f>HYPERLINK("https://klasma.github.io/Logging_2161/artfynd/A 32134-2024 artfynd.xlsx", "A 32134-2024")</f>
        <v/>
      </c>
      <c r="T99">
        <f>HYPERLINK("https://klasma.github.io/Logging_2161/kartor/A 32134-2024 karta.png", "A 32134-2024")</f>
        <v/>
      </c>
      <c r="U99">
        <f>HYPERLINK("https://klasma.github.io/Logging_2161/knärot/A 32134-2024 karta knärot.png", "A 32134-2024")</f>
        <v/>
      </c>
      <c r="V99">
        <f>HYPERLINK("https://klasma.github.io/Logging_2161/klagomål/A 32134-2024 FSC-klagomål.docx", "A 32134-2024")</f>
        <v/>
      </c>
      <c r="W99">
        <f>HYPERLINK("https://klasma.github.io/Logging_2161/klagomålsmail/A 32134-2024 FSC-klagomål mail.docx", "A 32134-2024")</f>
        <v/>
      </c>
      <c r="X99">
        <f>HYPERLINK("https://klasma.github.io/Logging_2161/tillsyn/A 32134-2024 tillsynsbegäran.docx", "A 32134-2024")</f>
        <v/>
      </c>
      <c r="Y99">
        <f>HYPERLINK("https://klasma.github.io/Logging_2161/tillsynsmail/A 32134-2024 tillsynsbegäran mail.docx", "A 32134-2024")</f>
        <v/>
      </c>
    </row>
    <row r="100" ht="15" customHeight="1">
      <c r="A100" t="inlineStr">
        <is>
          <t>A 36621-2024</t>
        </is>
      </c>
      <c r="B100" s="1" t="n">
        <v>45537</v>
      </c>
      <c r="C100" s="1" t="n">
        <v>45650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36621-2024 artfynd.xlsx", "A 36621-2024")</f>
        <v/>
      </c>
      <c r="T100">
        <f>HYPERLINK("https://klasma.github.io/Logging_2161/kartor/A 36621-2024 karta.png", "A 36621-2024")</f>
        <v/>
      </c>
      <c r="V100">
        <f>HYPERLINK("https://klasma.github.io/Logging_2161/klagomål/A 36621-2024 FSC-klagomål.docx", "A 36621-2024")</f>
        <v/>
      </c>
      <c r="W100">
        <f>HYPERLINK("https://klasma.github.io/Logging_2161/klagomålsmail/A 36621-2024 FSC-klagomål mail.docx", "A 36621-2024")</f>
        <v/>
      </c>
      <c r="X100">
        <f>HYPERLINK("https://klasma.github.io/Logging_2161/tillsyn/A 36621-2024 tillsynsbegäran.docx", "A 36621-2024")</f>
        <v/>
      </c>
      <c r="Y100">
        <f>HYPERLINK("https://klasma.github.io/Logging_2161/tillsynsmail/A 36621-2024 tillsynsbegäran mail.docx", "A 36621-2024")</f>
        <v/>
      </c>
    </row>
    <row r="101" ht="15" customHeight="1">
      <c r="A101" t="inlineStr">
        <is>
          <t>A 36629-2024</t>
        </is>
      </c>
      <c r="B101" s="1" t="n">
        <v>45537</v>
      </c>
      <c r="C101" s="1" t="n">
        <v>45650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36629-2024 artfynd.xlsx", "A 36629-2024")</f>
        <v/>
      </c>
      <c r="T101">
        <f>HYPERLINK("https://klasma.github.io/Logging_2161/kartor/A 36629-2024 karta.png", "A 36629-2024")</f>
        <v/>
      </c>
      <c r="V101">
        <f>HYPERLINK("https://klasma.github.io/Logging_2161/klagomål/A 36629-2024 FSC-klagomål.docx", "A 36629-2024")</f>
        <v/>
      </c>
      <c r="W101">
        <f>HYPERLINK("https://klasma.github.io/Logging_2161/klagomålsmail/A 36629-2024 FSC-klagomål mail.docx", "A 36629-2024")</f>
        <v/>
      </c>
      <c r="X101">
        <f>HYPERLINK("https://klasma.github.io/Logging_2161/tillsyn/A 36629-2024 tillsynsbegäran.docx", "A 36629-2024")</f>
        <v/>
      </c>
      <c r="Y101">
        <f>HYPERLINK("https://klasma.github.io/Logging_2161/tillsynsmail/A 36629-2024 tillsynsbegäran mail.docx", "A 36629-2024")</f>
        <v/>
      </c>
    </row>
    <row r="102" ht="15" customHeight="1">
      <c r="A102" t="inlineStr">
        <is>
          <t>A 36623-2024</t>
        </is>
      </c>
      <c r="B102" s="1" t="n">
        <v>45537</v>
      </c>
      <c r="C102" s="1" t="n">
        <v>45650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24.7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36623-2024 artfynd.xlsx", "A 36623-2024")</f>
        <v/>
      </c>
      <c r="T102">
        <f>HYPERLINK("https://klasma.github.io/Logging_2161/kartor/A 36623-2024 karta.png", "A 36623-2024")</f>
        <v/>
      </c>
      <c r="V102">
        <f>HYPERLINK("https://klasma.github.io/Logging_2161/klagomål/A 36623-2024 FSC-klagomål.docx", "A 36623-2024")</f>
        <v/>
      </c>
      <c r="W102">
        <f>HYPERLINK("https://klasma.github.io/Logging_2161/klagomålsmail/A 36623-2024 FSC-klagomål mail.docx", "A 36623-2024")</f>
        <v/>
      </c>
      <c r="X102">
        <f>HYPERLINK("https://klasma.github.io/Logging_2161/tillsyn/A 36623-2024 tillsynsbegäran.docx", "A 36623-2024")</f>
        <v/>
      </c>
      <c r="Y102">
        <f>HYPERLINK("https://klasma.github.io/Logging_2161/tillsynsmail/A 36623-2024 tillsynsbegäran mail.docx", "A 36623-2024")</f>
        <v/>
      </c>
    </row>
    <row r="103" ht="15" customHeight="1">
      <c r="A103" t="inlineStr">
        <is>
          <t>A 36627-2024</t>
        </is>
      </c>
      <c r="B103" s="1" t="n">
        <v>45537</v>
      </c>
      <c r="C103" s="1" t="n">
        <v>45650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11.8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36627-2024 artfynd.xlsx", "A 36627-2024")</f>
        <v/>
      </c>
      <c r="T103">
        <f>HYPERLINK("https://klasma.github.io/Logging_2161/kartor/A 36627-2024 karta.png", "A 36627-2024")</f>
        <v/>
      </c>
      <c r="V103">
        <f>HYPERLINK("https://klasma.github.io/Logging_2161/klagomål/A 36627-2024 FSC-klagomål.docx", "A 36627-2024")</f>
        <v/>
      </c>
      <c r="W103">
        <f>HYPERLINK("https://klasma.github.io/Logging_2161/klagomålsmail/A 36627-2024 FSC-klagomål mail.docx", "A 36627-2024")</f>
        <v/>
      </c>
      <c r="X103">
        <f>HYPERLINK("https://klasma.github.io/Logging_2161/tillsyn/A 36627-2024 tillsynsbegäran.docx", "A 36627-2024")</f>
        <v/>
      </c>
      <c r="Y103">
        <f>HYPERLINK("https://klasma.github.io/Logging_2161/tillsynsmail/A 36627-2024 tillsynsbegäran mail.docx", "A 36627-2024")</f>
        <v/>
      </c>
    </row>
    <row r="104" ht="15" customHeight="1">
      <c r="A104" t="inlineStr">
        <is>
          <t>A 38141-2024</t>
        </is>
      </c>
      <c r="B104" s="1" t="n">
        <v>45545</v>
      </c>
      <c r="C104" s="1" t="n">
        <v>45650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13.5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38141-2024 artfynd.xlsx", "A 38141-2024")</f>
        <v/>
      </c>
      <c r="T104">
        <f>HYPERLINK("https://klasma.github.io/Logging_2161/kartor/A 38141-2024 karta.png", "A 38141-2024")</f>
        <v/>
      </c>
      <c r="V104">
        <f>HYPERLINK("https://klasma.github.io/Logging_2161/klagomål/A 38141-2024 FSC-klagomål.docx", "A 38141-2024")</f>
        <v/>
      </c>
      <c r="W104">
        <f>HYPERLINK("https://klasma.github.io/Logging_2161/klagomålsmail/A 38141-2024 FSC-klagomål mail.docx", "A 38141-2024")</f>
        <v/>
      </c>
      <c r="X104">
        <f>HYPERLINK("https://klasma.github.io/Logging_2161/tillsyn/A 38141-2024 tillsynsbegäran.docx", "A 38141-2024")</f>
        <v/>
      </c>
      <c r="Y104">
        <f>HYPERLINK("https://klasma.github.io/Logging_2161/tillsynsmail/A 38141-2024 tillsynsbegäran mail.docx", "A 38141-2024")</f>
        <v/>
      </c>
    </row>
    <row r="105" ht="15" customHeight="1">
      <c r="A105" t="inlineStr">
        <is>
          <t>A 44451-2024</t>
        </is>
      </c>
      <c r="B105" s="1" t="n">
        <v>45574</v>
      </c>
      <c r="C105" s="1" t="n">
        <v>45650</v>
      </c>
      <c r="D105" t="inlineStr">
        <is>
          <t>GÄVLEBORGS LÄN</t>
        </is>
      </c>
      <c r="E105" t="inlineStr">
        <is>
          <t>LJUSDAL</t>
        </is>
      </c>
      <c r="G105" t="n">
        <v>1.4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Vedflamlav
Plattlummer</t>
        </is>
      </c>
      <c r="S105">
        <f>HYPERLINK("https://klasma.github.io/Logging_2161/artfynd/A 44451-2024 artfynd.xlsx", "A 44451-2024")</f>
        <v/>
      </c>
      <c r="T105">
        <f>HYPERLINK("https://klasma.github.io/Logging_2161/kartor/A 44451-2024 karta.png", "A 44451-2024")</f>
        <v/>
      </c>
      <c r="V105">
        <f>HYPERLINK("https://klasma.github.io/Logging_2161/klagomål/A 44451-2024 FSC-klagomål.docx", "A 44451-2024")</f>
        <v/>
      </c>
      <c r="W105">
        <f>HYPERLINK("https://klasma.github.io/Logging_2161/klagomålsmail/A 44451-2024 FSC-klagomål mail.docx", "A 44451-2024")</f>
        <v/>
      </c>
      <c r="X105">
        <f>HYPERLINK("https://klasma.github.io/Logging_2161/tillsyn/A 44451-2024 tillsynsbegäran.docx", "A 44451-2024")</f>
        <v/>
      </c>
      <c r="Y105">
        <f>HYPERLINK("https://klasma.github.io/Logging_2161/tillsynsmail/A 44451-2024 tillsynsbegäran mail.docx", "A 44451-2024")</f>
        <v/>
      </c>
    </row>
    <row r="106" ht="15" customHeight="1">
      <c r="A106" t="inlineStr">
        <is>
          <t>A 46244-2024</t>
        </is>
      </c>
      <c r="B106" s="1" t="n">
        <v>45581</v>
      </c>
      <c r="C106" s="1" t="n">
        <v>45650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5.8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Motaggsvamp
Skrovlig taggsvamp
Dropptaggsvamp</t>
        </is>
      </c>
      <c r="S106">
        <f>HYPERLINK("https://klasma.github.io/Logging_2161/artfynd/A 46244-2024 artfynd.xlsx", "A 46244-2024")</f>
        <v/>
      </c>
      <c r="T106">
        <f>HYPERLINK("https://klasma.github.io/Logging_2161/kartor/A 46244-2024 karta.png", "A 46244-2024")</f>
        <v/>
      </c>
      <c r="V106">
        <f>HYPERLINK("https://klasma.github.io/Logging_2161/klagomål/A 46244-2024 FSC-klagomål.docx", "A 46244-2024")</f>
        <v/>
      </c>
      <c r="W106">
        <f>HYPERLINK("https://klasma.github.io/Logging_2161/klagomålsmail/A 46244-2024 FSC-klagomål mail.docx", "A 46244-2024")</f>
        <v/>
      </c>
      <c r="X106">
        <f>HYPERLINK("https://klasma.github.io/Logging_2161/tillsyn/A 46244-2024 tillsynsbegäran.docx", "A 46244-2024")</f>
        <v/>
      </c>
      <c r="Y106">
        <f>HYPERLINK("https://klasma.github.io/Logging_2161/tillsynsmail/A 46244-2024 tillsynsbegäran mail.docx", "A 46244-2024")</f>
        <v/>
      </c>
    </row>
    <row r="107" ht="15" customHeight="1">
      <c r="A107" t="inlineStr">
        <is>
          <t>A 59016-2024</t>
        </is>
      </c>
      <c r="B107" s="1" t="n">
        <v>45636</v>
      </c>
      <c r="C107" s="1" t="n">
        <v>45650</v>
      </c>
      <c r="D107" t="inlineStr">
        <is>
          <t>GÄVLEBORGS LÄN</t>
        </is>
      </c>
      <c r="E107" t="inlineStr">
        <is>
          <t>LJUSDAL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Fransfladdermus
Nordfladdermus
Vattenfladdermus</t>
        </is>
      </c>
      <c r="S107">
        <f>HYPERLINK("https://klasma.github.io/Logging_2161/artfynd/A 59016-2024 artfynd.xlsx", "A 59016-2024")</f>
        <v/>
      </c>
      <c r="T107">
        <f>HYPERLINK("https://klasma.github.io/Logging_2161/kartor/A 59016-2024 karta.png", "A 59016-2024")</f>
        <v/>
      </c>
      <c r="V107">
        <f>HYPERLINK("https://klasma.github.io/Logging_2161/klagomål/A 59016-2024 FSC-klagomål.docx", "A 59016-2024")</f>
        <v/>
      </c>
      <c r="W107">
        <f>HYPERLINK("https://klasma.github.io/Logging_2161/klagomålsmail/A 59016-2024 FSC-klagomål mail.docx", "A 59016-2024")</f>
        <v/>
      </c>
      <c r="X107">
        <f>HYPERLINK("https://klasma.github.io/Logging_2161/tillsyn/A 59016-2024 tillsynsbegäran.docx", "A 59016-2024")</f>
        <v/>
      </c>
      <c r="Y107">
        <f>HYPERLINK("https://klasma.github.io/Logging_2161/tillsynsmail/A 59016-2024 tillsynsbegäran mail.docx", "A 59016-2024")</f>
        <v/>
      </c>
    </row>
    <row r="108" ht="15" customHeight="1">
      <c r="A108" t="inlineStr">
        <is>
          <t>A 29812-2019</t>
        </is>
      </c>
      <c r="B108" s="1" t="n">
        <v>43629</v>
      </c>
      <c r="C108" s="1" t="n">
        <v>45650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Skinnlav</t>
        </is>
      </c>
      <c r="S108">
        <f>HYPERLINK("https://klasma.github.io/Logging_2161/artfynd/A 29812-2019 artfynd.xlsx", "A 29812-2019")</f>
        <v/>
      </c>
      <c r="T108">
        <f>HYPERLINK("https://klasma.github.io/Logging_2161/kartor/A 29812-2019 karta.png", "A 29812-2019")</f>
        <v/>
      </c>
      <c r="U108">
        <f>HYPERLINK("https://klasma.github.io/Logging_2161/knärot/A 29812-2019 karta knärot.png", "A 29812-2019")</f>
        <v/>
      </c>
      <c r="V108">
        <f>HYPERLINK("https://klasma.github.io/Logging_2161/klagomål/A 29812-2019 FSC-klagomål.docx", "A 29812-2019")</f>
        <v/>
      </c>
      <c r="W108">
        <f>HYPERLINK("https://klasma.github.io/Logging_2161/klagomålsmail/A 29812-2019 FSC-klagomål mail.docx", "A 29812-2019")</f>
        <v/>
      </c>
      <c r="X108">
        <f>HYPERLINK("https://klasma.github.io/Logging_2161/tillsyn/A 29812-2019 tillsynsbegäran.docx", "A 29812-2019")</f>
        <v/>
      </c>
      <c r="Y108">
        <f>HYPERLINK("https://klasma.github.io/Logging_2161/tillsynsmail/A 29812-2019 tillsynsbegäran mail.docx", "A 29812-2019")</f>
        <v/>
      </c>
    </row>
    <row r="109" ht="15" customHeight="1">
      <c r="A109" t="inlineStr">
        <is>
          <t>A 24617-2020</t>
        </is>
      </c>
      <c r="B109" s="1" t="n">
        <v>43977</v>
      </c>
      <c r="C109" s="1" t="n">
        <v>45650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9.300000000000001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HYPERLINK("https://klasma.github.io/Logging_2161/artfynd/A 24617-2020 artfynd.xlsx", "A 24617-2020")</f>
        <v/>
      </c>
      <c r="T109">
        <f>HYPERLINK("https://klasma.github.io/Logging_2161/kartor/A 24617-2020 karta.png", "A 24617-2020")</f>
        <v/>
      </c>
      <c r="V109">
        <f>HYPERLINK("https://klasma.github.io/Logging_2161/klagomål/A 24617-2020 FSC-klagomål.docx", "A 24617-2020")</f>
        <v/>
      </c>
      <c r="W109">
        <f>HYPERLINK("https://klasma.github.io/Logging_2161/klagomålsmail/A 24617-2020 FSC-klagomål mail.docx", "A 24617-2020")</f>
        <v/>
      </c>
      <c r="X109">
        <f>HYPERLINK("https://klasma.github.io/Logging_2161/tillsyn/A 24617-2020 tillsynsbegäran.docx", "A 24617-2020")</f>
        <v/>
      </c>
      <c r="Y109">
        <f>HYPERLINK("https://klasma.github.io/Logging_2161/tillsynsmail/A 24617-2020 tillsynsbegäran mail.docx", "A 24617-2020")</f>
        <v/>
      </c>
    </row>
    <row r="110" ht="15" customHeight="1">
      <c r="A110" t="inlineStr">
        <is>
          <t>A 49073-2020</t>
        </is>
      </c>
      <c r="B110" s="1" t="n">
        <v>44104</v>
      </c>
      <c r="C110" s="1" t="n">
        <v>45650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Fläcknycklar</t>
        </is>
      </c>
      <c r="S110">
        <f>HYPERLINK("https://klasma.github.io/Logging_2161/artfynd/A 49073-2020 artfynd.xlsx", "A 49073-2020")</f>
        <v/>
      </c>
      <c r="T110">
        <f>HYPERLINK("https://klasma.github.io/Logging_2161/kartor/A 49073-2020 karta.png", "A 49073-2020")</f>
        <v/>
      </c>
      <c r="U110">
        <f>HYPERLINK("https://klasma.github.io/Logging_2161/knärot/A 49073-2020 karta knärot.png", "A 49073-2020")</f>
        <v/>
      </c>
      <c r="V110">
        <f>HYPERLINK("https://klasma.github.io/Logging_2161/klagomål/A 49073-2020 FSC-klagomål.docx", "A 49073-2020")</f>
        <v/>
      </c>
      <c r="W110">
        <f>HYPERLINK("https://klasma.github.io/Logging_2161/klagomålsmail/A 49073-2020 FSC-klagomål mail.docx", "A 49073-2020")</f>
        <v/>
      </c>
      <c r="X110">
        <f>HYPERLINK("https://klasma.github.io/Logging_2161/tillsyn/A 49073-2020 tillsynsbegäran.docx", "A 49073-2020")</f>
        <v/>
      </c>
      <c r="Y110">
        <f>HYPERLINK("https://klasma.github.io/Logging_2161/tillsynsmail/A 49073-2020 tillsynsbegäran mail.docx", "A 49073-2020")</f>
        <v/>
      </c>
    </row>
    <row r="111" ht="15" customHeight="1">
      <c r="A111" t="inlineStr">
        <is>
          <t>A 21765-2021</t>
        </is>
      </c>
      <c r="B111" s="1" t="n">
        <v>44322</v>
      </c>
      <c r="C111" s="1" t="n">
        <v>45650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Stenfalk
Ärtsångare</t>
        </is>
      </c>
      <c r="S111">
        <f>HYPERLINK("https://klasma.github.io/Logging_2161/artfynd/A 21765-2021 artfynd.xlsx", "A 21765-2021")</f>
        <v/>
      </c>
      <c r="T111">
        <f>HYPERLINK("https://klasma.github.io/Logging_2161/kartor/A 21765-2021 karta.png", "A 21765-2021")</f>
        <v/>
      </c>
      <c r="V111">
        <f>HYPERLINK("https://klasma.github.io/Logging_2161/klagomål/A 21765-2021 FSC-klagomål.docx", "A 21765-2021")</f>
        <v/>
      </c>
      <c r="W111">
        <f>HYPERLINK("https://klasma.github.io/Logging_2161/klagomålsmail/A 21765-2021 FSC-klagomål mail.docx", "A 21765-2021")</f>
        <v/>
      </c>
      <c r="X111">
        <f>HYPERLINK("https://klasma.github.io/Logging_2161/tillsyn/A 21765-2021 tillsynsbegäran.docx", "A 21765-2021")</f>
        <v/>
      </c>
      <c r="Y111">
        <f>HYPERLINK("https://klasma.github.io/Logging_2161/tillsynsmail/A 21765-2021 tillsynsbegäran mail.docx", "A 21765-2021")</f>
        <v/>
      </c>
      <c r="Z111">
        <f>HYPERLINK("https://klasma.github.io/Logging_2161/fåglar/A 21765-2021 prioriterade fågelarter.docx", "A 21765-2021")</f>
        <v/>
      </c>
    </row>
    <row r="112" ht="15" customHeight="1">
      <c r="A112" t="inlineStr">
        <is>
          <t>A 28727-2021</t>
        </is>
      </c>
      <c r="B112" s="1" t="n">
        <v>44357</v>
      </c>
      <c r="C112" s="1" t="n">
        <v>45650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45.9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Plattlummer
Nattviol</t>
        </is>
      </c>
      <c r="S112">
        <f>HYPERLINK("https://klasma.github.io/Logging_2161/artfynd/A 28727-2021 artfynd.xlsx", "A 28727-2021")</f>
        <v/>
      </c>
      <c r="T112">
        <f>HYPERLINK("https://klasma.github.io/Logging_2161/kartor/A 28727-2021 karta.png", "A 28727-2021")</f>
        <v/>
      </c>
      <c r="V112">
        <f>HYPERLINK("https://klasma.github.io/Logging_2161/klagomål/A 28727-2021 FSC-klagomål.docx", "A 28727-2021")</f>
        <v/>
      </c>
      <c r="W112">
        <f>HYPERLINK("https://klasma.github.io/Logging_2161/klagomålsmail/A 28727-2021 FSC-klagomål mail.docx", "A 28727-2021")</f>
        <v/>
      </c>
      <c r="X112">
        <f>HYPERLINK("https://klasma.github.io/Logging_2161/tillsyn/A 28727-2021 tillsynsbegäran.docx", "A 28727-2021")</f>
        <v/>
      </c>
      <c r="Y112">
        <f>HYPERLINK("https://klasma.github.io/Logging_2161/tillsynsmail/A 28727-2021 tillsynsbegäran mail.docx", "A 28727-2021")</f>
        <v/>
      </c>
    </row>
    <row r="113" ht="15" customHeight="1">
      <c r="A113" t="inlineStr">
        <is>
          <t>A 37642-2021</t>
        </is>
      </c>
      <c r="B113" s="1" t="n">
        <v>44400</v>
      </c>
      <c r="C113" s="1" t="n">
        <v>45650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37642-2021 artfynd.xlsx", "A 37642-2021")</f>
        <v/>
      </c>
      <c r="T113">
        <f>HYPERLINK("https://klasma.github.io/Logging_2161/kartor/A 37642-2021 karta.png", "A 37642-2021")</f>
        <v/>
      </c>
      <c r="U113">
        <f>HYPERLINK("https://klasma.github.io/Logging_2161/knärot/A 37642-2021 karta knärot.png", "A 37642-2021")</f>
        <v/>
      </c>
      <c r="V113">
        <f>HYPERLINK("https://klasma.github.io/Logging_2161/klagomål/A 37642-2021 FSC-klagomål.docx", "A 37642-2021")</f>
        <v/>
      </c>
      <c r="W113">
        <f>HYPERLINK("https://klasma.github.io/Logging_2161/klagomålsmail/A 37642-2021 FSC-klagomål mail.docx", "A 37642-2021")</f>
        <v/>
      </c>
      <c r="X113">
        <f>HYPERLINK("https://klasma.github.io/Logging_2161/tillsyn/A 37642-2021 tillsynsbegäran.docx", "A 37642-2021")</f>
        <v/>
      </c>
      <c r="Y113">
        <f>HYPERLINK("https://klasma.github.io/Logging_2161/tillsynsmail/A 37642-2021 tillsynsbegäran mail.docx", "A 37642-2021")</f>
        <v/>
      </c>
    </row>
    <row r="114" ht="15" customHeight="1">
      <c r="A114" t="inlineStr">
        <is>
          <t>A 44692-2021</t>
        </is>
      </c>
      <c r="B114" s="1" t="n">
        <v>44438</v>
      </c>
      <c r="C114" s="1" t="n">
        <v>45650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44692-2021 artfynd.xlsx", "A 44692-2021")</f>
        <v/>
      </c>
      <c r="T114">
        <f>HYPERLINK("https://klasma.github.io/Logging_2161/kartor/A 44692-2021 karta.png", "A 44692-2021")</f>
        <v/>
      </c>
      <c r="V114">
        <f>HYPERLINK("https://klasma.github.io/Logging_2161/klagomål/A 44692-2021 FSC-klagomål.docx", "A 44692-2021")</f>
        <v/>
      </c>
      <c r="W114">
        <f>HYPERLINK("https://klasma.github.io/Logging_2161/klagomålsmail/A 44692-2021 FSC-klagomål mail.docx", "A 44692-2021")</f>
        <v/>
      </c>
      <c r="X114">
        <f>HYPERLINK("https://klasma.github.io/Logging_2161/tillsyn/A 44692-2021 tillsynsbegäran.docx", "A 44692-2021")</f>
        <v/>
      </c>
      <c r="Y114">
        <f>HYPERLINK("https://klasma.github.io/Logging_2161/tillsynsmail/A 44692-2021 tillsynsbegäran mail.docx", "A 44692-2021")</f>
        <v/>
      </c>
    </row>
    <row r="115" ht="15" customHeight="1">
      <c r="A115" t="inlineStr">
        <is>
          <t>A 57726-2021</t>
        </is>
      </c>
      <c r="B115" s="1" t="n">
        <v>44484</v>
      </c>
      <c r="C115" s="1" t="n">
        <v>45650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Mörk kolflarnlav</t>
        </is>
      </c>
      <c r="S115">
        <f>HYPERLINK("https://klasma.github.io/Logging_2161/artfynd/A 57726-2021 artfynd.xlsx", "A 57726-2021")</f>
        <v/>
      </c>
      <c r="T115">
        <f>HYPERLINK("https://klasma.github.io/Logging_2161/kartor/A 57726-2021 karta.png", "A 57726-2021")</f>
        <v/>
      </c>
      <c r="V115">
        <f>HYPERLINK("https://klasma.github.io/Logging_2161/klagomål/A 57726-2021 FSC-klagomål.docx", "A 57726-2021")</f>
        <v/>
      </c>
      <c r="W115">
        <f>HYPERLINK("https://klasma.github.io/Logging_2161/klagomålsmail/A 57726-2021 FSC-klagomål mail.docx", "A 57726-2021")</f>
        <v/>
      </c>
      <c r="X115">
        <f>HYPERLINK("https://klasma.github.io/Logging_2161/tillsyn/A 57726-2021 tillsynsbegäran.docx", "A 57726-2021")</f>
        <v/>
      </c>
      <c r="Y115">
        <f>HYPERLINK("https://klasma.github.io/Logging_2161/tillsynsmail/A 57726-2021 tillsynsbegäran mail.docx", "A 57726-2021")</f>
        <v/>
      </c>
    </row>
    <row r="116" ht="15" customHeight="1">
      <c r="A116" t="inlineStr">
        <is>
          <t>A 23866-2022</t>
        </is>
      </c>
      <c r="B116" s="1" t="n">
        <v>44722</v>
      </c>
      <c r="C116" s="1" t="n">
        <v>45650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Lunglav</t>
        </is>
      </c>
      <c r="S116">
        <f>HYPERLINK("https://klasma.github.io/Logging_2161/artfynd/A 23866-2022 artfynd.xlsx", "A 23866-2022")</f>
        <v/>
      </c>
      <c r="T116">
        <f>HYPERLINK("https://klasma.github.io/Logging_2161/kartor/A 23866-2022 karta.png", "A 23866-2022")</f>
        <v/>
      </c>
      <c r="U116">
        <f>HYPERLINK("https://klasma.github.io/Logging_2161/knärot/A 23866-2022 karta knärot.png", "A 23866-2022")</f>
        <v/>
      </c>
      <c r="V116">
        <f>HYPERLINK("https://klasma.github.io/Logging_2161/klagomål/A 23866-2022 FSC-klagomål.docx", "A 23866-2022")</f>
        <v/>
      </c>
      <c r="W116">
        <f>HYPERLINK("https://klasma.github.io/Logging_2161/klagomålsmail/A 23866-2022 FSC-klagomål mail.docx", "A 23866-2022")</f>
        <v/>
      </c>
      <c r="X116">
        <f>HYPERLINK("https://klasma.github.io/Logging_2161/tillsyn/A 23866-2022 tillsynsbegäran.docx", "A 23866-2022")</f>
        <v/>
      </c>
      <c r="Y116">
        <f>HYPERLINK("https://klasma.github.io/Logging_2161/tillsynsmail/A 23866-2022 tillsynsbegäran mail.docx", "A 23866-2022")</f>
        <v/>
      </c>
    </row>
    <row r="117" ht="15" customHeight="1">
      <c r="A117" t="inlineStr">
        <is>
          <t>A 34503-2022</t>
        </is>
      </c>
      <c r="B117" s="1" t="n">
        <v>44792</v>
      </c>
      <c r="C117" s="1" t="n">
        <v>45650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Skrovellav</t>
        </is>
      </c>
      <c r="S117">
        <f>HYPERLINK("https://klasma.github.io/Logging_2161/artfynd/A 34503-2022 artfynd.xlsx", "A 34503-2022")</f>
        <v/>
      </c>
      <c r="T117">
        <f>HYPERLINK("https://klasma.github.io/Logging_2161/kartor/A 34503-2022 karta.png", "A 34503-2022")</f>
        <v/>
      </c>
      <c r="V117">
        <f>HYPERLINK("https://klasma.github.io/Logging_2161/klagomål/A 34503-2022 FSC-klagomål.docx", "A 34503-2022")</f>
        <v/>
      </c>
      <c r="W117">
        <f>HYPERLINK("https://klasma.github.io/Logging_2161/klagomålsmail/A 34503-2022 FSC-klagomål mail.docx", "A 34503-2022")</f>
        <v/>
      </c>
      <c r="X117">
        <f>HYPERLINK("https://klasma.github.io/Logging_2161/tillsyn/A 34503-2022 tillsynsbegäran.docx", "A 34503-2022")</f>
        <v/>
      </c>
      <c r="Y117">
        <f>HYPERLINK("https://klasma.github.io/Logging_2161/tillsynsmail/A 34503-2022 tillsynsbegäran mail.docx", "A 34503-2022")</f>
        <v/>
      </c>
    </row>
    <row r="118" ht="15" customHeight="1">
      <c r="A118" t="inlineStr">
        <is>
          <t>A 35588-2022</t>
        </is>
      </c>
      <c r="B118" s="1" t="n">
        <v>44799</v>
      </c>
      <c r="C118" s="1" t="n">
        <v>45650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35588-2022 artfynd.xlsx", "A 35588-2022")</f>
        <v/>
      </c>
      <c r="T118">
        <f>HYPERLINK("https://klasma.github.io/Logging_2161/kartor/A 35588-2022 karta.png", "A 35588-2022")</f>
        <v/>
      </c>
      <c r="V118">
        <f>HYPERLINK("https://klasma.github.io/Logging_2161/klagomål/A 35588-2022 FSC-klagomål.docx", "A 35588-2022")</f>
        <v/>
      </c>
      <c r="W118">
        <f>HYPERLINK("https://klasma.github.io/Logging_2161/klagomålsmail/A 35588-2022 FSC-klagomål mail.docx", "A 35588-2022")</f>
        <v/>
      </c>
      <c r="X118">
        <f>HYPERLINK("https://klasma.github.io/Logging_2161/tillsyn/A 35588-2022 tillsynsbegäran.docx", "A 35588-2022")</f>
        <v/>
      </c>
      <c r="Y118">
        <f>HYPERLINK("https://klasma.github.io/Logging_2161/tillsynsmail/A 35588-2022 tillsynsbegäran mail.docx", "A 35588-2022")</f>
        <v/>
      </c>
    </row>
    <row r="119" ht="15" customHeight="1">
      <c r="A119" t="inlineStr">
        <is>
          <t>A 41214-2022</t>
        </is>
      </c>
      <c r="B119" s="1" t="n">
        <v>44826</v>
      </c>
      <c r="C119" s="1" t="n">
        <v>45650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41214-2022 artfynd.xlsx", "A 41214-2022")</f>
        <v/>
      </c>
      <c r="T119">
        <f>HYPERLINK("https://klasma.github.io/Logging_2161/kartor/A 41214-2022 karta.png", "A 41214-2022")</f>
        <v/>
      </c>
      <c r="V119">
        <f>HYPERLINK("https://klasma.github.io/Logging_2161/klagomål/A 41214-2022 FSC-klagomål.docx", "A 41214-2022")</f>
        <v/>
      </c>
      <c r="W119">
        <f>HYPERLINK("https://klasma.github.io/Logging_2161/klagomålsmail/A 41214-2022 FSC-klagomål mail.docx", "A 41214-2022")</f>
        <v/>
      </c>
      <c r="X119">
        <f>HYPERLINK("https://klasma.github.io/Logging_2161/tillsyn/A 41214-2022 tillsynsbegäran.docx", "A 41214-2022")</f>
        <v/>
      </c>
      <c r="Y119">
        <f>HYPERLINK("https://klasma.github.io/Logging_2161/tillsynsmail/A 41214-2022 tillsynsbegäran mail.docx", "A 41214-2022")</f>
        <v/>
      </c>
    </row>
    <row r="120" ht="15" customHeight="1">
      <c r="A120" t="inlineStr">
        <is>
          <t>A 44116-2022</t>
        </is>
      </c>
      <c r="B120" s="1" t="n">
        <v>44839</v>
      </c>
      <c r="C120" s="1" t="n">
        <v>45650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44116-2022 artfynd.xlsx", "A 44116-2022")</f>
        <v/>
      </c>
      <c r="T120">
        <f>HYPERLINK("https://klasma.github.io/Logging_2161/kartor/A 44116-2022 karta.png", "A 44116-2022")</f>
        <v/>
      </c>
      <c r="V120">
        <f>HYPERLINK("https://klasma.github.io/Logging_2161/klagomål/A 44116-2022 FSC-klagomål.docx", "A 44116-2022")</f>
        <v/>
      </c>
      <c r="W120">
        <f>HYPERLINK("https://klasma.github.io/Logging_2161/klagomålsmail/A 44116-2022 FSC-klagomål mail.docx", "A 44116-2022")</f>
        <v/>
      </c>
      <c r="X120">
        <f>HYPERLINK("https://klasma.github.io/Logging_2161/tillsyn/A 44116-2022 tillsynsbegäran.docx", "A 44116-2022")</f>
        <v/>
      </c>
      <c r="Y120">
        <f>HYPERLINK("https://klasma.github.io/Logging_2161/tillsynsmail/A 44116-2022 tillsynsbegäran mail.docx", "A 44116-2022")</f>
        <v/>
      </c>
    </row>
    <row r="121" ht="15" customHeight="1">
      <c r="A121" t="inlineStr">
        <is>
          <t>A 54108-2022</t>
        </is>
      </c>
      <c r="B121" s="1" t="n">
        <v>44881</v>
      </c>
      <c r="C121" s="1" t="n">
        <v>45650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7.9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54108-2022 artfynd.xlsx", "A 54108-2022")</f>
        <v/>
      </c>
      <c r="T121">
        <f>HYPERLINK("https://klasma.github.io/Logging_2161/kartor/A 54108-2022 karta.png", "A 54108-2022")</f>
        <v/>
      </c>
      <c r="V121">
        <f>HYPERLINK("https://klasma.github.io/Logging_2161/klagomål/A 54108-2022 FSC-klagomål.docx", "A 54108-2022")</f>
        <v/>
      </c>
      <c r="W121">
        <f>HYPERLINK("https://klasma.github.io/Logging_2161/klagomålsmail/A 54108-2022 FSC-klagomål mail.docx", "A 54108-2022")</f>
        <v/>
      </c>
      <c r="X121">
        <f>HYPERLINK("https://klasma.github.io/Logging_2161/tillsyn/A 54108-2022 tillsynsbegäran.docx", "A 54108-2022")</f>
        <v/>
      </c>
      <c r="Y121">
        <f>HYPERLINK("https://klasma.github.io/Logging_2161/tillsynsmail/A 54108-2022 tillsynsbegäran mail.docx", "A 54108-2022")</f>
        <v/>
      </c>
    </row>
    <row r="122" ht="15" customHeight="1">
      <c r="A122" t="inlineStr">
        <is>
          <t>A 10637-2023</t>
        </is>
      </c>
      <c r="B122" s="1" t="n">
        <v>44988</v>
      </c>
      <c r="C122" s="1" t="n">
        <v>45650</v>
      </c>
      <c r="D122" t="inlineStr">
        <is>
          <t>GÄVLEBORGS LÄN</t>
        </is>
      </c>
      <c r="E122" t="inlineStr">
        <is>
          <t>LJUSDAL</t>
        </is>
      </c>
      <c r="G122" t="n">
        <v>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10637-2023 artfynd.xlsx", "A 10637-2023")</f>
        <v/>
      </c>
      <c r="T122">
        <f>HYPERLINK("https://klasma.github.io/Logging_2161/kartor/A 10637-2023 karta.png", "A 10637-2023")</f>
        <v/>
      </c>
      <c r="V122">
        <f>HYPERLINK("https://klasma.github.io/Logging_2161/klagomål/A 10637-2023 FSC-klagomål.docx", "A 10637-2023")</f>
        <v/>
      </c>
      <c r="W122">
        <f>HYPERLINK("https://klasma.github.io/Logging_2161/klagomålsmail/A 10637-2023 FSC-klagomål mail.docx", "A 10637-2023")</f>
        <v/>
      </c>
      <c r="X122">
        <f>HYPERLINK("https://klasma.github.io/Logging_2161/tillsyn/A 10637-2023 tillsynsbegäran.docx", "A 10637-2023")</f>
        <v/>
      </c>
      <c r="Y122">
        <f>HYPERLINK("https://klasma.github.io/Logging_2161/tillsynsmail/A 10637-2023 tillsynsbegäran mail.docx", "A 10637-2023")</f>
        <v/>
      </c>
    </row>
    <row r="123" ht="15" customHeight="1">
      <c r="A123" t="inlineStr">
        <is>
          <t>A 26487-2023</t>
        </is>
      </c>
      <c r="B123" s="1" t="n">
        <v>45092</v>
      </c>
      <c r="C123" s="1" t="n">
        <v>45650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26487-2023 artfynd.xlsx", "A 26487-2023")</f>
        <v/>
      </c>
      <c r="T123">
        <f>HYPERLINK("https://klasma.github.io/Logging_2161/kartor/A 26487-2023 karta.png", "A 26487-2023")</f>
        <v/>
      </c>
      <c r="V123">
        <f>HYPERLINK("https://klasma.github.io/Logging_2161/klagomål/A 26487-2023 FSC-klagomål.docx", "A 26487-2023")</f>
        <v/>
      </c>
      <c r="W123">
        <f>HYPERLINK("https://klasma.github.io/Logging_2161/klagomålsmail/A 26487-2023 FSC-klagomål mail.docx", "A 26487-2023")</f>
        <v/>
      </c>
      <c r="X123">
        <f>HYPERLINK("https://klasma.github.io/Logging_2161/tillsyn/A 26487-2023 tillsynsbegäran.docx", "A 26487-2023")</f>
        <v/>
      </c>
      <c r="Y123">
        <f>HYPERLINK("https://klasma.github.io/Logging_2161/tillsynsmail/A 26487-2023 tillsynsbegäran mail.docx", "A 26487-2023")</f>
        <v/>
      </c>
    </row>
    <row r="124" ht="15" customHeight="1">
      <c r="A124" t="inlineStr">
        <is>
          <t>A 30237-2023</t>
        </is>
      </c>
      <c r="B124" s="1" t="n">
        <v>45110</v>
      </c>
      <c r="C124" s="1" t="n">
        <v>45650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30237-2023 artfynd.xlsx", "A 30237-2023")</f>
        <v/>
      </c>
      <c r="T124">
        <f>HYPERLINK("https://klasma.github.io/Logging_2161/kartor/A 30237-2023 karta.png", "A 30237-2023")</f>
        <v/>
      </c>
      <c r="V124">
        <f>HYPERLINK("https://klasma.github.io/Logging_2161/klagomål/A 30237-2023 FSC-klagomål.docx", "A 30237-2023")</f>
        <v/>
      </c>
      <c r="W124">
        <f>HYPERLINK("https://klasma.github.io/Logging_2161/klagomålsmail/A 30237-2023 FSC-klagomål mail.docx", "A 30237-2023")</f>
        <v/>
      </c>
      <c r="X124">
        <f>HYPERLINK("https://klasma.github.io/Logging_2161/tillsyn/A 30237-2023 tillsynsbegäran.docx", "A 30237-2023")</f>
        <v/>
      </c>
      <c r="Y124">
        <f>HYPERLINK("https://klasma.github.io/Logging_2161/tillsynsmail/A 30237-2023 tillsynsbegäran mail.docx", "A 30237-2023")</f>
        <v/>
      </c>
    </row>
    <row r="125" ht="15" customHeight="1">
      <c r="A125" t="inlineStr">
        <is>
          <t>A 31123-2023</t>
        </is>
      </c>
      <c r="B125" s="1" t="n">
        <v>45113</v>
      </c>
      <c r="C125" s="1" t="n">
        <v>45650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Norsk näverlav
Kolflarnlav</t>
        </is>
      </c>
      <c r="S125">
        <f>HYPERLINK("https://klasma.github.io/Logging_2161/artfynd/A 31123-2023 artfynd.xlsx", "A 31123-2023")</f>
        <v/>
      </c>
      <c r="T125">
        <f>HYPERLINK("https://klasma.github.io/Logging_2161/kartor/A 31123-2023 karta.png", "A 31123-2023")</f>
        <v/>
      </c>
      <c r="V125">
        <f>HYPERLINK("https://klasma.github.io/Logging_2161/klagomål/A 31123-2023 FSC-klagomål.docx", "A 31123-2023")</f>
        <v/>
      </c>
      <c r="W125">
        <f>HYPERLINK("https://klasma.github.io/Logging_2161/klagomålsmail/A 31123-2023 FSC-klagomål mail.docx", "A 31123-2023")</f>
        <v/>
      </c>
      <c r="X125">
        <f>HYPERLINK("https://klasma.github.io/Logging_2161/tillsyn/A 31123-2023 tillsynsbegäran.docx", "A 31123-2023")</f>
        <v/>
      </c>
      <c r="Y125">
        <f>HYPERLINK("https://klasma.github.io/Logging_2161/tillsynsmail/A 31123-2023 tillsynsbegäran mail.docx", "A 31123-2023")</f>
        <v/>
      </c>
    </row>
    <row r="126" ht="15" customHeight="1">
      <c r="A126" t="inlineStr">
        <is>
          <t>A 32502-2023</t>
        </is>
      </c>
      <c r="B126" s="1" t="n">
        <v>45121</v>
      </c>
      <c r="C126" s="1" t="n">
        <v>45650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HYPERLINK("https://klasma.github.io/Logging_2161/artfynd/A 32502-2023 artfynd.xlsx", "A 32502-2023")</f>
        <v/>
      </c>
      <c r="T126">
        <f>HYPERLINK("https://klasma.github.io/Logging_2161/kartor/A 32502-2023 karta.png", "A 32502-2023")</f>
        <v/>
      </c>
      <c r="V126">
        <f>HYPERLINK("https://klasma.github.io/Logging_2161/klagomål/A 32502-2023 FSC-klagomål.docx", "A 32502-2023")</f>
        <v/>
      </c>
      <c r="W126">
        <f>HYPERLINK("https://klasma.github.io/Logging_2161/klagomålsmail/A 32502-2023 FSC-klagomål mail.docx", "A 32502-2023")</f>
        <v/>
      </c>
      <c r="X126">
        <f>HYPERLINK("https://klasma.github.io/Logging_2161/tillsyn/A 32502-2023 tillsynsbegäran.docx", "A 32502-2023")</f>
        <v/>
      </c>
      <c r="Y126">
        <f>HYPERLINK("https://klasma.github.io/Logging_2161/tillsynsmail/A 32502-2023 tillsynsbegäran mail.docx", "A 32502-2023")</f>
        <v/>
      </c>
    </row>
    <row r="127" ht="15" customHeight="1">
      <c r="A127" t="inlineStr">
        <is>
          <t>A 36586-2023</t>
        </is>
      </c>
      <c r="B127" s="1" t="n">
        <v>45153</v>
      </c>
      <c r="C127" s="1" t="n">
        <v>45650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27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Tretåig hackspett</t>
        </is>
      </c>
      <c r="S127">
        <f>HYPERLINK("https://klasma.github.io/Logging_2161/artfynd/A 36586-2023 artfynd.xlsx", "A 36586-2023")</f>
        <v/>
      </c>
      <c r="T127">
        <f>HYPERLINK("https://klasma.github.io/Logging_2161/kartor/A 36586-2023 karta.png", "A 36586-2023")</f>
        <v/>
      </c>
      <c r="U127">
        <f>HYPERLINK("https://klasma.github.io/Logging_2161/knärot/A 36586-2023 karta knärot.png", "A 36586-2023")</f>
        <v/>
      </c>
      <c r="V127">
        <f>HYPERLINK("https://klasma.github.io/Logging_2161/klagomål/A 36586-2023 FSC-klagomål.docx", "A 36586-2023")</f>
        <v/>
      </c>
      <c r="W127">
        <f>HYPERLINK("https://klasma.github.io/Logging_2161/klagomålsmail/A 36586-2023 FSC-klagomål mail.docx", "A 36586-2023")</f>
        <v/>
      </c>
      <c r="X127">
        <f>HYPERLINK("https://klasma.github.io/Logging_2161/tillsyn/A 36586-2023 tillsynsbegäran.docx", "A 36586-2023")</f>
        <v/>
      </c>
      <c r="Y127">
        <f>HYPERLINK("https://klasma.github.io/Logging_2161/tillsynsmail/A 36586-2023 tillsynsbegäran mail.docx", "A 36586-2023")</f>
        <v/>
      </c>
      <c r="Z127">
        <f>HYPERLINK("https://klasma.github.io/Logging_2161/fåglar/A 36586-2023 prioriterade fågelarter.docx", "A 36586-2023")</f>
        <v/>
      </c>
    </row>
    <row r="128" ht="15" customHeight="1">
      <c r="A128" t="inlineStr">
        <is>
          <t>A 40743-2023</t>
        </is>
      </c>
      <c r="B128" s="1" t="n">
        <v>45170</v>
      </c>
      <c r="C128" s="1" t="n">
        <v>45650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40743-2023 artfynd.xlsx", "A 40743-2023")</f>
        <v/>
      </c>
      <c r="T128">
        <f>HYPERLINK("https://klasma.github.io/Logging_2161/kartor/A 40743-2023 karta.png", "A 40743-2023")</f>
        <v/>
      </c>
      <c r="V128">
        <f>HYPERLINK("https://klasma.github.io/Logging_2161/klagomål/A 40743-2023 FSC-klagomål.docx", "A 40743-2023")</f>
        <v/>
      </c>
      <c r="W128">
        <f>HYPERLINK("https://klasma.github.io/Logging_2161/klagomålsmail/A 40743-2023 FSC-klagomål mail.docx", "A 40743-2023")</f>
        <v/>
      </c>
      <c r="X128">
        <f>HYPERLINK("https://klasma.github.io/Logging_2161/tillsyn/A 40743-2023 tillsynsbegäran.docx", "A 40743-2023")</f>
        <v/>
      </c>
      <c r="Y128">
        <f>HYPERLINK("https://klasma.github.io/Logging_2161/tillsynsmail/A 40743-2023 tillsynsbegäran mail.docx", "A 40743-2023")</f>
        <v/>
      </c>
    </row>
    <row r="129" ht="15" customHeight="1">
      <c r="A129" t="inlineStr">
        <is>
          <t>A 42123-2023</t>
        </is>
      </c>
      <c r="B129" s="1" t="n">
        <v>45177</v>
      </c>
      <c r="C129" s="1" t="n">
        <v>45650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19.7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42123-2023 artfynd.xlsx", "A 42123-2023")</f>
        <v/>
      </c>
      <c r="T129">
        <f>HYPERLINK("https://klasma.github.io/Logging_2161/kartor/A 42123-2023 karta.png", "A 42123-2023")</f>
        <v/>
      </c>
      <c r="V129">
        <f>HYPERLINK("https://klasma.github.io/Logging_2161/klagomål/A 42123-2023 FSC-klagomål.docx", "A 42123-2023")</f>
        <v/>
      </c>
      <c r="W129">
        <f>HYPERLINK("https://klasma.github.io/Logging_2161/klagomålsmail/A 42123-2023 FSC-klagomål mail.docx", "A 42123-2023")</f>
        <v/>
      </c>
      <c r="X129">
        <f>HYPERLINK("https://klasma.github.io/Logging_2161/tillsyn/A 42123-2023 tillsynsbegäran.docx", "A 42123-2023")</f>
        <v/>
      </c>
      <c r="Y129">
        <f>HYPERLINK("https://klasma.github.io/Logging_2161/tillsynsmail/A 42123-2023 tillsynsbegäran mail.docx", "A 42123-2023")</f>
        <v/>
      </c>
    </row>
    <row r="130" ht="15" customHeight="1">
      <c r="A130" t="inlineStr">
        <is>
          <t>A 43723-2023</t>
        </is>
      </c>
      <c r="B130" s="1" t="n">
        <v>45187</v>
      </c>
      <c r="C130" s="1" t="n">
        <v>45650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43723-2023 artfynd.xlsx", "A 43723-2023")</f>
        <v/>
      </c>
      <c r="T130">
        <f>HYPERLINK("https://klasma.github.io/Logging_2161/kartor/A 43723-2023 karta.png", "A 43723-2023")</f>
        <v/>
      </c>
      <c r="V130">
        <f>HYPERLINK("https://klasma.github.io/Logging_2161/klagomål/A 43723-2023 FSC-klagomål.docx", "A 43723-2023")</f>
        <v/>
      </c>
      <c r="W130">
        <f>HYPERLINK("https://klasma.github.io/Logging_2161/klagomålsmail/A 43723-2023 FSC-klagomål mail.docx", "A 43723-2023")</f>
        <v/>
      </c>
      <c r="X130">
        <f>HYPERLINK("https://klasma.github.io/Logging_2161/tillsyn/A 43723-2023 tillsynsbegäran.docx", "A 43723-2023")</f>
        <v/>
      </c>
      <c r="Y130">
        <f>HYPERLINK("https://klasma.github.io/Logging_2161/tillsynsmail/A 43723-2023 tillsynsbegäran mail.docx", "A 43723-2023")</f>
        <v/>
      </c>
    </row>
    <row r="131" ht="15" customHeight="1">
      <c r="A131" t="inlineStr">
        <is>
          <t>A 47719-2023</t>
        </is>
      </c>
      <c r="B131" s="1" t="n">
        <v>45203</v>
      </c>
      <c r="C131" s="1" t="n">
        <v>45650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Orange taggsvamp</t>
        </is>
      </c>
      <c r="S131">
        <f>HYPERLINK("https://klasma.github.io/Logging_2161/artfynd/A 47719-2023 artfynd.xlsx", "A 47719-2023")</f>
        <v/>
      </c>
      <c r="T131">
        <f>HYPERLINK("https://klasma.github.io/Logging_2161/kartor/A 47719-2023 karta.png", "A 47719-2023")</f>
        <v/>
      </c>
      <c r="V131">
        <f>HYPERLINK("https://klasma.github.io/Logging_2161/klagomål/A 47719-2023 FSC-klagomål.docx", "A 47719-2023")</f>
        <v/>
      </c>
      <c r="W131">
        <f>HYPERLINK("https://klasma.github.io/Logging_2161/klagomålsmail/A 47719-2023 FSC-klagomål mail.docx", "A 47719-2023")</f>
        <v/>
      </c>
      <c r="X131">
        <f>HYPERLINK("https://klasma.github.io/Logging_2161/tillsyn/A 47719-2023 tillsynsbegäran.docx", "A 47719-2023")</f>
        <v/>
      </c>
      <c r="Y131">
        <f>HYPERLINK("https://klasma.github.io/Logging_2161/tillsynsmail/A 47719-2023 tillsynsbegäran mail.docx", "A 47719-2023")</f>
        <v/>
      </c>
    </row>
    <row r="132" ht="15" customHeight="1">
      <c r="A132" t="inlineStr">
        <is>
          <t>A 51222-2023</t>
        </is>
      </c>
      <c r="B132" s="1" t="n">
        <v>45219</v>
      </c>
      <c r="C132" s="1" t="n">
        <v>45650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6.5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Lavskrika</t>
        </is>
      </c>
      <c r="S132">
        <f>HYPERLINK("https://klasma.github.io/Logging_2161/artfynd/A 51222-2023 artfynd.xlsx", "A 51222-2023")</f>
        <v/>
      </c>
      <c r="T132">
        <f>HYPERLINK("https://klasma.github.io/Logging_2161/kartor/A 51222-2023 karta.png", "A 51222-2023")</f>
        <v/>
      </c>
      <c r="V132">
        <f>HYPERLINK("https://klasma.github.io/Logging_2161/klagomål/A 51222-2023 FSC-klagomål.docx", "A 51222-2023")</f>
        <v/>
      </c>
      <c r="W132">
        <f>HYPERLINK("https://klasma.github.io/Logging_2161/klagomålsmail/A 51222-2023 FSC-klagomål mail.docx", "A 51222-2023")</f>
        <v/>
      </c>
      <c r="X132">
        <f>HYPERLINK("https://klasma.github.io/Logging_2161/tillsyn/A 51222-2023 tillsynsbegäran.docx", "A 51222-2023")</f>
        <v/>
      </c>
      <c r="Y132">
        <f>HYPERLINK("https://klasma.github.io/Logging_2161/tillsynsmail/A 51222-2023 tillsynsbegäran mail.docx", "A 51222-2023")</f>
        <v/>
      </c>
      <c r="Z132">
        <f>HYPERLINK("https://klasma.github.io/Logging_2161/fåglar/A 51222-2023 prioriterade fågelarter.docx", "A 51222-2023")</f>
        <v/>
      </c>
    </row>
    <row r="133" ht="15" customHeight="1">
      <c r="A133" t="inlineStr">
        <is>
          <t>A 18098-2024</t>
        </is>
      </c>
      <c r="B133" s="1" t="n">
        <v>45420</v>
      </c>
      <c r="C133" s="1" t="n">
        <v>45650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Varglav</t>
        </is>
      </c>
      <c r="S133">
        <f>HYPERLINK("https://klasma.github.io/Logging_2161/artfynd/A 18098-2024 artfynd.xlsx", "A 18098-2024")</f>
        <v/>
      </c>
      <c r="T133">
        <f>HYPERLINK("https://klasma.github.io/Logging_2161/kartor/A 18098-2024 karta.png", "A 18098-2024")</f>
        <v/>
      </c>
      <c r="V133">
        <f>HYPERLINK("https://klasma.github.io/Logging_2161/klagomål/A 18098-2024 FSC-klagomål.docx", "A 18098-2024")</f>
        <v/>
      </c>
      <c r="W133">
        <f>HYPERLINK("https://klasma.github.io/Logging_2161/klagomålsmail/A 18098-2024 FSC-klagomål mail.docx", "A 18098-2024")</f>
        <v/>
      </c>
      <c r="X133">
        <f>HYPERLINK("https://klasma.github.io/Logging_2161/tillsyn/A 18098-2024 tillsynsbegäran.docx", "A 18098-2024")</f>
        <v/>
      </c>
      <c r="Y133">
        <f>HYPERLINK("https://klasma.github.io/Logging_2161/tillsynsmail/A 18098-2024 tillsynsbegäran mail.docx", "A 18098-2024")</f>
        <v/>
      </c>
    </row>
    <row r="134" ht="15" customHeight="1">
      <c r="A134" t="inlineStr">
        <is>
          <t>A 18101-2024</t>
        </is>
      </c>
      <c r="B134" s="1" t="n">
        <v>45420</v>
      </c>
      <c r="C134" s="1" t="n">
        <v>45650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18101-2024 artfynd.xlsx", "A 18101-2024")</f>
        <v/>
      </c>
      <c r="T134">
        <f>HYPERLINK("https://klasma.github.io/Logging_2161/kartor/A 18101-2024 karta.png", "A 18101-2024")</f>
        <v/>
      </c>
      <c r="V134">
        <f>HYPERLINK("https://klasma.github.io/Logging_2161/klagomål/A 18101-2024 FSC-klagomål.docx", "A 18101-2024")</f>
        <v/>
      </c>
      <c r="W134">
        <f>HYPERLINK("https://klasma.github.io/Logging_2161/klagomålsmail/A 18101-2024 FSC-klagomål mail.docx", "A 18101-2024")</f>
        <v/>
      </c>
      <c r="X134">
        <f>HYPERLINK("https://klasma.github.io/Logging_2161/tillsyn/A 18101-2024 tillsynsbegäran.docx", "A 18101-2024")</f>
        <v/>
      </c>
      <c r="Y134">
        <f>HYPERLINK("https://klasma.github.io/Logging_2161/tillsynsmail/A 18101-2024 tillsynsbegäran mail.docx", "A 18101-2024")</f>
        <v/>
      </c>
    </row>
    <row r="135" ht="15" customHeight="1">
      <c r="A135" t="inlineStr">
        <is>
          <t>A 18108-2024</t>
        </is>
      </c>
      <c r="B135" s="1" t="n">
        <v>45420</v>
      </c>
      <c r="C135" s="1" t="n">
        <v>45650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18108-2024 artfynd.xlsx", "A 18108-2024")</f>
        <v/>
      </c>
      <c r="T135">
        <f>HYPERLINK("https://klasma.github.io/Logging_2161/kartor/A 18108-2024 karta.png", "A 18108-2024")</f>
        <v/>
      </c>
      <c r="V135">
        <f>HYPERLINK("https://klasma.github.io/Logging_2161/klagomål/A 18108-2024 FSC-klagomål.docx", "A 18108-2024")</f>
        <v/>
      </c>
      <c r="W135">
        <f>HYPERLINK("https://klasma.github.io/Logging_2161/klagomålsmail/A 18108-2024 FSC-klagomål mail.docx", "A 18108-2024")</f>
        <v/>
      </c>
      <c r="X135">
        <f>HYPERLINK("https://klasma.github.io/Logging_2161/tillsyn/A 18108-2024 tillsynsbegäran.docx", "A 18108-2024")</f>
        <v/>
      </c>
      <c r="Y135">
        <f>HYPERLINK("https://klasma.github.io/Logging_2161/tillsynsmail/A 18108-2024 tillsynsbegäran mail.docx", "A 18108-2024")</f>
        <v/>
      </c>
    </row>
    <row r="136" ht="15" customHeight="1">
      <c r="A136" t="inlineStr">
        <is>
          <t>A 18103-2024</t>
        </is>
      </c>
      <c r="B136" s="1" t="n">
        <v>45420</v>
      </c>
      <c r="C136" s="1" t="n">
        <v>45650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18103-2024 artfynd.xlsx", "A 18103-2024")</f>
        <v/>
      </c>
      <c r="T136">
        <f>HYPERLINK("https://klasma.github.io/Logging_2161/kartor/A 18103-2024 karta.png", "A 18103-2024")</f>
        <v/>
      </c>
      <c r="V136">
        <f>HYPERLINK("https://klasma.github.io/Logging_2161/klagomål/A 18103-2024 FSC-klagomål.docx", "A 18103-2024")</f>
        <v/>
      </c>
      <c r="W136">
        <f>HYPERLINK("https://klasma.github.io/Logging_2161/klagomålsmail/A 18103-2024 FSC-klagomål mail.docx", "A 18103-2024")</f>
        <v/>
      </c>
      <c r="X136">
        <f>HYPERLINK("https://klasma.github.io/Logging_2161/tillsyn/A 18103-2024 tillsynsbegäran.docx", "A 18103-2024")</f>
        <v/>
      </c>
      <c r="Y136">
        <f>HYPERLINK("https://klasma.github.io/Logging_2161/tillsynsmail/A 18103-2024 tillsynsbegäran mail.docx", "A 18103-2024")</f>
        <v/>
      </c>
    </row>
    <row r="137" ht="15" customHeight="1">
      <c r="A137" t="inlineStr">
        <is>
          <t>A 18986-2024</t>
        </is>
      </c>
      <c r="B137" s="1" t="n">
        <v>45427</v>
      </c>
      <c r="C137" s="1" t="n">
        <v>45650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18986-2024 artfynd.xlsx", "A 18986-2024")</f>
        <v/>
      </c>
      <c r="T137">
        <f>HYPERLINK("https://klasma.github.io/Logging_2161/kartor/A 18986-2024 karta.png", "A 18986-2024")</f>
        <v/>
      </c>
      <c r="V137">
        <f>HYPERLINK("https://klasma.github.io/Logging_2161/klagomål/A 18986-2024 FSC-klagomål.docx", "A 18986-2024")</f>
        <v/>
      </c>
      <c r="W137">
        <f>HYPERLINK("https://klasma.github.io/Logging_2161/klagomålsmail/A 18986-2024 FSC-klagomål mail.docx", "A 18986-2024")</f>
        <v/>
      </c>
      <c r="X137">
        <f>HYPERLINK("https://klasma.github.io/Logging_2161/tillsyn/A 18986-2024 tillsynsbegäran.docx", "A 18986-2024")</f>
        <v/>
      </c>
      <c r="Y137">
        <f>HYPERLINK("https://klasma.github.io/Logging_2161/tillsynsmail/A 18986-2024 tillsynsbegäran mail.docx", "A 18986-2024")</f>
        <v/>
      </c>
    </row>
    <row r="138" ht="15" customHeight="1">
      <c r="A138" t="inlineStr">
        <is>
          <t>A 19848-2024</t>
        </is>
      </c>
      <c r="B138" s="1" t="n">
        <v>45433</v>
      </c>
      <c r="C138" s="1" t="n">
        <v>45650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19848-2024 artfynd.xlsx", "A 19848-2024")</f>
        <v/>
      </c>
      <c r="T138">
        <f>HYPERLINK("https://klasma.github.io/Logging_2161/kartor/A 19848-2024 karta.png", "A 19848-2024")</f>
        <v/>
      </c>
      <c r="V138">
        <f>HYPERLINK("https://klasma.github.io/Logging_2161/klagomål/A 19848-2024 FSC-klagomål.docx", "A 19848-2024")</f>
        <v/>
      </c>
      <c r="W138">
        <f>HYPERLINK("https://klasma.github.io/Logging_2161/klagomålsmail/A 19848-2024 FSC-klagomål mail.docx", "A 19848-2024")</f>
        <v/>
      </c>
      <c r="X138">
        <f>HYPERLINK("https://klasma.github.io/Logging_2161/tillsyn/A 19848-2024 tillsynsbegäran.docx", "A 19848-2024")</f>
        <v/>
      </c>
      <c r="Y138">
        <f>HYPERLINK("https://klasma.github.io/Logging_2161/tillsynsmail/A 19848-2024 tillsynsbegäran mail.docx", "A 19848-2024")</f>
        <v/>
      </c>
    </row>
    <row r="139" ht="15" customHeight="1">
      <c r="A139" t="inlineStr">
        <is>
          <t>A 19847-2024</t>
        </is>
      </c>
      <c r="B139" s="1" t="n">
        <v>45433</v>
      </c>
      <c r="C139" s="1" t="n">
        <v>45650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Mörk kolflarnlav</t>
        </is>
      </c>
      <c r="S139">
        <f>HYPERLINK("https://klasma.github.io/Logging_2161/artfynd/A 19847-2024 artfynd.xlsx", "A 19847-2024")</f>
        <v/>
      </c>
      <c r="T139">
        <f>HYPERLINK("https://klasma.github.io/Logging_2161/kartor/A 19847-2024 karta.png", "A 19847-2024")</f>
        <v/>
      </c>
      <c r="V139">
        <f>HYPERLINK("https://klasma.github.io/Logging_2161/klagomål/A 19847-2024 FSC-klagomål.docx", "A 19847-2024")</f>
        <v/>
      </c>
      <c r="W139">
        <f>HYPERLINK("https://klasma.github.io/Logging_2161/klagomålsmail/A 19847-2024 FSC-klagomål mail.docx", "A 19847-2024")</f>
        <v/>
      </c>
      <c r="X139">
        <f>HYPERLINK("https://klasma.github.io/Logging_2161/tillsyn/A 19847-2024 tillsynsbegäran.docx", "A 19847-2024")</f>
        <v/>
      </c>
      <c r="Y139">
        <f>HYPERLINK("https://klasma.github.io/Logging_2161/tillsynsmail/A 19847-2024 tillsynsbegäran mail.docx", "A 19847-2024")</f>
        <v/>
      </c>
    </row>
    <row r="140" ht="15" customHeight="1">
      <c r="A140" t="inlineStr">
        <is>
          <t>A 22063-2024</t>
        </is>
      </c>
      <c r="B140" s="1" t="n">
        <v>45443</v>
      </c>
      <c r="C140" s="1" t="n">
        <v>45650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18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Plattlummer</t>
        </is>
      </c>
      <c r="S140">
        <f>HYPERLINK("https://klasma.github.io/Logging_2161/artfynd/A 22063-2024 artfynd.xlsx", "A 22063-2024")</f>
        <v/>
      </c>
      <c r="T140">
        <f>HYPERLINK("https://klasma.github.io/Logging_2161/kartor/A 22063-2024 karta.png", "A 22063-2024")</f>
        <v/>
      </c>
      <c r="V140">
        <f>HYPERLINK("https://klasma.github.io/Logging_2161/klagomål/A 22063-2024 FSC-klagomål.docx", "A 22063-2024")</f>
        <v/>
      </c>
      <c r="W140">
        <f>HYPERLINK("https://klasma.github.io/Logging_2161/klagomålsmail/A 22063-2024 FSC-klagomål mail.docx", "A 22063-2024")</f>
        <v/>
      </c>
      <c r="X140">
        <f>HYPERLINK("https://klasma.github.io/Logging_2161/tillsyn/A 22063-2024 tillsynsbegäran.docx", "A 22063-2024")</f>
        <v/>
      </c>
      <c r="Y140">
        <f>HYPERLINK("https://klasma.github.io/Logging_2161/tillsynsmail/A 22063-2024 tillsynsbegäran mail.docx", "A 22063-2024")</f>
        <v/>
      </c>
    </row>
    <row r="141" ht="15" customHeight="1">
      <c r="A141" t="inlineStr">
        <is>
          <t>A 22470-2024</t>
        </is>
      </c>
      <c r="B141" s="1" t="n">
        <v>45446</v>
      </c>
      <c r="C141" s="1" t="n">
        <v>45650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22470-2024 artfynd.xlsx", "A 22470-2024")</f>
        <v/>
      </c>
      <c r="T141">
        <f>HYPERLINK("https://klasma.github.io/Logging_2161/kartor/A 22470-2024 karta.png", "A 22470-2024")</f>
        <v/>
      </c>
      <c r="U141">
        <f>HYPERLINK("https://klasma.github.io/Logging_2161/knärot/A 22470-2024 karta knärot.png", "A 22470-2024")</f>
        <v/>
      </c>
      <c r="V141">
        <f>HYPERLINK("https://klasma.github.io/Logging_2161/klagomål/A 22470-2024 FSC-klagomål.docx", "A 22470-2024")</f>
        <v/>
      </c>
      <c r="W141">
        <f>HYPERLINK("https://klasma.github.io/Logging_2161/klagomålsmail/A 22470-2024 FSC-klagomål mail.docx", "A 22470-2024")</f>
        <v/>
      </c>
      <c r="X141">
        <f>HYPERLINK("https://klasma.github.io/Logging_2161/tillsyn/A 22470-2024 tillsynsbegäran.docx", "A 22470-2024")</f>
        <v/>
      </c>
      <c r="Y141">
        <f>HYPERLINK("https://klasma.github.io/Logging_2161/tillsynsmail/A 22470-2024 tillsynsbegäran mail.docx", "A 22470-2024")</f>
        <v/>
      </c>
    </row>
    <row r="142" ht="15" customHeight="1">
      <c r="A142" t="inlineStr">
        <is>
          <t>A 22667-2024</t>
        </is>
      </c>
      <c r="B142" s="1" t="n">
        <v>45448</v>
      </c>
      <c r="C142" s="1" t="n">
        <v>45650</v>
      </c>
      <c r="D142" t="inlineStr">
        <is>
          <t>GÄVLEBORGS LÄN</t>
        </is>
      </c>
      <c r="E142" t="inlineStr">
        <is>
          <t>LJUSDAL</t>
        </is>
      </c>
      <c r="F142" t="inlineStr">
        <is>
          <t>SCA</t>
        </is>
      </c>
      <c r="G142" t="n">
        <v>5.3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Lopplummer</t>
        </is>
      </c>
      <c r="S142">
        <f>HYPERLINK("https://klasma.github.io/Logging_2161/artfynd/A 22667-2024 artfynd.xlsx", "A 22667-2024")</f>
        <v/>
      </c>
      <c r="T142">
        <f>HYPERLINK("https://klasma.github.io/Logging_2161/kartor/A 22667-2024 karta.png", "A 22667-2024")</f>
        <v/>
      </c>
      <c r="U142">
        <f>HYPERLINK("https://klasma.github.io/Logging_2161/knärot/A 22667-2024 karta knärot.png", "A 22667-2024")</f>
        <v/>
      </c>
      <c r="V142">
        <f>HYPERLINK("https://klasma.github.io/Logging_2161/klagomål/A 22667-2024 FSC-klagomål.docx", "A 22667-2024")</f>
        <v/>
      </c>
      <c r="W142">
        <f>HYPERLINK("https://klasma.github.io/Logging_2161/klagomålsmail/A 22667-2024 FSC-klagomål mail.docx", "A 22667-2024")</f>
        <v/>
      </c>
      <c r="X142">
        <f>HYPERLINK("https://klasma.github.io/Logging_2161/tillsyn/A 22667-2024 tillsynsbegäran.docx", "A 22667-2024")</f>
        <v/>
      </c>
      <c r="Y142">
        <f>HYPERLINK("https://klasma.github.io/Logging_2161/tillsynsmail/A 22667-2024 tillsynsbegäran mail.docx", "A 22667-2024")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45650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45650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45650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45650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45650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45650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45650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45650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45650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45650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45650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45650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45650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45650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45650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45650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45650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45650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45650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45650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45650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45650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45650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45650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45650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45650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45650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45650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45650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45650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45650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45650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45650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45650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45650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45650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45650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45650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45650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45650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45650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45650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45650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27508-2022</t>
        </is>
      </c>
      <c r="B186" s="1" t="n">
        <v>44742</v>
      </c>
      <c r="C186" s="1" t="n">
        <v>45650</v>
      </c>
      <c r="D186" t="inlineStr">
        <is>
          <t>GÄVLEBORGS LÄN</t>
        </is>
      </c>
      <c r="E186" t="inlineStr">
        <is>
          <t>LJUSDAL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27508-2022 artfynd.xlsx", "A 27508-2022")</f>
        <v/>
      </c>
      <c r="T186">
        <f>HYPERLINK("https://klasma.github.io/Logging_2161/kartor/A 27508-2022 karta.png", "A 27508-2022")</f>
        <v/>
      </c>
      <c r="V186">
        <f>HYPERLINK("https://klasma.github.io/Logging_2161/klagomål/A 27508-2022 FSC-klagomål.docx", "A 27508-2022")</f>
        <v/>
      </c>
      <c r="W186">
        <f>HYPERLINK("https://klasma.github.io/Logging_2161/klagomålsmail/A 27508-2022 FSC-klagomål mail.docx", "A 27508-2022")</f>
        <v/>
      </c>
      <c r="X186">
        <f>HYPERLINK("https://klasma.github.io/Logging_2161/tillsyn/A 27508-2022 tillsynsbegäran.docx", "A 27508-2022")</f>
        <v/>
      </c>
      <c r="Y186">
        <f>HYPERLINK("https://klasma.github.io/Logging_2161/tillsynsmail/A 27508-2022 tillsynsbegäran mail.docx", "A 27508-2022")</f>
        <v/>
      </c>
    </row>
    <row r="187" ht="15" customHeight="1">
      <c r="A187" t="inlineStr">
        <is>
          <t>A 27896-2022</t>
        </is>
      </c>
      <c r="B187" s="1" t="n">
        <v>44743</v>
      </c>
      <c r="C187" s="1" t="n">
        <v>45650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Stiftgelélav</t>
        </is>
      </c>
      <c r="S187">
        <f>HYPERLINK("https://klasma.github.io/Logging_2161/artfynd/A 27896-2022 artfynd.xlsx", "A 27896-2022")</f>
        <v/>
      </c>
      <c r="T187">
        <f>HYPERLINK("https://klasma.github.io/Logging_2161/kartor/A 27896-2022 karta.png", "A 27896-2022")</f>
        <v/>
      </c>
      <c r="V187">
        <f>HYPERLINK("https://klasma.github.io/Logging_2161/klagomål/A 27896-2022 FSC-klagomål.docx", "A 27896-2022")</f>
        <v/>
      </c>
      <c r="W187">
        <f>HYPERLINK("https://klasma.github.io/Logging_2161/klagomålsmail/A 27896-2022 FSC-klagomål mail.docx", "A 27896-2022")</f>
        <v/>
      </c>
      <c r="X187">
        <f>HYPERLINK("https://klasma.github.io/Logging_2161/tillsyn/A 27896-2022 tillsynsbegäran.docx", "A 27896-2022")</f>
        <v/>
      </c>
      <c r="Y187">
        <f>HYPERLINK("https://klasma.github.io/Logging_2161/tillsynsmail/A 27896-2022 tillsynsbegäran mail.docx", "A 27896-2022")</f>
        <v/>
      </c>
    </row>
    <row r="188" ht="15" customHeight="1">
      <c r="A188" t="inlineStr">
        <is>
          <t>A 32036-2022</t>
        </is>
      </c>
      <c r="B188" s="1" t="n">
        <v>44778</v>
      </c>
      <c r="C188" s="1" t="n">
        <v>45650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32036-2022 artfynd.xlsx", "A 32036-2022")</f>
        <v/>
      </c>
      <c r="T188">
        <f>HYPERLINK("https://klasma.github.io/Logging_2161/kartor/A 32036-2022 karta.png", "A 32036-2022")</f>
        <v/>
      </c>
      <c r="V188">
        <f>HYPERLINK("https://klasma.github.io/Logging_2161/klagomål/A 32036-2022 FSC-klagomål.docx", "A 32036-2022")</f>
        <v/>
      </c>
      <c r="W188">
        <f>HYPERLINK("https://klasma.github.io/Logging_2161/klagomålsmail/A 32036-2022 FSC-klagomål mail.docx", "A 32036-2022")</f>
        <v/>
      </c>
      <c r="X188">
        <f>HYPERLINK("https://klasma.github.io/Logging_2161/tillsyn/A 32036-2022 tillsynsbegäran.docx", "A 32036-2022")</f>
        <v/>
      </c>
      <c r="Y188">
        <f>HYPERLINK("https://klasma.github.io/Logging_2161/tillsynsmail/A 32036-2022 tillsynsbegäran mail.docx", "A 32036-2022")</f>
        <v/>
      </c>
    </row>
    <row r="189" ht="15" customHeight="1">
      <c r="A189" t="inlineStr">
        <is>
          <t>A 35582-2022</t>
        </is>
      </c>
      <c r="B189" s="1" t="n">
        <v>44799</v>
      </c>
      <c r="C189" s="1" t="n">
        <v>45650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35582-2022 artfynd.xlsx", "A 35582-2022")</f>
        <v/>
      </c>
      <c r="T189">
        <f>HYPERLINK("https://klasma.github.io/Logging_2161/kartor/A 35582-2022 karta.png", "A 35582-2022")</f>
        <v/>
      </c>
      <c r="V189">
        <f>HYPERLINK("https://klasma.github.io/Logging_2161/klagomål/A 35582-2022 FSC-klagomål.docx", "A 35582-2022")</f>
        <v/>
      </c>
      <c r="W189">
        <f>HYPERLINK("https://klasma.github.io/Logging_2161/klagomålsmail/A 35582-2022 FSC-klagomål mail.docx", "A 35582-2022")</f>
        <v/>
      </c>
      <c r="X189">
        <f>HYPERLINK("https://klasma.github.io/Logging_2161/tillsyn/A 35582-2022 tillsynsbegäran.docx", "A 35582-2022")</f>
        <v/>
      </c>
      <c r="Y189">
        <f>HYPERLINK("https://klasma.github.io/Logging_2161/tillsynsmail/A 35582-2022 tillsynsbegäran mail.docx", "A 35582-2022")</f>
        <v/>
      </c>
    </row>
    <row r="190" ht="15" customHeight="1">
      <c r="A190" t="inlineStr">
        <is>
          <t>A 42937-2022</t>
        </is>
      </c>
      <c r="B190" s="1" t="n">
        <v>44833</v>
      </c>
      <c r="C190" s="1" t="n">
        <v>45650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42937-2022 artfynd.xlsx", "A 42937-2022")</f>
        <v/>
      </c>
      <c r="T190">
        <f>HYPERLINK("https://klasma.github.io/Logging_2161/kartor/A 42937-2022 karta.png", "A 42937-2022")</f>
        <v/>
      </c>
      <c r="V190">
        <f>HYPERLINK("https://klasma.github.io/Logging_2161/klagomål/A 42937-2022 FSC-klagomål.docx", "A 42937-2022")</f>
        <v/>
      </c>
      <c r="W190">
        <f>HYPERLINK("https://klasma.github.io/Logging_2161/klagomålsmail/A 42937-2022 FSC-klagomål mail.docx", "A 42937-2022")</f>
        <v/>
      </c>
      <c r="X190">
        <f>HYPERLINK("https://klasma.github.io/Logging_2161/tillsyn/A 42937-2022 tillsynsbegäran.docx", "A 42937-2022")</f>
        <v/>
      </c>
      <c r="Y190">
        <f>HYPERLINK("https://klasma.github.io/Logging_2161/tillsynsmail/A 42937-2022 tillsynsbegäran mail.docx", "A 42937-2022")</f>
        <v/>
      </c>
    </row>
    <row r="191" ht="15" customHeight="1">
      <c r="A191" t="inlineStr">
        <is>
          <t>A 53487-2022</t>
        </is>
      </c>
      <c r="B191" s="1" t="n">
        <v>44879</v>
      </c>
      <c r="C191" s="1" t="n">
        <v>45650</v>
      </c>
      <c r="D191" t="inlineStr">
        <is>
          <t>GÄVLEBORGS LÄN</t>
        </is>
      </c>
      <c r="E191" t="inlineStr">
        <is>
          <t>LJUSDAL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HYPERLINK("https://klasma.github.io/Logging_2161/artfynd/A 53487-2022 artfynd.xlsx", "A 53487-2022")</f>
        <v/>
      </c>
      <c r="T191">
        <f>HYPERLINK("https://klasma.github.io/Logging_2161/kartor/A 53487-2022 karta.png", "A 53487-2022")</f>
        <v/>
      </c>
      <c r="V191">
        <f>HYPERLINK("https://klasma.github.io/Logging_2161/klagomål/A 53487-2022 FSC-klagomål.docx", "A 53487-2022")</f>
        <v/>
      </c>
      <c r="W191">
        <f>HYPERLINK("https://klasma.github.io/Logging_2161/klagomålsmail/A 53487-2022 FSC-klagomål mail.docx", "A 53487-2022")</f>
        <v/>
      </c>
      <c r="X191">
        <f>HYPERLINK("https://klasma.github.io/Logging_2161/tillsyn/A 53487-2022 tillsynsbegäran.docx", "A 53487-2022")</f>
        <v/>
      </c>
      <c r="Y191">
        <f>HYPERLINK("https://klasma.github.io/Logging_2161/tillsynsmail/A 53487-2022 tillsynsbegäran mail.docx", "A 53487-2022")</f>
        <v/>
      </c>
    </row>
    <row r="192" ht="15" customHeight="1">
      <c r="A192" t="inlineStr">
        <is>
          <t>A 53457-2022</t>
        </is>
      </c>
      <c r="B192" s="1" t="n">
        <v>44879</v>
      </c>
      <c r="C192" s="1" t="n">
        <v>45650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53457-2022 artfynd.xlsx", "A 53457-2022")</f>
        <v/>
      </c>
      <c r="T192">
        <f>HYPERLINK("https://klasma.github.io/Logging_2161/kartor/A 53457-2022 karta.png", "A 53457-2022")</f>
        <v/>
      </c>
      <c r="V192">
        <f>HYPERLINK("https://klasma.github.io/Logging_2161/klagomål/A 53457-2022 FSC-klagomål.docx", "A 53457-2022")</f>
        <v/>
      </c>
      <c r="W192">
        <f>HYPERLINK("https://klasma.github.io/Logging_2161/klagomålsmail/A 53457-2022 FSC-klagomål mail.docx", "A 53457-2022")</f>
        <v/>
      </c>
      <c r="X192">
        <f>HYPERLINK("https://klasma.github.io/Logging_2161/tillsyn/A 53457-2022 tillsynsbegäran.docx", "A 53457-2022")</f>
        <v/>
      </c>
      <c r="Y192">
        <f>HYPERLINK("https://klasma.github.io/Logging_2161/tillsynsmail/A 53457-2022 tillsynsbegäran mail.docx", "A 53457-2022")</f>
        <v/>
      </c>
    </row>
    <row r="193" ht="15" customHeight="1">
      <c r="A193" t="inlineStr">
        <is>
          <t>A 53926-2022</t>
        </is>
      </c>
      <c r="B193" s="1" t="n">
        <v>44880</v>
      </c>
      <c r="C193" s="1" t="n">
        <v>45650</v>
      </c>
      <c r="D193" t="inlineStr">
        <is>
          <t>GÄVLEBORGS LÄN</t>
        </is>
      </c>
      <c r="E193" t="inlineStr">
        <is>
          <t>LJUSDAL</t>
        </is>
      </c>
      <c r="F193" t="inlineStr">
        <is>
          <t>Naturvårdsverket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HYPERLINK("https://klasma.github.io/Logging_2161/artfynd/A 53926-2022 artfynd.xlsx", "A 53926-2022")</f>
        <v/>
      </c>
      <c r="T193">
        <f>HYPERLINK("https://klasma.github.io/Logging_2161/kartor/A 53926-2022 karta.png", "A 53926-2022")</f>
        <v/>
      </c>
      <c r="V193">
        <f>HYPERLINK("https://klasma.github.io/Logging_2161/klagomål/A 53926-2022 FSC-klagomål.docx", "A 53926-2022")</f>
        <v/>
      </c>
      <c r="W193">
        <f>HYPERLINK("https://klasma.github.io/Logging_2161/klagomålsmail/A 53926-2022 FSC-klagomål mail.docx", "A 53926-2022")</f>
        <v/>
      </c>
      <c r="X193">
        <f>HYPERLINK("https://klasma.github.io/Logging_2161/tillsyn/A 53926-2022 tillsynsbegäran.docx", "A 53926-2022")</f>
        <v/>
      </c>
      <c r="Y193">
        <f>HYPERLINK("https://klasma.github.io/Logging_2161/tillsynsmail/A 53926-2022 tillsynsbegäran mail.docx", "A 53926-2022")</f>
        <v/>
      </c>
      <c r="Z193">
        <f>HYPERLINK("https://klasma.github.io/Logging_2161/fåglar/A 53926-2022 prioriterade fågelarter.docx", "A 53926-2022")</f>
        <v/>
      </c>
    </row>
    <row r="194" ht="15" customHeight="1">
      <c r="A194" t="inlineStr">
        <is>
          <t>A 55216-2022</t>
        </is>
      </c>
      <c r="B194" s="1" t="n">
        <v>44886</v>
      </c>
      <c r="C194" s="1" t="n">
        <v>45650</v>
      </c>
      <c r="D194" t="inlineStr">
        <is>
          <t>GÄVLEBORGS LÄN</t>
        </is>
      </c>
      <c r="E194" t="inlineStr">
        <is>
          <t>LJUSDAL</t>
        </is>
      </c>
      <c r="F194" t="inlineStr">
        <is>
          <t>SCA</t>
        </is>
      </c>
      <c r="G194" t="n">
        <v>10.1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HYPERLINK("https://klasma.github.io/Logging_2161/artfynd/A 55216-2022 artfynd.xlsx", "A 55216-2022")</f>
        <v/>
      </c>
      <c r="T194">
        <f>HYPERLINK("https://klasma.github.io/Logging_2161/kartor/A 55216-2022 karta.png", "A 55216-2022")</f>
        <v/>
      </c>
      <c r="V194">
        <f>HYPERLINK("https://klasma.github.io/Logging_2161/klagomål/A 55216-2022 FSC-klagomål.docx", "A 55216-2022")</f>
        <v/>
      </c>
      <c r="W194">
        <f>HYPERLINK("https://klasma.github.io/Logging_2161/klagomålsmail/A 55216-2022 FSC-klagomål mail.docx", "A 55216-2022")</f>
        <v/>
      </c>
      <c r="X194">
        <f>HYPERLINK("https://klasma.github.io/Logging_2161/tillsyn/A 55216-2022 tillsynsbegäran.docx", "A 55216-2022")</f>
        <v/>
      </c>
      <c r="Y194">
        <f>HYPERLINK("https://klasma.github.io/Logging_2161/tillsynsmail/A 55216-2022 tillsynsbegäran mail.docx", "A 55216-2022")</f>
        <v/>
      </c>
      <c r="Z194">
        <f>HYPERLINK("https://klasma.github.io/Logging_2161/fåglar/A 55216-2022 prioriterade fågelarter.docx", "A 55216-2022")</f>
        <v/>
      </c>
    </row>
    <row r="195" ht="15" customHeight="1">
      <c r="A195" t="inlineStr">
        <is>
          <t>A 4696-2023</t>
        </is>
      </c>
      <c r="B195" s="1" t="n">
        <v>44957</v>
      </c>
      <c r="C195" s="1" t="n">
        <v>45650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4696-2023 artfynd.xlsx", "A 4696-2023")</f>
        <v/>
      </c>
      <c r="T195">
        <f>HYPERLINK("https://klasma.github.io/Logging_2161/kartor/A 4696-2023 karta.png", "A 4696-2023")</f>
        <v/>
      </c>
      <c r="V195">
        <f>HYPERLINK("https://klasma.github.io/Logging_2161/klagomål/A 4696-2023 FSC-klagomål.docx", "A 4696-2023")</f>
        <v/>
      </c>
      <c r="W195">
        <f>HYPERLINK("https://klasma.github.io/Logging_2161/klagomålsmail/A 4696-2023 FSC-klagomål mail.docx", "A 4696-2023")</f>
        <v/>
      </c>
      <c r="X195">
        <f>HYPERLINK("https://klasma.github.io/Logging_2161/tillsyn/A 4696-2023 tillsynsbegäran.docx", "A 4696-2023")</f>
        <v/>
      </c>
      <c r="Y195">
        <f>HYPERLINK("https://klasma.github.io/Logging_2161/tillsynsmail/A 4696-2023 tillsynsbegäran mail.docx", "A 4696-2023")</f>
        <v/>
      </c>
    </row>
    <row r="196" ht="15" customHeight="1">
      <c r="A196" t="inlineStr">
        <is>
          <t>A 7148-2023</t>
        </is>
      </c>
      <c r="B196" s="1" t="n">
        <v>44970</v>
      </c>
      <c r="C196" s="1" t="n">
        <v>45650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7148-2023 artfynd.xlsx", "A 7148-2023")</f>
        <v/>
      </c>
      <c r="T196">
        <f>HYPERLINK("https://klasma.github.io/Logging_2161/kartor/A 7148-2023 karta.png", "A 7148-2023")</f>
        <v/>
      </c>
      <c r="V196">
        <f>HYPERLINK("https://klasma.github.io/Logging_2161/klagomål/A 7148-2023 FSC-klagomål.docx", "A 7148-2023")</f>
        <v/>
      </c>
      <c r="W196">
        <f>HYPERLINK("https://klasma.github.io/Logging_2161/klagomålsmail/A 7148-2023 FSC-klagomål mail.docx", "A 7148-2023")</f>
        <v/>
      </c>
      <c r="X196">
        <f>HYPERLINK("https://klasma.github.io/Logging_2161/tillsyn/A 7148-2023 tillsynsbegäran.docx", "A 7148-2023")</f>
        <v/>
      </c>
      <c r="Y196">
        <f>HYPERLINK("https://klasma.github.io/Logging_2161/tillsynsmail/A 7148-2023 tillsynsbegäran mail.docx", "A 7148-2023")</f>
        <v/>
      </c>
    </row>
    <row r="197" ht="15" customHeight="1">
      <c r="A197" t="inlineStr">
        <is>
          <t>A 8078-2023</t>
        </is>
      </c>
      <c r="B197" s="1" t="n">
        <v>44974</v>
      </c>
      <c r="C197" s="1" t="n">
        <v>45650</v>
      </c>
      <c r="D197" t="inlineStr">
        <is>
          <t>GÄVLEBORGS LÄN</t>
        </is>
      </c>
      <c r="E197" t="inlineStr">
        <is>
          <t>LJUSDAL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Gräddporing</t>
        </is>
      </c>
      <c r="S197">
        <f>HYPERLINK("https://klasma.github.io/Logging_2161/artfynd/A 8078-2023 artfynd.xlsx", "A 8078-2023")</f>
        <v/>
      </c>
      <c r="T197">
        <f>HYPERLINK("https://klasma.github.io/Logging_2161/kartor/A 8078-2023 karta.png", "A 8078-2023")</f>
        <v/>
      </c>
      <c r="V197">
        <f>HYPERLINK("https://klasma.github.io/Logging_2161/klagomål/A 8078-2023 FSC-klagomål.docx", "A 8078-2023")</f>
        <v/>
      </c>
      <c r="W197">
        <f>HYPERLINK("https://klasma.github.io/Logging_2161/klagomålsmail/A 8078-2023 FSC-klagomål mail.docx", "A 8078-2023")</f>
        <v/>
      </c>
      <c r="X197">
        <f>HYPERLINK("https://klasma.github.io/Logging_2161/tillsyn/A 8078-2023 tillsynsbegäran.docx", "A 8078-2023")</f>
        <v/>
      </c>
      <c r="Y197">
        <f>HYPERLINK("https://klasma.github.io/Logging_2161/tillsynsmail/A 8078-2023 tillsynsbegäran mail.docx", "A 8078-2023")</f>
        <v/>
      </c>
    </row>
    <row r="198" ht="15" customHeight="1">
      <c r="A198" t="inlineStr">
        <is>
          <t>A 10646-2023</t>
        </is>
      </c>
      <c r="B198" s="1" t="n">
        <v>44988</v>
      </c>
      <c r="C198" s="1" t="n">
        <v>45650</v>
      </c>
      <c r="D198" t="inlineStr">
        <is>
          <t>GÄVLEBORGS LÄN</t>
        </is>
      </c>
      <c r="E198" t="inlineStr">
        <is>
          <t>LJUSDAL</t>
        </is>
      </c>
      <c r="G198" t="n">
        <v>3.5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10646-2023 artfynd.xlsx", "A 10646-2023")</f>
        <v/>
      </c>
      <c r="T198">
        <f>HYPERLINK("https://klasma.github.io/Logging_2161/kartor/A 10646-2023 karta.png", "A 10646-2023")</f>
        <v/>
      </c>
      <c r="V198">
        <f>HYPERLINK("https://klasma.github.io/Logging_2161/klagomål/A 10646-2023 FSC-klagomål.docx", "A 10646-2023")</f>
        <v/>
      </c>
      <c r="W198">
        <f>HYPERLINK("https://klasma.github.io/Logging_2161/klagomålsmail/A 10646-2023 FSC-klagomål mail.docx", "A 10646-2023")</f>
        <v/>
      </c>
      <c r="X198">
        <f>HYPERLINK("https://klasma.github.io/Logging_2161/tillsyn/A 10646-2023 tillsynsbegäran.docx", "A 10646-2023")</f>
        <v/>
      </c>
      <c r="Y198">
        <f>HYPERLINK("https://klasma.github.io/Logging_2161/tillsynsmail/A 10646-2023 tillsynsbegäran mail.docx", "A 10646-2023")</f>
        <v/>
      </c>
    </row>
    <row r="199" ht="15" customHeight="1">
      <c r="A199" t="inlineStr">
        <is>
          <t>A 22973-2023</t>
        </is>
      </c>
      <c r="B199" s="1" t="n">
        <v>45072</v>
      </c>
      <c r="C199" s="1" t="n">
        <v>45650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22973-2023 artfynd.xlsx", "A 22973-2023")</f>
        <v/>
      </c>
      <c r="T199">
        <f>HYPERLINK("https://klasma.github.io/Logging_2161/kartor/A 22973-2023 karta.png", "A 22973-2023")</f>
        <v/>
      </c>
      <c r="V199">
        <f>HYPERLINK("https://klasma.github.io/Logging_2161/klagomål/A 22973-2023 FSC-klagomål.docx", "A 22973-2023")</f>
        <v/>
      </c>
      <c r="W199">
        <f>HYPERLINK("https://klasma.github.io/Logging_2161/klagomålsmail/A 22973-2023 FSC-klagomål mail.docx", "A 22973-2023")</f>
        <v/>
      </c>
      <c r="X199">
        <f>HYPERLINK("https://klasma.github.io/Logging_2161/tillsyn/A 22973-2023 tillsynsbegäran.docx", "A 22973-2023")</f>
        <v/>
      </c>
      <c r="Y199">
        <f>HYPERLINK("https://klasma.github.io/Logging_2161/tillsynsmail/A 22973-2023 tillsynsbegäran mail.docx", "A 22973-2023")</f>
        <v/>
      </c>
    </row>
    <row r="200" ht="15" customHeight="1">
      <c r="A200" t="inlineStr">
        <is>
          <t>A 23560-2023</t>
        </is>
      </c>
      <c r="B200" s="1" t="n">
        <v>45077</v>
      </c>
      <c r="C200" s="1" t="n">
        <v>45650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21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23560-2023 artfynd.xlsx", "A 23560-2023")</f>
        <v/>
      </c>
      <c r="T200">
        <f>HYPERLINK("https://klasma.github.io/Logging_2161/kartor/A 23560-2023 karta.png", "A 23560-2023")</f>
        <v/>
      </c>
      <c r="V200">
        <f>HYPERLINK("https://klasma.github.io/Logging_2161/klagomål/A 23560-2023 FSC-klagomål.docx", "A 23560-2023")</f>
        <v/>
      </c>
      <c r="W200">
        <f>HYPERLINK("https://klasma.github.io/Logging_2161/klagomålsmail/A 23560-2023 FSC-klagomål mail.docx", "A 23560-2023")</f>
        <v/>
      </c>
      <c r="X200">
        <f>HYPERLINK("https://klasma.github.io/Logging_2161/tillsyn/A 23560-2023 tillsynsbegäran.docx", "A 23560-2023")</f>
        <v/>
      </c>
      <c r="Y200">
        <f>HYPERLINK("https://klasma.github.io/Logging_2161/tillsynsmail/A 23560-2023 tillsynsbegäran mail.docx", "A 23560-2023")</f>
        <v/>
      </c>
    </row>
    <row r="201" ht="15" customHeight="1">
      <c r="A201" t="inlineStr">
        <is>
          <t>A 25114-2023</t>
        </is>
      </c>
      <c r="B201" s="1" t="n">
        <v>45086</v>
      </c>
      <c r="C201" s="1" t="n">
        <v>45650</v>
      </c>
      <c r="D201" t="inlineStr">
        <is>
          <t>GÄVLEBORGS LÄN</t>
        </is>
      </c>
      <c r="E201" t="inlineStr">
        <is>
          <t>LJUSDAL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HYPERLINK("https://klasma.github.io/Logging_2161/artfynd/A 25114-2023 artfynd.xlsx", "A 25114-2023")</f>
        <v/>
      </c>
      <c r="T201">
        <f>HYPERLINK("https://klasma.github.io/Logging_2161/kartor/A 25114-2023 karta.png", "A 25114-2023")</f>
        <v/>
      </c>
      <c r="U201">
        <f>HYPERLINK("https://klasma.github.io/Logging_2161/knärot/A 25114-2023 karta knärot.png", "A 25114-2023")</f>
        <v/>
      </c>
      <c r="V201">
        <f>HYPERLINK("https://klasma.github.io/Logging_2161/klagomål/A 25114-2023 FSC-klagomål.docx", "A 25114-2023")</f>
        <v/>
      </c>
      <c r="W201">
        <f>HYPERLINK("https://klasma.github.io/Logging_2161/klagomålsmail/A 25114-2023 FSC-klagomål mail.docx", "A 25114-2023")</f>
        <v/>
      </c>
      <c r="X201">
        <f>HYPERLINK("https://klasma.github.io/Logging_2161/tillsyn/A 25114-2023 tillsynsbegäran.docx", "A 25114-2023")</f>
        <v/>
      </c>
      <c r="Y201">
        <f>HYPERLINK("https://klasma.github.io/Logging_2161/tillsynsmail/A 25114-2023 tillsynsbegäran mail.docx", "A 25114-2023")</f>
        <v/>
      </c>
    </row>
    <row r="202" ht="15" customHeight="1">
      <c r="A202" t="inlineStr">
        <is>
          <t>A 26003-2023</t>
        </is>
      </c>
      <c r="B202" s="1" t="n">
        <v>45090</v>
      </c>
      <c r="C202" s="1" t="n">
        <v>45650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19.8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26003-2023 artfynd.xlsx", "A 26003-2023")</f>
        <v/>
      </c>
      <c r="T202">
        <f>HYPERLINK("https://klasma.github.io/Logging_2161/kartor/A 26003-2023 karta.png", "A 26003-2023")</f>
        <v/>
      </c>
      <c r="V202">
        <f>HYPERLINK("https://klasma.github.io/Logging_2161/klagomål/A 26003-2023 FSC-klagomål.docx", "A 26003-2023")</f>
        <v/>
      </c>
      <c r="W202">
        <f>HYPERLINK("https://klasma.github.io/Logging_2161/klagomålsmail/A 26003-2023 FSC-klagomål mail.docx", "A 26003-2023")</f>
        <v/>
      </c>
      <c r="X202">
        <f>HYPERLINK("https://klasma.github.io/Logging_2161/tillsyn/A 26003-2023 tillsynsbegäran.docx", "A 26003-2023")</f>
        <v/>
      </c>
      <c r="Y202">
        <f>HYPERLINK("https://klasma.github.io/Logging_2161/tillsynsmail/A 26003-2023 tillsynsbegäran mail.docx", "A 26003-2023")</f>
        <v/>
      </c>
    </row>
    <row r="203" ht="15" customHeight="1">
      <c r="A203" t="inlineStr">
        <is>
          <t>A 26526-2023</t>
        </is>
      </c>
      <c r="B203" s="1" t="n">
        <v>45092</v>
      </c>
      <c r="C203" s="1" t="n">
        <v>45650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26526-2023 artfynd.xlsx", "A 26526-2023")</f>
        <v/>
      </c>
      <c r="T203">
        <f>HYPERLINK("https://klasma.github.io/Logging_2161/kartor/A 26526-2023 karta.png", "A 26526-2023")</f>
        <v/>
      </c>
      <c r="V203">
        <f>HYPERLINK("https://klasma.github.io/Logging_2161/klagomål/A 26526-2023 FSC-klagomål.docx", "A 26526-2023")</f>
        <v/>
      </c>
      <c r="W203">
        <f>HYPERLINK("https://klasma.github.io/Logging_2161/klagomålsmail/A 26526-2023 FSC-klagomål mail.docx", "A 26526-2023")</f>
        <v/>
      </c>
      <c r="X203">
        <f>HYPERLINK("https://klasma.github.io/Logging_2161/tillsyn/A 26526-2023 tillsynsbegäran.docx", "A 26526-2023")</f>
        <v/>
      </c>
      <c r="Y203">
        <f>HYPERLINK("https://klasma.github.io/Logging_2161/tillsynsmail/A 26526-2023 tillsynsbegäran mail.docx", "A 26526-2023")</f>
        <v/>
      </c>
    </row>
    <row r="204" ht="15" customHeight="1">
      <c r="A204" t="inlineStr">
        <is>
          <t>A 26538-2023</t>
        </is>
      </c>
      <c r="B204" s="1" t="n">
        <v>45092</v>
      </c>
      <c r="C204" s="1" t="n">
        <v>45650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26538-2023 artfynd.xlsx", "A 26538-2023")</f>
        <v/>
      </c>
      <c r="T204">
        <f>HYPERLINK("https://klasma.github.io/Logging_2161/kartor/A 26538-2023 karta.png", "A 26538-2023")</f>
        <v/>
      </c>
      <c r="V204">
        <f>HYPERLINK("https://klasma.github.io/Logging_2161/klagomål/A 26538-2023 FSC-klagomål.docx", "A 26538-2023")</f>
        <v/>
      </c>
      <c r="W204">
        <f>HYPERLINK("https://klasma.github.io/Logging_2161/klagomålsmail/A 26538-2023 FSC-klagomål mail.docx", "A 26538-2023")</f>
        <v/>
      </c>
      <c r="X204">
        <f>HYPERLINK("https://klasma.github.io/Logging_2161/tillsyn/A 26538-2023 tillsynsbegäran.docx", "A 26538-2023")</f>
        <v/>
      </c>
      <c r="Y204">
        <f>HYPERLINK("https://klasma.github.io/Logging_2161/tillsynsmail/A 26538-2023 tillsynsbegäran mail.docx", "A 26538-2023")</f>
        <v/>
      </c>
    </row>
    <row r="205" ht="15" customHeight="1">
      <c r="A205" t="inlineStr">
        <is>
          <t>A 29464-2023</t>
        </is>
      </c>
      <c r="B205" s="1" t="n">
        <v>45106</v>
      </c>
      <c r="C205" s="1" t="n">
        <v>45650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HYPERLINK("https://klasma.github.io/Logging_2161/artfynd/A 29464-2023 artfynd.xlsx", "A 29464-2023")</f>
        <v/>
      </c>
      <c r="T205">
        <f>HYPERLINK("https://klasma.github.io/Logging_2161/kartor/A 29464-2023 karta.png", "A 29464-2023")</f>
        <v/>
      </c>
      <c r="V205">
        <f>HYPERLINK("https://klasma.github.io/Logging_2161/klagomål/A 29464-2023 FSC-klagomål.docx", "A 29464-2023")</f>
        <v/>
      </c>
      <c r="W205">
        <f>HYPERLINK("https://klasma.github.io/Logging_2161/klagomålsmail/A 29464-2023 FSC-klagomål mail.docx", "A 29464-2023")</f>
        <v/>
      </c>
      <c r="X205">
        <f>HYPERLINK("https://klasma.github.io/Logging_2161/tillsyn/A 29464-2023 tillsynsbegäran.docx", "A 29464-2023")</f>
        <v/>
      </c>
      <c r="Y205">
        <f>HYPERLINK("https://klasma.github.io/Logging_2161/tillsynsmail/A 29464-2023 tillsynsbegäran mail.docx", "A 29464-2023")</f>
        <v/>
      </c>
      <c r="Z205">
        <f>HYPERLINK("https://klasma.github.io/Logging_2161/fåglar/A 29464-2023 prioriterade fågelarter.docx", "A 29464-2023")</f>
        <v/>
      </c>
    </row>
    <row r="206" ht="15" customHeight="1">
      <c r="A206" t="inlineStr">
        <is>
          <t>A 29784-2023</t>
        </is>
      </c>
      <c r="B206" s="1" t="n">
        <v>45107</v>
      </c>
      <c r="C206" s="1" t="n">
        <v>45650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HYPERLINK("https://klasma.github.io/Logging_2161/artfynd/A 29784-2023 artfynd.xlsx", "A 29784-2023")</f>
        <v/>
      </c>
      <c r="T206">
        <f>HYPERLINK("https://klasma.github.io/Logging_2161/kartor/A 29784-2023 karta.png", "A 29784-2023")</f>
        <v/>
      </c>
      <c r="V206">
        <f>HYPERLINK("https://klasma.github.io/Logging_2161/klagomål/A 29784-2023 FSC-klagomål.docx", "A 29784-2023")</f>
        <v/>
      </c>
      <c r="W206">
        <f>HYPERLINK("https://klasma.github.io/Logging_2161/klagomålsmail/A 29784-2023 FSC-klagomål mail.docx", "A 29784-2023")</f>
        <v/>
      </c>
      <c r="X206">
        <f>HYPERLINK("https://klasma.github.io/Logging_2161/tillsyn/A 29784-2023 tillsynsbegäran.docx", "A 29784-2023")</f>
        <v/>
      </c>
      <c r="Y206">
        <f>HYPERLINK("https://klasma.github.io/Logging_2161/tillsynsmail/A 29784-2023 tillsynsbegäran mail.docx", "A 29784-2023")</f>
        <v/>
      </c>
    </row>
    <row r="207" ht="15" customHeight="1">
      <c r="A207" t="inlineStr">
        <is>
          <t>A 32171-2023</t>
        </is>
      </c>
      <c r="B207" s="1" t="n">
        <v>45107</v>
      </c>
      <c r="C207" s="1" t="n">
        <v>45650</v>
      </c>
      <c r="D207" t="inlineStr">
        <is>
          <t>GÄVLEBORGS LÄN</t>
        </is>
      </c>
      <c r="E207" t="inlineStr">
        <is>
          <t>LJUSDAL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HYPERLINK("https://klasma.github.io/Logging_2161/artfynd/A 32171-2023 artfynd.xlsx", "A 32171-2023")</f>
        <v/>
      </c>
      <c r="T207">
        <f>HYPERLINK("https://klasma.github.io/Logging_2161/kartor/A 32171-2023 karta.png", "A 32171-2023")</f>
        <v/>
      </c>
      <c r="V207">
        <f>HYPERLINK("https://klasma.github.io/Logging_2161/klagomål/A 32171-2023 FSC-klagomål.docx", "A 32171-2023")</f>
        <v/>
      </c>
      <c r="W207">
        <f>HYPERLINK("https://klasma.github.io/Logging_2161/klagomålsmail/A 32171-2023 FSC-klagomål mail.docx", "A 32171-2023")</f>
        <v/>
      </c>
      <c r="X207">
        <f>HYPERLINK("https://klasma.github.io/Logging_2161/tillsyn/A 32171-2023 tillsynsbegäran.docx", "A 32171-2023")</f>
        <v/>
      </c>
      <c r="Y207">
        <f>HYPERLINK("https://klasma.github.io/Logging_2161/tillsynsmail/A 32171-2023 tillsynsbegäran mail.docx", "A 32171-2023")</f>
        <v/>
      </c>
      <c r="Z207">
        <f>HYPERLINK("https://klasma.github.io/Logging_2161/fåglar/A 32171-2023 prioriterade fågelarter.docx", "A 32171-2023")</f>
        <v/>
      </c>
    </row>
    <row r="208" ht="15" customHeight="1">
      <c r="A208" t="inlineStr">
        <is>
          <t>A 30245-2023</t>
        </is>
      </c>
      <c r="B208" s="1" t="n">
        <v>45110</v>
      </c>
      <c r="C208" s="1" t="n">
        <v>45650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30245-2023 artfynd.xlsx", "A 30245-2023")</f>
        <v/>
      </c>
      <c r="T208">
        <f>HYPERLINK("https://klasma.github.io/Logging_2161/kartor/A 30245-2023 karta.png", "A 30245-2023")</f>
        <v/>
      </c>
      <c r="V208">
        <f>HYPERLINK("https://klasma.github.io/Logging_2161/klagomål/A 30245-2023 FSC-klagomål.docx", "A 30245-2023")</f>
        <v/>
      </c>
      <c r="W208">
        <f>HYPERLINK("https://klasma.github.io/Logging_2161/klagomålsmail/A 30245-2023 FSC-klagomål mail.docx", "A 30245-2023")</f>
        <v/>
      </c>
      <c r="X208">
        <f>HYPERLINK("https://klasma.github.io/Logging_2161/tillsyn/A 30245-2023 tillsynsbegäran.docx", "A 30245-2023")</f>
        <v/>
      </c>
      <c r="Y208">
        <f>HYPERLINK("https://klasma.github.io/Logging_2161/tillsynsmail/A 30245-2023 tillsynsbegäran mail.docx", "A 30245-2023")</f>
        <v/>
      </c>
    </row>
    <row r="209" ht="15" customHeight="1">
      <c r="A209" t="inlineStr">
        <is>
          <t>A 30610-2023</t>
        </is>
      </c>
      <c r="B209" s="1" t="n">
        <v>45112</v>
      </c>
      <c r="C209" s="1" t="n">
        <v>45650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30610-2023 artfynd.xlsx", "A 30610-2023")</f>
        <v/>
      </c>
      <c r="T209">
        <f>HYPERLINK("https://klasma.github.io/Logging_2161/kartor/A 30610-2023 karta.png", "A 30610-2023")</f>
        <v/>
      </c>
      <c r="U209">
        <f>HYPERLINK("https://klasma.github.io/Logging_2161/knärot/A 30610-2023 karta knärot.png", "A 30610-2023")</f>
        <v/>
      </c>
      <c r="V209">
        <f>HYPERLINK("https://klasma.github.io/Logging_2161/klagomål/A 30610-2023 FSC-klagomål.docx", "A 30610-2023")</f>
        <v/>
      </c>
      <c r="W209">
        <f>HYPERLINK("https://klasma.github.io/Logging_2161/klagomålsmail/A 30610-2023 FSC-klagomål mail.docx", "A 30610-2023")</f>
        <v/>
      </c>
      <c r="X209">
        <f>HYPERLINK("https://klasma.github.io/Logging_2161/tillsyn/A 30610-2023 tillsynsbegäran.docx", "A 30610-2023")</f>
        <v/>
      </c>
      <c r="Y209">
        <f>HYPERLINK("https://klasma.github.io/Logging_2161/tillsynsmail/A 30610-2023 tillsynsbegäran mail.docx", "A 30610-2023")</f>
        <v/>
      </c>
    </row>
    <row r="210" ht="15" customHeight="1">
      <c r="A210" t="inlineStr">
        <is>
          <t>A 31125-2023</t>
        </is>
      </c>
      <c r="B210" s="1" t="n">
        <v>45113</v>
      </c>
      <c r="C210" s="1" t="n">
        <v>45650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HYPERLINK("https://klasma.github.io/Logging_2161/artfynd/A 31125-2023 artfynd.xlsx", "A 31125-2023")</f>
        <v/>
      </c>
      <c r="T210">
        <f>HYPERLINK("https://klasma.github.io/Logging_2161/kartor/A 31125-2023 karta.png", "A 31125-2023")</f>
        <v/>
      </c>
      <c r="V210">
        <f>HYPERLINK("https://klasma.github.io/Logging_2161/klagomål/A 31125-2023 FSC-klagomål.docx", "A 31125-2023")</f>
        <v/>
      </c>
      <c r="W210">
        <f>HYPERLINK("https://klasma.github.io/Logging_2161/klagomålsmail/A 31125-2023 FSC-klagomål mail.docx", "A 31125-2023")</f>
        <v/>
      </c>
      <c r="X210">
        <f>HYPERLINK("https://klasma.github.io/Logging_2161/tillsyn/A 31125-2023 tillsynsbegäran.docx", "A 31125-2023")</f>
        <v/>
      </c>
      <c r="Y210">
        <f>HYPERLINK("https://klasma.github.io/Logging_2161/tillsynsmail/A 31125-2023 tillsynsbegäran mail.docx", "A 31125-2023")</f>
        <v/>
      </c>
    </row>
    <row r="211" ht="15" customHeight="1">
      <c r="A211" t="inlineStr">
        <is>
          <t>A 31127-2023</t>
        </is>
      </c>
      <c r="B211" s="1" t="n">
        <v>45113</v>
      </c>
      <c r="C211" s="1" t="n">
        <v>45650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HYPERLINK("https://klasma.github.io/Logging_2161/artfynd/A 31127-2023 artfynd.xlsx", "A 31127-2023")</f>
        <v/>
      </c>
      <c r="T211">
        <f>HYPERLINK("https://klasma.github.io/Logging_2161/kartor/A 31127-2023 karta.png", "A 31127-2023")</f>
        <v/>
      </c>
      <c r="V211">
        <f>HYPERLINK("https://klasma.github.io/Logging_2161/klagomål/A 31127-2023 FSC-klagomål.docx", "A 31127-2023")</f>
        <v/>
      </c>
      <c r="W211">
        <f>HYPERLINK("https://klasma.github.io/Logging_2161/klagomålsmail/A 31127-2023 FSC-klagomål mail.docx", "A 31127-2023")</f>
        <v/>
      </c>
      <c r="X211">
        <f>HYPERLINK("https://klasma.github.io/Logging_2161/tillsyn/A 31127-2023 tillsynsbegäran.docx", "A 31127-2023")</f>
        <v/>
      </c>
      <c r="Y211">
        <f>HYPERLINK("https://klasma.github.io/Logging_2161/tillsynsmail/A 31127-2023 tillsynsbegäran mail.docx", "A 31127-2023")</f>
        <v/>
      </c>
    </row>
    <row r="212" ht="15" customHeight="1">
      <c r="A212" t="inlineStr">
        <is>
          <t>A 32499-2023</t>
        </is>
      </c>
      <c r="B212" s="1" t="n">
        <v>45121</v>
      </c>
      <c r="C212" s="1" t="n">
        <v>45650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32499-2023 artfynd.xlsx", "A 32499-2023")</f>
        <v/>
      </c>
      <c r="T212">
        <f>HYPERLINK("https://klasma.github.io/Logging_2161/kartor/A 32499-2023 karta.png", "A 32499-2023")</f>
        <v/>
      </c>
      <c r="U212">
        <f>HYPERLINK("https://klasma.github.io/Logging_2161/knärot/A 32499-2023 karta knärot.png", "A 32499-2023")</f>
        <v/>
      </c>
      <c r="V212">
        <f>HYPERLINK("https://klasma.github.io/Logging_2161/klagomål/A 32499-2023 FSC-klagomål.docx", "A 32499-2023")</f>
        <v/>
      </c>
      <c r="W212">
        <f>HYPERLINK("https://klasma.github.io/Logging_2161/klagomålsmail/A 32499-2023 FSC-klagomål mail.docx", "A 32499-2023")</f>
        <v/>
      </c>
      <c r="X212">
        <f>HYPERLINK("https://klasma.github.io/Logging_2161/tillsyn/A 32499-2023 tillsynsbegäran.docx", "A 32499-2023")</f>
        <v/>
      </c>
      <c r="Y212">
        <f>HYPERLINK("https://klasma.github.io/Logging_2161/tillsynsmail/A 32499-2023 tillsynsbegäran mail.docx", "A 32499-2023")</f>
        <v/>
      </c>
    </row>
    <row r="213" ht="15" customHeight="1">
      <c r="A213" t="inlineStr">
        <is>
          <t>A 32497-2023</t>
        </is>
      </c>
      <c r="B213" s="1" t="n">
        <v>45121</v>
      </c>
      <c r="C213" s="1" t="n">
        <v>45650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32497-2023 artfynd.xlsx", "A 32497-2023")</f>
        <v/>
      </c>
      <c r="T213">
        <f>HYPERLINK("https://klasma.github.io/Logging_2161/kartor/A 32497-2023 karta.png", "A 32497-2023")</f>
        <v/>
      </c>
      <c r="U213">
        <f>HYPERLINK("https://klasma.github.io/Logging_2161/knärot/A 32497-2023 karta knärot.png", "A 32497-2023")</f>
        <v/>
      </c>
      <c r="V213">
        <f>HYPERLINK("https://klasma.github.io/Logging_2161/klagomål/A 32497-2023 FSC-klagomål.docx", "A 32497-2023")</f>
        <v/>
      </c>
      <c r="W213">
        <f>HYPERLINK("https://klasma.github.io/Logging_2161/klagomålsmail/A 32497-2023 FSC-klagomål mail.docx", "A 32497-2023")</f>
        <v/>
      </c>
      <c r="X213">
        <f>HYPERLINK("https://klasma.github.io/Logging_2161/tillsyn/A 32497-2023 tillsynsbegäran.docx", "A 32497-2023")</f>
        <v/>
      </c>
      <c r="Y213">
        <f>HYPERLINK("https://klasma.github.io/Logging_2161/tillsynsmail/A 32497-2023 tillsynsbegäran mail.docx", "A 32497-2023")</f>
        <v/>
      </c>
    </row>
    <row r="214" ht="15" customHeight="1">
      <c r="A214" t="inlineStr">
        <is>
          <t>A 35086-2023</t>
        </is>
      </c>
      <c r="B214" s="1" t="n">
        <v>45145</v>
      </c>
      <c r="C214" s="1" t="n">
        <v>45650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35086-2023 artfynd.xlsx", "A 35086-2023")</f>
        <v/>
      </c>
      <c r="T214">
        <f>HYPERLINK("https://klasma.github.io/Logging_2161/kartor/A 35086-2023 karta.png", "A 35086-2023")</f>
        <v/>
      </c>
      <c r="V214">
        <f>HYPERLINK("https://klasma.github.io/Logging_2161/klagomål/A 35086-2023 FSC-klagomål.docx", "A 35086-2023")</f>
        <v/>
      </c>
      <c r="W214">
        <f>HYPERLINK("https://klasma.github.io/Logging_2161/klagomålsmail/A 35086-2023 FSC-klagomål mail.docx", "A 35086-2023")</f>
        <v/>
      </c>
      <c r="X214">
        <f>HYPERLINK("https://klasma.github.io/Logging_2161/tillsyn/A 35086-2023 tillsynsbegäran.docx", "A 35086-2023")</f>
        <v/>
      </c>
      <c r="Y214">
        <f>HYPERLINK("https://klasma.github.io/Logging_2161/tillsynsmail/A 35086-2023 tillsynsbegäran mail.docx", "A 35086-2023")</f>
        <v/>
      </c>
    </row>
    <row r="215" ht="15" customHeight="1">
      <c r="A215" t="inlineStr">
        <is>
          <t>A 35080-2023</t>
        </is>
      </c>
      <c r="B215" s="1" t="n">
        <v>45145</v>
      </c>
      <c r="C215" s="1" t="n">
        <v>45650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Vedflamlav</t>
        </is>
      </c>
      <c r="S215">
        <f>HYPERLINK("https://klasma.github.io/Logging_2161/artfynd/A 35080-2023 artfynd.xlsx", "A 35080-2023")</f>
        <v/>
      </c>
      <c r="T215">
        <f>HYPERLINK("https://klasma.github.io/Logging_2161/kartor/A 35080-2023 karta.png", "A 35080-2023")</f>
        <v/>
      </c>
      <c r="V215">
        <f>HYPERLINK("https://klasma.github.io/Logging_2161/klagomål/A 35080-2023 FSC-klagomål.docx", "A 35080-2023")</f>
        <v/>
      </c>
      <c r="W215">
        <f>HYPERLINK("https://klasma.github.io/Logging_2161/klagomålsmail/A 35080-2023 FSC-klagomål mail.docx", "A 35080-2023")</f>
        <v/>
      </c>
      <c r="X215">
        <f>HYPERLINK("https://klasma.github.io/Logging_2161/tillsyn/A 35080-2023 tillsynsbegäran.docx", "A 35080-2023")</f>
        <v/>
      </c>
      <c r="Y215">
        <f>HYPERLINK("https://klasma.github.io/Logging_2161/tillsynsmail/A 35080-2023 tillsynsbegäran mail.docx", "A 35080-2023")</f>
        <v/>
      </c>
    </row>
    <row r="216" ht="15" customHeight="1">
      <c r="A216" t="inlineStr">
        <is>
          <t>A 36101-2023</t>
        </is>
      </c>
      <c r="B216" s="1" t="n">
        <v>45149</v>
      </c>
      <c r="C216" s="1" t="n">
        <v>45650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36101-2023 artfynd.xlsx", "A 36101-2023")</f>
        <v/>
      </c>
      <c r="T216">
        <f>HYPERLINK("https://klasma.github.io/Logging_2161/kartor/A 36101-2023 karta.png", "A 36101-2023")</f>
        <v/>
      </c>
      <c r="V216">
        <f>HYPERLINK("https://klasma.github.io/Logging_2161/klagomål/A 36101-2023 FSC-klagomål.docx", "A 36101-2023")</f>
        <v/>
      </c>
      <c r="W216">
        <f>HYPERLINK("https://klasma.github.io/Logging_2161/klagomålsmail/A 36101-2023 FSC-klagomål mail.docx", "A 36101-2023")</f>
        <v/>
      </c>
      <c r="X216">
        <f>HYPERLINK("https://klasma.github.io/Logging_2161/tillsyn/A 36101-2023 tillsynsbegäran.docx", "A 36101-2023")</f>
        <v/>
      </c>
      <c r="Y216">
        <f>HYPERLINK("https://klasma.github.io/Logging_2161/tillsynsmail/A 36101-2023 tillsynsbegäran mail.docx", "A 36101-2023")</f>
        <v/>
      </c>
    </row>
    <row r="217" ht="15" customHeight="1">
      <c r="A217" t="inlineStr">
        <is>
          <t>A 36184-2023</t>
        </is>
      </c>
      <c r="B217" s="1" t="n">
        <v>45149</v>
      </c>
      <c r="C217" s="1" t="n">
        <v>45650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36184-2023 artfynd.xlsx", "A 36184-2023")</f>
        <v/>
      </c>
      <c r="T217">
        <f>HYPERLINK("https://klasma.github.io/Logging_2161/kartor/A 36184-2023 karta.png", "A 36184-2023")</f>
        <v/>
      </c>
      <c r="V217">
        <f>HYPERLINK("https://klasma.github.io/Logging_2161/klagomål/A 36184-2023 FSC-klagomål.docx", "A 36184-2023")</f>
        <v/>
      </c>
      <c r="W217">
        <f>HYPERLINK("https://klasma.github.io/Logging_2161/klagomålsmail/A 36184-2023 FSC-klagomål mail.docx", "A 36184-2023")</f>
        <v/>
      </c>
      <c r="X217">
        <f>HYPERLINK("https://klasma.github.io/Logging_2161/tillsyn/A 36184-2023 tillsynsbegäran.docx", "A 36184-2023")</f>
        <v/>
      </c>
      <c r="Y217">
        <f>HYPERLINK("https://klasma.github.io/Logging_2161/tillsynsmail/A 36184-2023 tillsynsbegäran mail.docx", "A 36184-2023")</f>
        <v/>
      </c>
    </row>
    <row r="218" ht="15" customHeight="1">
      <c r="A218" t="inlineStr">
        <is>
          <t>A 37610-2023</t>
        </is>
      </c>
      <c r="B218" s="1" t="n">
        <v>45159</v>
      </c>
      <c r="C218" s="1" t="n">
        <v>45650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37610-2023 artfynd.xlsx", "A 37610-2023")</f>
        <v/>
      </c>
      <c r="T218">
        <f>HYPERLINK("https://klasma.github.io/Logging_2161/kartor/A 37610-2023 karta.png", "A 37610-2023")</f>
        <v/>
      </c>
      <c r="V218">
        <f>HYPERLINK("https://klasma.github.io/Logging_2161/klagomål/A 37610-2023 FSC-klagomål.docx", "A 37610-2023")</f>
        <v/>
      </c>
      <c r="W218">
        <f>HYPERLINK("https://klasma.github.io/Logging_2161/klagomålsmail/A 37610-2023 FSC-klagomål mail.docx", "A 37610-2023")</f>
        <v/>
      </c>
      <c r="X218">
        <f>HYPERLINK("https://klasma.github.io/Logging_2161/tillsyn/A 37610-2023 tillsynsbegäran.docx", "A 37610-2023")</f>
        <v/>
      </c>
      <c r="Y218">
        <f>HYPERLINK("https://klasma.github.io/Logging_2161/tillsynsmail/A 37610-2023 tillsynsbegäran mail.docx", "A 37610-2023")</f>
        <v/>
      </c>
    </row>
    <row r="219" ht="15" customHeight="1">
      <c r="A219" t="inlineStr">
        <is>
          <t>A 37660-2023</t>
        </is>
      </c>
      <c r="B219" s="1" t="n">
        <v>45159</v>
      </c>
      <c r="C219" s="1" t="n">
        <v>45650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37660-2023 artfynd.xlsx", "A 37660-2023")</f>
        <v/>
      </c>
      <c r="T219">
        <f>HYPERLINK("https://klasma.github.io/Logging_2161/kartor/A 37660-2023 karta.png", "A 37660-2023")</f>
        <v/>
      </c>
      <c r="V219">
        <f>HYPERLINK("https://klasma.github.io/Logging_2161/klagomål/A 37660-2023 FSC-klagomål.docx", "A 37660-2023")</f>
        <v/>
      </c>
      <c r="W219">
        <f>HYPERLINK("https://klasma.github.io/Logging_2161/klagomålsmail/A 37660-2023 FSC-klagomål mail.docx", "A 37660-2023")</f>
        <v/>
      </c>
      <c r="X219">
        <f>HYPERLINK("https://klasma.github.io/Logging_2161/tillsyn/A 37660-2023 tillsynsbegäran.docx", "A 37660-2023")</f>
        <v/>
      </c>
      <c r="Y219">
        <f>HYPERLINK("https://klasma.github.io/Logging_2161/tillsynsmail/A 37660-2023 tillsynsbegäran mail.docx", "A 37660-2023")</f>
        <v/>
      </c>
    </row>
    <row r="220" ht="15" customHeight="1">
      <c r="A220" t="inlineStr">
        <is>
          <t>A 38400-2023</t>
        </is>
      </c>
      <c r="B220" s="1" t="n">
        <v>45162</v>
      </c>
      <c r="C220" s="1" t="n">
        <v>45650</v>
      </c>
      <c r="D220" t="inlineStr">
        <is>
          <t>GÄVLEBORGS LÄN</t>
        </is>
      </c>
      <c r="E220" t="inlineStr">
        <is>
          <t>LJUSDAL</t>
        </is>
      </c>
      <c r="G220" t="n">
        <v>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38400-2023 artfynd.xlsx", "A 38400-2023")</f>
        <v/>
      </c>
      <c r="T220">
        <f>HYPERLINK("https://klasma.github.io/Logging_2161/kartor/A 38400-2023 karta.png", "A 38400-2023")</f>
        <v/>
      </c>
      <c r="U220">
        <f>HYPERLINK("https://klasma.github.io/Logging_2161/knärot/A 38400-2023 karta knärot.png", "A 38400-2023")</f>
        <v/>
      </c>
      <c r="V220">
        <f>HYPERLINK("https://klasma.github.io/Logging_2161/klagomål/A 38400-2023 FSC-klagomål.docx", "A 38400-2023")</f>
        <v/>
      </c>
      <c r="W220">
        <f>HYPERLINK("https://klasma.github.io/Logging_2161/klagomålsmail/A 38400-2023 FSC-klagomål mail.docx", "A 38400-2023")</f>
        <v/>
      </c>
      <c r="X220">
        <f>HYPERLINK("https://klasma.github.io/Logging_2161/tillsyn/A 38400-2023 tillsynsbegäran.docx", "A 38400-2023")</f>
        <v/>
      </c>
      <c r="Y220">
        <f>HYPERLINK("https://klasma.github.io/Logging_2161/tillsynsmail/A 38400-2023 tillsynsbegäran mail.docx", "A 38400-2023")</f>
        <v/>
      </c>
    </row>
    <row r="221" ht="15" customHeight="1">
      <c r="A221" t="inlineStr">
        <is>
          <t>A 40943-2023</t>
        </is>
      </c>
      <c r="B221" s="1" t="n">
        <v>45173</v>
      </c>
      <c r="C221" s="1" t="n">
        <v>45650</v>
      </c>
      <c r="D221" t="inlineStr">
        <is>
          <t>GÄVLEBORGS LÄN</t>
        </is>
      </c>
      <c r="E221" t="inlineStr">
        <is>
          <t>LJUSDAL</t>
        </is>
      </c>
      <c r="G221" t="n">
        <v>5.8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Mörk kolflarnlav</t>
        </is>
      </c>
      <c r="S221">
        <f>HYPERLINK("https://klasma.github.io/Logging_2161/artfynd/A 40943-2023 artfynd.xlsx", "A 40943-2023")</f>
        <v/>
      </c>
      <c r="T221">
        <f>HYPERLINK("https://klasma.github.io/Logging_2161/kartor/A 40943-2023 karta.png", "A 40943-2023")</f>
        <v/>
      </c>
      <c r="V221">
        <f>HYPERLINK("https://klasma.github.io/Logging_2161/klagomål/A 40943-2023 FSC-klagomål.docx", "A 40943-2023")</f>
        <v/>
      </c>
      <c r="W221">
        <f>HYPERLINK("https://klasma.github.io/Logging_2161/klagomålsmail/A 40943-2023 FSC-klagomål mail.docx", "A 40943-2023")</f>
        <v/>
      </c>
      <c r="X221">
        <f>HYPERLINK("https://klasma.github.io/Logging_2161/tillsyn/A 40943-2023 tillsynsbegäran.docx", "A 40943-2023")</f>
        <v/>
      </c>
      <c r="Y221">
        <f>HYPERLINK("https://klasma.github.io/Logging_2161/tillsynsmail/A 40943-2023 tillsynsbegäran mail.docx", "A 40943-2023")</f>
        <v/>
      </c>
    </row>
    <row r="222" ht="15" customHeight="1">
      <c r="A222" t="inlineStr">
        <is>
          <t>A 45204-2023</t>
        </is>
      </c>
      <c r="B222" s="1" t="n">
        <v>45191</v>
      </c>
      <c r="C222" s="1" t="n">
        <v>45650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45204-2023 artfynd.xlsx", "A 45204-2023")</f>
        <v/>
      </c>
      <c r="T222">
        <f>HYPERLINK("https://klasma.github.io/Logging_2161/kartor/A 45204-2023 karta.png", "A 45204-2023")</f>
        <v/>
      </c>
      <c r="V222">
        <f>HYPERLINK("https://klasma.github.io/Logging_2161/klagomål/A 45204-2023 FSC-klagomål.docx", "A 45204-2023")</f>
        <v/>
      </c>
      <c r="W222">
        <f>HYPERLINK("https://klasma.github.io/Logging_2161/klagomålsmail/A 45204-2023 FSC-klagomål mail.docx", "A 45204-2023")</f>
        <v/>
      </c>
      <c r="X222">
        <f>HYPERLINK("https://klasma.github.io/Logging_2161/tillsyn/A 45204-2023 tillsynsbegäran.docx", "A 45204-2023")</f>
        <v/>
      </c>
      <c r="Y222">
        <f>HYPERLINK("https://klasma.github.io/Logging_2161/tillsynsmail/A 45204-2023 tillsynsbegäran mail.docx", "A 45204-2023")</f>
        <v/>
      </c>
    </row>
    <row r="223" ht="15" customHeight="1">
      <c r="A223" t="inlineStr">
        <is>
          <t>A 47717-2023</t>
        </is>
      </c>
      <c r="B223" s="1" t="n">
        <v>45203</v>
      </c>
      <c r="C223" s="1" t="n">
        <v>45650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47717-2023 artfynd.xlsx", "A 47717-2023")</f>
        <v/>
      </c>
      <c r="T223">
        <f>HYPERLINK("https://klasma.github.io/Logging_2161/kartor/A 47717-2023 karta.png", "A 47717-2023")</f>
        <v/>
      </c>
      <c r="V223">
        <f>HYPERLINK("https://klasma.github.io/Logging_2161/klagomål/A 47717-2023 FSC-klagomål.docx", "A 47717-2023")</f>
        <v/>
      </c>
      <c r="W223">
        <f>HYPERLINK("https://klasma.github.io/Logging_2161/klagomålsmail/A 47717-2023 FSC-klagomål mail.docx", "A 47717-2023")</f>
        <v/>
      </c>
      <c r="X223">
        <f>HYPERLINK("https://klasma.github.io/Logging_2161/tillsyn/A 47717-2023 tillsynsbegäran.docx", "A 47717-2023")</f>
        <v/>
      </c>
      <c r="Y223">
        <f>HYPERLINK("https://klasma.github.io/Logging_2161/tillsynsmail/A 47717-2023 tillsynsbegäran mail.docx", "A 47717-2023")</f>
        <v/>
      </c>
    </row>
    <row r="224" ht="15" customHeight="1">
      <c r="A224" t="inlineStr">
        <is>
          <t>A 50257-2023</t>
        </is>
      </c>
      <c r="B224" s="1" t="n">
        <v>45216</v>
      </c>
      <c r="C224" s="1" t="n">
        <v>45650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50257-2023 artfynd.xlsx", "A 50257-2023")</f>
        <v/>
      </c>
      <c r="T224">
        <f>HYPERLINK("https://klasma.github.io/Logging_2161/kartor/A 50257-2023 karta.png", "A 50257-2023")</f>
        <v/>
      </c>
      <c r="V224">
        <f>HYPERLINK("https://klasma.github.io/Logging_2161/klagomål/A 50257-2023 FSC-klagomål.docx", "A 50257-2023")</f>
        <v/>
      </c>
      <c r="W224">
        <f>HYPERLINK("https://klasma.github.io/Logging_2161/klagomålsmail/A 50257-2023 FSC-klagomål mail.docx", "A 50257-2023")</f>
        <v/>
      </c>
      <c r="X224">
        <f>HYPERLINK("https://klasma.github.io/Logging_2161/tillsyn/A 50257-2023 tillsynsbegäran.docx", "A 50257-2023")</f>
        <v/>
      </c>
      <c r="Y224">
        <f>HYPERLINK("https://klasma.github.io/Logging_2161/tillsynsmail/A 50257-2023 tillsynsbegäran mail.docx", "A 50257-2023")</f>
        <v/>
      </c>
    </row>
    <row r="225" ht="15" customHeight="1">
      <c r="A225" t="inlineStr">
        <is>
          <t>A 51232-2023</t>
        </is>
      </c>
      <c r="B225" s="1" t="n">
        <v>45219</v>
      </c>
      <c r="C225" s="1" t="n">
        <v>45650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51232-2023 artfynd.xlsx", "A 51232-2023")</f>
        <v/>
      </c>
      <c r="T225">
        <f>HYPERLINK("https://klasma.github.io/Logging_2161/kartor/A 51232-2023 karta.png", "A 51232-2023")</f>
        <v/>
      </c>
      <c r="V225">
        <f>HYPERLINK("https://klasma.github.io/Logging_2161/klagomål/A 51232-2023 FSC-klagomål.docx", "A 51232-2023")</f>
        <v/>
      </c>
      <c r="W225">
        <f>HYPERLINK("https://klasma.github.io/Logging_2161/klagomålsmail/A 51232-2023 FSC-klagomål mail.docx", "A 51232-2023")</f>
        <v/>
      </c>
      <c r="X225">
        <f>HYPERLINK("https://klasma.github.io/Logging_2161/tillsyn/A 51232-2023 tillsynsbegäran.docx", "A 51232-2023")</f>
        <v/>
      </c>
      <c r="Y225">
        <f>HYPERLINK("https://klasma.github.io/Logging_2161/tillsynsmail/A 51232-2023 tillsynsbegäran mail.docx", "A 51232-2023")</f>
        <v/>
      </c>
    </row>
    <row r="226" ht="15" customHeight="1">
      <c r="A226" t="inlineStr">
        <is>
          <t>A 51498-2023</t>
        </is>
      </c>
      <c r="B226" s="1" t="n">
        <v>45222</v>
      </c>
      <c r="C226" s="1" t="n">
        <v>45650</v>
      </c>
      <c r="D226" t="inlineStr">
        <is>
          <t>GÄVLEBORGS LÄN</t>
        </is>
      </c>
      <c r="E226" t="inlineStr">
        <is>
          <t>LJUSDAL</t>
        </is>
      </c>
      <c r="G226" t="n">
        <v>4.9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Tvåblad</t>
        </is>
      </c>
      <c r="S226">
        <f>HYPERLINK("https://klasma.github.io/Logging_2161/artfynd/A 51498-2023 artfynd.xlsx", "A 51498-2023")</f>
        <v/>
      </c>
      <c r="T226">
        <f>HYPERLINK("https://klasma.github.io/Logging_2161/kartor/A 51498-2023 karta.png", "A 51498-2023")</f>
        <v/>
      </c>
      <c r="V226">
        <f>HYPERLINK("https://klasma.github.io/Logging_2161/klagomål/A 51498-2023 FSC-klagomål.docx", "A 51498-2023")</f>
        <v/>
      </c>
      <c r="W226">
        <f>HYPERLINK("https://klasma.github.io/Logging_2161/klagomålsmail/A 51498-2023 FSC-klagomål mail.docx", "A 51498-2023")</f>
        <v/>
      </c>
      <c r="X226">
        <f>HYPERLINK("https://klasma.github.io/Logging_2161/tillsyn/A 51498-2023 tillsynsbegäran.docx", "A 51498-2023")</f>
        <v/>
      </c>
      <c r="Y226">
        <f>HYPERLINK("https://klasma.github.io/Logging_2161/tillsynsmail/A 51498-2023 tillsynsbegäran mail.docx", "A 51498-2023")</f>
        <v/>
      </c>
    </row>
    <row r="227" ht="15" customHeight="1">
      <c r="A227" t="inlineStr">
        <is>
          <t>A 53286-2023</t>
        </is>
      </c>
      <c r="B227" s="1" t="n">
        <v>45229</v>
      </c>
      <c r="C227" s="1" t="n">
        <v>45650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53286-2023 artfynd.xlsx", "A 53286-2023")</f>
        <v/>
      </c>
      <c r="T227">
        <f>HYPERLINK("https://klasma.github.io/Logging_2161/kartor/A 53286-2023 karta.png", "A 53286-2023")</f>
        <v/>
      </c>
      <c r="V227">
        <f>HYPERLINK("https://klasma.github.io/Logging_2161/klagomål/A 53286-2023 FSC-klagomål.docx", "A 53286-2023")</f>
        <v/>
      </c>
      <c r="W227">
        <f>HYPERLINK("https://klasma.github.io/Logging_2161/klagomålsmail/A 53286-2023 FSC-klagomål mail.docx", "A 53286-2023")</f>
        <v/>
      </c>
      <c r="X227">
        <f>HYPERLINK("https://klasma.github.io/Logging_2161/tillsyn/A 53286-2023 tillsynsbegäran.docx", "A 53286-2023")</f>
        <v/>
      </c>
      <c r="Y227">
        <f>HYPERLINK("https://klasma.github.io/Logging_2161/tillsynsmail/A 53286-2023 tillsynsbegäran mail.docx", "A 53286-2023")</f>
        <v/>
      </c>
    </row>
    <row r="228" ht="15" customHeight="1">
      <c r="A228" t="inlineStr">
        <is>
          <t>A 53858-2023</t>
        </is>
      </c>
      <c r="B228" s="1" t="n">
        <v>45231</v>
      </c>
      <c r="C228" s="1" t="n">
        <v>45650</v>
      </c>
      <c r="D228" t="inlineStr">
        <is>
          <t>GÄVLEBORGS LÄN</t>
        </is>
      </c>
      <c r="E228" t="inlineStr">
        <is>
          <t>LJUSDAL</t>
        </is>
      </c>
      <c r="F228" t="inlineStr">
        <is>
          <t>Allmännings- och besparingsskogar</t>
        </is>
      </c>
      <c r="G228" t="n">
        <v>2.3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Mellanlummer</t>
        </is>
      </c>
      <c r="S228">
        <f>HYPERLINK("https://klasma.github.io/Logging_2161/artfynd/A 53858-2023 artfynd.xlsx", "A 53858-2023")</f>
        <v/>
      </c>
      <c r="T228">
        <f>HYPERLINK("https://klasma.github.io/Logging_2161/kartor/A 53858-2023 karta.png", "A 53858-2023")</f>
        <v/>
      </c>
      <c r="V228">
        <f>HYPERLINK("https://klasma.github.io/Logging_2161/klagomål/A 53858-2023 FSC-klagomål.docx", "A 53858-2023")</f>
        <v/>
      </c>
      <c r="W228">
        <f>HYPERLINK("https://klasma.github.io/Logging_2161/klagomålsmail/A 53858-2023 FSC-klagomål mail.docx", "A 53858-2023")</f>
        <v/>
      </c>
      <c r="X228">
        <f>HYPERLINK("https://klasma.github.io/Logging_2161/tillsyn/A 53858-2023 tillsynsbegäran.docx", "A 53858-2023")</f>
        <v/>
      </c>
      <c r="Y228">
        <f>HYPERLINK("https://klasma.github.io/Logging_2161/tillsynsmail/A 53858-2023 tillsynsbegäran mail.docx", "A 53858-2023")</f>
        <v/>
      </c>
    </row>
    <row r="229" ht="15" customHeight="1">
      <c r="A229" t="inlineStr">
        <is>
          <t>A 56782-2023</t>
        </is>
      </c>
      <c r="B229" s="1" t="n">
        <v>45244</v>
      </c>
      <c r="C229" s="1" t="n">
        <v>45650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Järpe</t>
        </is>
      </c>
      <c r="S229">
        <f>HYPERLINK("https://klasma.github.io/Logging_2161/artfynd/A 56782-2023 artfynd.xlsx", "A 56782-2023")</f>
        <v/>
      </c>
      <c r="T229">
        <f>HYPERLINK("https://klasma.github.io/Logging_2161/kartor/A 56782-2023 karta.png", "A 56782-2023")</f>
        <v/>
      </c>
      <c r="U229">
        <f>HYPERLINK("https://klasma.github.io/Logging_2161/knärot/A 56782-2023 karta knärot.png", "A 56782-2023")</f>
        <v/>
      </c>
      <c r="V229">
        <f>HYPERLINK("https://klasma.github.io/Logging_2161/klagomål/A 56782-2023 FSC-klagomål.docx", "A 56782-2023")</f>
        <v/>
      </c>
      <c r="W229">
        <f>HYPERLINK("https://klasma.github.io/Logging_2161/klagomålsmail/A 56782-2023 FSC-klagomål mail.docx", "A 56782-2023")</f>
        <v/>
      </c>
      <c r="X229">
        <f>HYPERLINK("https://klasma.github.io/Logging_2161/tillsyn/A 56782-2023 tillsynsbegäran.docx", "A 56782-2023")</f>
        <v/>
      </c>
      <c r="Y229">
        <f>HYPERLINK("https://klasma.github.io/Logging_2161/tillsynsmail/A 56782-2023 tillsynsbegäran mail.docx", "A 56782-2023")</f>
        <v/>
      </c>
      <c r="Z229">
        <f>HYPERLINK("https://klasma.github.io/Logging_2161/fåglar/A 56782-2023 prioriterade fågelarter.docx", "A 56782-2023")</f>
        <v/>
      </c>
    </row>
    <row r="230" ht="15" customHeight="1">
      <c r="A230" t="inlineStr">
        <is>
          <t>A 63166-2023</t>
        </is>
      </c>
      <c r="B230" s="1" t="n">
        <v>45273</v>
      </c>
      <c r="C230" s="1" t="n">
        <v>45650</v>
      </c>
      <c r="D230" t="inlineStr">
        <is>
          <t>GÄVLEBORGS LÄN</t>
        </is>
      </c>
      <c r="E230" t="inlineStr">
        <is>
          <t>LJUSDAL</t>
        </is>
      </c>
      <c r="G230" t="n">
        <v>3.1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HYPERLINK("https://klasma.github.io/Logging_2161/artfynd/A 63166-2023 artfynd.xlsx", "A 63166-2023")</f>
        <v/>
      </c>
      <c r="T230">
        <f>HYPERLINK("https://klasma.github.io/Logging_2161/kartor/A 63166-2023 karta.png", "A 63166-2023")</f>
        <v/>
      </c>
      <c r="V230">
        <f>HYPERLINK("https://klasma.github.io/Logging_2161/klagomål/A 63166-2023 FSC-klagomål.docx", "A 63166-2023")</f>
        <v/>
      </c>
      <c r="W230">
        <f>HYPERLINK("https://klasma.github.io/Logging_2161/klagomålsmail/A 63166-2023 FSC-klagomål mail.docx", "A 63166-2023")</f>
        <v/>
      </c>
      <c r="X230">
        <f>HYPERLINK("https://klasma.github.io/Logging_2161/tillsyn/A 63166-2023 tillsynsbegäran.docx", "A 63166-2023")</f>
        <v/>
      </c>
      <c r="Y230">
        <f>HYPERLINK("https://klasma.github.io/Logging_2161/tillsynsmail/A 63166-2023 tillsynsbegäran mail.docx", "A 63166-2023")</f>
        <v/>
      </c>
    </row>
    <row r="231" ht="15" customHeight="1">
      <c r="A231" t="inlineStr">
        <is>
          <t>A 4839-2024</t>
        </is>
      </c>
      <c r="B231" s="1" t="n">
        <v>45329</v>
      </c>
      <c r="C231" s="1" t="n">
        <v>45650</v>
      </c>
      <c r="D231" t="inlineStr">
        <is>
          <t>GÄVLEBORGS LÄN</t>
        </is>
      </c>
      <c r="E231" t="inlineStr">
        <is>
          <t>LJUSDAL</t>
        </is>
      </c>
      <c r="G231" t="n">
        <v>2.5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Ävjepilört</t>
        </is>
      </c>
      <c r="S231">
        <f>HYPERLINK("https://klasma.github.io/Logging_2161/artfynd/A 4839-2024 artfynd.xlsx", "A 4839-2024")</f>
        <v/>
      </c>
      <c r="T231">
        <f>HYPERLINK("https://klasma.github.io/Logging_2161/kartor/A 4839-2024 karta.png", "A 4839-2024")</f>
        <v/>
      </c>
      <c r="V231">
        <f>HYPERLINK("https://klasma.github.io/Logging_2161/klagomål/A 4839-2024 FSC-klagomål.docx", "A 4839-2024")</f>
        <v/>
      </c>
      <c r="W231">
        <f>HYPERLINK("https://klasma.github.io/Logging_2161/klagomålsmail/A 4839-2024 FSC-klagomål mail.docx", "A 4839-2024")</f>
        <v/>
      </c>
      <c r="X231">
        <f>HYPERLINK("https://klasma.github.io/Logging_2161/tillsyn/A 4839-2024 tillsynsbegäran.docx", "A 4839-2024")</f>
        <v/>
      </c>
      <c r="Y231">
        <f>HYPERLINK("https://klasma.github.io/Logging_2161/tillsynsmail/A 4839-2024 tillsynsbegäran mail.docx", "A 4839-2024")</f>
        <v/>
      </c>
    </row>
    <row r="232" ht="15" customHeight="1">
      <c r="A232" t="inlineStr">
        <is>
          <t>A 5445-2024</t>
        </is>
      </c>
      <c r="B232" s="1" t="n">
        <v>45331</v>
      </c>
      <c r="C232" s="1" t="n">
        <v>45650</v>
      </c>
      <c r="D232" t="inlineStr">
        <is>
          <t>GÄVLEBORGS LÄN</t>
        </is>
      </c>
      <c r="E232" t="inlineStr">
        <is>
          <t>LJUSDAL</t>
        </is>
      </c>
      <c r="F232" t="inlineStr">
        <is>
          <t>SCA</t>
        </is>
      </c>
      <c r="G232" t="n">
        <v>14.8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HYPERLINK("https://klasma.github.io/Logging_2161/artfynd/A 5445-2024 artfynd.xlsx", "A 5445-2024")</f>
        <v/>
      </c>
      <c r="T232">
        <f>HYPERLINK("https://klasma.github.io/Logging_2161/kartor/A 5445-2024 karta.png", "A 5445-2024")</f>
        <v/>
      </c>
      <c r="V232">
        <f>HYPERLINK("https://klasma.github.io/Logging_2161/klagomål/A 5445-2024 FSC-klagomål.docx", "A 5445-2024")</f>
        <v/>
      </c>
      <c r="W232">
        <f>HYPERLINK("https://klasma.github.io/Logging_2161/klagomålsmail/A 5445-2024 FSC-klagomål mail.docx", "A 5445-2024")</f>
        <v/>
      </c>
      <c r="X232">
        <f>HYPERLINK("https://klasma.github.io/Logging_2161/tillsyn/A 5445-2024 tillsynsbegäran.docx", "A 5445-2024")</f>
        <v/>
      </c>
      <c r="Y232">
        <f>HYPERLINK("https://klasma.github.io/Logging_2161/tillsynsmail/A 5445-2024 tillsynsbegäran mail.docx", "A 5445-2024")</f>
        <v/>
      </c>
    </row>
    <row r="233" ht="15" customHeight="1">
      <c r="A233" t="inlineStr">
        <is>
          <t>A 19406-2024</t>
        </is>
      </c>
      <c r="B233" s="1" t="n">
        <v>45429</v>
      </c>
      <c r="C233" s="1" t="n">
        <v>45650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18.4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Blåsippa</t>
        </is>
      </c>
      <c r="S233">
        <f>HYPERLINK("https://klasma.github.io/Logging_2161/artfynd/A 19406-2024 artfynd.xlsx", "A 19406-2024")</f>
        <v/>
      </c>
      <c r="T233">
        <f>HYPERLINK("https://klasma.github.io/Logging_2161/kartor/A 19406-2024 karta.png", "A 19406-2024")</f>
        <v/>
      </c>
      <c r="V233">
        <f>HYPERLINK("https://klasma.github.io/Logging_2161/klagomål/A 19406-2024 FSC-klagomål.docx", "A 19406-2024")</f>
        <v/>
      </c>
      <c r="W233">
        <f>HYPERLINK("https://klasma.github.io/Logging_2161/klagomålsmail/A 19406-2024 FSC-klagomål mail.docx", "A 19406-2024")</f>
        <v/>
      </c>
      <c r="X233">
        <f>HYPERLINK("https://klasma.github.io/Logging_2161/tillsyn/A 19406-2024 tillsynsbegäran.docx", "A 19406-2024")</f>
        <v/>
      </c>
      <c r="Y233">
        <f>HYPERLINK("https://klasma.github.io/Logging_2161/tillsynsmail/A 19406-2024 tillsynsbegäran mail.docx", "A 19406-2024")</f>
        <v/>
      </c>
    </row>
    <row r="234" ht="15" customHeight="1">
      <c r="A234" t="inlineStr">
        <is>
          <t>A 20051-2024</t>
        </is>
      </c>
      <c r="B234" s="1" t="n">
        <v>45434</v>
      </c>
      <c r="C234" s="1" t="n">
        <v>45650</v>
      </c>
      <c r="D234" t="inlineStr">
        <is>
          <t>GÄVLEBORGS LÄN</t>
        </is>
      </c>
      <c r="E234" t="inlineStr">
        <is>
          <t>LJUSDAL</t>
        </is>
      </c>
      <c r="G234" t="n">
        <v>8.699999999999999</v>
      </c>
      <c r="H234" t="n">
        <v>1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Mosippa</t>
        </is>
      </c>
      <c r="S234">
        <f>HYPERLINK("https://klasma.github.io/Logging_2161/artfynd/A 20051-2024 artfynd.xlsx", "A 20051-2024")</f>
        <v/>
      </c>
      <c r="T234">
        <f>HYPERLINK("https://klasma.github.io/Logging_2161/kartor/A 20051-2024 karta.png", "A 20051-2024")</f>
        <v/>
      </c>
      <c r="V234">
        <f>HYPERLINK("https://klasma.github.io/Logging_2161/klagomål/A 20051-2024 FSC-klagomål.docx", "A 20051-2024")</f>
        <v/>
      </c>
      <c r="W234">
        <f>HYPERLINK("https://klasma.github.io/Logging_2161/klagomålsmail/A 20051-2024 FSC-klagomål mail.docx", "A 20051-2024")</f>
        <v/>
      </c>
      <c r="X234">
        <f>HYPERLINK("https://klasma.github.io/Logging_2161/tillsyn/A 20051-2024 tillsynsbegäran.docx", "A 20051-2024")</f>
        <v/>
      </c>
      <c r="Y234">
        <f>HYPERLINK("https://klasma.github.io/Logging_2161/tillsynsmail/A 20051-2024 tillsynsbegäran mail.docx", "A 20051-2024")</f>
        <v/>
      </c>
    </row>
    <row r="235" ht="15" customHeight="1">
      <c r="A235" t="inlineStr">
        <is>
          <t>A 20381-2024</t>
        </is>
      </c>
      <c r="B235" s="1" t="n">
        <v>45435</v>
      </c>
      <c r="C235" s="1" t="n">
        <v>45650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10.8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20381-2024 artfynd.xlsx", "A 20381-2024")</f>
        <v/>
      </c>
      <c r="T235">
        <f>HYPERLINK("https://klasma.github.io/Logging_2161/kartor/A 20381-2024 karta.png", "A 20381-2024")</f>
        <v/>
      </c>
      <c r="U235">
        <f>HYPERLINK("https://klasma.github.io/Logging_2161/knärot/A 20381-2024 karta knärot.png", "A 20381-2024")</f>
        <v/>
      </c>
      <c r="V235">
        <f>HYPERLINK("https://klasma.github.io/Logging_2161/klagomål/A 20381-2024 FSC-klagomål.docx", "A 20381-2024")</f>
        <v/>
      </c>
      <c r="W235">
        <f>HYPERLINK("https://klasma.github.io/Logging_2161/klagomålsmail/A 20381-2024 FSC-klagomål mail.docx", "A 20381-2024")</f>
        <v/>
      </c>
      <c r="X235">
        <f>HYPERLINK("https://klasma.github.io/Logging_2161/tillsyn/A 20381-2024 tillsynsbegäran.docx", "A 20381-2024")</f>
        <v/>
      </c>
      <c r="Y235">
        <f>HYPERLINK("https://klasma.github.io/Logging_2161/tillsynsmail/A 20381-2024 tillsynsbegäran mail.docx", "A 20381-2024")</f>
        <v/>
      </c>
    </row>
    <row r="236" ht="15" customHeight="1">
      <c r="A236" t="inlineStr">
        <is>
          <t>A 20656-2024</t>
        </is>
      </c>
      <c r="B236" s="1" t="n">
        <v>45436</v>
      </c>
      <c r="C236" s="1" t="n">
        <v>45650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HYPERLINK("https://klasma.github.io/Logging_2161/artfynd/A 20656-2024 artfynd.xlsx", "A 20656-2024")</f>
        <v/>
      </c>
      <c r="T236">
        <f>HYPERLINK("https://klasma.github.io/Logging_2161/kartor/A 20656-2024 karta.png", "A 20656-2024")</f>
        <v/>
      </c>
      <c r="V236">
        <f>HYPERLINK("https://klasma.github.io/Logging_2161/klagomål/A 20656-2024 FSC-klagomål.docx", "A 20656-2024")</f>
        <v/>
      </c>
      <c r="W236">
        <f>HYPERLINK("https://klasma.github.io/Logging_2161/klagomålsmail/A 20656-2024 FSC-klagomål mail.docx", "A 20656-2024")</f>
        <v/>
      </c>
      <c r="X236">
        <f>HYPERLINK("https://klasma.github.io/Logging_2161/tillsyn/A 20656-2024 tillsynsbegäran.docx", "A 20656-2024")</f>
        <v/>
      </c>
      <c r="Y236">
        <f>HYPERLINK("https://klasma.github.io/Logging_2161/tillsynsmail/A 20656-2024 tillsynsbegäran mail.docx", "A 20656-2024")</f>
        <v/>
      </c>
    </row>
    <row r="237" ht="15" customHeight="1">
      <c r="A237" t="inlineStr">
        <is>
          <t>A 21900-2024</t>
        </is>
      </c>
      <c r="B237" s="1" t="n">
        <v>45443</v>
      </c>
      <c r="C237" s="1" t="n">
        <v>45650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21900-2024 artfynd.xlsx", "A 21900-2024")</f>
        <v/>
      </c>
      <c r="T237">
        <f>HYPERLINK("https://klasma.github.io/Logging_2161/kartor/A 21900-2024 karta.png", "A 21900-2024")</f>
        <v/>
      </c>
      <c r="U237">
        <f>HYPERLINK("https://klasma.github.io/Logging_2161/knärot/A 21900-2024 karta knärot.png", "A 21900-2024")</f>
        <v/>
      </c>
      <c r="V237">
        <f>HYPERLINK("https://klasma.github.io/Logging_2161/klagomål/A 21900-2024 FSC-klagomål.docx", "A 21900-2024")</f>
        <v/>
      </c>
      <c r="W237">
        <f>HYPERLINK("https://klasma.github.io/Logging_2161/klagomålsmail/A 21900-2024 FSC-klagomål mail.docx", "A 21900-2024")</f>
        <v/>
      </c>
      <c r="X237">
        <f>HYPERLINK("https://klasma.github.io/Logging_2161/tillsyn/A 21900-2024 tillsynsbegäran.docx", "A 21900-2024")</f>
        <v/>
      </c>
      <c r="Y237">
        <f>HYPERLINK("https://klasma.github.io/Logging_2161/tillsynsmail/A 21900-2024 tillsynsbegäran mail.docx", "A 21900-2024")</f>
        <v/>
      </c>
    </row>
    <row r="238" ht="15" customHeight="1">
      <c r="A238" t="inlineStr">
        <is>
          <t>A 22247-2024</t>
        </is>
      </c>
      <c r="B238" s="1" t="n">
        <v>45446</v>
      </c>
      <c r="C238" s="1" t="n">
        <v>45650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22247-2024 artfynd.xlsx", "A 22247-2024")</f>
        <v/>
      </c>
      <c r="T238">
        <f>HYPERLINK("https://klasma.github.io/Logging_2161/kartor/A 22247-2024 karta.png", "A 22247-2024")</f>
        <v/>
      </c>
      <c r="V238">
        <f>HYPERLINK("https://klasma.github.io/Logging_2161/klagomål/A 22247-2024 FSC-klagomål.docx", "A 22247-2024")</f>
        <v/>
      </c>
      <c r="W238">
        <f>HYPERLINK("https://klasma.github.io/Logging_2161/klagomålsmail/A 22247-2024 FSC-klagomål mail.docx", "A 22247-2024")</f>
        <v/>
      </c>
      <c r="X238">
        <f>HYPERLINK("https://klasma.github.io/Logging_2161/tillsyn/A 22247-2024 tillsynsbegäran.docx", "A 22247-2024")</f>
        <v/>
      </c>
      <c r="Y238">
        <f>HYPERLINK("https://klasma.github.io/Logging_2161/tillsynsmail/A 22247-2024 tillsynsbegäran mail.docx", "A 22247-2024")</f>
        <v/>
      </c>
    </row>
    <row r="239" ht="15" customHeight="1">
      <c r="A239" t="inlineStr">
        <is>
          <t>A 23651-2024</t>
        </is>
      </c>
      <c r="B239" s="1" t="n">
        <v>45454</v>
      </c>
      <c r="C239" s="1" t="n">
        <v>45650</v>
      </c>
      <c r="D239" t="inlineStr">
        <is>
          <t>GÄVLEBORGS LÄN</t>
        </is>
      </c>
      <c r="E239" t="inlineStr">
        <is>
          <t>LJUSDAL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HYPERLINK("https://klasma.github.io/Logging_2161/artfynd/A 23651-2024 artfynd.xlsx", "A 23651-2024")</f>
        <v/>
      </c>
      <c r="T239">
        <f>HYPERLINK("https://klasma.github.io/Logging_2161/kartor/A 23651-2024 karta.png", "A 23651-2024")</f>
        <v/>
      </c>
      <c r="V239">
        <f>HYPERLINK("https://klasma.github.io/Logging_2161/klagomål/A 23651-2024 FSC-klagomål.docx", "A 23651-2024")</f>
        <v/>
      </c>
      <c r="W239">
        <f>HYPERLINK("https://klasma.github.io/Logging_2161/klagomålsmail/A 23651-2024 FSC-klagomål mail.docx", "A 23651-2024")</f>
        <v/>
      </c>
      <c r="X239">
        <f>HYPERLINK("https://klasma.github.io/Logging_2161/tillsyn/A 23651-2024 tillsynsbegäran.docx", "A 23651-2024")</f>
        <v/>
      </c>
      <c r="Y239">
        <f>HYPERLINK("https://klasma.github.io/Logging_2161/tillsynsmail/A 23651-2024 tillsynsbegäran mail.docx", "A 23651-2024")</f>
        <v/>
      </c>
    </row>
    <row r="240" ht="15" customHeight="1">
      <c r="A240" t="inlineStr">
        <is>
          <t>A 23644-2024</t>
        </is>
      </c>
      <c r="B240" s="1" t="n">
        <v>45454</v>
      </c>
      <c r="C240" s="1" t="n">
        <v>45650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26.6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23644-2024 artfynd.xlsx", "A 23644-2024")</f>
        <v/>
      </c>
      <c r="T240">
        <f>HYPERLINK("https://klasma.github.io/Logging_2161/kartor/A 23644-2024 karta.png", "A 23644-2024")</f>
        <v/>
      </c>
      <c r="V240">
        <f>HYPERLINK("https://klasma.github.io/Logging_2161/klagomål/A 23644-2024 FSC-klagomål.docx", "A 23644-2024")</f>
        <v/>
      </c>
      <c r="W240">
        <f>HYPERLINK("https://klasma.github.io/Logging_2161/klagomålsmail/A 23644-2024 FSC-klagomål mail.docx", "A 23644-2024")</f>
        <v/>
      </c>
      <c r="X240">
        <f>HYPERLINK("https://klasma.github.io/Logging_2161/tillsyn/A 23644-2024 tillsynsbegäran.docx", "A 23644-2024")</f>
        <v/>
      </c>
      <c r="Y240">
        <f>HYPERLINK("https://klasma.github.io/Logging_2161/tillsynsmail/A 23644-2024 tillsynsbegäran mail.docx", "A 23644-2024")</f>
        <v/>
      </c>
    </row>
    <row r="241" ht="15" customHeight="1">
      <c r="A241" t="inlineStr">
        <is>
          <t>A 24831-2024</t>
        </is>
      </c>
      <c r="B241" s="1" t="n">
        <v>45461</v>
      </c>
      <c r="C241" s="1" t="n">
        <v>45650</v>
      </c>
      <c r="D241" t="inlineStr">
        <is>
          <t>GÄVLEBORGS LÄN</t>
        </is>
      </c>
      <c r="E241" t="inlineStr">
        <is>
          <t>LJUSDAL</t>
        </is>
      </c>
      <c r="G241" t="n">
        <v>4.9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24831-2024 artfynd.xlsx", "A 24831-2024")</f>
        <v/>
      </c>
      <c r="T241">
        <f>HYPERLINK("https://klasma.github.io/Logging_2161/kartor/A 24831-2024 karta.png", "A 24831-2024")</f>
        <v/>
      </c>
      <c r="V241">
        <f>HYPERLINK("https://klasma.github.io/Logging_2161/klagomål/A 24831-2024 FSC-klagomål.docx", "A 24831-2024")</f>
        <v/>
      </c>
      <c r="W241">
        <f>HYPERLINK("https://klasma.github.io/Logging_2161/klagomålsmail/A 24831-2024 FSC-klagomål mail.docx", "A 24831-2024")</f>
        <v/>
      </c>
      <c r="X241">
        <f>HYPERLINK("https://klasma.github.io/Logging_2161/tillsyn/A 24831-2024 tillsynsbegäran.docx", "A 24831-2024")</f>
        <v/>
      </c>
      <c r="Y241">
        <f>HYPERLINK("https://klasma.github.io/Logging_2161/tillsynsmail/A 24831-2024 tillsynsbegäran mail.docx", "A 24831-2024")</f>
        <v/>
      </c>
    </row>
    <row r="242" ht="15" customHeight="1">
      <c r="A242" t="inlineStr">
        <is>
          <t>A 24903-2024</t>
        </is>
      </c>
      <c r="B242" s="1" t="n">
        <v>45461</v>
      </c>
      <c r="C242" s="1" t="n">
        <v>45650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24903-2024 artfynd.xlsx", "A 24903-2024")</f>
        <v/>
      </c>
      <c r="T242">
        <f>HYPERLINK("https://klasma.github.io/Logging_2161/kartor/A 24903-2024 karta.png", "A 24903-2024")</f>
        <v/>
      </c>
      <c r="V242">
        <f>HYPERLINK("https://klasma.github.io/Logging_2161/klagomål/A 24903-2024 FSC-klagomål.docx", "A 24903-2024")</f>
        <v/>
      </c>
      <c r="W242">
        <f>HYPERLINK("https://klasma.github.io/Logging_2161/klagomålsmail/A 24903-2024 FSC-klagomål mail.docx", "A 24903-2024")</f>
        <v/>
      </c>
      <c r="X242">
        <f>HYPERLINK("https://klasma.github.io/Logging_2161/tillsyn/A 24903-2024 tillsynsbegäran.docx", "A 24903-2024")</f>
        <v/>
      </c>
      <c r="Y242">
        <f>HYPERLINK("https://klasma.github.io/Logging_2161/tillsynsmail/A 24903-2024 tillsynsbegäran mail.docx", "A 24903-2024")</f>
        <v/>
      </c>
    </row>
    <row r="243" ht="15" customHeight="1">
      <c r="A243" t="inlineStr">
        <is>
          <t>A 26386-2024</t>
        </is>
      </c>
      <c r="B243" s="1" t="n">
        <v>45469</v>
      </c>
      <c r="C243" s="1" t="n">
        <v>45650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26386-2024 artfynd.xlsx", "A 26386-2024")</f>
        <v/>
      </c>
      <c r="T243">
        <f>HYPERLINK("https://klasma.github.io/Logging_2161/kartor/A 26386-2024 karta.png", "A 26386-2024")</f>
        <v/>
      </c>
      <c r="V243">
        <f>HYPERLINK("https://klasma.github.io/Logging_2161/klagomål/A 26386-2024 FSC-klagomål.docx", "A 26386-2024")</f>
        <v/>
      </c>
      <c r="W243">
        <f>HYPERLINK("https://klasma.github.io/Logging_2161/klagomålsmail/A 26386-2024 FSC-klagomål mail.docx", "A 26386-2024")</f>
        <v/>
      </c>
      <c r="X243">
        <f>HYPERLINK("https://klasma.github.io/Logging_2161/tillsyn/A 26386-2024 tillsynsbegäran.docx", "A 26386-2024")</f>
        <v/>
      </c>
      <c r="Y243">
        <f>HYPERLINK("https://klasma.github.io/Logging_2161/tillsynsmail/A 26386-2024 tillsynsbegäran mail.docx", "A 26386-2024")</f>
        <v/>
      </c>
    </row>
    <row r="244" ht="15" customHeight="1">
      <c r="A244" t="inlineStr">
        <is>
          <t>A 26976-2024</t>
        </is>
      </c>
      <c r="B244" s="1" t="n">
        <v>45471</v>
      </c>
      <c r="C244" s="1" t="n">
        <v>45650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26976-2024 artfynd.xlsx", "A 26976-2024")</f>
        <v/>
      </c>
      <c r="T244">
        <f>HYPERLINK("https://klasma.github.io/Logging_2161/kartor/A 26976-2024 karta.png", "A 26976-2024")</f>
        <v/>
      </c>
      <c r="V244">
        <f>HYPERLINK("https://klasma.github.io/Logging_2161/klagomål/A 26976-2024 FSC-klagomål.docx", "A 26976-2024")</f>
        <v/>
      </c>
      <c r="W244">
        <f>HYPERLINK("https://klasma.github.io/Logging_2161/klagomålsmail/A 26976-2024 FSC-klagomål mail.docx", "A 26976-2024")</f>
        <v/>
      </c>
      <c r="X244">
        <f>HYPERLINK("https://klasma.github.io/Logging_2161/tillsyn/A 26976-2024 tillsynsbegäran.docx", "A 26976-2024")</f>
        <v/>
      </c>
      <c r="Y244">
        <f>HYPERLINK("https://klasma.github.io/Logging_2161/tillsynsmail/A 26976-2024 tillsynsbegäran mail.docx", "A 26976-2024")</f>
        <v/>
      </c>
    </row>
    <row r="245" ht="15" customHeight="1">
      <c r="A245" t="inlineStr">
        <is>
          <t>A 30115-2024</t>
        </is>
      </c>
      <c r="B245" s="1" t="n">
        <v>45489</v>
      </c>
      <c r="C245" s="1" t="n">
        <v>45650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30115-2024 artfynd.xlsx", "A 30115-2024")</f>
        <v/>
      </c>
      <c r="T245">
        <f>HYPERLINK("https://klasma.github.io/Logging_2161/kartor/A 30115-2024 karta.png", "A 30115-2024")</f>
        <v/>
      </c>
      <c r="V245">
        <f>HYPERLINK("https://klasma.github.io/Logging_2161/klagomål/A 30115-2024 FSC-klagomål.docx", "A 30115-2024")</f>
        <v/>
      </c>
      <c r="W245">
        <f>HYPERLINK("https://klasma.github.io/Logging_2161/klagomålsmail/A 30115-2024 FSC-klagomål mail.docx", "A 30115-2024")</f>
        <v/>
      </c>
      <c r="X245">
        <f>HYPERLINK("https://klasma.github.io/Logging_2161/tillsyn/A 30115-2024 tillsynsbegäran.docx", "A 30115-2024")</f>
        <v/>
      </c>
      <c r="Y245">
        <f>HYPERLINK("https://klasma.github.io/Logging_2161/tillsynsmail/A 30115-2024 tillsynsbegäran mail.docx", "A 30115-2024")</f>
        <v/>
      </c>
    </row>
    <row r="246" ht="15" customHeight="1">
      <c r="A246" t="inlineStr">
        <is>
          <t>A 31420-2024</t>
        </is>
      </c>
      <c r="B246" s="1" t="n">
        <v>45505</v>
      </c>
      <c r="C246" s="1" t="n">
        <v>45650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31420-2024 artfynd.xlsx", "A 31420-2024")</f>
        <v/>
      </c>
      <c r="T246">
        <f>HYPERLINK("https://klasma.github.io/Logging_2161/kartor/A 31420-2024 karta.png", "A 31420-2024")</f>
        <v/>
      </c>
      <c r="V246">
        <f>HYPERLINK("https://klasma.github.io/Logging_2161/klagomål/A 31420-2024 FSC-klagomål.docx", "A 31420-2024")</f>
        <v/>
      </c>
      <c r="W246">
        <f>HYPERLINK("https://klasma.github.io/Logging_2161/klagomålsmail/A 31420-2024 FSC-klagomål mail.docx", "A 31420-2024")</f>
        <v/>
      </c>
      <c r="X246">
        <f>HYPERLINK("https://klasma.github.io/Logging_2161/tillsyn/A 31420-2024 tillsynsbegäran.docx", "A 31420-2024")</f>
        <v/>
      </c>
      <c r="Y246">
        <f>HYPERLINK("https://klasma.github.io/Logging_2161/tillsynsmail/A 31420-2024 tillsynsbegäran mail.docx", "A 31420-2024")</f>
        <v/>
      </c>
    </row>
    <row r="247" ht="15" customHeight="1">
      <c r="A247" t="inlineStr">
        <is>
          <t>A 31417-2024</t>
        </is>
      </c>
      <c r="B247" s="1" t="n">
        <v>45505</v>
      </c>
      <c r="C247" s="1" t="n">
        <v>45650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31417-2024 artfynd.xlsx", "A 31417-2024")</f>
        <v/>
      </c>
      <c r="T247">
        <f>HYPERLINK("https://klasma.github.io/Logging_2161/kartor/A 31417-2024 karta.png", "A 31417-2024")</f>
        <v/>
      </c>
      <c r="V247">
        <f>HYPERLINK("https://klasma.github.io/Logging_2161/klagomål/A 31417-2024 FSC-klagomål.docx", "A 31417-2024")</f>
        <v/>
      </c>
      <c r="W247">
        <f>HYPERLINK("https://klasma.github.io/Logging_2161/klagomålsmail/A 31417-2024 FSC-klagomål mail.docx", "A 31417-2024")</f>
        <v/>
      </c>
      <c r="X247">
        <f>HYPERLINK("https://klasma.github.io/Logging_2161/tillsyn/A 31417-2024 tillsynsbegäran.docx", "A 31417-2024")</f>
        <v/>
      </c>
      <c r="Y247">
        <f>HYPERLINK("https://klasma.github.io/Logging_2161/tillsynsmail/A 31417-2024 tillsynsbegäran mail.docx", "A 31417-2024")</f>
        <v/>
      </c>
    </row>
    <row r="248" ht="15" customHeight="1">
      <c r="A248" t="inlineStr">
        <is>
          <t>A 32398-2024</t>
        </is>
      </c>
      <c r="B248" s="1" t="n">
        <v>45512</v>
      </c>
      <c r="C248" s="1" t="n">
        <v>45650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Granticka</t>
        </is>
      </c>
      <c r="S248">
        <f>HYPERLINK("https://klasma.github.io/Logging_2161/artfynd/A 32398-2024 artfynd.xlsx", "A 32398-2024")</f>
        <v/>
      </c>
      <c r="T248">
        <f>HYPERLINK("https://klasma.github.io/Logging_2161/kartor/A 32398-2024 karta.png", "A 32398-2024")</f>
        <v/>
      </c>
      <c r="V248">
        <f>HYPERLINK("https://klasma.github.io/Logging_2161/klagomål/A 32398-2024 FSC-klagomål.docx", "A 32398-2024")</f>
        <v/>
      </c>
      <c r="W248">
        <f>HYPERLINK("https://klasma.github.io/Logging_2161/klagomålsmail/A 32398-2024 FSC-klagomål mail.docx", "A 32398-2024")</f>
        <v/>
      </c>
      <c r="X248">
        <f>HYPERLINK("https://klasma.github.io/Logging_2161/tillsyn/A 32398-2024 tillsynsbegäran.docx", "A 32398-2024")</f>
        <v/>
      </c>
      <c r="Y248">
        <f>HYPERLINK("https://klasma.github.io/Logging_2161/tillsynsmail/A 32398-2024 tillsynsbegäran mail.docx", "A 32398-2024")</f>
        <v/>
      </c>
    </row>
    <row r="249" ht="15" customHeight="1">
      <c r="A249" t="inlineStr">
        <is>
          <t>A 32807-2024</t>
        </is>
      </c>
      <c r="B249" s="1" t="n">
        <v>45516</v>
      </c>
      <c r="C249" s="1" t="n">
        <v>45650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11.5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32807-2024 artfynd.xlsx", "A 32807-2024")</f>
        <v/>
      </c>
      <c r="T249">
        <f>HYPERLINK("https://klasma.github.io/Logging_2161/kartor/A 32807-2024 karta.png", "A 32807-2024")</f>
        <v/>
      </c>
      <c r="V249">
        <f>HYPERLINK("https://klasma.github.io/Logging_2161/klagomål/A 32807-2024 FSC-klagomål.docx", "A 32807-2024")</f>
        <v/>
      </c>
      <c r="W249">
        <f>HYPERLINK("https://klasma.github.io/Logging_2161/klagomålsmail/A 32807-2024 FSC-klagomål mail.docx", "A 32807-2024")</f>
        <v/>
      </c>
      <c r="X249">
        <f>HYPERLINK("https://klasma.github.io/Logging_2161/tillsyn/A 32807-2024 tillsynsbegäran.docx", "A 32807-2024")</f>
        <v/>
      </c>
      <c r="Y249">
        <f>HYPERLINK("https://klasma.github.io/Logging_2161/tillsynsmail/A 32807-2024 tillsynsbegäran mail.docx", "A 32807-2024")</f>
        <v/>
      </c>
    </row>
    <row r="250" ht="15" customHeight="1">
      <c r="A250" t="inlineStr">
        <is>
          <t>A 33950-2024</t>
        </is>
      </c>
      <c r="B250" s="1" t="n">
        <v>45523</v>
      </c>
      <c r="C250" s="1" t="n">
        <v>45650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33950-2024 artfynd.xlsx", "A 33950-2024")</f>
        <v/>
      </c>
      <c r="T250">
        <f>HYPERLINK("https://klasma.github.io/Logging_2161/kartor/A 33950-2024 karta.png", "A 33950-2024")</f>
        <v/>
      </c>
      <c r="V250">
        <f>HYPERLINK("https://klasma.github.io/Logging_2161/klagomål/A 33950-2024 FSC-klagomål.docx", "A 33950-2024")</f>
        <v/>
      </c>
      <c r="W250">
        <f>HYPERLINK("https://klasma.github.io/Logging_2161/klagomålsmail/A 33950-2024 FSC-klagomål mail.docx", "A 33950-2024")</f>
        <v/>
      </c>
      <c r="X250">
        <f>HYPERLINK("https://klasma.github.io/Logging_2161/tillsyn/A 33950-2024 tillsynsbegäran.docx", "A 33950-2024")</f>
        <v/>
      </c>
      <c r="Y250">
        <f>HYPERLINK("https://klasma.github.io/Logging_2161/tillsynsmail/A 33950-2024 tillsynsbegäran mail.docx", "A 33950-2024")</f>
        <v/>
      </c>
    </row>
    <row r="251" ht="15" customHeight="1">
      <c r="A251" t="inlineStr">
        <is>
          <t>A 34233-2024</t>
        </is>
      </c>
      <c r="B251" s="1" t="n">
        <v>45524</v>
      </c>
      <c r="C251" s="1" t="n">
        <v>45650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7.5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HYPERLINK("https://klasma.github.io/Logging_2161/artfynd/A 34233-2024 artfynd.xlsx", "A 34233-2024")</f>
        <v/>
      </c>
      <c r="T251">
        <f>HYPERLINK("https://klasma.github.io/Logging_2161/kartor/A 34233-2024 karta.png", "A 34233-2024")</f>
        <v/>
      </c>
      <c r="V251">
        <f>HYPERLINK("https://klasma.github.io/Logging_2161/klagomål/A 34233-2024 FSC-klagomål.docx", "A 34233-2024")</f>
        <v/>
      </c>
      <c r="W251">
        <f>HYPERLINK("https://klasma.github.io/Logging_2161/klagomålsmail/A 34233-2024 FSC-klagomål mail.docx", "A 34233-2024")</f>
        <v/>
      </c>
      <c r="X251">
        <f>HYPERLINK("https://klasma.github.io/Logging_2161/tillsyn/A 34233-2024 tillsynsbegäran.docx", "A 34233-2024")</f>
        <v/>
      </c>
      <c r="Y251">
        <f>HYPERLINK("https://klasma.github.io/Logging_2161/tillsynsmail/A 34233-2024 tillsynsbegäran mail.docx", "A 34233-2024")</f>
        <v/>
      </c>
    </row>
    <row r="252" ht="15" customHeight="1">
      <c r="A252" t="inlineStr">
        <is>
          <t>A 34235-2024</t>
        </is>
      </c>
      <c r="B252" s="1" t="n">
        <v>45524</v>
      </c>
      <c r="C252" s="1" t="n">
        <v>45650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3.5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Plattlummer</t>
        </is>
      </c>
      <c r="S252">
        <f>HYPERLINK("https://klasma.github.io/Logging_2161/artfynd/A 34235-2024 artfynd.xlsx", "A 34235-2024")</f>
        <v/>
      </c>
      <c r="T252">
        <f>HYPERLINK("https://klasma.github.io/Logging_2161/kartor/A 34235-2024 karta.png", "A 34235-2024")</f>
        <v/>
      </c>
      <c r="V252">
        <f>HYPERLINK("https://klasma.github.io/Logging_2161/klagomål/A 34235-2024 FSC-klagomål.docx", "A 34235-2024")</f>
        <v/>
      </c>
      <c r="W252">
        <f>HYPERLINK("https://klasma.github.io/Logging_2161/klagomålsmail/A 34235-2024 FSC-klagomål mail.docx", "A 34235-2024")</f>
        <v/>
      </c>
      <c r="X252">
        <f>HYPERLINK("https://klasma.github.io/Logging_2161/tillsyn/A 34235-2024 tillsynsbegäran.docx", "A 34235-2024")</f>
        <v/>
      </c>
      <c r="Y252">
        <f>HYPERLINK("https://klasma.github.io/Logging_2161/tillsynsmail/A 34235-2024 tillsynsbegäran mail.docx", "A 34235-2024")</f>
        <v/>
      </c>
    </row>
    <row r="253" ht="15" customHeight="1">
      <c r="A253" t="inlineStr">
        <is>
          <t>A 34346-2024</t>
        </is>
      </c>
      <c r="B253" s="1" t="n">
        <v>45525</v>
      </c>
      <c r="C253" s="1" t="n">
        <v>45650</v>
      </c>
      <c r="D253" t="inlineStr">
        <is>
          <t>GÄVLEBORGS LÄN</t>
        </is>
      </c>
      <c r="E253" t="inlineStr">
        <is>
          <t>LJUSDAL</t>
        </is>
      </c>
      <c r="F253" t="inlineStr">
        <is>
          <t>Holmen skog AB</t>
        </is>
      </c>
      <c r="G253" t="n">
        <v>6.8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HYPERLINK("https://klasma.github.io/Logging_2161/artfynd/A 34346-2024 artfynd.xlsx", "A 34346-2024")</f>
        <v/>
      </c>
      <c r="T253">
        <f>HYPERLINK("https://klasma.github.io/Logging_2161/kartor/A 34346-2024 karta.png", "A 34346-2024")</f>
        <v/>
      </c>
      <c r="V253">
        <f>HYPERLINK("https://klasma.github.io/Logging_2161/klagomål/A 34346-2024 FSC-klagomål.docx", "A 34346-2024")</f>
        <v/>
      </c>
      <c r="W253">
        <f>HYPERLINK("https://klasma.github.io/Logging_2161/klagomålsmail/A 34346-2024 FSC-klagomål mail.docx", "A 34346-2024")</f>
        <v/>
      </c>
      <c r="X253">
        <f>HYPERLINK("https://klasma.github.io/Logging_2161/tillsyn/A 34346-2024 tillsynsbegäran.docx", "A 34346-2024")</f>
        <v/>
      </c>
      <c r="Y253">
        <f>HYPERLINK("https://klasma.github.io/Logging_2161/tillsynsmail/A 34346-2024 tillsynsbegäran mail.docx", "A 34346-2024")</f>
        <v/>
      </c>
      <c r="Z253">
        <f>HYPERLINK("https://klasma.github.io/Logging_2161/fåglar/A 34346-2024 prioriterade fågelarter.docx", "A 34346-2024")</f>
        <v/>
      </c>
    </row>
    <row r="254" ht="15" customHeight="1">
      <c r="A254" t="inlineStr">
        <is>
          <t>A 34597-2024</t>
        </is>
      </c>
      <c r="B254" s="1" t="n">
        <v>45526</v>
      </c>
      <c r="C254" s="1" t="n">
        <v>45650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Garnlav</t>
        </is>
      </c>
      <c r="S254">
        <f>HYPERLINK("https://klasma.github.io/Logging_2161/artfynd/A 34597-2024 artfynd.xlsx", "A 34597-2024")</f>
        <v/>
      </c>
      <c r="T254">
        <f>HYPERLINK("https://klasma.github.io/Logging_2161/kartor/A 34597-2024 karta.png", "A 34597-2024")</f>
        <v/>
      </c>
      <c r="V254">
        <f>HYPERLINK("https://klasma.github.io/Logging_2161/klagomål/A 34597-2024 FSC-klagomål.docx", "A 34597-2024")</f>
        <v/>
      </c>
      <c r="W254">
        <f>HYPERLINK("https://klasma.github.io/Logging_2161/klagomålsmail/A 34597-2024 FSC-klagomål mail.docx", "A 34597-2024")</f>
        <v/>
      </c>
      <c r="X254">
        <f>HYPERLINK("https://klasma.github.io/Logging_2161/tillsyn/A 34597-2024 tillsynsbegäran.docx", "A 34597-2024")</f>
        <v/>
      </c>
      <c r="Y254">
        <f>HYPERLINK("https://klasma.github.io/Logging_2161/tillsynsmail/A 34597-2024 tillsynsbegäran mail.docx", "A 34597-2024")</f>
        <v/>
      </c>
    </row>
    <row r="255" ht="15" customHeight="1">
      <c r="A255" t="inlineStr">
        <is>
          <t>A 34748-2024</t>
        </is>
      </c>
      <c r="B255" s="1" t="n">
        <v>45526</v>
      </c>
      <c r="C255" s="1" t="n">
        <v>45650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34748-2024 artfynd.xlsx", "A 34748-2024")</f>
        <v/>
      </c>
      <c r="T255">
        <f>HYPERLINK("https://klasma.github.io/Logging_2161/kartor/A 34748-2024 karta.png", "A 34748-2024")</f>
        <v/>
      </c>
      <c r="V255">
        <f>HYPERLINK("https://klasma.github.io/Logging_2161/klagomål/A 34748-2024 FSC-klagomål.docx", "A 34748-2024")</f>
        <v/>
      </c>
      <c r="W255">
        <f>HYPERLINK("https://klasma.github.io/Logging_2161/klagomålsmail/A 34748-2024 FSC-klagomål mail.docx", "A 34748-2024")</f>
        <v/>
      </c>
      <c r="X255">
        <f>HYPERLINK("https://klasma.github.io/Logging_2161/tillsyn/A 34748-2024 tillsynsbegäran.docx", "A 34748-2024")</f>
        <v/>
      </c>
      <c r="Y255">
        <f>HYPERLINK("https://klasma.github.io/Logging_2161/tillsynsmail/A 34748-2024 tillsynsbegäran mail.docx", "A 34748-2024")</f>
        <v/>
      </c>
    </row>
    <row r="256" ht="15" customHeight="1">
      <c r="A256" t="inlineStr">
        <is>
          <t>A 34744-2024</t>
        </is>
      </c>
      <c r="B256" s="1" t="n">
        <v>45526</v>
      </c>
      <c r="C256" s="1" t="n">
        <v>45650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9.9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HYPERLINK("https://klasma.github.io/Logging_2161/artfynd/A 34744-2024 artfynd.xlsx", "A 34744-2024")</f>
        <v/>
      </c>
      <c r="T256">
        <f>HYPERLINK("https://klasma.github.io/Logging_2161/kartor/A 34744-2024 karta.png", "A 34744-2024")</f>
        <v/>
      </c>
      <c r="V256">
        <f>HYPERLINK("https://klasma.github.io/Logging_2161/klagomål/A 34744-2024 FSC-klagomål.docx", "A 34744-2024")</f>
        <v/>
      </c>
      <c r="W256">
        <f>HYPERLINK("https://klasma.github.io/Logging_2161/klagomålsmail/A 34744-2024 FSC-klagomål mail.docx", "A 34744-2024")</f>
        <v/>
      </c>
      <c r="X256">
        <f>HYPERLINK("https://klasma.github.io/Logging_2161/tillsyn/A 34744-2024 tillsynsbegäran.docx", "A 34744-2024")</f>
        <v/>
      </c>
      <c r="Y256">
        <f>HYPERLINK("https://klasma.github.io/Logging_2161/tillsynsmail/A 34744-2024 tillsynsbegäran mail.docx", "A 34744-2024")</f>
        <v/>
      </c>
    </row>
    <row r="257" ht="15" customHeight="1">
      <c r="A257" t="inlineStr">
        <is>
          <t>A 34974-2024</t>
        </is>
      </c>
      <c r="B257" s="1" t="n">
        <v>45527</v>
      </c>
      <c r="C257" s="1" t="n">
        <v>45650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34974-2024 artfynd.xlsx", "A 34974-2024")</f>
        <v/>
      </c>
      <c r="T257">
        <f>HYPERLINK("https://klasma.github.io/Logging_2161/kartor/A 34974-2024 karta.png", "A 34974-2024")</f>
        <v/>
      </c>
      <c r="V257">
        <f>HYPERLINK("https://klasma.github.io/Logging_2161/klagomål/A 34974-2024 FSC-klagomål.docx", "A 34974-2024")</f>
        <v/>
      </c>
      <c r="W257">
        <f>HYPERLINK("https://klasma.github.io/Logging_2161/klagomålsmail/A 34974-2024 FSC-klagomål mail.docx", "A 34974-2024")</f>
        <v/>
      </c>
      <c r="X257">
        <f>HYPERLINK("https://klasma.github.io/Logging_2161/tillsyn/A 34974-2024 tillsynsbegäran.docx", "A 34974-2024")</f>
        <v/>
      </c>
      <c r="Y257">
        <f>HYPERLINK("https://klasma.github.io/Logging_2161/tillsynsmail/A 34974-2024 tillsynsbegäran mail.docx", "A 34974-2024")</f>
        <v/>
      </c>
    </row>
    <row r="258" ht="15" customHeight="1">
      <c r="A258" t="inlineStr">
        <is>
          <t>A 37090-2024</t>
        </is>
      </c>
      <c r="B258" s="1" t="n">
        <v>45539</v>
      </c>
      <c r="C258" s="1" t="n">
        <v>45650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Skrovellav</t>
        </is>
      </c>
      <c r="S258">
        <f>HYPERLINK("https://klasma.github.io/Logging_2161/artfynd/A 37090-2024 artfynd.xlsx", "A 37090-2024")</f>
        <v/>
      </c>
      <c r="T258">
        <f>HYPERLINK("https://klasma.github.io/Logging_2161/kartor/A 37090-2024 karta.png", "A 37090-2024")</f>
        <v/>
      </c>
      <c r="V258">
        <f>HYPERLINK("https://klasma.github.io/Logging_2161/klagomål/A 37090-2024 FSC-klagomål.docx", "A 37090-2024")</f>
        <v/>
      </c>
      <c r="W258">
        <f>HYPERLINK("https://klasma.github.io/Logging_2161/klagomålsmail/A 37090-2024 FSC-klagomål mail.docx", "A 37090-2024")</f>
        <v/>
      </c>
      <c r="X258">
        <f>HYPERLINK("https://klasma.github.io/Logging_2161/tillsyn/A 37090-2024 tillsynsbegäran.docx", "A 37090-2024")</f>
        <v/>
      </c>
      <c r="Y258">
        <f>HYPERLINK("https://klasma.github.io/Logging_2161/tillsynsmail/A 37090-2024 tillsynsbegäran mail.docx", "A 37090-2024")</f>
        <v/>
      </c>
    </row>
    <row r="259" ht="15" customHeight="1">
      <c r="A259" t="inlineStr">
        <is>
          <t>A 37435-2024</t>
        </is>
      </c>
      <c r="B259" s="1" t="n">
        <v>45540</v>
      </c>
      <c r="C259" s="1" t="n">
        <v>45650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HYPERLINK("https://klasma.github.io/Logging_2161/artfynd/A 37435-2024 artfynd.xlsx", "A 37435-2024")</f>
        <v/>
      </c>
      <c r="T259">
        <f>HYPERLINK("https://klasma.github.io/Logging_2161/kartor/A 37435-2024 karta.png", "A 37435-2024")</f>
        <v/>
      </c>
      <c r="V259">
        <f>HYPERLINK("https://klasma.github.io/Logging_2161/klagomål/A 37435-2024 FSC-klagomål.docx", "A 37435-2024")</f>
        <v/>
      </c>
      <c r="W259">
        <f>HYPERLINK("https://klasma.github.io/Logging_2161/klagomålsmail/A 37435-2024 FSC-klagomål mail.docx", "A 37435-2024")</f>
        <v/>
      </c>
      <c r="X259">
        <f>HYPERLINK("https://klasma.github.io/Logging_2161/tillsyn/A 37435-2024 tillsynsbegäran.docx", "A 37435-2024")</f>
        <v/>
      </c>
      <c r="Y259">
        <f>HYPERLINK("https://klasma.github.io/Logging_2161/tillsynsmail/A 37435-2024 tillsynsbegäran mail.docx", "A 37435-2024")</f>
        <v/>
      </c>
    </row>
    <row r="260" ht="15" customHeight="1">
      <c r="A260" t="inlineStr">
        <is>
          <t>A 38152-2024</t>
        </is>
      </c>
      <c r="B260" s="1" t="n">
        <v>45545</v>
      </c>
      <c r="C260" s="1" t="n">
        <v>45650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3.6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HYPERLINK("https://klasma.github.io/Logging_2161/artfynd/A 38152-2024 artfynd.xlsx", "A 38152-2024")</f>
        <v/>
      </c>
      <c r="T260">
        <f>HYPERLINK("https://klasma.github.io/Logging_2161/kartor/A 38152-2024 karta.png", "A 38152-2024")</f>
        <v/>
      </c>
      <c r="U260">
        <f>HYPERLINK("https://klasma.github.io/Logging_2161/knärot/A 38152-2024 karta knärot.png", "A 38152-2024")</f>
        <v/>
      </c>
      <c r="V260">
        <f>HYPERLINK("https://klasma.github.io/Logging_2161/klagomål/A 38152-2024 FSC-klagomål.docx", "A 38152-2024")</f>
        <v/>
      </c>
      <c r="W260">
        <f>HYPERLINK("https://klasma.github.io/Logging_2161/klagomålsmail/A 38152-2024 FSC-klagomål mail.docx", "A 38152-2024")</f>
        <v/>
      </c>
      <c r="X260">
        <f>HYPERLINK("https://klasma.github.io/Logging_2161/tillsyn/A 38152-2024 tillsynsbegäran.docx", "A 38152-2024")</f>
        <v/>
      </c>
      <c r="Y260">
        <f>HYPERLINK("https://klasma.github.io/Logging_2161/tillsynsmail/A 38152-2024 tillsynsbegäran mail.docx", "A 38152-2024")</f>
        <v/>
      </c>
    </row>
    <row r="261" ht="15" customHeight="1">
      <c r="A261" t="inlineStr">
        <is>
          <t>A 39024-2024</t>
        </is>
      </c>
      <c r="B261" s="1" t="n">
        <v>45548</v>
      </c>
      <c r="C261" s="1" t="n">
        <v>45650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17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39024-2024 artfynd.xlsx", "A 39024-2024")</f>
        <v/>
      </c>
      <c r="T261">
        <f>HYPERLINK("https://klasma.github.io/Logging_2161/kartor/A 39024-2024 karta.png", "A 39024-2024")</f>
        <v/>
      </c>
      <c r="V261">
        <f>HYPERLINK("https://klasma.github.io/Logging_2161/klagomål/A 39024-2024 FSC-klagomål.docx", "A 39024-2024")</f>
        <v/>
      </c>
      <c r="W261">
        <f>HYPERLINK("https://klasma.github.io/Logging_2161/klagomålsmail/A 39024-2024 FSC-klagomål mail.docx", "A 39024-2024")</f>
        <v/>
      </c>
      <c r="X261">
        <f>HYPERLINK("https://klasma.github.io/Logging_2161/tillsyn/A 39024-2024 tillsynsbegäran.docx", "A 39024-2024")</f>
        <v/>
      </c>
      <c r="Y261">
        <f>HYPERLINK("https://klasma.github.io/Logging_2161/tillsynsmail/A 39024-2024 tillsynsbegäran mail.docx", "A 39024-2024")</f>
        <v/>
      </c>
    </row>
    <row r="262" ht="15" customHeight="1">
      <c r="A262" t="inlineStr">
        <is>
          <t>A 39838-2024</t>
        </is>
      </c>
      <c r="B262" s="1" t="n">
        <v>45553</v>
      </c>
      <c r="C262" s="1" t="n">
        <v>45650</v>
      </c>
      <c r="D262" t="inlineStr">
        <is>
          <t>GÄVLEBORGS LÄN</t>
        </is>
      </c>
      <c r="E262" t="inlineStr">
        <is>
          <t>LJUSDAL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39838-2024 artfynd.xlsx", "A 39838-2024")</f>
        <v/>
      </c>
      <c r="T262">
        <f>HYPERLINK("https://klasma.github.io/Logging_2161/kartor/A 39838-2024 karta.png", "A 39838-2024")</f>
        <v/>
      </c>
      <c r="U262">
        <f>HYPERLINK("https://klasma.github.io/Logging_2161/knärot/A 39838-2024 karta knärot.png", "A 39838-2024")</f>
        <v/>
      </c>
      <c r="V262">
        <f>HYPERLINK("https://klasma.github.io/Logging_2161/klagomål/A 39838-2024 FSC-klagomål.docx", "A 39838-2024")</f>
        <v/>
      </c>
      <c r="W262">
        <f>HYPERLINK("https://klasma.github.io/Logging_2161/klagomålsmail/A 39838-2024 FSC-klagomål mail.docx", "A 39838-2024")</f>
        <v/>
      </c>
      <c r="X262">
        <f>HYPERLINK("https://klasma.github.io/Logging_2161/tillsyn/A 39838-2024 tillsynsbegäran.docx", "A 39838-2024")</f>
        <v/>
      </c>
      <c r="Y262">
        <f>HYPERLINK("https://klasma.github.io/Logging_2161/tillsynsmail/A 39838-2024 tillsynsbegäran mail.docx", "A 39838-2024")</f>
        <v/>
      </c>
    </row>
    <row r="263" ht="15" customHeight="1">
      <c r="A263" t="inlineStr">
        <is>
          <t>A 40904-2024</t>
        </is>
      </c>
      <c r="B263" s="1" t="n">
        <v>45558</v>
      </c>
      <c r="C263" s="1" t="n">
        <v>45650</v>
      </c>
      <c r="D263" t="inlineStr">
        <is>
          <t>GÄVLEBORGS LÄN</t>
        </is>
      </c>
      <c r="E263" t="inlineStr">
        <is>
          <t>LJUSDAL</t>
        </is>
      </c>
      <c r="G263" t="n">
        <v>10.9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40904-2024 artfynd.xlsx", "A 40904-2024")</f>
        <v/>
      </c>
      <c r="T263">
        <f>HYPERLINK("https://klasma.github.io/Logging_2161/kartor/A 40904-2024 karta.png", "A 40904-2024")</f>
        <v/>
      </c>
      <c r="U263">
        <f>HYPERLINK("https://klasma.github.io/Logging_2161/knärot/A 40904-2024 karta knärot.png", "A 40904-2024")</f>
        <v/>
      </c>
      <c r="V263">
        <f>HYPERLINK("https://klasma.github.io/Logging_2161/klagomål/A 40904-2024 FSC-klagomål.docx", "A 40904-2024")</f>
        <v/>
      </c>
      <c r="W263">
        <f>HYPERLINK("https://klasma.github.io/Logging_2161/klagomålsmail/A 40904-2024 FSC-klagomål mail.docx", "A 40904-2024")</f>
        <v/>
      </c>
      <c r="X263">
        <f>HYPERLINK("https://klasma.github.io/Logging_2161/tillsyn/A 40904-2024 tillsynsbegäran.docx", "A 40904-2024")</f>
        <v/>
      </c>
      <c r="Y263">
        <f>HYPERLINK("https://klasma.github.io/Logging_2161/tillsynsmail/A 40904-2024 tillsynsbegäran mail.docx", "A 40904-2024")</f>
        <v/>
      </c>
    </row>
    <row r="264" ht="15" customHeight="1">
      <c r="A264" t="inlineStr">
        <is>
          <t>A 41388-2024</t>
        </is>
      </c>
      <c r="B264" s="1" t="n">
        <v>45560</v>
      </c>
      <c r="C264" s="1" t="n">
        <v>45650</v>
      </c>
      <c r="D264" t="inlineStr">
        <is>
          <t>GÄVLEBORGS LÄN</t>
        </is>
      </c>
      <c r="E264" t="inlineStr">
        <is>
          <t>LJUSDAL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HYPERLINK("https://klasma.github.io/Logging_2161/artfynd/A 41388-2024 artfynd.xlsx", "A 41388-2024")</f>
        <v/>
      </c>
      <c r="T264">
        <f>HYPERLINK("https://klasma.github.io/Logging_2161/kartor/A 41388-2024 karta.png", "A 41388-2024")</f>
        <v/>
      </c>
      <c r="V264">
        <f>HYPERLINK("https://klasma.github.io/Logging_2161/klagomål/A 41388-2024 FSC-klagomål.docx", "A 41388-2024")</f>
        <v/>
      </c>
      <c r="W264">
        <f>HYPERLINK("https://klasma.github.io/Logging_2161/klagomålsmail/A 41388-2024 FSC-klagomål mail.docx", "A 41388-2024")</f>
        <v/>
      </c>
      <c r="X264">
        <f>HYPERLINK("https://klasma.github.io/Logging_2161/tillsyn/A 41388-2024 tillsynsbegäran.docx", "A 41388-2024")</f>
        <v/>
      </c>
      <c r="Y264">
        <f>HYPERLINK("https://klasma.github.io/Logging_2161/tillsynsmail/A 41388-2024 tillsynsbegäran mail.docx", "A 41388-2024")</f>
        <v/>
      </c>
    </row>
    <row r="265" ht="15" customHeight="1">
      <c r="A265" t="inlineStr">
        <is>
          <t>A 49862-2024</t>
        </is>
      </c>
      <c r="B265" s="1" t="n">
        <v>45597</v>
      </c>
      <c r="C265" s="1" t="n">
        <v>45650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8.800000000000001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Mindre vattensalamander</t>
        </is>
      </c>
      <c r="S265">
        <f>HYPERLINK("https://klasma.github.io/Logging_2161/artfynd/A 49862-2024 artfynd.xlsx", "A 49862-2024")</f>
        <v/>
      </c>
      <c r="T265">
        <f>HYPERLINK("https://klasma.github.io/Logging_2161/kartor/A 49862-2024 karta.png", "A 49862-2024")</f>
        <v/>
      </c>
      <c r="V265">
        <f>HYPERLINK("https://klasma.github.io/Logging_2161/klagomål/A 49862-2024 FSC-klagomål.docx", "A 49862-2024")</f>
        <v/>
      </c>
      <c r="W265">
        <f>HYPERLINK("https://klasma.github.io/Logging_2161/klagomålsmail/A 49862-2024 FSC-klagomål mail.docx", "A 49862-2024")</f>
        <v/>
      </c>
      <c r="X265">
        <f>HYPERLINK("https://klasma.github.io/Logging_2161/tillsyn/A 49862-2024 tillsynsbegäran.docx", "A 49862-2024")</f>
        <v/>
      </c>
      <c r="Y265">
        <f>HYPERLINK("https://klasma.github.io/Logging_2161/tillsynsmail/A 49862-2024 tillsynsbegäran mail.docx", "A 49862-2024")</f>
        <v/>
      </c>
    </row>
    <row r="266" ht="15" customHeight="1">
      <c r="A266" t="inlineStr">
        <is>
          <t>A 50164-2024</t>
        </is>
      </c>
      <c r="B266" s="1" t="n">
        <v>45600</v>
      </c>
      <c r="C266" s="1" t="n">
        <v>45650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6.5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50164-2024 artfynd.xlsx", "A 50164-2024")</f>
        <v/>
      </c>
      <c r="T266">
        <f>HYPERLINK("https://klasma.github.io/Logging_2161/kartor/A 50164-2024 karta.png", "A 50164-2024")</f>
        <v/>
      </c>
      <c r="V266">
        <f>HYPERLINK("https://klasma.github.io/Logging_2161/klagomål/A 50164-2024 FSC-klagomål.docx", "A 50164-2024")</f>
        <v/>
      </c>
      <c r="W266">
        <f>HYPERLINK("https://klasma.github.io/Logging_2161/klagomålsmail/A 50164-2024 FSC-klagomål mail.docx", "A 50164-2024")</f>
        <v/>
      </c>
      <c r="X266">
        <f>HYPERLINK("https://klasma.github.io/Logging_2161/tillsyn/A 50164-2024 tillsynsbegäran.docx", "A 50164-2024")</f>
        <v/>
      </c>
      <c r="Y266">
        <f>HYPERLINK("https://klasma.github.io/Logging_2161/tillsynsmail/A 50164-2024 tillsynsbegäran mail.docx", "A 50164-2024")</f>
        <v/>
      </c>
    </row>
    <row r="267" ht="15" customHeight="1">
      <c r="A267" t="inlineStr">
        <is>
          <t>A 55289-2024</t>
        </is>
      </c>
      <c r="B267" s="1" t="n">
        <v>45621</v>
      </c>
      <c r="C267" s="1" t="n">
        <v>45650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55289-2024 artfynd.xlsx", "A 55289-2024")</f>
        <v/>
      </c>
      <c r="T267">
        <f>HYPERLINK("https://klasma.github.io/Logging_2161/kartor/A 55289-2024 karta.png", "A 55289-2024")</f>
        <v/>
      </c>
      <c r="V267">
        <f>HYPERLINK("https://klasma.github.io/Logging_2161/klagomål/A 55289-2024 FSC-klagomål.docx", "A 55289-2024")</f>
        <v/>
      </c>
      <c r="W267">
        <f>HYPERLINK("https://klasma.github.io/Logging_2161/klagomålsmail/A 55289-2024 FSC-klagomål mail.docx", "A 55289-2024")</f>
        <v/>
      </c>
      <c r="X267">
        <f>HYPERLINK("https://klasma.github.io/Logging_2161/tillsyn/A 55289-2024 tillsynsbegäran.docx", "A 55289-2024")</f>
        <v/>
      </c>
      <c r="Y267">
        <f>HYPERLINK("https://klasma.github.io/Logging_2161/tillsynsmail/A 55289-2024 tillsynsbegäran mail.docx", "A 55289-2024")</f>
        <v/>
      </c>
    </row>
    <row r="268" ht="15" customHeight="1">
      <c r="A268" t="inlineStr">
        <is>
          <t>A 55326-2024</t>
        </is>
      </c>
      <c r="B268" s="1" t="n">
        <v>45621</v>
      </c>
      <c r="C268" s="1" t="n">
        <v>45650</v>
      </c>
      <c r="D268" t="inlineStr">
        <is>
          <t>GÄVLEBORGS LÄN</t>
        </is>
      </c>
      <c r="E268" t="inlineStr">
        <is>
          <t>LJUSDAL</t>
        </is>
      </c>
      <c r="G268" t="n">
        <v>11.1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Vedskivlav</t>
        </is>
      </c>
      <c r="S268">
        <f>HYPERLINK("https://klasma.github.io/Logging_2161/artfynd/A 55326-2024 artfynd.xlsx", "A 55326-2024")</f>
        <v/>
      </c>
      <c r="T268">
        <f>HYPERLINK("https://klasma.github.io/Logging_2161/kartor/A 55326-2024 karta.png", "A 55326-2024")</f>
        <v/>
      </c>
      <c r="U268">
        <f>HYPERLINK("https://klasma.github.io/Logging_2161/knärot/A 55326-2024 karta knärot.png", "A 55326-2024")</f>
        <v/>
      </c>
      <c r="V268">
        <f>HYPERLINK("https://klasma.github.io/Logging_2161/klagomål/A 55326-2024 FSC-klagomål.docx", "A 55326-2024")</f>
        <v/>
      </c>
      <c r="W268">
        <f>HYPERLINK("https://klasma.github.io/Logging_2161/klagomålsmail/A 55326-2024 FSC-klagomål mail.docx", "A 55326-2024")</f>
        <v/>
      </c>
      <c r="X268">
        <f>HYPERLINK("https://klasma.github.io/Logging_2161/tillsyn/A 55326-2024 tillsynsbegäran.docx", "A 55326-2024")</f>
        <v/>
      </c>
      <c r="Y268">
        <f>HYPERLINK("https://klasma.github.io/Logging_2161/tillsynsmail/A 55326-2024 tillsynsbegäran mail.docx", "A 55326-2024")</f>
        <v/>
      </c>
    </row>
    <row r="269" ht="15" customHeight="1">
      <c r="A269" t="inlineStr">
        <is>
          <t>A 58575-2024</t>
        </is>
      </c>
      <c r="B269" s="1" t="n">
        <v>45635</v>
      </c>
      <c r="C269" s="1" t="n">
        <v>45650</v>
      </c>
      <c r="D269" t="inlineStr">
        <is>
          <t>GÄVLEBORGS LÄN</t>
        </is>
      </c>
      <c r="E269" t="inlineStr">
        <is>
          <t>LJUSDAL</t>
        </is>
      </c>
      <c r="F269" t="inlineStr">
        <is>
          <t>Allmännings- och besparingsskogar</t>
        </is>
      </c>
      <c r="G269" t="n">
        <v>9.4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Kungsörn</t>
        </is>
      </c>
      <c r="S269">
        <f>HYPERLINK("https://klasma.github.io/Logging_2161/artfynd/A 58575-2024 artfynd.xlsx", "A 58575-2024")</f>
        <v/>
      </c>
      <c r="T269">
        <f>HYPERLINK("https://klasma.github.io/Logging_2161/kartor/A 58575-2024 karta.png", "A 58575-2024")</f>
        <v/>
      </c>
      <c r="V269">
        <f>HYPERLINK("https://klasma.github.io/Logging_2161/klagomål/A 58575-2024 FSC-klagomål.docx", "A 58575-2024")</f>
        <v/>
      </c>
      <c r="W269">
        <f>HYPERLINK("https://klasma.github.io/Logging_2161/klagomålsmail/A 58575-2024 FSC-klagomål mail.docx", "A 58575-2024")</f>
        <v/>
      </c>
      <c r="X269">
        <f>HYPERLINK("https://klasma.github.io/Logging_2161/tillsyn/A 58575-2024 tillsynsbegäran.docx", "A 58575-2024")</f>
        <v/>
      </c>
      <c r="Y269">
        <f>HYPERLINK("https://klasma.github.io/Logging_2161/tillsynsmail/A 58575-2024 tillsynsbegäran mail.docx", "A 58575-2024")</f>
        <v/>
      </c>
      <c r="Z269">
        <f>HYPERLINK("https://klasma.github.io/Logging_2161/fåglar/A 58575-2024 prioriterade fågelarter.docx", "A 58575-2024")</f>
        <v/>
      </c>
    </row>
    <row r="270" ht="15" customHeight="1">
      <c r="A270" t="inlineStr">
        <is>
          <t>A 17979-2019</t>
        </is>
      </c>
      <c r="B270" s="1" t="n">
        <v>43557</v>
      </c>
      <c r="C270" s="1" t="n">
        <v>45650</v>
      </c>
      <c r="D270" t="inlineStr">
        <is>
          <t>GÄVLEBORGS LÄN</t>
        </is>
      </c>
      <c r="E270" t="inlineStr">
        <is>
          <t>LJUSDAL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18020-2019</t>
        </is>
      </c>
      <c r="B271" s="1" t="n">
        <v>43557</v>
      </c>
      <c r="C271" s="1" t="n">
        <v>45650</v>
      </c>
      <c r="D271" t="inlineStr">
        <is>
          <t>GÄVLEBORGS LÄN</t>
        </is>
      </c>
      <c r="E271" t="inlineStr">
        <is>
          <t>LJUSDAL</t>
        </is>
      </c>
      <c r="F271" t="inlineStr">
        <is>
          <t>Kyrkan</t>
        </is>
      </c>
      <c r="G271" t="n">
        <v>43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21091-2019</t>
        </is>
      </c>
      <c r="B272" s="1" t="n">
        <v>43578</v>
      </c>
      <c r="C272" s="1" t="n">
        <v>45650</v>
      </c>
      <c r="D272" t="inlineStr">
        <is>
          <t>GÄVLEBORGS LÄN</t>
        </is>
      </c>
      <c r="E272" t="inlineStr">
        <is>
          <t>LJUSDAL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HYPERLINK("https://klasma.github.io/Logging_2161/knärot/A 21091-2019 karta knärot.png", "A 21091-2019")</f>
        <v/>
      </c>
      <c r="V272">
        <f>HYPERLINK("https://klasma.github.io/Logging_2161/klagomål/A 21091-2019 FSC-klagomål.docx", "A 21091-2019")</f>
        <v/>
      </c>
      <c r="W272">
        <f>HYPERLINK("https://klasma.github.io/Logging_2161/klagomålsmail/A 21091-2019 FSC-klagomål mail.docx", "A 21091-2019")</f>
        <v/>
      </c>
      <c r="X272">
        <f>HYPERLINK("https://klasma.github.io/Logging_2161/tillsyn/A 21091-2019 tillsynsbegäran.docx", "A 21091-2019")</f>
        <v/>
      </c>
      <c r="Y272">
        <f>HYPERLINK("https://klasma.github.io/Logging_2161/tillsynsmail/A 21091-2019 tillsynsbegäran mail.docx", "A 21091-2019")</f>
        <v/>
      </c>
    </row>
    <row r="273" ht="15" customHeight="1">
      <c r="A273" t="inlineStr">
        <is>
          <t>A 21761-2019</t>
        </is>
      </c>
      <c r="B273" s="1" t="n">
        <v>43581</v>
      </c>
      <c r="C273" s="1" t="n">
        <v>45650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21836-2019</t>
        </is>
      </c>
      <c r="B274" s="1" t="n">
        <v>43584</v>
      </c>
      <c r="C274" s="1" t="n">
        <v>45650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24505-2019</t>
        </is>
      </c>
      <c r="B275" s="1" t="n">
        <v>43600</v>
      </c>
      <c r="C275" s="1" t="n">
        <v>45650</v>
      </c>
      <c r="D275" t="inlineStr">
        <is>
          <t>GÄVLEBORGS LÄN</t>
        </is>
      </c>
      <c r="E275" t="inlineStr">
        <is>
          <t>LJUSDAL</t>
        </is>
      </c>
      <c r="F275" t="inlineStr">
        <is>
          <t>Kyrkan</t>
        </is>
      </c>
      <c r="G275" t="n">
        <v>43.9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24504-2019</t>
        </is>
      </c>
      <c r="B276" s="1" t="n">
        <v>43600</v>
      </c>
      <c r="C276" s="1" t="n">
        <v>45650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24728-2019</t>
        </is>
      </c>
      <c r="B277" s="1" t="n">
        <v>43601</v>
      </c>
      <c r="C277" s="1" t="n">
        <v>45650</v>
      </c>
      <c r="D277" t="inlineStr">
        <is>
          <t>GÄVLEBORGS LÄN</t>
        </is>
      </c>
      <c r="E277" t="inlineStr">
        <is>
          <t>LJUSDAL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24715-2019</t>
        </is>
      </c>
      <c r="B278" s="1" t="n">
        <v>43601</v>
      </c>
      <c r="C278" s="1" t="n">
        <v>45650</v>
      </c>
      <c r="D278" t="inlineStr">
        <is>
          <t>GÄVLEBORGS LÄN</t>
        </is>
      </c>
      <c r="E278" t="inlineStr">
        <is>
          <t>LJUSDAL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26079-2019</t>
        </is>
      </c>
      <c r="B279" s="1" t="n">
        <v>43605</v>
      </c>
      <c r="C279" s="1" t="n">
        <v>45650</v>
      </c>
      <c r="D279" t="inlineStr">
        <is>
          <t>GÄVLEBORGS LÄN</t>
        </is>
      </c>
      <c r="E279" t="inlineStr">
        <is>
          <t>LJUSDAL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25597-2019</t>
        </is>
      </c>
      <c r="B280" s="1" t="n">
        <v>43607</v>
      </c>
      <c r="C280" s="1" t="n">
        <v>45650</v>
      </c>
      <c r="D280" t="inlineStr">
        <is>
          <t>GÄVLEBORGS LÄN</t>
        </is>
      </c>
      <c r="E280" t="inlineStr">
        <is>
          <t>LJUSDAL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26451-2019</t>
        </is>
      </c>
      <c r="B281" s="1" t="n">
        <v>43612</v>
      </c>
      <c r="C281" s="1" t="n">
        <v>45650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26840-2019</t>
        </is>
      </c>
      <c r="B282" s="1" t="n">
        <v>43613</v>
      </c>
      <c r="C282" s="1" t="n">
        <v>45650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27298-2019</t>
        </is>
      </c>
      <c r="B283" s="1" t="n">
        <v>43616</v>
      </c>
      <c r="C283" s="1" t="n">
        <v>45650</v>
      </c>
      <c r="D283" t="inlineStr">
        <is>
          <t>GÄVLEBORGS LÄN</t>
        </is>
      </c>
      <c r="E283" t="inlineStr">
        <is>
          <t>LJUSDAL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27477-2019</t>
        </is>
      </c>
      <c r="B284" s="1" t="n">
        <v>43619</v>
      </c>
      <c r="C284" s="1" t="n">
        <v>45650</v>
      </c>
      <c r="D284" t="inlineStr">
        <is>
          <t>GÄVLEBORGS LÄN</t>
        </is>
      </c>
      <c r="E284" t="inlineStr">
        <is>
          <t>LJUSDAL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27493-2019</t>
        </is>
      </c>
      <c r="B285" s="1" t="n">
        <v>43619</v>
      </c>
      <c r="C285" s="1" t="n">
        <v>45650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33.6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27506-2019</t>
        </is>
      </c>
      <c r="B286" s="1" t="n">
        <v>43619</v>
      </c>
      <c r="C286" s="1" t="n">
        <v>45650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25.6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27558-2019</t>
        </is>
      </c>
      <c r="B287" s="1" t="n">
        <v>43619</v>
      </c>
      <c r="C287" s="1" t="n">
        <v>45650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27784-2019</t>
        </is>
      </c>
      <c r="B288" s="1" t="n">
        <v>43620</v>
      </c>
      <c r="C288" s="1" t="n">
        <v>45650</v>
      </c>
      <c r="D288" t="inlineStr">
        <is>
          <t>GÄVLEBORGS LÄN</t>
        </is>
      </c>
      <c r="E288" t="inlineStr">
        <is>
          <t>LJUSDAL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28542-2019</t>
        </is>
      </c>
      <c r="B289" s="1" t="n">
        <v>43626</v>
      </c>
      <c r="C289" s="1" t="n">
        <v>45650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28545-2019</t>
        </is>
      </c>
      <c r="B290" s="1" t="n">
        <v>43626</v>
      </c>
      <c r="C290" s="1" t="n">
        <v>45650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28875-2019</t>
        </is>
      </c>
      <c r="B291" s="1" t="n">
        <v>43628</v>
      </c>
      <c r="C291" s="1" t="n">
        <v>45650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29044-2019</t>
        </is>
      </c>
      <c r="B292" s="1" t="n">
        <v>43628</v>
      </c>
      <c r="C292" s="1" t="n">
        <v>45650</v>
      </c>
      <c r="D292" t="inlineStr">
        <is>
          <t>GÄVLEBORGS LÄN</t>
        </is>
      </c>
      <c r="E292" t="inlineStr">
        <is>
          <t>LJUSDAL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29660-2019</t>
        </is>
      </c>
      <c r="B293" s="1" t="n">
        <v>43628</v>
      </c>
      <c r="C293" s="1" t="n">
        <v>45650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29267-2019</t>
        </is>
      </c>
      <c r="B294" s="1" t="n">
        <v>43629</v>
      </c>
      <c r="C294" s="1" t="n">
        <v>45650</v>
      </c>
      <c r="D294" t="inlineStr">
        <is>
          <t>GÄVLEBORGS LÄN</t>
        </is>
      </c>
      <c r="E294" t="inlineStr">
        <is>
          <t>LJUSDAL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29414-2019</t>
        </is>
      </c>
      <c r="B295" s="1" t="n">
        <v>43629</v>
      </c>
      <c r="C295" s="1" t="n">
        <v>45650</v>
      </c>
      <c r="D295" t="inlineStr">
        <is>
          <t>GÄVLEBORGS LÄN</t>
        </is>
      </c>
      <c r="E295" t="inlineStr">
        <is>
          <t>LJUSDAL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29590-2019</t>
        </is>
      </c>
      <c r="B296" s="1" t="n">
        <v>43630</v>
      </c>
      <c r="C296" s="1" t="n">
        <v>45650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29559-2019</t>
        </is>
      </c>
      <c r="B297" s="1" t="n">
        <v>43630</v>
      </c>
      <c r="C297" s="1" t="n">
        <v>45650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29525-2019</t>
        </is>
      </c>
      <c r="B298" s="1" t="n">
        <v>43630</v>
      </c>
      <c r="C298" s="1" t="n">
        <v>45650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30727-2019</t>
        </is>
      </c>
      <c r="B299" s="1" t="n">
        <v>43636</v>
      </c>
      <c r="C299" s="1" t="n">
        <v>45650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31812-2019</t>
        </is>
      </c>
      <c r="B300" s="1" t="n">
        <v>43641</v>
      </c>
      <c r="C300" s="1" t="n">
        <v>45650</v>
      </c>
      <c r="D300" t="inlineStr">
        <is>
          <t>GÄVLEBORGS LÄN</t>
        </is>
      </c>
      <c r="E300" t="inlineStr">
        <is>
          <t>LJUSDAL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31769-2019</t>
        </is>
      </c>
      <c r="B301" s="1" t="n">
        <v>43642</v>
      </c>
      <c r="C301" s="1" t="n">
        <v>45650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14.4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31843-2019</t>
        </is>
      </c>
      <c r="B302" s="1" t="n">
        <v>43642</v>
      </c>
      <c r="C302" s="1" t="n">
        <v>45650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32436-2019</t>
        </is>
      </c>
      <c r="B303" s="1" t="n">
        <v>43644</v>
      </c>
      <c r="C303" s="1" t="n">
        <v>45650</v>
      </c>
      <c r="D303" t="inlineStr">
        <is>
          <t>GÄVLEBORGS LÄN</t>
        </is>
      </c>
      <c r="E303" t="inlineStr">
        <is>
          <t>LJUSDAL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33306-2019</t>
        </is>
      </c>
      <c r="B304" s="1" t="n">
        <v>43650</v>
      </c>
      <c r="C304" s="1" t="n">
        <v>45650</v>
      </c>
      <c r="D304" t="inlineStr">
        <is>
          <t>GÄVLEBORGS LÄN</t>
        </is>
      </c>
      <c r="E304" t="inlineStr">
        <is>
          <t>LJUSDAL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33661-2019</t>
        </is>
      </c>
      <c r="B305" s="1" t="n">
        <v>43651</v>
      </c>
      <c r="C305" s="1" t="n">
        <v>45650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33662-2019</t>
        </is>
      </c>
      <c r="B306" s="1" t="n">
        <v>43651</v>
      </c>
      <c r="C306" s="1" t="n">
        <v>45650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34197-2019</t>
        </is>
      </c>
      <c r="B307" s="1" t="n">
        <v>43655</v>
      </c>
      <c r="C307" s="1" t="n">
        <v>45650</v>
      </c>
      <c r="D307" t="inlineStr">
        <is>
          <t>GÄVLEBORGS LÄN</t>
        </is>
      </c>
      <c r="E307" t="inlineStr">
        <is>
          <t>LJUSDAL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34398-2019</t>
        </is>
      </c>
      <c r="B308" s="1" t="n">
        <v>43656</v>
      </c>
      <c r="C308" s="1" t="n">
        <v>45650</v>
      </c>
      <c r="D308" t="inlineStr">
        <is>
          <t>GÄVLEBORGS LÄN</t>
        </is>
      </c>
      <c r="E308" t="inlineStr">
        <is>
          <t>LJUSDAL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35016-2019</t>
        </is>
      </c>
      <c r="B309" s="1" t="n">
        <v>43661</v>
      </c>
      <c r="C309" s="1" t="n">
        <v>45650</v>
      </c>
      <c r="D309" t="inlineStr">
        <is>
          <t>GÄVLEBORGS LÄN</t>
        </is>
      </c>
      <c r="E309" t="inlineStr">
        <is>
          <t>LJUSDAL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35034-2019</t>
        </is>
      </c>
      <c r="B310" s="1" t="n">
        <v>43661</v>
      </c>
      <c r="C310" s="1" t="n">
        <v>45650</v>
      </c>
      <c r="D310" t="inlineStr">
        <is>
          <t>GÄVLEBORGS LÄN</t>
        </is>
      </c>
      <c r="E310" t="inlineStr">
        <is>
          <t>LJUSDAL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35107-2019</t>
        </is>
      </c>
      <c r="B311" s="1" t="n">
        <v>43661</v>
      </c>
      <c r="C311" s="1" t="n">
        <v>45650</v>
      </c>
      <c r="D311" t="inlineStr">
        <is>
          <t>GÄVLEBORGS LÄN</t>
        </is>
      </c>
      <c r="E311" t="inlineStr">
        <is>
          <t>LJUSDAL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35295-2019</t>
        </is>
      </c>
      <c r="B312" s="1" t="n">
        <v>43662</v>
      </c>
      <c r="C312" s="1" t="n">
        <v>45650</v>
      </c>
      <c r="D312" t="inlineStr">
        <is>
          <t>GÄVLEBORGS LÄN</t>
        </is>
      </c>
      <c r="E312" t="inlineStr">
        <is>
          <t>LJUSDAL</t>
        </is>
      </c>
      <c r="F312" t="inlineStr">
        <is>
          <t>Kommuner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35347-2019</t>
        </is>
      </c>
      <c r="B313" s="1" t="n">
        <v>43663</v>
      </c>
      <c r="C313" s="1" t="n">
        <v>45650</v>
      </c>
      <c r="D313" t="inlineStr">
        <is>
          <t>GÄVLEBORGS LÄN</t>
        </is>
      </c>
      <c r="E313" t="inlineStr">
        <is>
          <t>LJUSDAL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35354-2019</t>
        </is>
      </c>
      <c r="B314" s="1" t="n">
        <v>43663</v>
      </c>
      <c r="C314" s="1" t="n">
        <v>45650</v>
      </c>
      <c r="D314" t="inlineStr">
        <is>
          <t>GÄVLEBORGS LÄN</t>
        </is>
      </c>
      <c r="E314" t="inlineStr">
        <is>
          <t>LJUSDAL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35805-2019</t>
        </is>
      </c>
      <c r="B315" s="1" t="n">
        <v>43665</v>
      </c>
      <c r="C315" s="1" t="n">
        <v>45650</v>
      </c>
      <c r="D315" t="inlineStr">
        <is>
          <t>GÄVLEBORGS LÄN</t>
        </is>
      </c>
      <c r="E315" t="inlineStr">
        <is>
          <t>LJUSDAL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35859-2019</t>
        </is>
      </c>
      <c r="B316" s="1" t="n">
        <v>43665</v>
      </c>
      <c r="C316" s="1" t="n">
        <v>45650</v>
      </c>
      <c r="D316" t="inlineStr">
        <is>
          <t>GÄVLEBORGS LÄN</t>
        </is>
      </c>
      <c r="E316" t="inlineStr">
        <is>
          <t>LJUSDAL</t>
        </is>
      </c>
      <c r="F316" t="inlineStr">
        <is>
          <t>Kommuner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36040-2019</t>
        </is>
      </c>
      <c r="B317" s="1" t="n">
        <v>43668</v>
      </c>
      <c r="C317" s="1" t="n">
        <v>45650</v>
      </c>
      <c r="D317" t="inlineStr">
        <is>
          <t>GÄVLEBORGS LÄN</t>
        </is>
      </c>
      <c r="E317" t="inlineStr">
        <is>
          <t>LJUSDAL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36190-2019</t>
        </is>
      </c>
      <c r="B318" s="1" t="n">
        <v>43669</v>
      </c>
      <c r="C318" s="1" t="n">
        <v>45650</v>
      </c>
      <c r="D318" t="inlineStr">
        <is>
          <t>GÄVLEBORGS LÄN</t>
        </is>
      </c>
      <c r="E318" t="inlineStr">
        <is>
          <t>LJUSDAL</t>
        </is>
      </c>
      <c r="G318" t="n">
        <v>53.2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37326-2019</t>
        </is>
      </c>
      <c r="B319" s="1" t="n">
        <v>43677</v>
      </c>
      <c r="C319" s="1" t="n">
        <v>45650</v>
      </c>
      <c r="D319" t="inlineStr">
        <is>
          <t>GÄVLEBORGS LÄN</t>
        </is>
      </c>
      <c r="E319" t="inlineStr">
        <is>
          <t>LJUSDAL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37676-2019</t>
        </is>
      </c>
      <c r="B320" s="1" t="n">
        <v>43679</v>
      </c>
      <c r="C320" s="1" t="n">
        <v>45650</v>
      </c>
      <c r="D320" t="inlineStr">
        <is>
          <t>GÄVLEBORGS LÄN</t>
        </is>
      </c>
      <c r="E320" t="inlineStr">
        <is>
          <t>LJUSDAL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37537-2019</t>
        </is>
      </c>
      <c r="B321" s="1" t="n">
        <v>43679</v>
      </c>
      <c r="C321" s="1" t="n">
        <v>45650</v>
      </c>
      <c r="D321" t="inlineStr">
        <is>
          <t>GÄVLEBORGS LÄN</t>
        </is>
      </c>
      <c r="E321" t="inlineStr">
        <is>
          <t>LJUSDAL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38756-2019</t>
        </is>
      </c>
      <c r="B322" s="1" t="n">
        <v>43686</v>
      </c>
      <c r="C322" s="1" t="n">
        <v>45650</v>
      </c>
      <c r="D322" t="inlineStr">
        <is>
          <t>GÄVLEBORGS LÄN</t>
        </is>
      </c>
      <c r="E322" t="inlineStr">
        <is>
          <t>LJUSDAL</t>
        </is>
      </c>
      <c r="G322" t="n">
        <v>51.7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40196-2019</t>
        </is>
      </c>
      <c r="B323" s="1" t="n">
        <v>43691</v>
      </c>
      <c r="C323" s="1" t="n">
        <v>45650</v>
      </c>
      <c r="D323" t="inlineStr">
        <is>
          <t>GÄVLEBORGS LÄN</t>
        </is>
      </c>
      <c r="E323" t="inlineStr">
        <is>
          <t>LJUSDAL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39762-2019</t>
        </is>
      </c>
      <c r="B324" s="1" t="n">
        <v>43692</v>
      </c>
      <c r="C324" s="1" t="n">
        <v>45650</v>
      </c>
      <c r="D324" t="inlineStr">
        <is>
          <t>GÄVLEBORGS LÄN</t>
        </is>
      </c>
      <c r="E324" t="inlineStr">
        <is>
          <t>LJUSDAL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40184-2019</t>
        </is>
      </c>
      <c r="B325" s="1" t="n">
        <v>43693</v>
      </c>
      <c r="C325" s="1" t="n">
        <v>45650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40190-2019</t>
        </is>
      </c>
      <c r="B326" s="1" t="n">
        <v>43693</v>
      </c>
      <c r="C326" s="1" t="n">
        <v>45650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40071-2019</t>
        </is>
      </c>
      <c r="B327" s="1" t="n">
        <v>43693</v>
      </c>
      <c r="C327" s="1" t="n">
        <v>45650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40707-2019</t>
        </is>
      </c>
      <c r="B328" s="1" t="n">
        <v>43697</v>
      </c>
      <c r="C328" s="1" t="n">
        <v>45650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41111-2019</t>
        </is>
      </c>
      <c r="B329" s="1" t="n">
        <v>43698</v>
      </c>
      <c r="C329" s="1" t="n">
        <v>45650</v>
      </c>
      <c r="D329" t="inlineStr">
        <is>
          <t>GÄVLEBORGS LÄN</t>
        </is>
      </c>
      <c r="E329" t="inlineStr">
        <is>
          <t>LJUSDAL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41212-2019</t>
        </is>
      </c>
      <c r="B330" s="1" t="n">
        <v>43698</v>
      </c>
      <c r="C330" s="1" t="n">
        <v>45650</v>
      </c>
      <c r="D330" t="inlineStr">
        <is>
          <t>GÄVLEBORGS LÄN</t>
        </is>
      </c>
      <c r="E330" t="inlineStr">
        <is>
          <t>LJUSDAL</t>
        </is>
      </c>
      <c r="F330" t="inlineStr">
        <is>
          <t>Allmännings- och besparingsskogar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41917-2019</t>
        </is>
      </c>
      <c r="B331" s="1" t="n">
        <v>43700</v>
      </c>
      <c r="C331" s="1" t="n">
        <v>45650</v>
      </c>
      <c r="D331" t="inlineStr">
        <is>
          <t>GÄVLEBORGS LÄN</t>
        </is>
      </c>
      <c r="E331" t="inlineStr">
        <is>
          <t>LJUSDAL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44374-2019</t>
        </is>
      </c>
      <c r="B332" s="1" t="n">
        <v>43700</v>
      </c>
      <c r="C332" s="1" t="n">
        <v>45650</v>
      </c>
      <c r="D332" t="inlineStr">
        <is>
          <t>GÄVLEBORGS LÄN</t>
        </is>
      </c>
      <c r="E332" t="inlineStr">
        <is>
          <t>LJUSDAL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41852-2019</t>
        </is>
      </c>
      <c r="B333" s="1" t="n">
        <v>43700</v>
      </c>
      <c r="C333" s="1" t="n">
        <v>45650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42445-2019</t>
        </is>
      </c>
      <c r="B334" s="1" t="n">
        <v>43704</v>
      </c>
      <c r="C334" s="1" t="n">
        <v>45650</v>
      </c>
      <c r="D334" t="inlineStr">
        <is>
          <t>GÄVLEBORGS LÄN</t>
        </is>
      </c>
      <c r="E334" t="inlineStr">
        <is>
          <t>LJUSDAL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42868-2019</t>
        </is>
      </c>
      <c r="B335" s="1" t="n">
        <v>43705</v>
      </c>
      <c r="C335" s="1" t="n">
        <v>45650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44275-2019</t>
        </is>
      </c>
      <c r="B336" s="1" t="n">
        <v>43710</v>
      </c>
      <c r="C336" s="1" t="n">
        <v>45650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25.1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44066-2019</t>
        </is>
      </c>
      <c r="B337" s="1" t="n">
        <v>43710</v>
      </c>
      <c r="C337" s="1" t="n">
        <v>45650</v>
      </c>
      <c r="D337" t="inlineStr">
        <is>
          <t>GÄVLEBORGS LÄN</t>
        </is>
      </c>
      <c r="E337" t="inlineStr">
        <is>
          <t>LJUSDAL</t>
        </is>
      </c>
      <c r="F337" t="inlineStr">
        <is>
          <t>Holmen skog AB</t>
        </is>
      </c>
      <c r="G337" t="n">
        <v>19.6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44062-2019</t>
        </is>
      </c>
      <c r="B338" s="1" t="n">
        <v>43710</v>
      </c>
      <c r="C338" s="1" t="n">
        <v>45650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44847-2019</t>
        </is>
      </c>
      <c r="B339" s="1" t="n">
        <v>43712</v>
      </c>
      <c r="C339" s="1" t="n">
        <v>45650</v>
      </c>
      <c r="D339" t="inlineStr">
        <is>
          <t>GÄVLEBORGS LÄN</t>
        </is>
      </c>
      <c r="E339" t="inlineStr">
        <is>
          <t>LJUSDAL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44904-2019</t>
        </is>
      </c>
      <c r="B340" s="1" t="n">
        <v>43713</v>
      </c>
      <c r="C340" s="1" t="n">
        <v>45650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45451-2019</t>
        </is>
      </c>
      <c r="B341" s="1" t="n">
        <v>43714</v>
      </c>
      <c r="C341" s="1" t="n">
        <v>45650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45450-2019</t>
        </is>
      </c>
      <c r="B342" s="1" t="n">
        <v>43714</v>
      </c>
      <c r="C342" s="1" t="n">
        <v>45650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45808-2019</t>
        </is>
      </c>
      <c r="B343" s="1" t="n">
        <v>43717</v>
      </c>
      <c r="C343" s="1" t="n">
        <v>45650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46408-2019</t>
        </is>
      </c>
      <c r="B344" s="1" t="n">
        <v>43719</v>
      </c>
      <c r="C344" s="1" t="n">
        <v>45650</v>
      </c>
      <c r="D344" t="inlineStr">
        <is>
          <t>GÄVLEBORGS LÄN</t>
        </is>
      </c>
      <c r="E344" t="inlineStr">
        <is>
          <t>LJUSDAL</t>
        </is>
      </c>
      <c r="F344" t="inlineStr">
        <is>
          <t>Bergvik skog väst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46773-2019</t>
        </is>
      </c>
      <c r="B345" s="1" t="n">
        <v>43720</v>
      </c>
      <c r="C345" s="1" t="n">
        <v>45650</v>
      </c>
      <c r="D345" t="inlineStr">
        <is>
          <t>GÄVLEBORGS LÄN</t>
        </is>
      </c>
      <c r="E345" t="inlineStr">
        <is>
          <t>LJUSDAL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47326-2019</t>
        </is>
      </c>
      <c r="B346" s="1" t="n">
        <v>43721</v>
      </c>
      <c r="C346" s="1" t="n">
        <v>45650</v>
      </c>
      <c r="D346" t="inlineStr">
        <is>
          <t>GÄVLEBORGS LÄN</t>
        </is>
      </c>
      <c r="E346" t="inlineStr">
        <is>
          <t>LJUSDAL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47329-2019</t>
        </is>
      </c>
      <c r="B347" s="1" t="n">
        <v>43721</v>
      </c>
      <c r="C347" s="1" t="n">
        <v>45650</v>
      </c>
      <c r="D347" t="inlineStr">
        <is>
          <t>GÄVLEBORGS LÄN</t>
        </is>
      </c>
      <c r="E347" t="inlineStr">
        <is>
          <t>LJUSDAL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47449-2019</t>
        </is>
      </c>
      <c r="B348" s="1" t="n">
        <v>43721</v>
      </c>
      <c r="C348" s="1" t="n">
        <v>45650</v>
      </c>
      <c r="D348" t="inlineStr">
        <is>
          <t>GÄVLEBORGS LÄN</t>
        </is>
      </c>
      <c r="E348" t="inlineStr">
        <is>
          <t>LJUSDAL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48379-2019</t>
        </is>
      </c>
      <c r="B349" s="1" t="n">
        <v>43726</v>
      </c>
      <c r="C349" s="1" t="n">
        <v>45650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48375-2019</t>
        </is>
      </c>
      <c r="B350" s="1" t="n">
        <v>43726</v>
      </c>
      <c r="C350" s="1" t="n">
        <v>45650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48467-2019</t>
        </is>
      </c>
      <c r="B351" s="1" t="n">
        <v>43727</v>
      </c>
      <c r="C351" s="1" t="n">
        <v>45650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48914-2019</t>
        </is>
      </c>
      <c r="B352" s="1" t="n">
        <v>43728</v>
      </c>
      <c r="C352" s="1" t="n">
        <v>45650</v>
      </c>
      <c r="D352" t="inlineStr">
        <is>
          <t>GÄVLEBORGS LÄN</t>
        </is>
      </c>
      <c r="E352" t="inlineStr">
        <is>
          <t>LJUSDAL</t>
        </is>
      </c>
      <c r="F352" t="inlineStr">
        <is>
          <t>Holmen skog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49108-2019</t>
        </is>
      </c>
      <c r="B353" s="1" t="n">
        <v>43731</v>
      </c>
      <c r="C353" s="1" t="n">
        <v>45650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50311-2019</t>
        </is>
      </c>
      <c r="B354" s="1" t="n">
        <v>43731</v>
      </c>
      <c r="C354" s="1" t="n">
        <v>45650</v>
      </c>
      <c r="D354" t="inlineStr">
        <is>
          <t>GÄVLEBORGS LÄN</t>
        </is>
      </c>
      <c r="E354" t="inlineStr">
        <is>
          <t>LJUSDAL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49492-2019</t>
        </is>
      </c>
      <c r="B355" s="1" t="n">
        <v>43732</v>
      </c>
      <c r="C355" s="1" t="n">
        <v>45650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49656-2019</t>
        </is>
      </c>
      <c r="B356" s="1" t="n">
        <v>43732</v>
      </c>
      <c r="C356" s="1" t="n">
        <v>45650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50222-2019</t>
        </is>
      </c>
      <c r="B357" s="1" t="n">
        <v>43734</v>
      </c>
      <c r="C357" s="1" t="n">
        <v>45650</v>
      </c>
      <c r="D357" t="inlineStr">
        <is>
          <t>GÄVLEBORGS LÄN</t>
        </is>
      </c>
      <c r="E357" t="inlineStr">
        <is>
          <t>LJUSDAL</t>
        </is>
      </c>
      <c r="G357" t="n">
        <v>22.9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50307-2019</t>
        </is>
      </c>
      <c r="B358" s="1" t="n">
        <v>43735</v>
      </c>
      <c r="C358" s="1" t="n">
        <v>45650</v>
      </c>
      <c r="D358" t="inlineStr">
        <is>
          <t>GÄVLEBORGS LÄN</t>
        </is>
      </c>
      <c r="E358" t="inlineStr">
        <is>
          <t>LJUSDAL</t>
        </is>
      </c>
      <c r="G358" t="n">
        <v>18.4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55504-2019</t>
        </is>
      </c>
      <c r="B359" s="1" t="n">
        <v>43738</v>
      </c>
      <c r="C359" s="1" t="n">
        <v>45650</v>
      </c>
      <c r="D359" t="inlineStr">
        <is>
          <t>GÄVLEBORGS LÄN</t>
        </is>
      </c>
      <c r="E359" t="inlineStr">
        <is>
          <t>LJUSDAL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55549-2019</t>
        </is>
      </c>
      <c r="B360" s="1" t="n">
        <v>43738</v>
      </c>
      <c r="C360" s="1" t="n">
        <v>45650</v>
      </c>
      <c r="D360" t="inlineStr">
        <is>
          <t>GÄVLEBORGS LÄN</t>
        </is>
      </c>
      <c r="E360" t="inlineStr">
        <is>
          <t>LJUSDAL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51779-2019</t>
        </is>
      </c>
      <c r="B361" s="1" t="n">
        <v>43741</v>
      </c>
      <c r="C361" s="1" t="n">
        <v>45650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52096-2019</t>
        </is>
      </c>
      <c r="B362" s="1" t="n">
        <v>43742</v>
      </c>
      <c r="C362" s="1" t="n">
        <v>45650</v>
      </c>
      <c r="D362" t="inlineStr">
        <is>
          <t>GÄVLEBORGS LÄN</t>
        </is>
      </c>
      <c r="E362" t="inlineStr">
        <is>
          <t>LJUSDAL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54168-2019</t>
        </is>
      </c>
      <c r="B363" s="1" t="n">
        <v>43745</v>
      </c>
      <c r="C363" s="1" t="n">
        <v>45650</v>
      </c>
      <c r="D363" t="inlineStr">
        <is>
          <t>GÄVLEBORGS LÄN</t>
        </is>
      </c>
      <c r="E363" t="inlineStr">
        <is>
          <t>LJUSDAL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52405-2019</t>
        </is>
      </c>
      <c r="B364" s="1" t="n">
        <v>43745</v>
      </c>
      <c r="C364" s="1" t="n">
        <v>45650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52626-2019</t>
        </is>
      </c>
      <c r="B365" s="1" t="n">
        <v>43746</v>
      </c>
      <c r="C365" s="1" t="n">
        <v>45650</v>
      </c>
      <c r="D365" t="inlineStr">
        <is>
          <t>GÄVLEBORGS LÄN</t>
        </is>
      </c>
      <c r="E365" t="inlineStr">
        <is>
          <t>LJUSDAL</t>
        </is>
      </c>
      <c r="G365" t="n">
        <v>18.9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52972-2019</t>
        </is>
      </c>
      <c r="B366" s="1" t="n">
        <v>43747</v>
      </c>
      <c r="C366" s="1" t="n">
        <v>45650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52973-2019</t>
        </is>
      </c>
      <c r="B367" s="1" t="n">
        <v>43747</v>
      </c>
      <c r="C367" s="1" t="n">
        <v>45650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53429-2019</t>
        </is>
      </c>
      <c r="B368" s="1" t="n">
        <v>43748</v>
      </c>
      <c r="C368" s="1" t="n">
        <v>45650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53513-2019</t>
        </is>
      </c>
      <c r="B369" s="1" t="n">
        <v>43749</v>
      </c>
      <c r="C369" s="1" t="n">
        <v>45650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54402-2019</t>
        </is>
      </c>
      <c r="B370" s="1" t="n">
        <v>43754</v>
      </c>
      <c r="C370" s="1" t="n">
        <v>45650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54401-2019</t>
        </is>
      </c>
      <c r="B371" s="1" t="n">
        <v>43754</v>
      </c>
      <c r="C371" s="1" t="n">
        <v>45650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54966-2019</t>
        </is>
      </c>
      <c r="B372" s="1" t="n">
        <v>43755</v>
      </c>
      <c r="C372" s="1" t="n">
        <v>45650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54723-2019</t>
        </is>
      </c>
      <c r="B373" s="1" t="n">
        <v>43755</v>
      </c>
      <c r="C373" s="1" t="n">
        <v>45650</v>
      </c>
      <c r="D373" t="inlineStr">
        <is>
          <t>GÄVLEBORGS LÄN</t>
        </is>
      </c>
      <c r="E373" t="inlineStr">
        <is>
          <t>LJUSDAL</t>
        </is>
      </c>
      <c r="F373" t="inlineStr">
        <is>
          <t>Allmännings- och besparingsskogar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55880-2019</t>
        </is>
      </c>
      <c r="B374" s="1" t="n">
        <v>43759</v>
      </c>
      <c r="C374" s="1" t="n">
        <v>45650</v>
      </c>
      <c r="D374" t="inlineStr">
        <is>
          <t>GÄVLEBORGS LÄN</t>
        </is>
      </c>
      <c r="E374" t="inlineStr">
        <is>
          <t>LJUSDAL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55956-2019</t>
        </is>
      </c>
      <c r="B375" s="1" t="n">
        <v>43759</v>
      </c>
      <c r="C375" s="1" t="n">
        <v>45650</v>
      </c>
      <c r="D375" t="inlineStr">
        <is>
          <t>GÄVLEBORGS LÄN</t>
        </is>
      </c>
      <c r="E375" t="inlineStr">
        <is>
          <t>LJUSDAL</t>
        </is>
      </c>
      <c r="G375" t="n">
        <v>14.2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55464-2019</t>
        </is>
      </c>
      <c r="B376" s="1" t="n">
        <v>43760</v>
      </c>
      <c r="C376" s="1" t="n">
        <v>45650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56541-2019</t>
        </is>
      </c>
      <c r="B377" s="1" t="n">
        <v>43763</v>
      </c>
      <c r="C377" s="1" t="n">
        <v>45650</v>
      </c>
      <c r="D377" t="inlineStr">
        <is>
          <t>GÄVLEBORGS LÄN</t>
        </is>
      </c>
      <c r="E377" t="inlineStr">
        <is>
          <t>LJUSDAL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56693-2019</t>
        </is>
      </c>
      <c r="B378" s="1" t="n">
        <v>43763</v>
      </c>
      <c r="C378" s="1" t="n">
        <v>45650</v>
      </c>
      <c r="D378" t="inlineStr">
        <is>
          <t>GÄVLEBORGS LÄN</t>
        </is>
      </c>
      <c r="E378" t="inlineStr">
        <is>
          <t>LJUSDAL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57410-2019</t>
        </is>
      </c>
      <c r="B379" s="1" t="n">
        <v>43767</v>
      </c>
      <c r="C379" s="1" t="n">
        <v>45650</v>
      </c>
      <c r="D379" t="inlineStr">
        <is>
          <t>GÄVLEBORGS LÄN</t>
        </is>
      </c>
      <c r="E379" t="inlineStr">
        <is>
          <t>LJUSDAL</t>
        </is>
      </c>
      <c r="F379" t="inlineStr">
        <is>
          <t>Holmen skog AB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58587-2019</t>
        </is>
      </c>
      <c r="B380" s="1" t="n">
        <v>43773</v>
      </c>
      <c r="C380" s="1" t="n">
        <v>45650</v>
      </c>
      <c r="D380" t="inlineStr">
        <is>
          <t>GÄVLEBORGS LÄN</t>
        </is>
      </c>
      <c r="E380" t="inlineStr">
        <is>
          <t>LJUSDAL</t>
        </is>
      </c>
      <c r="F380" t="inlineStr">
        <is>
          <t>Allmännings- och besparingsskogar</t>
        </is>
      </c>
      <c r="G380" t="n">
        <v>21.1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58897-2019</t>
        </is>
      </c>
      <c r="B381" s="1" t="n">
        <v>43774</v>
      </c>
      <c r="C381" s="1" t="n">
        <v>45650</v>
      </c>
      <c r="D381" t="inlineStr">
        <is>
          <t>GÄVLEBORGS LÄN</t>
        </is>
      </c>
      <c r="E381" t="inlineStr">
        <is>
          <t>LJUSDAL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58886-2019</t>
        </is>
      </c>
      <c r="B382" s="1" t="n">
        <v>43774</v>
      </c>
      <c r="C382" s="1" t="n">
        <v>45650</v>
      </c>
      <c r="D382" t="inlineStr">
        <is>
          <t>GÄVLEBORGS LÄN</t>
        </is>
      </c>
      <c r="E382" t="inlineStr">
        <is>
          <t>LJUSDAL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59990-2019</t>
        </is>
      </c>
      <c r="B383" s="1" t="n">
        <v>43775</v>
      </c>
      <c r="C383" s="1" t="n">
        <v>45650</v>
      </c>
      <c r="D383" t="inlineStr">
        <is>
          <t>GÄVLEBORGS LÄN</t>
        </is>
      </c>
      <c r="E383" t="inlineStr">
        <is>
          <t>LJUSDAL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59153-2019</t>
        </is>
      </c>
      <c r="B384" s="1" t="n">
        <v>43775</v>
      </c>
      <c r="C384" s="1" t="n">
        <v>45650</v>
      </c>
      <c r="D384" t="inlineStr">
        <is>
          <t>GÄVLEBORGS LÄN</t>
        </is>
      </c>
      <c r="E384" t="inlineStr">
        <is>
          <t>LJUSDAL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59458-2019</t>
        </is>
      </c>
      <c r="B385" s="1" t="n">
        <v>43776</v>
      </c>
      <c r="C385" s="1" t="n">
        <v>45650</v>
      </c>
      <c r="D385" t="inlineStr">
        <is>
          <t>GÄVLEBORGS LÄN</t>
        </is>
      </c>
      <c r="E385" t="inlineStr">
        <is>
          <t>LJUSDAL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60418-2019</t>
        </is>
      </c>
      <c r="B386" s="1" t="n">
        <v>43776</v>
      </c>
      <c r="C386" s="1" t="n">
        <v>45650</v>
      </c>
      <c r="D386" t="inlineStr">
        <is>
          <t>GÄVLEBORGS LÄN</t>
        </is>
      </c>
      <c r="E386" t="inlineStr">
        <is>
          <t>LJUSDAL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60034-2019</t>
        </is>
      </c>
      <c r="B387" s="1" t="n">
        <v>43777</v>
      </c>
      <c r="C387" s="1" t="n">
        <v>45650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59922-2019</t>
        </is>
      </c>
      <c r="B388" s="1" t="n">
        <v>43777</v>
      </c>
      <c r="C388" s="1" t="n">
        <v>45650</v>
      </c>
      <c r="D388" t="inlineStr">
        <is>
          <t>GÄVLEBORGS LÄN</t>
        </is>
      </c>
      <c r="E388" t="inlineStr">
        <is>
          <t>LJUSDAL</t>
        </is>
      </c>
      <c r="F388" t="inlineStr">
        <is>
          <t>Allmännings- och besparingsskogar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60574-2019</t>
        </is>
      </c>
      <c r="B389" s="1" t="n">
        <v>43781</v>
      </c>
      <c r="C389" s="1" t="n">
        <v>45650</v>
      </c>
      <c r="D389" t="inlineStr">
        <is>
          <t>GÄVLEBORGS LÄN</t>
        </is>
      </c>
      <c r="E389" t="inlineStr">
        <is>
          <t>LJUSDAL</t>
        </is>
      </c>
      <c r="F389" t="inlineStr">
        <is>
          <t>Bergvik skog väst AB</t>
        </is>
      </c>
      <c r="G389" t="n">
        <v>20.4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60651-2019</t>
        </is>
      </c>
      <c r="B390" s="1" t="n">
        <v>43781</v>
      </c>
      <c r="C390" s="1" t="n">
        <v>45650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60720-2019</t>
        </is>
      </c>
      <c r="B391" s="1" t="n">
        <v>43781</v>
      </c>
      <c r="C391" s="1" t="n">
        <v>45650</v>
      </c>
      <c r="D391" t="inlineStr">
        <is>
          <t>GÄVLEBORGS LÄN</t>
        </is>
      </c>
      <c r="E391" t="inlineStr">
        <is>
          <t>LJUSDAL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61192-2019</t>
        </is>
      </c>
      <c r="B392" s="1" t="n">
        <v>43782</v>
      </c>
      <c r="C392" s="1" t="n">
        <v>45650</v>
      </c>
      <c r="D392" t="inlineStr">
        <is>
          <t>GÄVLEBORGS LÄN</t>
        </is>
      </c>
      <c r="E392" t="inlineStr">
        <is>
          <t>LJUSDAL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61195-2019</t>
        </is>
      </c>
      <c r="B393" s="1" t="n">
        <v>43782</v>
      </c>
      <c r="C393" s="1" t="n">
        <v>45650</v>
      </c>
      <c r="D393" t="inlineStr">
        <is>
          <t>GÄVLEBORGS LÄN</t>
        </is>
      </c>
      <c r="E393" t="inlineStr">
        <is>
          <t>LJUSDAL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61194-2019</t>
        </is>
      </c>
      <c r="B394" s="1" t="n">
        <v>43782</v>
      </c>
      <c r="C394" s="1" t="n">
        <v>45650</v>
      </c>
      <c r="D394" t="inlineStr">
        <is>
          <t>GÄVLEBORGS LÄN</t>
        </is>
      </c>
      <c r="E394" t="inlineStr">
        <is>
          <t>LJUSDAL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61729-2019</t>
        </is>
      </c>
      <c r="B395" s="1" t="n">
        <v>43784</v>
      </c>
      <c r="C395" s="1" t="n">
        <v>45650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61870-2019</t>
        </is>
      </c>
      <c r="B396" s="1" t="n">
        <v>43787</v>
      </c>
      <c r="C396" s="1" t="n">
        <v>45650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61988-2019</t>
        </is>
      </c>
      <c r="B397" s="1" t="n">
        <v>43787</v>
      </c>
      <c r="C397" s="1" t="n">
        <v>45650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62567-2019</t>
        </is>
      </c>
      <c r="B398" s="1" t="n">
        <v>43789</v>
      </c>
      <c r="C398" s="1" t="n">
        <v>45650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62586-2019</t>
        </is>
      </c>
      <c r="B399" s="1" t="n">
        <v>43789</v>
      </c>
      <c r="C399" s="1" t="n">
        <v>45650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63037-2019</t>
        </is>
      </c>
      <c r="B400" s="1" t="n">
        <v>43791</v>
      </c>
      <c r="C400" s="1" t="n">
        <v>45650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63078-2019</t>
        </is>
      </c>
      <c r="B401" s="1" t="n">
        <v>43791</v>
      </c>
      <c r="C401" s="1" t="n">
        <v>45650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63108-2019</t>
        </is>
      </c>
      <c r="B402" s="1" t="n">
        <v>43791</v>
      </c>
      <c r="C402" s="1" t="n">
        <v>45650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64390-2019</t>
        </is>
      </c>
      <c r="B403" s="1" t="n">
        <v>43794</v>
      </c>
      <c r="C403" s="1" t="n">
        <v>45650</v>
      </c>
      <c r="D403" t="inlineStr">
        <is>
          <t>GÄVLEBORGS LÄN</t>
        </is>
      </c>
      <c r="E403" t="inlineStr">
        <is>
          <t>LJUSDAL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64373-2019</t>
        </is>
      </c>
      <c r="B404" s="1" t="n">
        <v>43794</v>
      </c>
      <c r="C404" s="1" t="n">
        <v>45650</v>
      </c>
      <c r="D404" t="inlineStr">
        <is>
          <t>GÄVLEBORGS LÄN</t>
        </is>
      </c>
      <c r="E404" t="inlineStr">
        <is>
          <t>LJUSDAL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64192-2019</t>
        </is>
      </c>
      <c r="B405" s="1" t="n">
        <v>43797</v>
      </c>
      <c r="C405" s="1" t="n">
        <v>45650</v>
      </c>
      <c r="D405" t="inlineStr">
        <is>
          <t>GÄVLEBORGS LÄN</t>
        </is>
      </c>
      <c r="E405" t="inlineStr">
        <is>
          <t>LJUSDAL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64200-2019</t>
        </is>
      </c>
      <c r="B406" s="1" t="n">
        <v>43797</v>
      </c>
      <c r="C406" s="1" t="n">
        <v>45650</v>
      </c>
      <c r="D406" t="inlineStr">
        <is>
          <t>GÄVLEBORGS LÄN</t>
        </is>
      </c>
      <c r="E406" t="inlineStr">
        <is>
          <t>LJUSDAL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64944-2019</t>
        </is>
      </c>
      <c r="B407" s="1" t="n">
        <v>43801</v>
      </c>
      <c r="C407" s="1" t="n">
        <v>45650</v>
      </c>
      <c r="D407" t="inlineStr">
        <is>
          <t>GÄVLEBORGS LÄN</t>
        </is>
      </c>
      <c r="E407" t="inlineStr">
        <is>
          <t>LJUSDAL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65262-2019</t>
        </is>
      </c>
      <c r="B408" s="1" t="n">
        <v>43802</v>
      </c>
      <c r="C408" s="1" t="n">
        <v>45650</v>
      </c>
      <c r="D408" t="inlineStr">
        <is>
          <t>GÄVLEBORGS LÄN</t>
        </is>
      </c>
      <c r="E408" t="inlineStr">
        <is>
          <t>LJUSDAL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65291-2019</t>
        </is>
      </c>
      <c r="B409" s="1" t="n">
        <v>43802</v>
      </c>
      <c r="C409" s="1" t="n">
        <v>45650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66212-2019</t>
        </is>
      </c>
      <c r="B410" s="1" t="n">
        <v>43808</v>
      </c>
      <c r="C410" s="1" t="n">
        <v>45650</v>
      </c>
      <c r="D410" t="inlineStr">
        <is>
          <t>GÄVLEBORGS LÄN</t>
        </is>
      </c>
      <c r="E410" t="inlineStr">
        <is>
          <t>LJUSDAL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66784-2019</t>
        </is>
      </c>
      <c r="B411" s="1" t="n">
        <v>43810</v>
      </c>
      <c r="C411" s="1" t="n">
        <v>45650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66756-2019</t>
        </is>
      </c>
      <c r="B412" s="1" t="n">
        <v>43810</v>
      </c>
      <c r="C412" s="1" t="n">
        <v>45650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66920-2019</t>
        </is>
      </c>
      <c r="B413" s="1" t="n">
        <v>43810</v>
      </c>
      <c r="C413" s="1" t="n">
        <v>45650</v>
      </c>
      <c r="D413" t="inlineStr">
        <is>
          <t>GÄVLEBORGS LÄN</t>
        </is>
      </c>
      <c r="E413" t="inlineStr">
        <is>
          <t>LJUSDAL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66938-2019</t>
        </is>
      </c>
      <c r="B414" s="1" t="n">
        <v>43810</v>
      </c>
      <c r="C414" s="1" t="n">
        <v>45650</v>
      </c>
      <c r="D414" t="inlineStr">
        <is>
          <t>GÄVLEBORGS LÄN</t>
        </is>
      </c>
      <c r="E414" t="inlineStr">
        <is>
          <t>LJUSDAL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67651-2019</t>
        </is>
      </c>
      <c r="B415" s="1" t="n">
        <v>43815</v>
      </c>
      <c r="C415" s="1" t="n">
        <v>45650</v>
      </c>
      <c r="D415" t="inlineStr">
        <is>
          <t>GÄVLEBORGS LÄN</t>
        </is>
      </c>
      <c r="E415" t="inlineStr">
        <is>
          <t>LJUSDAL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67730-2019</t>
        </is>
      </c>
      <c r="B416" s="1" t="n">
        <v>43815</v>
      </c>
      <c r="C416" s="1" t="n">
        <v>45650</v>
      </c>
      <c r="D416" t="inlineStr">
        <is>
          <t>GÄVLEBORGS LÄN</t>
        </is>
      </c>
      <c r="E416" t="inlineStr">
        <is>
          <t>LJUSDAL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67866-2019</t>
        </is>
      </c>
      <c r="B417" s="1" t="n">
        <v>43816</v>
      </c>
      <c r="C417" s="1" t="n">
        <v>45650</v>
      </c>
      <c r="D417" t="inlineStr">
        <is>
          <t>GÄVLEBORGS LÄN</t>
        </is>
      </c>
      <c r="E417" t="inlineStr">
        <is>
          <t>LJUSDAL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408-2020</t>
        </is>
      </c>
      <c r="B418" s="1" t="n">
        <v>43816</v>
      </c>
      <c r="C418" s="1" t="n">
        <v>45650</v>
      </c>
      <c r="D418" t="inlineStr">
        <is>
          <t>GÄVLEBORGS LÄN</t>
        </is>
      </c>
      <c r="E418" t="inlineStr">
        <is>
          <t>LJUSDAL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329-2020</t>
        </is>
      </c>
      <c r="B419" s="1" t="n">
        <v>43837</v>
      </c>
      <c r="C419" s="1" t="n">
        <v>45650</v>
      </c>
      <c r="D419" t="inlineStr">
        <is>
          <t>GÄVLEBORGS LÄN</t>
        </is>
      </c>
      <c r="E419" t="inlineStr">
        <is>
          <t>LJUSDAL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562-2020</t>
        </is>
      </c>
      <c r="B420" s="1" t="n">
        <v>43838</v>
      </c>
      <c r="C420" s="1" t="n">
        <v>45650</v>
      </c>
      <c r="D420" t="inlineStr">
        <is>
          <t>GÄVLEBORGS LÄN</t>
        </is>
      </c>
      <c r="E420" t="inlineStr">
        <is>
          <t>LJUSDAL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1231-2020</t>
        </is>
      </c>
      <c r="B421" s="1" t="n">
        <v>43840</v>
      </c>
      <c r="C421" s="1" t="n">
        <v>45650</v>
      </c>
      <c r="D421" t="inlineStr">
        <is>
          <t>GÄVLEBORGS LÄN</t>
        </is>
      </c>
      <c r="E421" t="inlineStr">
        <is>
          <t>LJUSDAL</t>
        </is>
      </c>
      <c r="F421" t="inlineStr">
        <is>
          <t>Kommuner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2973-2020</t>
        </is>
      </c>
      <c r="B422" s="1" t="n">
        <v>43850</v>
      </c>
      <c r="C422" s="1" t="n">
        <v>45650</v>
      </c>
      <c r="D422" t="inlineStr">
        <is>
          <t>GÄVLEBORGS LÄN</t>
        </is>
      </c>
      <c r="E422" t="inlineStr">
        <is>
          <t>LJUSDAL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2775-2020</t>
        </is>
      </c>
      <c r="B423" s="1" t="n">
        <v>43850</v>
      </c>
      <c r="C423" s="1" t="n">
        <v>45650</v>
      </c>
      <c r="D423" t="inlineStr">
        <is>
          <t>GÄVLEBORGS LÄN</t>
        </is>
      </c>
      <c r="E423" t="inlineStr">
        <is>
          <t>LJUSDAL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2972-2020</t>
        </is>
      </c>
      <c r="B424" s="1" t="n">
        <v>43850</v>
      </c>
      <c r="C424" s="1" t="n">
        <v>45650</v>
      </c>
      <c r="D424" t="inlineStr">
        <is>
          <t>GÄVLEBORGS LÄN</t>
        </is>
      </c>
      <c r="E424" t="inlineStr">
        <is>
          <t>LJUSDAL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2953-2020</t>
        </is>
      </c>
      <c r="B425" s="1" t="n">
        <v>43850</v>
      </c>
      <c r="C425" s="1" t="n">
        <v>45650</v>
      </c>
      <c r="D425" t="inlineStr">
        <is>
          <t>GÄVLEBORGS LÄN</t>
        </is>
      </c>
      <c r="E425" t="inlineStr">
        <is>
          <t>LJUSDAL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3110-2020</t>
        </is>
      </c>
      <c r="B426" s="1" t="n">
        <v>43851</v>
      </c>
      <c r="C426" s="1" t="n">
        <v>45650</v>
      </c>
      <c r="D426" t="inlineStr">
        <is>
          <t>GÄVLEBORGS LÄN</t>
        </is>
      </c>
      <c r="E426" t="inlineStr">
        <is>
          <t>LJUSDAL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3136-2020</t>
        </is>
      </c>
      <c r="B427" s="1" t="n">
        <v>43851</v>
      </c>
      <c r="C427" s="1" t="n">
        <v>45650</v>
      </c>
      <c r="D427" t="inlineStr">
        <is>
          <t>GÄVLEBORGS LÄN</t>
        </is>
      </c>
      <c r="E427" t="inlineStr">
        <is>
          <t>LJUSDAL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4451-2020</t>
        </is>
      </c>
      <c r="B428" s="1" t="n">
        <v>43858</v>
      </c>
      <c r="C428" s="1" t="n">
        <v>45650</v>
      </c>
      <c r="D428" t="inlineStr">
        <is>
          <t>GÄVLEBORGS LÄN</t>
        </is>
      </c>
      <c r="E428" t="inlineStr">
        <is>
          <t>LJUSDAL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5183-2020</t>
        </is>
      </c>
      <c r="B429" s="1" t="n">
        <v>43860</v>
      </c>
      <c r="C429" s="1" t="n">
        <v>45650</v>
      </c>
      <c r="D429" t="inlineStr">
        <is>
          <t>GÄVLEBORGS LÄN</t>
        </is>
      </c>
      <c r="E429" t="inlineStr">
        <is>
          <t>LJUSDAL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5562-2020</t>
        </is>
      </c>
      <c r="B430" s="1" t="n">
        <v>43861</v>
      </c>
      <c r="C430" s="1" t="n">
        <v>45650</v>
      </c>
      <c r="D430" t="inlineStr">
        <is>
          <t>GÄVLEBORGS LÄN</t>
        </is>
      </c>
      <c r="E430" t="inlineStr">
        <is>
          <t>LJUSDAL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6117-2020</t>
        </is>
      </c>
      <c r="B431" s="1" t="n">
        <v>43865</v>
      </c>
      <c r="C431" s="1" t="n">
        <v>45650</v>
      </c>
      <c r="D431" t="inlineStr">
        <is>
          <t>GÄVLEBORGS LÄN</t>
        </is>
      </c>
      <c r="E431" t="inlineStr">
        <is>
          <t>LJUSDAL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6389-2020</t>
        </is>
      </c>
      <c r="B432" s="1" t="n">
        <v>43866</v>
      </c>
      <c r="C432" s="1" t="n">
        <v>45650</v>
      </c>
      <c r="D432" t="inlineStr">
        <is>
          <t>GÄVLEBORGS LÄN</t>
        </is>
      </c>
      <c r="E432" t="inlineStr">
        <is>
          <t>LJUSDAL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9206-2020</t>
        </is>
      </c>
      <c r="B433" s="1" t="n">
        <v>43879</v>
      </c>
      <c r="C433" s="1" t="n">
        <v>45650</v>
      </c>
      <c r="D433" t="inlineStr">
        <is>
          <t>GÄVLEBORGS LÄN</t>
        </is>
      </c>
      <c r="E433" t="inlineStr">
        <is>
          <t>LJUSDAL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9872-2020</t>
        </is>
      </c>
      <c r="B434" s="1" t="n">
        <v>43882</v>
      </c>
      <c r="C434" s="1" t="n">
        <v>45650</v>
      </c>
      <c r="D434" t="inlineStr">
        <is>
          <t>GÄVLEBORGS LÄN</t>
        </is>
      </c>
      <c r="E434" t="inlineStr">
        <is>
          <t>LJUSDAL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10295-2020</t>
        </is>
      </c>
      <c r="B435" s="1" t="n">
        <v>43885</v>
      </c>
      <c r="C435" s="1" t="n">
        <v>45650</v>
      </c>
      <c r="D435" t="inlineStr">
        <is>
          <t>GÄVLEBORGS LÄN</t>
        </is>
      </c>
      <c r="E435" t="inlineStr">
        <is>
          <t>LJUSDAL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10536-2020</t>
        </is>
      </c>
      <c r="B436" s="1" t="n">
        <v>43886</v>
      </c>
      <c r="C436" s="1" t="n">
        <v>45650</v>
      </c>
      <c r="D436" t="inlineStr">
        <is>
          <t>GÄVLEBORGS LÄN</t>
        </is>
      </c>
      <c r="E436" t="inlineStr">
        <is>
          <t>LJUSDAL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10521-2020</t>
        </is>
      </c>
      <c r="B437" s="1" t="n">
        <v>43886</v>
      </c>
      <c r="C437" s="1" t="n">
        <v>45650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11342-2020</t>
        </is>
      </c>
      <c r="B438" s="1" t="n">
        <v>43892</v>
      </c>
      <c r="C438" s="1" t="n">
        <v>45650</v>
      </c>
      <c r="D438" t="inlineStr">
        <is>
          <t>GÄVLEBORGS LÄN</t>
        </is>
      </c>
      <c r="E438" t="inlineStr">
        <is>
          <t>LJUSDAL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11346-2020</t>
        </is>
      </c>
      <c r="B439" s="1" t="n">
        <v>43892</v>
      </c>
      <c r="C439" s="1" t="n">
        <v>45650</v>
      </c>
      <c r="D439" t="inlineStr">
        <is>
          <t>GÄVLEBORGS LÄN</t>
        </is>
      </c>
      <c r="E439" t="inlineStr">
        <is>
          <t>LJUSDAL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11898-2020</t>
        </is>
      </c>
      <c r="B440" s="1" t="n">
        <v>43894</v>
      </c>
      <c r="C440" s="1" t="n">
        <v>45650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13329-2020</t>
        </is>
      </c>
      <c r="B441" s="1" t="n">
        <v>43902</v>
      </c>
      <c r="C441" s="1" t="n">
        <v>45650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13617-2020</t>
        </is>
      </c>
      <c r="B442" s="1" t="n">
        <v>43903</v>
      </c>
      <c r="C442" s="1" t="n">
        <v>45650</v>
      </c>
      <c r="D442" t="inlineStr">
        <is>
          <t>GÄVLEBORGS LÄN</t>
        </is>
      </c>
      <c r="E442" t="inlineStr">
        <is>
          <t>LJUSDAL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14444-2020</t>
        </is>
      </c>
      <c r="B443" s="1" t="n">
        <v>43908</v>
      </c>
      <c r="C443" s="1" t="n">
        <v>45650</v>
      </c>
      <c r="D443" t="inlineStr">
        <is>
          <t>GÄVLEBORGS LÄN</t>
        </is>
      </c>
      <c r="E443" t="inlineStr">
        <is>
          <t>LJUSDAL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15198-2020</t>
        </is>
      </c>
      <c r="B444" s="1" t="n">
        <v>43913</v>
      </c>
      <c r="C444" s="1" t="n">
        <v>45650</v>
      </c>
      <c r="D444" t="inlineStr">
        <is>
          <t>GÄVLEBORGS LÄN</t>
        </is>
      </c>
      <c r="E444" t="inlineStr">
        <is>
          <t>LJUSDAL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15343-2020</t>
        </is>
      </c>
      <c r="B445" s="1" t="n">
        <v>43913</v>
      </c>
      <c r="C445" s="1" t="n">
        <v>45650</v>
      </c>
      <c r="D445" t="inlineStr">
        <is>
          <t>GÄVLEBORGS LÄN</t>
        </is>
      </c>
      <c r="E445" t="inlineStr">
        <is>
          <t>LJUSDAL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17326-2020</t>
        </is>
      </c>
      <c r="B446" s="1" t="n">
        <v>43922</v>
      </c>
      <c r="C446" s="1" t="n">
        <v>45650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17745-2020</t>
        </is>
      </c>
      <c r="B447" s="1" t="n">
        <v>43924</v>
      </c>
      <c r="C447" s="1" t="n">
        <v>45650</v>
      </c>
      <c r="D447" t="inlineStr">
        <is>
          <t>GÄVLEBORGS LÄN</t>
        </is>
      </c>
      <c r="E447" t="inlineStr">
        <is>
          <t>LJUSDAL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17707-2020</t>
        </is>
      </c>
      <c r="B448" s="1" t="n">
        <v>43924</v>
      </c>
      <c r="C448" s="1" t="n">
        <v>45650</v>
      </c>
      <c r="D448" t="inlineStr">
        <is>
          <t>GÄVLEBORGS LÄN</t>
        </is>
      </c>
      <c r="E448" t="inlineStr">
        <is>
          <t>LJUSDAL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18699-2020</t>
        </is>
      </c>
      <c r="B449" s="1" t="n">
        <v>43930</v>
      </c>
      <c r="C449" s="1" t="n">
        <v>45650</v>
      </c>
      <c r="D449" t="inlineStr">
        <is>
          <t>GÄVLEBORGS LÄN</t>
        </is>
      </c>
      <c r="E449" t="inlineStr">
        <is>
          <t>LJUSDAL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18913-2020</t>
        </is>
      </c>
      <c r="B450" s="1" t="n">
        <v>43935</v>
      </c>
      <c r="C450" s="1" t="n">
        <v>45650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20078-2020</t>
        </is>
      </c>
      <c r="B451" s="1" t="n">
        <v>43943</v>
      </c>
      <c r="C451" s="1" t="n">
        <v>45650</v>
      </c>
      <c r="D451" t="inlineStr">
        <is>
          <t>GÄVLEBORGS LÄN</t>
        </is>
      </c>
      <c r="E451" t="inlineStr">
        <is>
          <t>LJUSDAL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20093-2020</t>
        </is>
      </c>
      <c r="B452" s="1" t="n">
        <v>43943</v>
      </c>
      <c r="C452" s="1" t="n">
        <v>45650</v>
      </c>
      <c r="D452" t="inlineStr">
        <is>
          <t>GÄVLEBORGS LÄN</t>
        </is>
      </c>
      <c r="E452" t="inlineStr">
        <is>
          <t>LJUSDAL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20076-2020</t>
        </is>
      </c>
      <c r="B453" s="1" t="n">
        <v>43943</v>
      </c>
      <c r="C453" s="1" t="n">
        <v>45650</v>
      </c>
      <c r="D453" t="inlineStr">
        <is>
          <t>GÄVLEBORGS LÄN</t>
        </is>
      </c>
      <c r="E453" t="inlineStr">
        <is>
          <t>LJUSDAL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20215-2020</t>
        </is>
      </c>
      <c r="B454" s="1" t="n">
        <v>43944</v>
      </c>
      <c r="C454" s="1" t="n">
        <v>45650</v>
      </c>
      <c r="D454" t="inlineStr">
        <is>
          <t>GÄVLEBORGS LÄN</t>
        </is>
      </c>
      <c r="E454" t="inlineStr">
        <is>
          <t>LJUSDAL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20224-2020</t>
        </is>
      </c>
      <c r="B455" s="1" t="n">
        <v>43944</v>
      </c>
      <c r="C455" s="1" t="n">
        <v>45650</v>
      </c>
      <c r="D455" t="inlineStr">
        <is>
          <t>GÄVLEBORGS LÄN</t>
        </is>
      </c>
      <c r="E455" t="inlineStr">
        <is>
          <t>LJUSDAL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20365-2020</t>
        </is>
      </c>
      <c r="B456" s="1" t="n">
        <v>43945</v>
      </c>
      <c r="C456" s="1" t="n">
        <v>45650</v>
      </c>
      <c r="D456" t="inlineStr">
        <is>
          <t>GÄVLEBORGS LÄN</t>
        </is>
      </c>
      <c r="E456" t="inlineStr">
        <is>
          <t>LJUSDAL</t>
        </is>
      </c>
      <c r="F456" t="inlineStr">
        <is>
          <t>Allmännings- och besparingsskogar</t>
        </is>
      </c>
      <c r="G456" t="n">
        <v>17.5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20347-2020</t>
        </is>
      </c>
      <c r="B457" s="1" t="n">
        <v>43945</v>
      </c>
      <c r="C457" s="1" t="n">
        <v>45650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20256-2020</t>
        </is>
      </c>
      <c r="B458" s="1" t="n">
        <v>43945</v>
      </c>
      <c r="C458" s="1" t="n">
        <v>45650</v>
      </c>
      <c r="D458" t="inlineStr">
        <is>
          <t>GÄVLEBORGS LÄN</t>
        </is>
      </c>
      <c r="E458" t="inlineStr">
        <is>
          <t>LJUSDAL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20259-2020</t>
        </is>
      </c>
      <c r="B459" s="1" t="n">
        <v>43945</v>
      </c>
      <c r="C459" s="1" t="n">
        <v>45650</v>
      </c>
      <c r="D459" t="inlineStr">
        <is>
          <t>GÄVLEBORGS LÄN</t>
        </is>
      </c>
      <c r="E459" t="inlineStr">
        <is>
          <t>LJUSDAL</t>
        </is>
      </c>
      <c r="G459" t="n">
        <v>14.3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20785-2020</t>
        </is>
      </c>
      <c r="B460" s="1" t="n">
        <v>43949</v>
      </c>
      <c r="C460" s="1" t="n">
        <v>45650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21132-2020</t>
        </is>
      </c>
      <c r="B461" s="1" t="n">
        <v>43951</v>
      </c>
      <c r="C461" s="1" t="n">
        <v>45650</v>
      </c>
      <c r="D461" t="inlineStr">
        <is>
          <t>GÄVLEBORGS LÄN</t>
        </is>
      </c>
      <c r="E461" t="inlineStr">
        <is>
          <t>LJUSDAL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21198-2020</t>
        </is>
      </c>
      <c r="B462" s="1" t="n">
        <v>43951</v>
      </c>
      <c r="C462" s="1" t="n">
        <v>45650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38.7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21145-2020</t>
        </is>
      </c>
      <c r="B463" s="1" t="n">
        <v>43951</v>
      </c>
      <c r="C463" s="1" t="n">
        <v>45650</v>
      </c>
      <c r="D463" t="inlineStr">
        <is>
          <t>GÄVLEBORGS LÄN</t>
        </is>
      </c>
      <c r="E463" t="inlineStr">
        <is>
          <t>LJUSDAL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21060-2020</t>
        </is>
      </c>
      <c r="B464" s="1" t="n">
        <v>43951</v>
      </c>
      <c r="C464" s="1" t="n">
        <v>45650</v>
      </c>
      <c r="D464" t="inlineStr">
        <is>
          <t>GÄVLEBORGS LÄN</t>
        </is>
      </c>
      <c r="E464" t="inlineStr">
        <is>
          <t>LJUSDAL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21078-2020</t>
        </is>
      </c>
      <c r="B465" s="1" t="n">
        <v>43951</v>
      </c>
      <c r="C465" s="1" t="n">
        <v>45650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22004-2020</t>
        </is>
      </c>
      <c r="B466" s="1" t="n">
        <v>43959</v>
      </c>
      <c r="C466" s="1" t="n">
        <v>45650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22018-2020</t>
        </is>
      </c>
      <c r="B467" s="1" t="n">
        <v>43959</v>
      </c>
      <c r="C467" s="1" t="n">
        <v>45650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22002-2020</t>
        </is>
      </c>
      <c r="B468" s="1" t="n">
        <v>43959</v>
      </c>
      <c r="C468" s="1" t="n">
        <v>45650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22006-2020</t>
        </is>
      </c>
      <c r="B469" s="1" t="n">
        <v>43959</v>
      </c>
      <c r="C469" s="1" t="n">
        <v>45650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22160-2020</t>
        </is>
      </c>
      <c r="B470" s="1" t="n">
        <v>43962</v>
      </c>
      <c r="C470" s="1" t="n">
        <v>45650</v>
      </c>
      <c r="D470" t="inlineStr">
        <is>
          <t>GÄVLEBORGS LÄN</t>
        </is>
      </c>
      <c r="E470" t="inlineStr">
        <is>
          <t>LJUSDAL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22268-2020</t>
        </is>
      </c>
      <c r="B471" s="1" t="n">
        <v>43962</v>
      </c>
      <c r="C471" s="1" t="n">
        <v>45650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22361-2020</t>
        </is>
      </c>
      <c r="B472" s="1" t="n">
        <v>43962</v>
      </c>
      <c r="C472" s="1" t="n">
        <v>45650</v>
      </c>
      <c r="D472" t="inlineStr">
        <is>
          <t>GÄVLEBORGS LÄN</t>
        </is>
      </c>
      <c r="E472" t="inlineStr">
        <is>
          <t>LJUSDAL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22378-2020</t>
        </is>
      </c>
      <c r="B473" s="1" t="n">
        <v>43962</v>
      </c>
      <c r="C473" s="1" t="n">
        <v>45650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22875-2020</t>
        </is>
      </c>
      <c r="B474" s="1" t="n">
        <v>43964</v>
      </c>
      <c r="C474" s="1" t="n">
        <v>45650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22959-2020</t>
        </is>
      </c>
      <c r="B475" s="1" t="n">
        <v>43965</v>
      </c>
      <c r="C475" s="1" t="n">
        <v>45650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23117-2020</t>
        </is>
      </c>
      <c r="B476" s="1" t="n">
        <v>43965</v>
      </c>
      <c r="C476" s="1" t="n">
        <v>45650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23276-2020</t>
        </is>
      </c>
      <c r="B477" s="1" t="n">
        <v>43966</v>
      </c>
      <c r="C477" s="1" t="n">
        <v>45650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23280-2020</t>
        </is>
      </c>
      <c r="B478" s="1" t="n">
        <v>43966</v>
      </c>
      <c r="C478" s="1" t="n">
        <v>45650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23271-2020</t>
        </is>
      </c>
      <c r="B479" s="1" t="n">
        <v>43966</v>
      </c>
      <c r="C479" s="1" t="n">
        <v>45650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23424-2020</t>
        </is>
      </c>
      <c r="B480" s="1" t="n">
        <v>43969</v>
      </c>
      <c r="C480" s="1" t="n">
        <v>45650</v>
      </c>
      <c r="D480" t="inlineStr">
        <is>
          <t>GÄVLEBORGS LÄN</t>
        </is>
      </c>
      <c r="E480" t="inlineStr">
        <is>
          <t>LJUSDAL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23866-2020</t>
        </is>
      </c>
      <c r="B481" s="1" t="n">
        <v>43971</v>
      </c>
      <c r="C481" s="1" t="n">
        <v>45650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23966-2020</t>
        </is>
      </c>
      <c r="B482" s="1" t="n">
        <v>43971</v>
      </c>
      <c r="C482" s="1" t="n">
        <v>45650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23981-2020</t>
        </is>
      </c>
      <c r="B483" s="1" t="n">
        <v>43971</v>
      </c>
      <c r="C483" s="1" t="n">
        <v>45650</v>
      </c>
      <c r="D483" t="inlineStr">
        <is>
          <t>GÄVLEBORGS LÄN</t>
        </is>
      </c>
      <c r="E483" t="inlineStr">
        <is>
          <t>LJUSDAL</t>
        </is>
      </c>
      <c r="F483" t="inlineStr">
        <is>
          <t>Bergvik skog väst AB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24621-2020</t>
        </is>
      </c>
      <c r="B484" s="1" t="n">
        <v>43977</v>
      </c>
      <c r="C484" s="1" t="n">
        <v>45650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24824-2020</t>
        </is>
      </c>
      <c r="B485" s="1" t="n">
        <v>43978</v>
      </c>
      <c r="C485" s="1" t="n">
        <v>45650</v>
      </c>
      <c r="D485" t="inlineStr">
        <is>
          <t>GÄVLEBORGS LÄN</t>
        </is>
      </c>
      <c r="E485" t="inlineStr">
        <is>
          <t>LJUSDAL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25060-2020</t>
        </is>
      </c>
      <c r="B486" s="1" t="n">
        <v>43979</v>
      </c>
      <c r="C486" s="1" t="n">
        <v>45650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24899-2020</t>
        </is>
      </c>
      <c r="B487" s="1" t="n">
        <v>43979</v>
      </c>
      <c r="C487" s="1" t="n">
        <v>45650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25014-2020</t>
        </is>
      </c>
      <c r="B488" s="1" t="n">
        <v>43979</v>
      </c>
      <c r="C488" s="1" t="n">
        <v>45650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25018-2020</t>
        </is>
      </c>
      <c r="B489" s="1" t="n">
        <v>43979</v>
      </c>
      <c r="C489" s="1" t="n">
        <v>45650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25015-2020</t>
        </is>
      </c>
      <c r="B490" s="1" t="n">
        <v>43979</v>
      </c>
      <c r="C490" s="1" t="n">
        <v>45650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26712-2020</t>
        </is>
      </c>
      <c r="B491" s="1" t="n">
        <v>43990</v>
      </c>
      <c r="C491" s="1" t="n">
        <v>45650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26950-2020</t>
        </is>
      </c>
      <c r="B492" s="1" t="n">
        <v>43990</v>
      </c>
      <c r="C492" s="1" t="n">
        <v>45650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27079-2020</t>
        </is>
      </c>
      <c r="B493" s="1" t="n">
        <v>43991</v>
      </c>
      <c r="C493" s="1" t="n">
        <v>45650</v>
      </c>
      <c r="D493" t="inlineStr">
        <is>
          <t>GÄVLEBORGS LÄN</t>
        </is>
      </c>
      <c r="E493" t="inlineStr">
        <is>
          <t>LJUSDAL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27430-2020</t>
        </is>
      </c>
      <c r="B494" s="1" t="n">
        <v>43993</v>
      </c>
      <c r="C494" s="1" t="n">
        <v>45650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28889-2020</t>
        </is>
      </c>
      <c r="B495" s="1" t="n">
        <v>44000</v>
      </c>
      <c r="C495" s="1" t="n">
        <v>45650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39.1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28932-2020</t>
        </is>
      </c>
      <c r="B496" s="1" t="n">
        <v>44000</v>
      </c>
      <c r="C496" s="1" t="n">
        <v>45650</v>
      </c>
      <c r="D496" t="inlineStr">
        <is>
          <t>GÄVLEBORGS LÄN</t>
        </is>
      </c>
      <c r="E496" t="inlineStr">
        <is>
          <t>LJUSDAL</t>
        </is>
      </c>
      <c r="F496" t="inlineStr">
        <is>
          <t>Kyrkan</t>
        </is>
      </c>
      <c r="G496" t="n">
        <v>36.2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29688-2020</t>
        </is>
      </c>
      <c r="B497" s="1" t="n">
        <v>44005</v>
      </c>
      <c r="C497" s="1" t="n">
        <v>45650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29692-2020</t>
        </is>
      </c>
      <c r="B498" s="1" t="n">
        <v>44005</v>
      </c>
      <c r="C498" s="1" t="n">
        <v>45650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21.9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29886-2020</t>
        </is>
      </c>
      <c r="B499" s="1" t="n">
        <v>44006</v>
      </c>
      <c r="C499" s="1" t="n">
        <v>45650</v>
      </c>
      <c r="D499" t="inlineStr">
        <is>
          <t>GÄVLEBORGS LÄN</t>
        </is>
      </c>
      <c r="E499" t="inlineStr">
        <is>
          <t>LJUSDAL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30127-2020</t>
        </is>
      </c>
      <c r="B500" s="1" t="n">
        <v>44007</v>
      </c>
      <c r="C500" s="1" t="n">
        <v>45650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30456-2020</t>
        </is>
      </c>
      <c r="B501" s="1" t="n">
        <v>44007</v>
      </c>
      <c r="C501" s="1" t="n">
        <v>45650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30738-2020</t>
        </is>
      </c>
      <c r="B502" s="1" t="n">
        <v>44008</v>
      </c>
      <c r="C502" s="1" t="n">
        <v>45650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30737-2020</t>
        </is>
      </c>
      <c r="B503" s="1" t="n">
        <v>44008</v>
      </c>
      <c r="C503" s="1" t="n">
        <v>45650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31824-2020</t>
        </is>
      </c>
      <c r="B504" s="1" t="n">
        <v>44014</v>
      </c>
      <c r="C504" s="1" t="n">
        <v>45650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31823-2020</t>
        </is>
      </c>
      <c r="B505" s="1" t="n">
        <v>44014</v>
      </c>
      <c r="C505" s="1" t="n">
        <v>45650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31855-2020</t>
        </is>
      </c>
      <c r="B506" s="1" t="n">
        <v>44014</v>
      </c>
      <c r="C506" s="1" t="n">
        <v>45650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33328-2020</t>
        </is>
      </c>
      <c r="B507" s="1" t="n">
        <v>44022</v>
      </c>
      <c r="C507" s="1" t="n">
        <v>45650</v>
      </c>
      <c r="D507" t="inlineStr">
        <is>
          <t>GÄVLEBORGS LÄN</t>
        </is>
      </c>
      <c r="E507" t="inlineStr">
        <is>
          <t>LJUSDAL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33338-2020</t>
        </is>
      </c>
      <c r="B508" s="1" t="n">
        <v>44022</v>
      </c>
      <c r="C508" s="1" t="n">
        <v>45650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33876-2020</t>
        </is>
      </c>
      <c r="B509" s="1" t="n">
        <v>44025</v>
      </c>
      <c r="C509" s="1" t="n">
        <v>45650</v>
      </c>
      <c r="D509" t="inlineStr">
        <is>
          <t>GÄVLEBORGS LÄN</t>
        </is>
      </c>
      <c r="E509" t="inlineStr">
        <is>
          <t>LJUSDAL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33647-2020</t>
        </is>
      </c>
      <c r="B510" s="1" t="n">
        <v>44026</v>
      </c>
      <c r="C510" s="1" t="n">
        <v>45650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33895-2020</t>
        </is>
      </c>
      <c r="B511" s="1" t="n">
        <v>44027</v>
      </c>
      <c r="C511" s="1" t="n">
        <v>45650</v>
      </c>
      <c r="D511" t="inlineStr">
        <is>
          <t>GÄVLEBORGS LÄN</t>
        </is>
      </c>
      <c r="E511" t="inlineStr">
        <is>
          <t>LJUSDAL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34034-2020</t>
        </is>
      </c>
      <c r="B512" s="1" t="n">
        <v>44028</v>
      </c>
      <c r="C512" s="1" t="n">
        <v>45650</v>
      </c>
      <c r="D512" t="inlineStr">
        <is>
          <t>GÄVLEBORGS LÄN</t>
        </is>
      </c>
      <c r="E512" t="inlineStr">
        <is>
          <t>LJUSDAL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34156-2020</t>
        </is>
      </c>
      <c r="B513" s="1" t="n">
        <v>44029</v>
      </c>
      <c r="C513" s="1" t="n">
        <v>45650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34193-2020</t>
        </is>
      </c>
      <c r="B514" s="1" t="n">
        <v>44029</v>
      </c>
      <c r="C514" s="1" t="n">
        <v>45650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34308-2020</t>
        </is>
      </c>
      <c r="B515" s="1" t="n">
        <v>44031</v>
      </c>
      <c r="C515" s="1" t="n">
        <v>45650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34317-2020</t>
        </is>
      </c>
      <c r="B516" s="1" t="n">
        <v>44032</v>
      </c>
      <c r="C516" s="1" t="n">
        <v>45650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34316-2020</t>
        </is>
      </c>
      <c r="B517" s="1" t="n">
        <v>44032</v>
      </c>
      <c r="C517" s="1" t="n">
        <v>45650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34462-2020</t>
        </is>
      </c>
      <c r="B518" s="1" t="n">
        <v>44032</v>
      </c>
      <c r="C518" s="1" t="n">
        <v>45650</v>
      </c>
      <c r="D518" t="inlineStr">
        <is>
          <t>GÄVLEBORGS LÄN</t>
        </is>
      </c>
      <c r="E518" t="inlineStr">
        <is>
          <t>LJUSDAL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34523-2020</t>
        </is>
      </c>
      <c r="B519" s="1" t="n">
        <v>44033</v>
      </c>
      <c r="C519" s="1" t="n">
        <v>45650</v>
      </c>
      <c r="D519" t="inlineStr">
        <is>
          <t>GÄVLEBORGS LÄN</t>
        </is>
      </c>
      <c r="E519" t="inlineStr">
        <is>
          <t>LJUSDAL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35277-2020</t>
        </is>
      </c>
      <c r="B520" s="1" t="n">
        <v>44041</v>
      </c>
      <c r="C520" s="1" t="n">
        <v>45650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35297-2020</t>
        </is>
      </c>
      <c r="B521" s="1" t="n">
        <v>44041</v>
      </c>
      <c r="C521" s="1" t="n">
        <v>45650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35293-2020</t>
        </is>
      </c>
      <c r="B522" s="1" t="n">
        <v>44041</v>
      </c>
      <c r="C522" s="1" t="n">
        <v>45650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35405-2020</t>
        </is>
      </c>
      <c r="B523" s="1" t="n">
        <v>44042</v>
      </c>
      <c r="C523" s="1" t="n">
        <v>45650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35404-2020</t>
        </is>
      </c>
      <c r="B524" s="1" t="n">
        <v>44042</v>
      </c>
      <c r="C524" s="1" t="n">
        <v>45650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36429-2020</t>
        </is>
      </c>
      <c r="B525" s="1" t="n">
        <v>44049</v>
      </c>
      <c r="C525" s="1" t="n">
        <v>45650</v>
      </c>
      <c r="D525" t="inlineStr">
        <is>
          <t>GÄVLEBORGS LÄN</t>
        </is>
      </c>
      <c r="E525" t="inlineStr">
        <is>
          <t>LJUSDAL</t>
        </is>
      </c>
      <c r="F525" t="inlineStr">
        <is>
          <t>Naturvårdsverket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36693-2020</t>
        </is>
      </c>
      <c r="B526" s="1" t="n">
        <v>44053</v>
      </c>
      <c r="C526" s="1" t="n">
        <v>45650</v>
      </c>
      <c r="D526" t="inlineStr">
        <is>
          <t>GÄVLEBORGS LÄN</t>
        </is>
      </c>
      <c r="E526" t="inlineStr">
        <is>
          <t>LJUSDAL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37532-2020</t>
        </is>
      </c>
      <c r="B527" s="1" t="n">
        <v>44056</v>
      </c>
      <c r="C527" s="1" t="n">
        <v>45650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37895-2020</t>
        </is>
      </c>
      <c r="B528" s="1" t="n">
        <v>44057</v>
      </c>
      <c r="C528" s="1" t="n">
        <v>45650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37863-2020</t>
        </is>
      </c>
      <c r="B529" s="1" t="n">
        <v>44057</v>
      </c>
      <c r="C529" s="1" t="n">
        <v>45650</v>
      </c>
      <c r="D529" t="inlineStr">
        <is>
          <t>GÄVLEBORGS LÄN</t>
        </is>
      </c>
      <c r="E529" t="inlineStr">
        <is>
          <t>LJUSDAL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38185-2020</t>
        </is>
      </c>
      <c r="B530" s="1" t="n">
        <v>44060</v>
      </c>
      <c r="C530" s="1" t="n">
        <v>45650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38597-2020</t>
        </is>
      </c>
      <c r="B531" s="1" t="n">
        <v>44061</v>
      </c>
      <c r="C531" s="1" t="n">
        <v>45650</v>
      </c>
      <c r="D531" t="inlineStr">
        <is>
          <t>GÄVLEBORGS LÄN</t>
        </is>
      </c>
      <c r="E531" t="inlineStr">
        <is>
          <t>LJUSDAL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38599-2020</t>
        </is>
      </c>
      <c r="B532" s="1" t="n">
        <v>44061</v>
      </c>
      <c r="C532" s="1" t="n">
        <v>45650</v>
      </c>
      <c r="D532" t="inlineStr">
        <is>
          <t>GÄVLEBORGS LÄN</t>
        </is>
      </c>
      <c r="E532" t="inlineStr">
        <is>
          <t>LJUSDAL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38685-2020</t>
        </is>
      </c>
      <c r="B533" s="1" t="n">
        <v>44061</v>
      </c>
      <c r="C533" s="1" t="n">
        <v>45650</v>
      </c>
      <c r="D533" t="inlineStr">
        <is>
          <t>GÄVLEBORGS LÄN</t>
        </is>
      </c>
      <c r="E533" t="inlineStr">
        <is>
          <t>LJUSDAL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38773-2020</t>
        </is>
      </c>
      <c r="B534" s="1" t="n">
        <v>44061</v>
      </c>
      <c r="C534" s="1" t="n">
        <v>45650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38810-2020</t>
        </is>
      </c>
      <c r="B535" s="1" t="n">
        <v>44062</v>
      </c>
      <c r="C535" s="1" t="n">
        <v>45650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39490-2020</t>
        </is>
      </c>
      <c r="B536" s="1" t="n">
        <v>44064</v>
      </c>
      <c r="C536" s="1" t="n">
        <v>45650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39498-2020</t>
        </is>
      </c>
      <c r="B537" s="1" t="n">
        <v>44064</v>
      </c>
      <c r="C537" s="1" t="n">
        <v>45650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39489-2020</t>
        </is>
      </c>
      <c r="B538" s="1" t="n">
        <v>44064</v>
      </c>
      <c r="C538" s="1" t="n">
        <v>45650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39497-2020</t>
        </is>
      </c>
      <c r="B539" s="1" t="n">
        <v>44064</v>
      </c>
      <c r="C539" s="1" t="n">
        <v>45650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39881-2020</t>
        </is>
      </c>
      <c r="B540" s="1" t="n">
        <v>44067</v>
      </c>
      <c r="C540" s="1" t="n">
        <v>45650</v>
      </c>
      <c r="D540" t="inlineStr">
        <is>
          <t>GÄVLEBORGS LÄN</t>
        </is>
      </c>
      <c r="E540" t="inlineStr">
        <is>
          <t>LJUSDAL</t>
        </is>
      </c>
      <c r="F540" t="inlineStr">
        <is>
          <t>Allmännings- och besparingsskogar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40345-2020</t>
        </is>
      </c>
      <c r="B541" s="1" t="n">
        <v>44068</v>
      </c>
      <c r="C541" s="1" t="n">
        <v>45650</v>
      </c>
      <c r="D541" t="inlineStr">
        <is>
          <t>GÄVLEBORGS LÄN</t>
        </is>
      </c>
      <c r="E541" t="inlineStr">
        <is>
          <t>LJUSDAL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40599-2020</t>
        </is>
      </c>
      <c r="B542" s="1" t="n">
        <v>44069</v>
      </c>
      <c r="C542" s="1" t="n">
        <v>45650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40614-2020</t>
        </is>
      </c>
      <c r="B543" s="1" t="n">
        <v>44069</v>
      </c>
      <c r="C543" s="1" t="n">
        <v>45650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40422-2020</t>
        </is>
      </c>
      <c r="B544" s="1" t="n">
        <v>44069</v>
      </c>
      <c r="C544" s="1" t="n">
        <v>45650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40610-2020</t>
        </is>
      </c>
      <c r="B545" s="1" t="n">
        <v>44069</v>
      </c>
      <c r="C545" s="1" t="n">
        <v>45650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40801-2020</t>
        </is>
      </c>
      <c r="B546" s="1" t="n">
        <v>44070</v>
      </c>
      <c r="C546" s="1" t="n">
        <v>45650</v>
      </c>
      <c r="D546" t="inlineStr">
        <is>
          <t>GÄVLEBORGS LÄN</t>
        </is>
      </c>
      <c r="E546" t="inlineStr">
        <is>
          <t>LJUSDAL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41622-2020</t>
        </is>
      </c>
      <c r="B547" s="1" t="n">
        <v>44074</v>
      </c>
      <c r="C547" s="1" t="n">
        <v>45650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41742-2020</t>
        </is>
      </c>
      <c r="B548" s="1" t="n">
        <v>44074</v>
      </c>
      <c r="C548" s="1" t="n">
        <v>45650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42006-2020</t>
        </is>
      </c>
      <c r="B549" s="1" t="n">
        <v>44075</v>
      </c>
      <c r="C549" s="1" t="n">
        <v>45650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42007-2020</t>
        </is>
      </c>
      <c r="B550" s="1" t="n">
        <v>44075</v>
      </c>
      <c r="C550" s="1" t="n">
        <v>45650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42009-2020</t>
        </is>
      </c>
      <c r="B551" s="1" t="n">
        <v>44075</v>
      </c>
      <c r="C551" s="1" t="n">
        <v>45650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42332-2020</t>
        </is>
      </c>
      <c r="B552" s="1" t="n">
        <v>44076</v>
      </c>
      <c r="C552" s="1" t="n">
        <v>45650</v>
      </c>
      <c r="D552" t="inlineStr">
        <is>
          <t>GÄVLEBORGS LÄN</t>
        </is>
      </c>
      <c r="E552" t="inlineStr">
        <is>
          <t>LJUSDAL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42504-2020</t>
        </is>
      </c>
      <c r="B553" s="1" t="n">
        <v>44077</v>
      </c>
      <c r="C553" s="1" t="n">
        <v>45650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42782-2020</t>
        </is>
      </c>
      <c r="B554" s="1" t="n">
        <v>44078</v>
      </c>
      <c r="C554" s="1" t="n">
        <v>45650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43723-2020</t>
        </is>
      </c>
      <c r="B555" s="1" t="n">
        <v>44078</v>
      </c>
      <c r="C555" s="1" t="n">
        <v>45650</v>
      </c>
      <c r="D555" t="inlineStr">
        <is>
          <t>GÄVLEBORGS LÄN</t>
        </is>
      </c>
      <c r="E555" t="inlineStr">
        <is>
          <t>LJUSDAL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42844-2020</t>
        </is>
      </c>
      <c r="B556" s="1" t="n">
        <v>44078</v>
      </c>
      <c r="C556" s="1" t="n">
        <v>45650</v>
      </c>
      <c r="D556" t="inlineStr">
        <is>
          <t>GÄVLEBORGS LÄN</t>
        </is>
      </c>
      <c r="E556" t="inlineStr">
        <is>
          <t>LJUSDAL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43144-2020</t>
        </is>
      </c>
      <c r="B557" s="1" t="n">
        <v>44080</v>
      </c>
      <c r="C557" s="1" t="n">
        <v>45650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43370-2020</t>
        </is>
      </c>
      <c r="B558" s="1" t="n">
        <v>44081</v>
      </c>
      <c r="C558" s="1" t="n">
        <v>45650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43376-2020</t>
        </is>
      </c>
      <c r="B559" s="1" t="n">
        <v>44081</v>
      </c>
      <c r="C559" s="1" t="n">
        <v>45650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43491-2020</t>
        </is>
      </c>
      <c r="B560" s="1" t="n">
        <v>44082</v>
      </c>
      <c r="C560" s="1" t="n">
        <v>45650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43487-2020</t>
        </is>
      </c>
      <c r="B561" s="1" t="n">
        <v>44082</v>
      </c>
      <c r="C561" s="1" t="n">
        <v>45650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43544-2020</t>
        </is>
      </c>
      <c r="B562" s="1" t="n">
        <v>44082</v>
      </c>
      <c r="C562" s="1" t="n">
        <v>45650</v>
      </c>
      <c r="D562" t="inlineStr">
        <is>
          <t>GÄVLEBORGS LÄN</t>
        </is>
      </c>
      <c r="E562" t="inlineStr">
        <is>
          <t>LJUSDAL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43867-2020</t>
        </is>
      </c>
      <c r="B563" s="1" t="n">
        <v>44083</v>
      </c>
      <c r="C563" s="1" t="n">
        <v>45650</v>
      </c>
      <c r="D563" t="inlineStr">
        <is>
          <t>GÄVLEBORGS LÄN</t>
        </is>
      </c>
      <c r="E563" t="inlineStr">
        <is>
          <t>LJUSDAL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44376-2020</t>
        </is>
      </c>
      <c r="B564" s="1" t="n">
        <v>44084</v>
      </c>
      <c r="C564" s="1" t="n">
        <v>45650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44552-2020</t>
        </is>
      </c>
      <c r="B565" s="1" t="n">
        <v>44085</v>
      </c>
      <c r="C565" s="1" t="n">
        <v>45650</v>
      </c>
      <c r="D565" t="inlineStr">
        <is>
          <t>GÄVLEBORGS LÄN</t>
        </is>
      </c>
      <c r="E565" t="inlineStr">
        <is>
          <t>LJUSDAL</t>
        </is>
      </c>
      <c r="F565" t="inlineStr">
        <is>
          <t>Bergvik skog väst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44805-2020</t>
        </is>
      </c>
      <c r="B566" s="1" t="n">
        <v>44085</v>
      </c>
      <c r="C566" s="1" t="n">
        <v>45650</v>
      </c>
      <c r="D566" t="inlineStr">
        <is>
          <t>GÄVLEBORGS LÄN</t>
        </is>
      </c>
      <c r="E566" t="inlineStr">
        <is>
          <t>LJUSDAL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44781-2020</t>
        </is>
      </c>
      <c r="B567" s="1" t="n">
        <v>44085</v>
      </c>
      <c r="C567" s="1" t="n">
        <v>45650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44777-2020</t>
        </is>
      </c>
      <c r="B568" s="1" t="n">
        <v>44085</v>
      </c>
      <c r="C568" s="1" t="n">
        <v>45650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44913-2020</t>
        </is>
      </c>
      <c r="B569" s="1" t="n">
        <v>44088</v>
      </c>
      <c r="C569" s="1" t="n">
        <v>45650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44904-2020</t>
        </is>
      </c>
      <c r="B570" s="1" t="n">
        <v>44088</v>
      </c>
      <c r="C570" s="1" t="n">
        <v>45650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45856-2020</t>
        </is>
      </c>
      <c r="B571" s="1" t="n">
        <v>44091</v>
      </c>
      <c r="C571" s="1" t="n">
        <v>45650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46287-2020</t>
        </is>
      </c>
      <c r="B572" s="1" t="n">
        <v>44092</v>
      </c>
      <c r="C572" s="1" t="n">
        <v>45650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46288-2020</t>
        </is>
      </c>
      <c r="B573" s="1" t="n">
        <v>44092</v>
      </c>
      <c r="C573" s="1" t="n">
        <v>45650</v>
      </c>
      <c r="D573" t="inlineStr">
        <is>
          <t>GÄVLEBORGS LÄN</t>
        </is>
      </c>
      <c r="E573" t="inlineStr">
        <is>
          <t>LJUSDAL</t>
        </is>
      </c>
      <c r="F573" t="inlineStr">
        <is>
          <t>Holmen skog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46301-2020</t>
        </is>
      </c>
      <c r="B574" s="1" t="n">
        <v>44092</v>
      </c>
      <c r="C574" s="1" t="n">
        <v>45650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46293-2020</t>
        </is>
      </c>
      <c r="B575" s="1" t="n">
        <v>44092</v>
      </c>
      <c r="C575" s="1" t="n">
        <v>45650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46577-2020</t>
        </is>
      </c>
      <c r="B576" s="1" t="n">
        <v>44095</v>
      </c>
      <c r="C576" s="1" t="n">
        <v>45650</v>
      </c>
      <c r="D576" t="inlineStr">
        <is>
          <t>GÄVLEBORGS LÄN</t>
        </is>
      </c>
      <c r="E576" t="inlineStr">
        <is>
          <t>LJUSDAL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47899-2020</t>
        </is>
      </c>
      <c r="B577" s="1" t="n">
        <v>44099</v>
      </c>
      <c r="C577" s="1" t="n">
        <v>45650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47914-2020</t>
        </is>
      </c>
      <c r="B578" s="1" t="n">
        <v>44099</v>
      </c>
      <c r="C578" s="1" t="n">
        <v>45650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18.2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47893-2020</t>
        </is>
      </c>
      <c r="B579" s="1" t="n">
        <v>44099</v>
      </c>
      <c r="C579" s="1" t="n">
        <v>45650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48742-2020</t>
        </is>
      </c>
      <c r="B580" s="1" t="n">
        <v>44103</v>
      </c>
      <c r="C580" s="1" t="n">
        <v>45650</v>
      </c>
      <c r="D580" t="inlineStr">
        <is>
          <t>GÄVLEBORGS LÄN</t>
        </is>
      </c>
      <c r="E580" t="inlineStr">
        <is>
          <t>LJUSDAL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48680-2020</t>
        </is>
      </c>
      <c r="B581" s="1" t="n">
        <v>44103</v>
      </c>
      <c r="C581" s="1" t="n">
        <v>45650</v>
      </c>
      <c r="D581" t="inlineStr">
        <is>
          <t>GÄVLEBORGS LÄN</t>
        </is>
      </c>
      <c r="E581" t="inlineStr">
        <is>
          <t>LJUSDAL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48905-2020</t>
        </is>
      </c>
      <c r="B582" s="1" t="n">
        <v>44104</v>
      </c>
      <c r="C582" s="1" t="n">
        <v>45650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49687-2020</t>
        </is>
      </c>
      <c r="B583" s="1" t="n">
        <v>44106</v>
      </c>
      <c r="C583" s="1" t="n">
        <v>45650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49807-2020</t>
        </is>
      </c>
      <c r="B584" s="1" t="n">
        <v>44106</v>
      </c>
      <c r="C584" s="1" t="n">
        <v>45650</v>
      </c>
      <c r="D584" t="inlineStr">
        <is>
          <t>GÄVLEBORGS LÄN</t>
        </is>
      </c>
      <c r="E584" t="inlineStr">
        <is>
          <t>LJUSDAL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49810-2020</t>
        </is>
      </c>
      <c r="B585" s="1" t="n">
        <v>44106</v>
      </c>
      <c r="C585" s="1" t="n">
        <v>45650</v>
      </c>
      <c r="D585" t="inlineStr">
        <is>
          <t>GÄVLEBORGS LÄN</t>
        </is>
      </c>
      <c r="E585" t="inlineStr">
        <is>
          <t>LJUSDAL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49886-2020</t>
        </is>
      </c>
      <c r="B586" s="1" t="n">
        <v>44108</v>
      </c>
      <c r="C586" s="1" t="n">
        <v>45650</v>
      </c>
      <c r="D586" t="inlineStr">
        <is>
          <t>GÄVLEBORGS LÄN</t>
        </is>
      </c>
      <c r="E586" t="inlineStr">
        <is>
          <t>LJUSDAL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49924-2020</t>
        </is>
      </c>
      <c r="B587" s="1" t="n">
        <v>44109</v>
      </c>
      <c r="C587" s="1" t="n">
        <v>45650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49913-2020</t>
        </is>
      </c>
      <c r="B588" s="1" t="n">
        <v>44109</v>
      </c>
      <c r="C588" s="1" t="n">
        <v>45650</v>
      </c>
      <c r="D588" t="inlineStr">
        <is>
          <t>GÄVLEBORGS LÄN</t>
        </is>
      </c>
      <c r="E588" t="inlineStr">
        <is>
          <t>LJUSDAL</t>
        </is>
      </c>
      <c r="F588" t="inlineStr">
        <is>
          <t>Kommuner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50474-2020</t>
        </is>
      </c>
      <c r="B589" s="1" t="n">
        <v>44110</v>
      </c>
      <c r="C589" s="1" t="n">
        <v>45650</v>
      </c>
      <c r="D589" t="inlineStr">
        <is>
          <t>GÄVLEBORGS LÄN</t>
        </is>
      </c>
      <c r="E589" t="inlineStr">
        <is>
          <t>LJUSDAL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50544-2020</t>
        </is>
      </c>
      <c r="B590" s="1" t="n">
        <v>44110</v>
      </c>
      <c r="C590" s="1" t="n">
        <v>45650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50689-2020</t>
        </is>
      </c>
      <c r="B591" s="1" t="n">
        <v>44111</v>
      </c>
      <c r="C591" s="1" t="n">
        <v>45650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51256-2020</t>
        </is>
      </c>
      <c r="B592" s="1" t="n">
        <v>44112</v>
      </c>
      <c r="C592" s="1" t="n">
        <v>45650</v>
      </c>
      <c r="D592" t="inlineStr">
        <is>
          <t>GÄVLEBORGS LÄN</t>
        </is>
      </c>
      <c r="E592" t="inlineStr">
        <is>
          <t>LJUSDAL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51306-2020</t>
        </is>
      </c>
      <c r="B593" s="1" t="n">
        <v>44112</v>
      </c>
      <c r="C593" s="1" t="n">
        <v>45650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52304-2020</t>
        </is>
      </c>
      <c r="B594" s="1" t="n">
        <v>44112</v>
      </c>
      <c r="C594" s="1" t="n">
        <v>45650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51790-2020</t>
        </is>
      </c>
      <c r="B595" s="1" t="n">
        <v>44116</v>
      </c>
      <c r="C595" s="1" t="n">
        <v>45650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51780-2020</t>
        </is>
      </c>
      <c r="B596" s="1" t="n">
        <v>44116</v>
      </c>
      <c r="C596" s="1" t="n">
        <v>45650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51918-2020</t>
        </is>
      </c>
      <c r="B597" s="1" t="n">
        <v>44116</v>
      </c>
      <c r="C597" s="1" t="n">
        <v>45650</v>
      </c>
      <c r="D597" t="inlineStr">
        <is>
          <t>GÄVLEBORGS LÄN</t>
        </is>
      </c>
      <c r="E597" t="inlineStr">
        <is>
          <t>LJUSDAL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51779-2020</t>
        </is>
      </c>
      <c r="B598" s="1" t="n">
        <v>44116</v>
      </c>
      <c r="C598" s="1" t="n">
        <v>45650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51781-2020</t>
        </is>
      </c>
      <c r="B599" s="1" t="n">
        <v>44116</v>
      </c>
      <c r="C599" s="1" t="n">
        <v>45650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52772-2020</t>
        </is>
      </c>
      <c r="B600" s="1" t="n">
        <v>44119</v>
      </c>
      <c r="C600" s="1" t="n">
        <v>45650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52767-2020</t>
        </is>
      </c>
      <c r="B601" s="1" t="n">
        <v>44119</v>
      </c>
      <c r="C601" s="1" t="n">
        <v>45650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52774-2020</t>
        </is>
      </c>
      <c r="B602" s="1" t="n">
        <v>44119</v>
      </c>
      <c r="C602" s="1" t="n">
        <v>45650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53071-2020</t>
        </is>
      </c>
      <c r="B603" s="1" t="n">
        <v>44120</v>
      </c>
      <c r="C603" s="1" t="n">
        <v>45650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53218-2020</t>
        </is>
      </c>
      <c r="B604" s="1" t="n">
        <v>44123</v>
      </c>
      <c r="C604" s="1" t="n">
        <v>45650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53529-2020</t>
        </is>
      </c>
      <c r="B605" s="1" t="n">
        <v>44124</v>
      </c>
      <c r="C605" s="1" t="n">
        <v>45650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53508-2020</t>
        </is>
      </c>
      <c r="B606" s="1" t="n">
        <v>44124</v>
      </c>
      <c r="C606" s="1" t="n">
        <v>45650</v>
      </c>
      <c r="D606" t="inlineStr">
        <is>
          <t>GÄVLEBORGS LÄN</t>
        </is>
      </c>
      <c r="E606" t="inlineStr">
        <is>
          <t>LJUSDAL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54136-2020</t>
        </is>
      </c>
      <c r="B607" s="1" t="n">
        <v>44125</v>
      </c>
      <c r="C607" s="1" t="n">
        <v>45650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53970-2020</t>
        </is>
      </c>
      <c r="B608" s="1" t="n">
        <v>44125</v>
      </c>
      <c r="C608" s="1" t="n">
        <v>45650</v>
      </c>
      <c r="D608" t="inlineStr">
        <is>
          <t>GÄVLEBORGS LÄN</t>
        </is>
      </c>
      <c r="E608" t="inlineStr">
        <is>
          <t>LJUSDAL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54133-2020</t>
        </is>
      </c>
      <c r="B609" s="1" t="n">
        <v>44125</v>
      </c>
      <c r="C609" s="1" t="n">
        <v>45650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53850-2020</t>
        </is>
      </c>
      <c r="B610" s="1" t="n">
        <v>44125</v>
      </c>
      <c r="C610" s="1" t="n">
        <v>45650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54475-2020</t>
        </is>
      </c>
      <c r="B611" s="1" t="n">
        <v>44126</v>
      </c>
      <c r="C611" s="1" t="n">
        <v>45650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54472-2020</t>
        </is>
      </c>
      <c r="B612" s="1" t="n">
        <v>44126</v>
      </c>
      <c r="C612" s="1" t="n">
        <v>45650</v>
      </c>
      <c r="D612" t="inlineStr">
        <is>
          <t>GÄVLEBORGS LÄN</t>
        </is>
      </c>
      <c r="E612" t="inlineStr">
        <is>
          <t>LJUSDAL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54324-2020</t>
        </is>
      </c>
      <c r="B613" s="1" t="n">
        <v>44126</v>
      </c>
      <c r="C613" s="1" t="n">
        <v>45650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54595-2020</t>
        </is>
      </c>
      <c r="B614" s="1" t="n">
        <v>44126</v>
      </c>
      <c r="C614" s="1" t="n">
        <v>45650</v>
      </c>
      <c r="D614" t="inlineStr">
        <is>
          <t>GÄVLEBORGS LÄN</t>
        </is>
      </c>
      <c r="E614" t="inlineStr">
        <is>
          <t>LJUSDAL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57826-2020</t>
        </is>
      </c>
      <c r="B615" s="1" t="n">
        <v>44141</v>
      </c>
      <c r="C615" s="1" t="n">
        <v>45650</v>
      </c>
      <c r="D615" t="inlineStr">
        <is>
          <t>GÄVLEBORGS LÄN</t>
        </is>
      </c>
      <c r="E615" t="inlineStr">
        <is>
          <t>LJUSDAL</t>
        </is>
      </c>
      <c r="F615" t="inlineStr">
        <is>
          <t>Holmen skog AB</t>
        </is>
      </c>
      <c r="G615" t="n">
        <v>16.8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58122-2020</t>
        </is>
      </c>
      <c r="B616" s="1" t="n">
        <v>44144</v>
      </c>
      <c r="C616" s="1" t="n">
        <v>45650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58511-2020</t>
        </is>
      </c>
      <c r="B617" s="1" t="n">
        <v>44145</v>
      </c>
      <c r="C617" s="1" t="n">
        <v>45650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58684-2020</t>
        </is>
      </c>
      <c r="B618" s="1" t="n">
        <v>44146</v>
      </c>
      <c r="C618" s="1" t="n">
        <v>45650</v>
      </c>
      <c r="D618" t="inlineStr">
        <is>
          <t>GÄVLEBORGS LÄN</t>
        </is>
      </c>
      <c r="E618" t="inlineStr">
        <is>
          <t>LJUSDAL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59057-2020</t>
        </is>
      </c>
      <c r="B619" s="1" t="n">
        <v>44147</v>
      </c>
      <c r="C619" s="1" t="n">
        <v>45650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59348-2020</t>
        </is>
      </c>
      <c r="B620" s="1" t="n">
        <v>44148</v>
      </c>
      <c r="C620" s="1" t="n">
        <v>45650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20.4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59803-2020</t>
        </is>
      </c>
      <c r="B621" s="1" t="n">
        <v>44148</v>
      </c>
      <c r="C621" s="1" t="n">
        <v>45650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59646-2020</t>
        </is>
      </c>
      <c r="B622" s="1" t="n">
        <v>44150</v>
      </c>
      <c r="C622" s="1" t="n">
        <v>45650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59924-2020</t>
        </is>
      </c>
      <c r="B623" s="1" t="n">
        <v>44151</v>
      </c>
      <c r="C623" s="1" t="n">
        <v>45650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62191-2020</t>
        </is>
      </c>
      <c r="B624" s="1" t="n">
        <v>44159</v>
      </c>
      <c r="C624" s="1" t="n">
        <v>45650</v>
      </c>
      <c r="D624" t="inlineStr">
        <is>
          <t>GÄVLEBORGS LÄN</t>
        </is>
      </c>
      <c r="E624" t="inlineStr">
        <is>
          <t>LJUSDAL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62426-2020</t>
        </is>
      </c>
      <c r="B625" s="1" t="n">
        <v>44160</v>
      </c>
      <c r="C625" s="1" t="n">
        <v>45650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62829-2020</t>
        </is>
      </c>
      <c r="B626" s="1" t="n">
        <v>44161</v>
      </c>
      <c r="C626" s="1" t="n">
        <v>45650</v>
      </c>
      <c r="D626" t="inlineStr">
        <is>
          <t>GÄVLEBORGS LÄN</t>
        </is>
      </c>
      <c r="E626" t="inlineStr">
        <is>
          <t>LJUSDAL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62947-2020</t>
        </is>
      </c>
      <c r="B627" s="1" t="n">
        <v>44162</v>
      </c>
      <c r="C627" s="1" t="n">
        <v>45650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63081-2020</t>
        </is>
      </c>
      <c r="B628" s="1" t="n">
        <v>44162</v>
      </c>
      <c r="C628" s="1" t="n">
        <v>45650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64307-2020</t>
        </is>
      </c>
      <c r="B629" s="1" t="n">
        <v>44166</v>
      </c>
      <c r="C629" s="1" t="n">
        <v>45650</v>
      </c>
      <c r="D629" t="inlineStr">
        <is>
          <t>GÄVLEBORGS LÄN</t>
        </is>
      </c>
      <c r="E629" t="inlineStr">
        <is>
          <t>LJUSDAL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64040-2020</t>
        </is>
      </c>
      <c r="B630" s="1" t="n">
        <v>44167</v>
      </c>
      <c r="C630" s="1" t="n">
        <v>45650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65862-2020</t>
        </is>
      </c>
      <c r="B631" s="1" t="n">
        <v>44174</v>
      </c>
      <c r="C631" s="1" t="n">
        <v>45650</v>
      </c>
      <c r="D631" t="inlineStr">
        <is>
          <t>GÄVLEBORGS LÄN</t>
        </is>
      </c>
      <c r="E631" t="inlineStr">
        <is>
          <t>LJUSDAL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65865-2020</t>
        </is>
      </c>
      <c r="B632" s="1" t="n">
        <v>44174</v>
      </c>
      <c r="C632" s="1" t="n">
        <v>45650</v>
      </c>
      <c r="D632" t="inlineStr">
        <is>
          <t>GÄVLEBORGS LÄN</t>
        </is>
      </c>
      <c r="E632" t="inlineStr">
        <is>
          <t>LJUSDAL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66279-2020</t>
        </is>
      </c>
      <c r="B633" s="1" t="n">
        <v>44176</v>
      </c>
      <c r="C633" s="1" t="n">
        <v>45650</v>
      </c>
      <c r="D633" t="inlineStr">
        <is>
          <t>GÄVLEBORGS LÄN</t>
        </is>
      </c>
      <c r="E633" t="inlineStr">
        <is>
          <t>LJUSDAL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66735-2020</t>
        </is>
      </c>
      <c r="B634" s="1" t="n">
        <v>44179</v>
      </c>
      <c r="C634" s="1" t="n">
        <v>45650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67171-2020</t>
        </is>
      </c>
      <c r="B635" s="1" t="n">
        <v>44180</v>
      </c>
      <c r="C635" s="1" t="n">
        <v>45650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69571-2020</t>
        </is>
      </c>
      <c r="B636" s="1" t="n">
        <v>44194</v>
      </c>
      <c r="C636" s="1" t="n">
        <v>45650</v>
      </c>
      <c r="D636" t="inlineStr">
        <is>
          <t>GÄVLEBORGS LÄN</t>
        </is>
      </c>
      <c r="E636" t="inlineStr">
        <is>
          <t>LJUSDAL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HYPERLINK("https://klasma.github.io/Logging_2161/knärot/A 69571-2020 karta knärot.png", "A 69571-2020")</f>
        <v/>
      </c>
      <c r="V636">
        <f>HYPERLINK("https://klasma.github.io/Logging_2161/klagomål/A 69571-2020 FSC-klagomål.docx", "A 69571-2020")</f>
        <v/>
      </c>
      <c r="W636">
        <f>HYPERLINK("https://klasma.github.io/Logging_2161/klagomålsmail/A 69571-2020 FSC-klagomål mail.docx", "A 69571-2020")</f>
        <v/>
      </c>
      <c r="X636">
        <f>HYPERLINK("https://klasma.github.io/Logging_2161/tillsyn/A 69571-2020 tillsynsbegäran.docx", "A 69571-2020")</f>
        <v/>
      </c>
      <c r="Y636">
        <f>HYPERLINK("https://klasma.github.io/Logging_2161/tillsynsmail/A 69571-2020 tillsynsbegäran mail.docx", "A 69571-2020")</f>
        <v/>
      </c>
    </row>
    <row r="637" ht="15" customHeight="1">
      <c r="A637" t="inlineStr">
        <is>
          <t>A 69569-2020</t>
        </is>
      </c>
      <c r="B637" s="1" t="n">
        <v>44194</v>
      </c>
      <c r="C637" s="1" t="n">
        <v>45650</v>
      </c>
      <c r="D637" t="inlineStr">
        <is>
          <t>GÄVLEBORGS LÄN</t>
        </is>
      </c>
      <c r="E637" t="inlineStr">
        <is>
          <t>LJUSDAL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54-2021</t>
        </is>
      </c>
      <c r="B638" s="1" t="n">
        <v>44199</v>
      </c>
      <c r="C638" s="1" t="n">
        <v>45650</v>
      </c>
      <c r="D638" t="inlineStr">
        <is>
          <t>GÄVLEBORGS LÄN</t>
        </is>
      </c>
      <c r="E638" t="inlineStr">
        <is>
          <t>LJUSDAL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219-2021</t>
        </is>
      </c>
      <c r="B639" s="1" t="n">
        <v>44200</v>
      </c>
      <c r="C639" s="1" t="n">
        <v>45650</v>
      </c>
      <c r="D639" t="inlineStr">
        <is>
          <t>GÄVLEBORGS LÄN</t>
        </is>
      </c>
      <c r="E639" t="inlineStr">
        <is>
          <t>LJUSDAL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783-2021</t>
        </is>
      </c>
      <c r="B640" s="1" t="n">
        <v>44203</v>
      </c>
      <c r="C640" s="1" t="n">
        <v>45650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1196-2021</t>
        </is>
      </c>
      <c r="B641" s="1" t="n">
        <v>44208</v>
      </c>
      <c r="C641" s="1" t="n">
        <v>45650</v>
      </c>
      <c r="D641" t="inlineStr">
        <is>
          <t>GÄVLEBORGS LÄN</t>
        </is>
      </c>
      <c r="E641" t="inlineStr">
        <is>
          <t>LJUSDAL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3207-2021</t>
        </is>
      </c>
      <c r="B642" s="1" t="n">
        <v>44217</v>
      </c>
      <c r="C642" s="1" t="n">
        <v>45650</v>
      </c>
      <c r="D642" t="inlineStr">
        <is>
          <t>GÄVLEBORGS LÄN</t>
        </is>
      </c>
      <c r="E642" t="inlineStr">
        <is>
          <t>LJUSDAL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3663-2021</t>
        </is>
      </c>
      <c r="B643" s="1" t="n">
        <v>44221</v>
      </c>
      <c r="C643" s="1" t="n">
        <v>45650</v>
      </c>
      <c r="D643" t="inlineStr">
        <is>
          <t>GÄVLEBORGS LÄN</t>
        </is>
      </c>
      <c r="E643" t="inlineStr">
        <is>
          <t>LJUSDAL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4341-2021</t>
        </is>
      </c>
      <c r="B644" s="1" t="n">
        <v>44223</v>
      </c>
      <c r="C644" s="1" t="n">
        <v>45650</v>
      </c>
      <c r="D644" t="inlineStr">
        <is>
          <t>GÄVLEBORGS LÄN</t>
        </is>
      </c>
      <c r="E644" t="inlineStr">
        <is>
          <t>LJUSDAL</t>
        </is>
      </c>
      <c r="F644" t="inlineStr">
        <is>
          <t>Kommuner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5029-2021</t>
        </is>
      </c>
      <c r="B645" s="1" t="n">
        <v>44228</v>
      </c>
      <c r="C645" s="1" t="n">
        <v>45650</v>
      </c>
      <c r="D645" t="inlineStr">
        <is>
          <t>GÄVLEBORGS LÄN</t>
        </is>
      </c>
      <c r="E645" t="inlineStr">
        <is>
          <t>LJUSDAL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5431-2021</t>
        </is>
      </c>
      <c r="B646" s="1" t="n">
        <v>44229</v>
      </c>
      <c r="C646" s="1" t="n">
        <v>45650</v>
      </c>
      <c r="D646" t="inlineStr">
        <is>
          <t>GÄVLEBORGS LÄN</t>
        </is>
      </c>
      <c r="E646" t="inlineStr">
        <is>
          <t>LJUSDAL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6587-2021</t>
        </is>
      </c>
      <c r="B647" s="1" t="n">
        <v>44236</v>
      </c>
      <c r="C647" s="1" t="n">
        <v>45650</v>
      </c>
      <c r="D647" t="inlineStr">
        <is>
          <t>GÄVLEBORGS LÄN</t>
        </is>
      </c>
      <c r="E647" t="inlineStr">
        <is>
          <t>LJUSDAL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7358-2021</t>
        </is>
      </c>
      <c r="B648" s="1" t="n">
        <v>44239</v>
      </c>
      <c r="C648" s="1" t="n">
        <v>45650</v>
      </c>
      <c r="D648" t="inlineStr">
        <is>
          <t>GÄVLEBORGS LÄN</t>
        </is>
      </c>
      <c r="E648" t="inlineStr">
        <is>
          <t>LJUSDAL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7925-2021</t>
        </is>
      </c>
      <c r="B649" s="1" t="n">
        <v>44243</v>
      </c>
      <c r="C649" s="1" t="n">
        <v>45650</v>
      </c>
      <c r="D649" t="inlineStr">
        <is>
          <t>GÄVLEBORGS LÄN</t>
        </is>
      </c>
      <c r="E649" t="inlineStr">
        <is>
          <t>LJUSDAL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9288-2021</t>
        </is>
      </c>
      <c r="B650" s="1" t="n">
        <v>44250</v>
      </c>
      <c r="C650" s="1" t="n">
        <v>45650</v>
      </c>
      <c r="D650" t="inlineStr">
        <is>
          <t>GÄVLEBORGS LÄN</t>
        </is>
      </c>
      <c r="E650" t="inlineStr">
        <is>
          <t>LJUSDAL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9540-2021</t>
        </is>
      </c>
      <c r="B651" s="1" t="n">
        <v>44251</v>
      </c>
      <c r="C651" s="1" t="n">
        <v>45650</v>
      </c>
      <c r="D651" t="inlineStr">
        <is>
          <t>GÄVLEBORGS LÄN</t>
        </is>
      </c>
      <c r="E651" t="inlineStr">
        <is>
          <t>LJUSDAL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9714-2021</t>
        </is>
      </c>
      <c r="B652" s="1" t="n">
        <v>44252</v>
      </c>
      <c r="C652" s="1" t="n">
        <v>45650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20.7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9982-2021</t>
        </is>
      </c>
      <c r="B653" s="1" t="n">
        <v>44253</v>
      </c>
      <c r="C653" s="1" t="n">
        <v>45650</v>
      </c>
      <c r="D653" t="inlineStr">
        <is>
          <t>GÄVLEBORGS LÄN</t>
        </is>
      </c>
      <c r="E653" t="inlineStr">
        <is>
          <t>LJUSDAL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10883-2021</t>
        </is>
      </c>
      <c r="B654" s="1" t="n">
        <v>44259</v>
      </c>
      <c r="C654" s="1" t="n">
        <v>45650</v>
      </c>
      <c r="D654" t="inlineStr">
        <is>
          <t>GÄVLEBORGS LÄN</t>
        </is>
      </c>
      <c r="E654" t="inlineStr">
        <is>
          <t>LJUSDAL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11766-2021</t>
        </is>
      </c>
      <c r="B655" s="1" t="n">
        <v>44265</v>
      </c>
      <c r="C655" s="1" t="n">
        <v>45650</v>
      </c>
      <c r="D655" t="inlineStr">
        <is>
          <t>GÄVLEBORGS LÄN</t>
        </is>
      </c>
      <c r="E655" t="inlineStr">
        <is>
          <t>LJUSDAL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11770-2021</t>
        </is>
      </c>
      <c r="B656" s="1" t="n">
        <v>44265</v>
      </c>
      <c r="C656" s="1" t="n">
        <v>45650</v>
      </c>
      <c r="D656" t="inlineStr">
        <is>
          <t>GÄVLEBORGS LÄN</t>
        </is>
      </c>
      <c r="E656" t="inlineStr">
        <is>
          <t>LJUSDAL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12012-2021</t>
        </is>
      </c>
      <c r="B657" s="1" t="n">
        <v>44266</v>
      </c>
      <c r="C657" s="1" t="n">
        <v>45650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12330-2021</t>
        </is>
      </c>
      <c r="B658" s="1" t="n">
        <v>44267</v>
      </c>
      <c r="C658" s="1" t="n">
        <v>45650</v>
      </c>
      <c r="D658" t="inlineStr">
        <is>
          <t>GÄVLEBORGS LÄN</t>
        </is>
      </c>
      <c r="E658" t="inlineStr">
        <is>
          <t>LJUSDAL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12300-2021</t>
        </is>
      </c>
      <c r="B659" s="1" t="n">
        <v>44267</v>
      </c>
      <c r="C659" s="1" t="n">
        <v>45650</v>
      </c>
      <c r="D659" t="inlineStr">
        <is>
          <t>GÄVLEBORGS LÄN</t>
        </is>
      </c>
      <c r="E659" t="inlineStr">
        <is>
          <t>LJUSDAL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12390-2021</t>
        </is>
      </c>
      <c r="B660" s="1" t="n">
        <v>44267</v>
      </c>
      <c r="C660" s="1" t="n">
        <v>45650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12391-2021</t>
        </is>
      </c>
      <c r="B661" s="1" t="n">
        <v>44267</v>
      </c>
      <c r="C661" s="1" t="n">
        <v>45650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12648-2021</t>
        </is>
      </c>
      <c r="B662" s="1" t="n">
        <v>44270</v>
      </c>
      <c r="C662" s="1" t="n">
        <v>45650</v>
      </c>
      <c r="D662" t="inlineStr">
        <is>
          <t>GÄVLEBORGS LÄN</t>
        </is>
      </c>
      <c r="E662" t="inlineStr">
        <is>
          <t>LJUSDAL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13369-2021</t>
        </is>
      </c>
      <c r="B663" s="1" t="n">
        <v>44273</v>
      </c>
      <c r="C663" s="1" t="n">
        <v>45650</v>
      </c>
      <c r="D663" t="inlineStr">
        <is>
          <t>GÄVLEBORGS LÄN</t>
        </is>
      </c>
      <c r="E663" t="inlineStr">
        <is>
          <t>LJUSDAL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13519-2021</t>
        </is>
      </c>
      <c r="B664" s="1" t="n">
        <v>44273</v>
      </c>
      <c r="C664" s="1" t="n">
        <v>45650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13521-2021</t>
        </is>
      </c>
      <c r="B665" s="1" t="n">
        <v>44273</v>
      </c>
      <c r="C665" s="1" t="n">
        <v>45650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14057-2021</t>
        </is>
      </c>
      <c r="B666" s="1" t="n">
        <v>44277</v>
      </c>
      <c r="C666" s="1" t="n">
        <v>45650</v>
      </c>
      <c r="D666" t="inlineStr">
        <is>
          <t>GÄVLEBORGS LÄN</t>
        </is>
      </c>
      <c r="E666" t="inlineStr">
        <is>
          <t>LJUSDAL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14056-2021</t>
        </is>
      </c>
      <c r="B667" s="1" t="n">
        <v>44277</v>
      </c>
      <c r="C667" s="1" t="n">
        <v>45650</v>
      </c>
      <c r="D667" t="inlineStr">
        <is>
          <t>GÄVLEBORGS LÄN</t>
        </is>
      </c>
      <c r="E667" t="inlineStr">
        <is>
          <t>LJUSDAL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16154-2021</t>
        </is>
      </c>
      <c r="B668" s="1" t="n">
        <v>44292</v>
      </c>
      <c r="C668" s="1" t="n">
        <v>45650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16699-2021</t>
        </is>
      </c>
      <c r="B669" s="1" t="n">
        <v>44294</v>
      </c>
      <c r="C669" s="1" t="n">
        <v>45650</v>
      </c>
      <c r="D669" t="inlineStr">
        <is>
          <t>GÄVLEBORGS LÄN</t>
        </is>
      </c>
      <c r="E669" t="inlineStr">
        <is>
          <t>LJUSDAL</t>
        </is>
      </c>
      <c r="F669" t="inlineStr">
        <is>
          <t>Kyrkan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16709-2021</t>
        </is>
      </c>
      <c r="B670" s="1" t="n">
        <v>44294</v>
      </c>
      <c r="C670" s="1" t="n">
        <v>45650</v>
      </c>
      <c r="D670" t="inlineStr">
        <is>
          <t>GÄVLEBORGS LÄN</t>
        </is>
      </c>
      <c r="E670" t="inlineStr">
        <is>
          <t>LJUSDAL</t>
        </is>
      </c>
      <c r="F670" t="inlineStr">
        <is>
          <t>Kyrkan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16925-2021</t>
        </is>
      </c>
      <c r="B671" s="1" t="n">
        <v>44295</v>
      </c>
      <c r="C671" s="1" t="n">
        <v>45650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17114-2021</t>
        </is>
      </c>
      <c r="B672" s="1" t="n">
        <v>44298</v>
      </c>
      <c r="C672" s="1" t="n">
        <v>45650</v>
      </c>
      <c r="D672" t="inlineStr">
        <is>
          <t>GÄVLEBORGS LÄN</t>
        </is>
      </c>
      <c r="E672" t="inlineStr">
        <is>
          <t>LJUSDAL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17117-2021</t>
        </is>
      </c>
      <c r="B673" s="1" t="n">
        <v>44298</v>
      </c>
      <c r="C673" s="1" t="n">
        <v>45650</v>
      </c>
      <c r="D673" t="inlineStr">
        <is>
          <t>GÄVLEBORGS LÄN</t>
        </is>
      </c>
      <c r="E673" t="inlineStr">
        <is>
          <t>LJUSDAL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18096-2021</t>
        </is>
      </c>
      <c r="B674" s="1" t="n">
        <v>44302</v>
      </c>
      <c r="C674" s="1" t="n">
        <v>45650</v>
      </c>
      <c r="D674" t="inlineStr">
        <is>
          <t>GÄVLEBORGS LÄN</t>
        </is>
      </c>
      <c r="E674" t="inlineStr">
        <is>
          <t>LJUSDAL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18108-2021</t>
        </is>
      </c>
      <c r="B675" s="1" t="n">
        <v>44302</v>
      </c>
      <c r="C675" s="1" t="n">
        <v>45650</v>
      </c>
      <c r="D675" t="inlineStr">
        <is>
          <t>GÄVLEBORGS LÄN</t>
        </is>
      </c>
      <c r="E675" t="inlineStr">
        <is>
          <t>LJUSDAL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18151-2021</t>
        </is>
      </c>
      <c r="B676" s="1" t="n">
        <v>44302</v>
      </c>
      <c r="C676" s="1" t="n">
        <v>45650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18078-2021</t>
        </is>
      </c>
      <c r="B677" s="1" t="n">
        <v>44302</v>
      </c>
      <c r="C677" s="1" t="n">
        <v>45650</v>
      </c>
      <c r="D677" t="inlineStr">
        <is>
          <t>GÄVLEBORGS LÄN</t>
        </is>
      </c>
      <c r="E677" t="inlineStr">
        <is>
          <t>LJUSDAL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18039-2021</t>
        </is>
      </c>
      <c r="B678" s="1" t="n">
        <v>44302</v>
      </c>
      <c r="C678" s="1" t="n">
        <v>45650</v>
      </c>
      <c r="D678" t="inlineStr">
        <is>
          <t>GÄVLEBORGS LÄN</t>
        </is>
      </c>
      <c r="E678" t="inlineStr">
        <is>
          <t>LJUSDAL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18264-2021</t>
        </is>
      </c>
      <c r="B679" s="1" t="n">
        <v>44305</v>
      </c>
      <c r="C679" s="1" t="n">
        <v>45650</v>
      </c>
      <c r="D679" t="inlineStr">
        <is>
          <t>GÄVLEBORGS LÄN</t>
        </is>
      </c>
      <c r="E679" t="inlineStr">
        <is>
          <t>LJUSDAL</t>
        </is>
      </c>
      <c r="F679" t="inlineStr">
        <is>
          <t>Bergvik skog väst AB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18786-2021</t>
        </is>
      </c>
      <c r="B680" s="1" t="n">
        <v>44307</v>
      </c>
      <c r="C680" s="1" t="n">
        <v>45650</v>
      </c>
      <c r="D680" t="inlineStr">
        <is>
          <t>GÄVLEBORGS LÄN</t>
        </is>
      </c>
      <c r="E680" t="inlineStr">
        <is>
          <t>LJUSDAL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19129-2021</t>
        </is>
      </c>
      <c r="B681" s="1" t="n">
        <v>44308</v>
      </c>
      <c r="C681" s="1" t="n">
        <v>45650</v>
      </c>
      <c r="D681" t="inlineStr">
        <is>
          <t>GÄVLEBORGS LÄN</t>
        </is>
      </c>
      <c r="E681" t="inlineStr">
        <is>
          <t>LJUSDAL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19117-2021</t>
        </is>
      </c>
      <c r="B682" s="1" t="n">
        <v>44308</v>
      </c>
      <c r="C682" s="1" t="n">
        <v>45650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19405-2021</t>
        </is>
      </c>
      <c r="B683" s="1" t="n">
        <v>44309</v>
      </c>
      <c r="C683" s="1" t="n">
        <v>45650</v>
      </c>
      <c r="D683" t="inlineStr">
        <is>
          <t>GÄVLEBORGS LÄN</t>
        </is>
      </c>
      <c r="E683" t="inlineStr">
        <is>
          <t>LJUSDAL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19973-2021</t>
        </is>
      </c>
      <c r="B684" s="1" t="n">
        <v>44313</v>
      </c>
      <c r="C684" s="1" t="n">
        <v>45650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38.9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19976-2021</t>
        </is>
      </c>
      <c r="B685" s="1" t="n">
        <v>44313</v>
      </c>
      <c r="C685" s="1" t="n">
        <v>45650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40.1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20058-2021</t>
        </is>
      </c>
      <c r="B686" s="1" t="n">
        <v>44314</v>
      </c>
      <c r="C686" s="1" t="n">
        <v>45650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20112-2021</t>
        </is>
      </c>
      <c r="B687" s="1" t="n">
        <v>44314</v>
      </c>
      <c r="C687" s="1" t="n">
        <v>45650</v>
      </c>
      <c r="D687" t="inlineStr">
        <is>
          <t>GÄVLEBORGS LÄN</t>
        </is>
      </c>
      <c r="E687" t="inlineStr">
        <is>
          <t>LJUSDAL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21259-2021</t>
        </is>
      </c>
      <c r="B688" s="1" t="n">
        <v>44320</v>
      </c>
      <c r="C688" s="1" t="n">
        <v>45650</v>
      </c>
      <c r="D688" t="inlineStr">
        <is>
          <t>GÄVLEBORGS LÄN</t>
        </is>
      </c>
      <c r="E688" t="inlineStr">
        <is>
          <t>LJUSDAL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21720-2021</t>
        </is>
      </c>
      <c r="B689" s="1" t="n">
        <v>44322</v>
      </c>
      <c r="C689" s="1" t="n">
        <v>45650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21751-2021</t>
        </is>
      </c>
      <c r="B690" s="1" t="n">
        <v>44322</v>
      </c>
      <c r="C690" s="1" t="n">
        <v>45650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21781-2021</t>
        </is>
      </c>
      <c r="B691" s="1" t="n">
        <v>44322</v>
      </c>
      <c r="C691" s="1" t="n">
        <v>45650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21696-2021</t>
        </is>
      </c>
      <c r="B692" s="1" t="n">
        <v>44322</v>
      </c>
      <c r="C692" s="1" t="n">
        <v>45650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21708-2021</t>
        </is>
      </c>
      <c r="B693" s="1" t="n">
        <v>44322</v>
      </c>
      <c r="C693" s="1" t="n">
        <v>45650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21750-2021</t>
        </is>
      </c>
      <c r="B694" s="1" t="n">
        <v>44322</v>
      </c>
      <c r="C694" s="1" t="n">
        <v>45650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21724-2021</t>
        </is>
      </c>
      <c r="B695" s="1" t="n">
        <v>44322</v>
      </c>
      <c r="C695" s="1" t="n">
        <v>45650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22012-2021</t>
        </is>
      </c>
      <c r="B696" s="1" t="n">
        <v>44323</v>
      </c>
      <c r="C696" s="1" t="n">
        <v>45650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22013-2021</t>
        </is>
      </c>
      <c r="B697" s="1" t="n">
        <v>44323</v>
      </c>
      <c r="C697" s="1" t="n">
        <v>45650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21984-2021</t>
        </is>
      </c>
      <c r="B698" s="1" t="n">
        <v>44323</v>
      </c>
      <c r="C698" s="1" t="n">
        <v>45650</v>
      </c>
      <c r="D698" t="inlineStr">
        <is>
          <t>GÄVLEBORGS LÄN</t>
        </is>
      </c>
      <c r="E698" t="inlineStr">
        <is>
          <t>LJUSDAL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22304-2021</t>
        </is>
      </c>
      <c r="B699" s="1" t="n">
        <v>44326</v>
      </c>
      <c r="C699" s="1" t="n">
        <v>45650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22206-2021</t>
        </is>
      </c>
      <c r="B700" s="1" t="n">
        <v>44326</v>
      </c>
      <c r="C700" s="1" t="n">
        <v>45650</v>
      </c>
      <c r="D700" t="inlineStr">
        <is>
          <t>GÄVLEBORGS LÄN</t>
        </is>
      </c>
      <c r="E700" t="inlineStr">
        <is>
          <t>LJUSDAL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22239-2021</t>
        </is>
      </c>
      <c r="B701" s="1" t="n">
        <v>44326</v>
      </c>
      <c r="C701" s="1" t="n">
        <v>45650</v>
      </c>
      <c r="D701" t="inlineStr">
        <is>
          <t>GÄVLEBORGS LÄN</t>
        </is>
      </c>
      <c r="E701" t="inlineStr">
        <is>
          <t>LJUSDAL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22756-2021</t>
        </is>
      </c>
      <c r="B702" s="1" t="n">
        <v>44327</v>
      </c>
      <c r="C702" s="1" t="n">
        <v>45650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22758-2021</t>
        </is>
      </c>
      <c r="B703" s="1" t="n">
        <v>44327</v>
      </c>
      <c r="C703" s="1" t="n">
        <v>45650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23329-2021</t>
        </is>
      </c>
      <c r="B704" s="1" t="n">
        <v>44333</v>
      </c>
      <c r="C704" s="1" t="n">
        <v>45650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23395-2021</t>
        </is>
      </c>
      <c r="B705" s="1" t="n">
        <v>44333</v>
      </c>
      <c r="C705" s="1" t="n">
        <v>45650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23418-2021</t>
        </is>
      </c>
      <c r="B706" s="1" t="n">
        <v>44333</v>
      </c>
      <c r="C706" s="1" t="n">
        <v>45650</v>
      </c>
      <c r="D706" t="inlineStr">
        <is>
          <t>GÄVLEBORGS LÄN</t>
        </is>
      </c>
      <c r="E706" t="inlineStr">
        <is>
          <t>LJUSDAL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23396-2021</t>
        </is>
      </c>
      <c r="B707" s="1" t="n">
        <v>44333</v>
      </c>
      <c r="C707" s="1" t="n">
        <v>45650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23955-2021</t>
        </is>
      </c>
      <c r="B708" s="1" t="n">
        <v>44335</v>
      </c>
      <c r="C708" s="1" t="n">
        <v>45650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23966-2021</t>
        </is>
      </c>
      <c r="B709" s="1" t="n">
        <v>44335</v>
      </c>
      <c r="C709" s="1" t="n">
        <v>45650</v>
      </c>
      <c r="D709" t="inlineStr">
        <is>
          <t>GÄVLEBORGS LÄN</t>
        </is>
      </c>
      <c r="E709" t="inlineStr">
        <is>
          <t>LJUSDAL</t>
        </is>
      </c>
      <c r="F709" t="inlineStr">
        <is>
          <t>Holmen skog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24158-2021</t>
        </is>
      </c>
      <c r="B710" s="1" t="n">
        <v>44336</v>
      </c>
      <c r="C710" s="1" t="n">
        <v>45650</v>
      </c>
      <c r="D710" t="inlineStr">
        <is>
          <t>GÄVLEBORGS LÄN</t>
        </is>
      </c>
      <c r="E710" t="inlineStr">
        <is>
          <t>LJUSDAL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24627-2021</t>
        </is>
      </c>
      <c r="B711" s="1" t="n">
        <v>44340</v>
      </c>
      <c r="C711" s="1" t="n">
        <v>45650</v>
      </c>
      <c r="D711" t="inlineStr">
        <is>
          <t>GÄVLEBORGS LÄN</t>
        </is>
      </c>
      <c r="E711" t="inlineStr">
        <is>
          <t>LJUSDAL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24894-2021</t>
        </is>
      </c>
      <c r="B712" s="1" t="n">
        <v>44341</v>
      </c>
      <c r="C712" s="1" t="n">
        <v>45650</v>
      </c>
      <c r="D712" t="inlineStr">
        <is>
          <t>GÄVLEBORGS LÄN</t>
        </is>
      </c>
      <c r="E712" t="inlineStr">
        <is>
          <t>LJUSDAL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24881-2021</t>
        </is>
      </c>
      <c r="B713" s="1" t="n">
        <v>44341</v>
      </c>
      <c r="C713" s="1" t="n">
        <v>45650</v>
      </c>
      <c r="D713" t="inlineStr">
        <is>
          <t>GÄVLEBORGS LÄN</t>
        </is>
      </c>
      <c r="E713" t="inlineStr">
        <is>
          <t>LJUSDAL</t>
        </is>
      </c>
      <c r="F713" t="inlineStr">
        <is>
          <t>Kommuner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24899-2021</t>
        </is>
      </c>
      <c r="B714" s="1" t="n">
        <v>44341</v>
      </c>
      <c r="C714" s="1" t="n">
        <v>45650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25144-2021</t>
        </is>
      </c>
      <c r="B715" s="1" t="n">
        <v>44341</v>
      </c>
      <c r="C715" s="1" t="n">
        <v>45650</v>
      </c>
      <c r="D715" t="inlineStr">
        <is>
          <t>GÄVLEBORGS LÄN</t>
        </is>
      </c>
      <c r="E715" t="inlineStr">
        <is>
          <t>LJUSDAL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25169-2021</t>
        </is>
      </c>
      <c r="B716" s="1" t="n">
        <v>44342</v>
      </c>
      <c r="C716" s="1" t="n">
        <v>45650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25170-2021</t>
        </is>
      </c>
      <c r="B717" s="1" t="n">
        <v>44342</v>
      </c>
      <c r="C717" s="1" t="n">
        <v>45650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25168-2021</t>
        </is>
      </c>
      <c r="B718" s="1" t="n">
        <v>44342</v>
      </c>
      <c r="C718" s="1" t="n">
        <v>45650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25494-2021</t>
        </is>
      </c>
      <c r="B719" s="1" t="n">
        <v>44343</v>
      </c>
      <c r="C719" s="1" t="n">
        <v>45650</v>
      </c>
      <c r="D719" t="inlineStr">
        <is>
          <t>GÄVLEBORGS LÄN</t>
        </is>
      </c>
      <c r="E719" t="inlineStr">
        <is>
          <t>LJUSDAL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26236-2021</t>
        </is>
      </c>
      <c r="B720" s="1" t="n">
        <v>44347</v>
      </c>
      <c r="C720" s="1" t="n">
        <v>45650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26336-2021</t>
        </is>
      </c>
      <c r="B721" s="1" t="n">
        <v>44347</v>
      </c>
      <c r="C721" s="1" t="n">
        <v>45650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26715-2021</t>
        </is>
      </c>
      <c r="B722" s="1" t="n">
        <v>44349</v>
      </c>
      <c r="C722" s="1" t="n">
        <v>45650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27216-2021</t>
        </is>
      </c>
      <c r="B723" s="1" t="n">
        <v>44350</v>
      </c>
      <c r="C723" s="1" t="n">
        <v>45650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27051-2021</t>
        </is>
      </c>
      <c r="B724" s="1" t="n">
        <v>44350</v>
      </c>
      <c r="C724" s="1" t="n">
        <v>45650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27215-2021</t>
        </is>
      </c>
      <c r="B725" s="1" t="n">
        <v>44350</v>
      </c>
      <c r="C725" s="1" t="n">
        <v>45650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27218-2021</t>
        </is>
      </c>
      <c r="B726" s="1" t="n">
        <v>44350</v>
      </c>
      <c r="C726" s="1" t="n">
        <v>45650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27575-2021</t>
        </is>
      </c>
      <c r="B727" s="1" t="n">
        <v>44353</v>
      </c>
      <c r="C727" s="1" t="n">
        <v>45650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27900-2021</t>
        </is>
      </c>
      <c r="B728" s="1" t="n">
        <v>44354</v>
      </c>
      <c r="C728" s="1" t="n">
        <v>45650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28014-2021</t>
        </is>
      </c>
      <c r="B729" s="1" t="n">
        <v>44355</v>
      </c>
      <c r="C729" s="1" t="n">
        <v>45650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27992-2021</t>
        </is>
      </c>
      <c r="B730" s="1" t="n">
        <v>44355</v>
      </c>
      <c r="C730" s="1" t="n">
        <v>45650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28683-2021</t>
        </is>
      </c>
      <c r="B731" s="1" t="n">
        <v>44357</v>
      </c>
      <c r="C731" s="1" t="n">
        <v>45650</v>
      </c>
      <c r="D731" t="inlineStr">
        <is>
          <t>GÄVLEBORGS LÄN</t>
        </is>
      </c>
      <c r="E731" t="inlineStr">
        <is>
          <t>LJUSDAL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29062-2021</t>
        </is>
      </c>
      <c r="B732" s="1" t="n">
        <v>44358</v>
      </c>
      <c r="C732" s="1" t="n">
        <v>45650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28999-2021</t>
        </is>
      </c>
      <c r="B733" s="1" t="n">
        <v>44358</v>
      </c>
      <c r="C733" s="1" t="n">
        <v>45650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29290-2021</t>
        </is>
      </c>
      <c r="B734" s="1" t="n">
        <v>44361</v>
      </c>
      <c r="C734" s="1" t="n">
        <v>45650</v>
      </c>
      <c r="D734" t="inlineStr">
        <is>
          <t>GÄVLEBORGS LÄN</t>
        </is>
      </c>
      <c r="E734" t="inlineStr">
        <is>
          <t>LJUSDAL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29402-2021</t>
        </is>
      </c>
      <c r="B735" s="1" t="n">
        <v>44361</v>
      </c>
      <c r="C735" s="1" t="n">
        <v>45650</v>
      </c>
      <c r="D735" t="inlineStr">
        <is>
          <t>GÄVLEBORGS LÄN</t>
        </is>
      </c>
      <c r="E735" t="inlineStr">
        <is>
          <t>LJUSDAL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29408-2021</t>
        </is>
      </c>
      <c r="B736" s="1" t="n">
        <v>44361</v>
      </c>
      <c r="C736" s="1" t="n">
        <v>45650</v>
      </c>
      <c r="D736" t="inlineStr">
        <is>
          <t>GÄVLEBORGS LÄN</t>
        </is>
      </c>
      <c r="E736" t="inlineStr">
        <is>
          <t>LJUSDAL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29435-2021</t>
        </is>
      </c>
      <c r="B737" s="1" t="n">
        <v>44361</v>
      </c>
      <c r="C737" s="1" t="n">
        <v>45650</v>
      </c>
      <c r="D737" t="inlineStr">
        <is>
          <t>GÄVLEBORGS LÄN</t>
        </is>
      </c>
      <c r="E737" t="inlineStr">
        <is>
          <t>LJUSDAL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29285-2021</t>
        </is>
      </c>
      <c r="B738" s="1" t="n">
        <v>44361</v>
      </c>
      <c r="C738" s="1" t="n">
        <v>45650</v>
      </c>
      <c r="D738" t="inlineStr">
        <is>
          <t>GÄVLEBORGS LÄN</t>
        </is>
      </c>
      <c r="E738" t="inlineStr">
        <is>
          <t>LJUSDAL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29326-2021</t>
        </is>
      </c>
      <c r="B739" s="1" t="n">
        <v>44361</v>
      </c>
      <c r="C739" s="1" t="n">
        <v>45650</v>
      </c>
      <c r="D739" t="inlineStr">
        <is>
          <t>GÄVLEBORGS LÄN</t>
        </is>
      </c>
      <c r="E739" t="inlineStr">
        <is>
          <t>LJUSDAL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29400-2021</t>
        </is>
      </c>
      <c r="B740" s="1" t="n">
        <v>44361</v>
      </c>
      <c r="C740" s="1" t="n">
        <v>45650</v>
      </c>
      <c r="D740" t="inlineStr">
        <is>
          <t>GÄVLEBORGS LÄN</t>
        </is>
      </c>
      <c r="E740" t="inlineStr">
        <is>
          <t>LJUSDAL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29404-2021</t>
        </is>
      </c>
      <c r="B741" s="1" t="n">
        <v>44361</v>
      </c>
      <c r="C741" s="1" t="n">
        <v>45650</v>
      </c>
      <c r="D741" t="inlineStr">
        <is>
          <t>GÄVLEBORGS LÄN</t>
        </is>
      </c>
      <c r="E741" t="inlineStr">
        <is>
          <t>LJUSDAL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29479-2021</t>
        </is>
      </c>
      <c r="B742" s="1" t="n">
        <v>44361</v>
      </c>
      <c r="C742" s="1" t="n">
        <v>45650</v>
      </c>
      <c r="D742" t="inlineStr">
        <is>
          <t>GÄVLEBORGS LÄN</t>
        </is>
      </c>
      <c r="E742" t="inlineStr">
        <is>
          <t>LJUSDAL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29480-2021</t>
        </is>
      </c>
      <c r="B743" s="1" t="n">
        <v>44361</v>
      </c>
      <c r="C743" s="1" t="n">
        <v>45650</v>
      </c>
      <c r="D743" t="inlineStr">
        <is>
          <t>GÄVLEBORGS LÄN</t>
        </is>
      </c>
      <c r="E743" t="inlineStr">
        <is>
          <t>LJUSDAL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29568-2021</t>
        </is>
      </c>
      <c r="B744" s="1" t="n">
        <v>44362</v>
      </c>
      <c r="C744" s="1" t="n">
        <v>45650</v>
      </c>
      <c r="D744" t="inlineStr">
        <is>
          <t>GÄVLEBORGS LÄN</t>
        </is>
      </c>
      <c r="E744" t="inlineStr">
        <is>
          <t>LJUSDAL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29586-2021</t>
        </is>
      </c>
      <c r="B745" s="1" t="n">
        <v>44362</v>
      </c>
      <c r="C745" s="1" t="n">
        <v>45650</v>
      </c>
      <c r="D745" t="inlineStr">
        <is>
          <t>GÄVLEBORGS LÄN</t>
        </is>
      </c>
      <c r="E745" t="inlineStr">
        <is>
          <t>LJUSDAL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30112-2021</t>
        </is>
      </c>
      <c r="B746" s="1" t="n">
        <v>44363</v>
      </c>
      <c r="C746" s="1" t="n">
        <v>45650</v>
      </c>
      <c r="D746" t="inlineStr">
        <is>
          <t>GÄVLEBORGS LÄN</t>
        </is>
      </c>
      <c r="E746" t="inlineStr">
        <is>
          <t>LJUSDAL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30577-2021</t>
        </is>
      </c>
      <c r="B747" s="1" t="n">
        <v>44364</v>
      </c>
      <c r="C747" s="1" t="n">
        <v>45650</v>
      </c>
      <c r="D747" t="inlineStr">
        <is>
          <t>GÄVLEBORGS LÄN</t>
        </is>
      </c>
      <c r="E747" t="inlineStr">
        <is>
          <t>LJUSDAL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30607-2021</t>
        </is>
      </c>
      <c r="B748" s="1" t="n">
        <v>44365</v>
      </c>
      <c r="C748" s="1" t="n">
        <v>45650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30601-2021</t>
        </is>
      </c>
      <c r="B749" s="1" t="n">
        <v>44365</v>
      </c>
      <c r="C749" s="1" t="n">
        <v>45650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30668-2021</t>
        </is>
      </c>
      <c r="B750" s="1" t="n">
        <v>44365</v>
      </c>
      <c r="C750" s="1" t="n">
        <v>45650</v>
      </c>
      <c r="D750" t="inlineStr">
        <is>
          <t>GÄVLEBORGS LÄN</t>
        </is>
      </c>
      <c r="E750" t="inlineStr">
        <is>
          <t>LJUSDAL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30816-2021</t>
        </is>
      </c>
      <c r="B751" s="1" t="n">
        <v>44365</v>
      </c>
      <c r="C751" s="1" t="n">
        <v>45650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30770-2021</t>
        </is>
      </c>
      <c r="B752" s="1" t="n">
        <v>44365</v>
      </c>
      <c r="C752" s="1" t="n">
        <v>45650</v>
      </c>
      <c r="D752" t="inlineStr">
        <is>
          <t>GÄVLEBORGS LÄN</t>
        </is>
      </c>
      <c r="E752" t="inlineStr">
        <is>
          <t>LJUSDAL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31091-2021</t>
        </is>
      </c>
      <c r="B753" s="1" t="n">
        <v>44368</v>
      </c>
      <c r="C753" s="1" t="n">
        <v>45650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31042-2021</t>
        </is>
      </c>
      <c r="B754" s="1" t="n">
        <v>44368</v>
      </c>
      <c r="C754" s="1" t="n">
        <v>45650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31041-2021</t>
        </is>
      </c>
      <c r="B755" s="1" t="n">
        <v>44368</v>
      </c>
      <c r="C755" s="1" t="n">
        <v>45650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31065-2021</t>
        </is>
      </c>
      <c r="B756" s="1" t="n">
        <v>44368</v>
      </c>
      <c r="C756" s="1" t="n">
        <v>45650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31961-2021</t>
        </is>
      </c>
      <c r="B757" s="1" t="n">
        <v>44370</v>
      </c>
      <c r="C757" s="1" t="n">
        <v>45650</v>
      </c>
      <c r="D757" t="inlineStr">
        <is>
          <t>GÄVLEBORGS LÄN</t>
        </is>
      </c>
      <c r="E757" t="inlineStr">
        <is>
          <t>LJUSDAL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32233-2021</t>
        </is>
      </c>
      <c r="B758" s="1" t="n">
        <v>44371</v>
      </c>
      <c r="C758" s="1" t="n">
        <v>45650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32774-2021</t>
        </is>
      </c>
      <c r="B759" s="1" t="n">
        <v>44375</v>
      </c>
      <c r="C759" s="1" t="n">
        <v>45650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32886-2021</t>
        </is>
      </c>
      <c r="B760" s="1" t="n">
        <v>44375</v>
      </c>
      <c r="C760" s="1" t="n">
        <v>45650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32878-2021</t>
        </is>
      </c>
      <c r="B761" s="1" t="n">
        <v>44375</v>
      </c>
      <c r="C761" s="1" t="n">
        <v>45650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32890-2021</t>
        </is>
      </c>
      <c r="B762" s="1" t="n">
        <v>44375</v>
      </c>
      <c r="C762" s="1" t="n">
        <v>45650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33319-2021</t>
        </is>
      </c>
      <c r="B763" s="1" t="n">
        <v>44377</v>
      </c>
      <c r="C763" s="1" t="n">
        <v>45650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33393-2021</t>
        </is>
      </c>
      <c r="B764" s="1" t="n">
        <v>44377</v>
      </c>
      <c r="C764" s="1" t="n">
        <v>45650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33605-2021</t>
        </is>
      </c>
      <c r="B765" s="1" t="n">
        <v>44378</v>
      </c>
      <c r="C765" s="1" t="n">
        <v>45650</v>
      </c>
      <c r="D765" t="inlineStr">
        <is>
          <t>GÄVLEBORGS LÄN</t>
        </is>
      </c>
      <c r="E765" t="inlineStr">
        <is>
          <t>LJUSDAL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33609-2021</t>
        </is>
      </c>
      <c r="B766" s="1" t="n">
        <v>44378</v>
      </c>
      <c r="C766" s="1" t="n">
        <v>45650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33767-2021</t>
        </is>
      </c>
      <c r="B767" s="1" t="n">
        <v>44378</v>
      </c>
      <c r="C767" s="1" t="n">
        <v>45650</v>
      </c>
      <c r="D767" t="inlineStr">
        <is>
          <t>GÄVLEBORGS LÄN</t>
        </is>
      </c>
      <c r="E767" t="inlineStr">
        <is>
          <t>LJUSDAL</t>
        </is>
      </c>
      <c r="F767" t="inlineStr">
        <is>
          <t>Kommuner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34566-2021</t>
        </is>
      </c>
      <c r="B768" s="1" t="n">
        <v>44382</v>
      </c>
      <c r="C768" s="1" t="n">
        <v>45650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34651-2021</t>
        </is>
      </c>
      <c r="B769" s="1" t="n">
        <v>44382</v>
      </c>
      <c r="C769" s="1" t="n">
        <v>45650</v>
      </c>
      <c r="D769" t="inlineStr">
        <is>
          <t>GÄVLEBORGS LÄN</t>
        </is>
      </c>
      <c r="E769" t="inlineStr">
        <is>
          <t>LJUSDAL</t>
        </is>
      </c>
      <c r="F769" t="inlineStr">
        <is>
          <t>SCA</t>
        </is>
      </c>
      <c r="G769" t="n">
        <v>15.5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34522-2021</t>
        </is>
      </c>
      <c r="B770" s="1" t="n">
        <v>44382</v>
      </c>
      <c r="C770" s="1" t="n">
        <v>45650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35259-2021</t>
        </is>
      </c>
      <c r="B771" s="1" t="n">
        <v>44384</v>
      </c>
      <c r="C771" s="1" t="n">
        <v>45650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35455-2021</t>
        </is>
      </c>
      <c r="B772" s="1" t="n">
        <v>44385</v>
      </c>
      <c r="C772" s="1" t="n">
        <v>45650</v>
      </c>
      <c r="D772" t="inlineStr">
        <is>
          <t>GÄVLEBORGS LÄN</t>
        </is>
      </c>
      <c r="E772" t="inlineStr">
        <is>
          <t>LJUSDAL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35931-2021</t>
        </is>
      </c>
      <c r="B773" s="1" t="n">
        <v>44388</v>
      </c>
      <c r="C773" s="1" t="n">
        <v>45650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35976-2021</t>
        </is>
      </c>
      <c r="B774" s="1" t="n">
        <v>44389</v>
      </c>
      <c r="C774" s="1" t="n">
        <v>45650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36256-2021</t>
        </is>
      </c>
      <c r="B775" s="1" t="n">
        <v>44390</v>
      </c>
      <c r="C775" s="1" t="n">
        <v>45650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36323-2021</t>
        </is>
      </c>
      <c r="B776" s="1" t="n">
        <v>44390</v>
      </c>
      <c r="C776" s="1" t="n">
        <v>45650</v>
      </c>
      <c r="D776" t="inlineStr">
        <is>
          <t>GÄVLEBORGS LÄN</t>
        </is>
      </c>
      <c r="E776" t="inlineStr">
        <is>
          <t>LJUSDAL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36252-2021</t>
        </is>
      </c>
      <c r="B777" s="1" t="n">
        <v>44390</v>
      </c>
      <c r="C777" s="1" t="n">
        <v>45650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36568-2021</t>
        </is>
      </c>
      <c r="B778" s="1" t="n">
        <v>44391</v>
      </c>
      <c r="C778" s="1" t="n">
        <v>45650</v>
      </c>
      <c r="D778" t="inlineStr">
        <is>
          <t>GÄVLEBORGS LÄN</t>
        </is>
      </c>
      <c r="E778" t="inlineStr">
        <is>
          <t>LJUSDAL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36713-2021</t>
        </is>
      </c>
      <c r="B779" s="1" t="n">
        <v>44392</v>
      </c>
      <c r="C779" s="1" t="n">
        <v>45650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36698-2021</t>
        </is>
      </c>
      <c r="B780" s="1" t="n">
        <v>44392</v>
      </c>
      <c r="C780" s="1" t="n">
        <v>45650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36885-2021</t>
        </is>
      </c>
      <c r="B781" s="1" t="n">
        <v>44393</v>
      </c>
      <c r="C781" s="1" t="n">
        <v>45650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37199-2021</t>
        </is>
      </c>
      <c r="B782" s="1" t="n">
        <v>44396</v>
      </c>
      <c r="C782" s="1" t="n">
        <v>45650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37219-2021</t>
        </is>
      </c>
      <c r="B783" s="1" t="n">
        <v>44396</v>
      </c>
      <c r="C783" s="1" t="n">
        <v>45650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37253-2021</t>
        </is>
      </c>
      <c r="B784" s="1" t="n">
        <v>44397</v>
      </c>
      <c r="C784" s="1" t="n">
        <v>45650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37249-2021</t>
        </is>
      </c>
      <c r="B785" s="1" t="n">
        <v>44397</v>
      </c>
      <c r="C785" s="1" t="n">
        <v>45650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37402-2021</t>
        </is>
      </c>
      <c r="B786" s="1" t="n">
        <v>44398</v>
      </c>
      <c r="C786" s="1" t="n">
        <v>45650</v>
      </c>
      <c r="D786" t="inlineStr">
        <is>
          <t>GÄVLEBORGS LÄN</t>
        </is>
      </c>
      <c r="E786" t="inlineStr">
        <is>
          <t>LJUSDAL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37473-2021</t>
        </is>
      </c>
      <c r="B787" s="1" t="n">
        <v>44398</v>
      </c>
      <c r="C787" s="1" t="n">
        <v>45650</v>
      </c>
      <c r="D787" t="inlineStr">
        <is>
          <t>GÄVLEBORGS LÄN</t>
        </is>
      </c>
      <c r="E787" t="inlineStr">
        <is>
          <t>LJUSDAL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37643-2021</t>
        </is>
      </c>
      <c r="B788" s="1" t="n">
        <v>44400</v>
      </c>
      <c r="C788" s="1" t="n">
        <v>45650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HYPERLINK("https://klasma.github.io/Logging_2161/knärot/A 37643-2021 karta knärot.png", "A 37643-2021")</f>
        <v/>
      </c>
      <c r="V788">
        <f>HYPERLINK("https://klasma.github.io/Logging_2161/klagomål/A 37643-2021 FSC-klagomål.docx", "A 37643-2021")</f>
        <v/>
      </c>
      <c r="W788">
        <f>HYPERLINK("https://klasma.github.io/Logging_2161/klagomålsmail/A 37643-2021 FSC-klagomål mail.docx", "A 37643-2021")</f>
        <v/>
      </c>
      <c r="X788">
        <f>HYPERLINK("https://klasma.github.io/Logging_2161/tillsyn/A 37643-2021 tillsynsbegäran.docx", "A 37643-2021")</f>
        <v/>
      </c>
      <c r="Y788">
        <f>HYPERLINK("https://klasma.github.io/Logging_2161/tillsynsmail/A 37643-2021 tillsynsbegäran mail.docx", "A 37643-2021")</f>
        <v/>
      </c>
    </row>
    <row r="789" ht="15" customHeight="1">
      <c r="A789" t="inlineStr">
        <is>
          <t>A 37647-2021</t>
        </is>
      </c>
      <c r="B789" s="1" t="n">
        <v>44400</v>
      </c>
      <c r="C789" s="1" t="n">
        <v>45650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37646-2021</t>
        </is>
      </c>
      <c r="B790" s="1" t="n">
        <v>44400</v>
      </c>
      <c r="C790" s="1" t="n">
        <v>45650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37640-2021</t>
        </is>
      </c>
      <c r="B791" s="1" t="n">
        <v>44400</v>
      </c>
      <c r="C791" s="1" t="n">
        <v>45650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37644-2021</t>
        </is>
      </c>
      <c r="B792" s="1" t="n">
        <v>44400</v>
      </c>
      <c r="C792" s="1" t="n">
        <v>45650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37645-2021</t>
        </is>
      </c>
      <c r="B793" s="1" t="n">
        <v>44400</v>
      </c>
      <c r="C793" s="1" t="n">
        <v>45650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37649-2021</t>
        </is>
      </c>
      <c r="B794" s="1" t="n">
        <v>44400</v>
      </c>
      <c r="C794" s="1" t="n">
        <v>45650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37664-2021</t>
        </is>
      </c>
      <c r="B795" s="1" t="n">
        <v>44400</v>
      </c>
      <c r="C795" s="1" t="n">
        <v>45650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37903-2021</t>
        </is>
      </c>
      <c r="B796" s="1" t="n">
        <v>44403</v>
      </c>
      <c r="C796" s="1" t="n">
        <v>45650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37970-2021</t>
        </is>
      </c>
      <c r="B797" s="1" t="n">
        <v>44403</v>
      </c>
      <c r="C797" s="1" t="n">
        <v>45650</v>
      </c>
      <c r="D797" t="inlineStr">
        <is>
          <t>GÄVLEBORGS LÄN</t>
        </is>
      </c>
      <c r="E797" t="inlineStr">
        <is>
          <t>LJUSDAL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38040-2021</t>
        </is>
      </c>
      <c r="B798" s="1" t="n">
        <v>44404</v>
      </c>
      <c r="C798" s="1" t="n">
        <v>45650</v>
      </c>
      <c r="D798" t="inlineStr">
        <is>
          <t>GÄVLEBORGS LÄN</t>
        </is>
      </c>
      <c r="E798" t="inlineStr">
        <is>
          <t>LJUSDAL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38113-2021</t>
        </is>
      </c>
      <c r="B799" s="1" t="n">
        <v>44405</v>
      </c>
      <c r="C799" s="1" t="n">
        <v>45650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38109-2021</t>
        </is>
      </c>
      <c r="B800" s="1" t="n">
        <v>44405</v>
      </c>
      <c r="C800" s="1" t="n">
        <v>45650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38267-2021</t>
        </is>
      </c>
      <c r="B801" s="1" t="n">
        <v>44405</v>
      </c>
      <c r="C801" s="1" t="n">
        <v>45650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38331-2021</t>
        </is>
      </c>
      <c r="B802" s="1" t="n">
        <v>44406</v>
      </c>
      <c r="C802" s="1" t="n">
        <v>45650</v>
      </c>
      <c r="D802" t="inlineStr">
        <is>
          <t>GÄVLEBORGS LÄN</t>
        </is>
      </c>
      <c r="E802" t="inlineStr">
        <is>
          <t>LJUSDAL</t>
        </is>
      </c>
      <c r="F802" t="inlineStr">
        <is>
          <t>Allmännings- och besparingsskogar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40009-2021</t>
        </is>
      </c>
      <c r="B803" s="1" t="n">
        <v>44418</v>
      </c>
      <c r="C803" s="1" t="n">
        <v>45650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40000-2021</t>
        </is>
      </c>
      <c r="B804" s="1" t="n">
        <v>44418</v>
      </c>
      <c r="C804" s="1" t="n">
        <v>45650</v>
      </c>
      <c r="D804" t="inlineStr">
        <is>
          <t>GÄVLEBORGS LÄN</t>
        </is>
      </c>
      <c r="E804" t="inlineStr">
        <is>
          <t>LJUSDAL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40345-2021</t>
        </is>
      </c>
      <c r="B805" s="1" t="n">
        <v>44419</v>
      </c>
      <c r="C805" s="1" t="n">
        <v>45650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40431-2021</t>
        </is>
      </c>
      <c r="B806" s="1" t="n">
        <v>44419</v>
      </c>
      <c r="C806" s="1" t="n">
        <v>45650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41280-2021</t>
        </is>
      </c>
      <c r="B807" s="1" t="n">
        <v>44424</v>
      </c>
      <c r="C807" s="1" t="n">
        <v>45650</v>
      </c>
      <c r="D807" t="inlineStr">
        <is>
          <t>GÄVLEBORGS LÄN</t>
        </is>
      </c>
      <c r="E807" t="inlineStr">
        <is>
          <t>LJUSDAL</t>
        </is>
      </c>
      <c r="F807" t="inlineStr">
        <is>
          <t>Bergvik skog väst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41544-2021</t>
        </is>
      </c>
      <c r="B808" s="1" t="n">
        <v>44425</v>
      </c>
      <c r="C808" s="1" t="n">
        <v>45650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41663-2021</t>
        </is>
      </c>
      <c r="B809" s="1" t="n">
        <v>44425</v>
      </c>
      <c r="C809" s="1" t="n">
        <v>45650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41919-2021</t>
        </is>
      </c>
      <c r="B810" s="1" t="n">
        <v>44426</v>
      </c>
      <c r="C810" s="1" t="n">
        <v>45650</v>
      </c>
      <c r="D810" t="inlineStr">
        <is>
          <t>GÄVLEBORGS LÄN</t>
        </is>
      </c>
      <c r="E810" t="inlineStr">
        <is>
          <t>LJUSDAL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42553-2021</t>
        </is>
      </c>
      <c r="B811" s="1" t="n">
        <v>44427</v>
      </c>
      <c r="C811" s="1" t="n">
        <v>45650</v>
      </c>
      <c r="D811" t="inlineStr">
        <is>
          <t>GÄVLEBORGS LÄN</t>
        </is>
      </c>
      <c r="E811" t="inlineStr">
        <is>
          <t>LJUSDAL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42759-2021</t>
        </is>
      </c>
      <c r="B812" s="1" t="n">
        <v>44428</v>
      </c>
      <c r="C812" s="1" t="n">
        <v>45650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42763-2021</t>
        </is>
      </c>
      <c r="B813" s="1" t="n">
        <v>44428</v>
      </c>
      <c r="C813" s="1" t="n">
        <v>45650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42959-2021</t>
        </is>
      </c>
      <c r="B814" s="1" t="n">
        <v>44431</v>
      </c>
      <c r="C814" s="1" t="n">
        <v>45650</v>
      </c>
      <c r="D814" t="inlineStr">
        <is>
          <t>GÄVLEBORGS LÄN</t>
        </is>
      </c>
      <c r="E814" t="inlineStr">
        <is>
          <t>LJUSDAL</t>
        </is>
      </c>
      <c r="F814" t="inlineStr">
        <is>
          <t>Bergvik skog väst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42996-2021</t>
        </is>
      </c>
      <c r="B815" s="1" t="n">
        <v>44431</v>
      </c>
      <c r="C815" s="1" t="n">
        <v>45650</v>
      </c>
      <c r="D815" t="inlineStr">
        <is>
          <t>GÄVLEBORGS LÄN</t>
        </is>
      </c>
      <c r="E815" t="inlineStr">
        <is>
          <t>LJUSDAL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43011-2021</t>
        </is>
      </c>
      <c r="B816" s="1" t="n">
        <v>44431</v>
      </c>
      <c r="C816" s="1" t="n">
        <v>45650</v>
      </c>
      <c r="D816" t="inlineStr">
        <is>
          <t>GÄVLEBORGS LÄN</t>
        </is>
      </c>
      <c r="E816" t="inlineStr">
        <is>
          <t>LJUSDAL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43000-2021</t>
        </is>
      </c>
      <c r="B817" s="1" t="n">
        <v>44431</v>
      </c>
      <c r="C817" s="1" t="n">
        <v>45650</v>
      </c>
      <c r="D817" t="inlineStr">
        <is>
          <t>GÄVLEBORGS LÄN</t>
        </is>
      </c>
      <c r="E817" t="inlineStr">
        <is>
          <t>LJUSDAL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43012-2021</t>
        </is>
      </c>
      <c r="B818" s="1" t="n">
        <v>44431</v>
      </c>
      <c r="C818" s="1" t="n">
        <v>45650</v>
      </c>
      <c r="D818" t="inlineStr">
        <is>
          <t>GÄVLEBORGS LÄN</t>
        </is>
      </c>
      <c r="E818" t="inlineStr">
        <is>
          <t>LJUSDAL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43109-2021</t>
        </is>
      </c>
      <c r="B819" s="1" t="n">
        <v>44431</v>
      </c>
      <c r="C819" s="1" t="n">
        <v>45650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43850-2021</t>
        </is>
      </c>
      <c r="B820" s="1" t="n">
        <v>44434</v>
      </c>
      <c r="C820" s="1" t="n">
        <v>45650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44387-2021</t>
        </is>
      </c>
      <c r="B821" s="1" t="n">
        <v>44435</v>
      </c>
      <c r="C821" s="1" t="n">
        <v>45650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44257-2021</t>
        </is>
      </c>
      <c r="B822" s="1" t="n">
        <v>44435</v>
      </c>
      <c r="C822" s="1" t="n">
        <v>45650</v>
      </c>
      <c r="D822" t="inlineStr">
        <is>
          <t>GÄVLEBORGS LÄN</t>
        </is>
      </c>
      <c r="E822" t="inlineStr">
        <is>
          <t>LJUSDAL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44256-2021</t>
        </is>
      </c>
      <c r="B823" s="1" t="n">
        <v>44435</v>
      </c>
      <c r="C823" s="1" t="n">
        <v>45650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44382-2021</t>
        </is>
      </c>
      <c r="B824" s="1" t="n">
        <v>44435</v>
      </c>
      <c r="C824" s="1" t="n">
        <v>45650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44507-2021</t>
        </is>
      </c>
      <c r="B825" s="1" t="n">
        <v>44435</v>
      </c>
      <c r="C825" s="1" t="n">
        <v>45650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44563-2021</t>
        </is>
      </c>
      <c r="B826" s="1" t="n">
        <v>44435</v>
      </c>
      <c r="C826" s="1" t="n">
        <v>45650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44688-2021</t>
        </is>
      </c>
      <c r="B827" s="1" t="n">
        <v>44438</v>
      </c>
      <c r="C827" s="1" t="n">
        <v>45650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44696-2021</t>
        </is>
      </c>
      <c r="B828" s="1" t="n">
        <v>44438</v>
      </c>
      <c r="C828" s="1" t="n">
        <v>45650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45053-2021</t>
        </is>
      </c>
      <c r="B829" s="1" t="n">
        <v>44439</v>
      </c>
      <c r="C829" s="1" t="n">
        <v>45650</v>
      </c>
      <c r="D829" t="inlineStr">
        <is>
          <t>GÄVLEBORGS LÄN</t>
        </is>
      </c>
      <c r="E829" t="inlineStr">
        <is>
          <t>LJUSDAL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45369-2021</t>
        </is>
      </c>
      <c r="B830" s="1" t="n">
        <v>44440</v>
      </c>
      <c r="C830" s="1" t="n">
        <v>45650</v>
      </c>
      <c r="D830" t="inlineStr">
        <is>
          <t>GÄVLEBORGS LÄN</t>
        </is>
      </c>
      <c r="E830" t="inlineStr">
        <is>
          <t>LJUSDAL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45367-2021</t>
        </is>
      </c>
      <c r="B831" s="1" t="n">
        <v>44440</v>
      </c>
      <c r="C831" s="1" t="n">
        <v>45650</v>
      </c>
      <c r="D831" t="inlineStr">
        <is>
          <t>GÄVLEBORGS LÄN</t>
        </is>
      </c>
      <c r="E831" t="inlineStr">
        <is>
          <t>LJUSDAL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45368-2021</t>
        </is>
      </c>
      <c r="B832" s="1" t="n">
        <v>44440</v>
      </c>
      <c r="C832" s="1" t="n">
        <v>45650</v>
      </c>
      <c r="D832" t="inlineStr">
        <is>
          <t>GÄVLEBORGS LÄN</t>
        </is>
      </c>
      <c r="E832" t="inlineStr">
        <is>
          <t>LJUSDAL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45370-2021</t>
        </is>
      </c>
      <c r="B833" s="1" t="n">
        <v>44440</v>
      </c>
      <c r="C833" s="1" t="n">
        <v>45650</v>
      </c>
      <c r="D833" t="inlineStr">
        <is>
          <t>GÄVLEBORGS LÄN</t>
        </is>
      </c>
      <c r="E833" t="inlineStr">
        <is>
          <t>LJUSDAL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45444-2021</t>
        </is>
      </c>
      <c r="B834" s="1" t="n">
        <v>44440</v>
      </c>
      <c r="C834" s="1" t="n">
        <v>45650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45584-2021</t>
        </is>
      </c>
      <c r="B835" s="1" t="n">
        <v>44440</v>
      </c>
      <c r="C835" s="1" t="n">
        <v>45650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45366-2021</t>
        </is>
      </c>
      <c r="B836" s="1" t="n">
        <v>44440</v>
      </c>
      <c r="C836" s="1" t="n">
        <v>45650</v>
      </c>
      <c r="D836" t="inlineStr">
        <is>
          <t>GÄVLEBORGS LÄN</t>
        </is>
      </c>
      <c r="E836" t="inlineStr">
        <is>
          <t>LJUSDAL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45701-2021</t>
        </is>
      </c>
      <c r="B837" s="1" t="n">
        <v>44441</v>
      </c>
      <c r="C837" s="1" t="n">
        <v>45650</v>
      </c>
      <c r="D837" t="inlineStr">
        <is>
          <t>GÄVLEBORGS LÄN</t>
        </is>
      </c>
      <c r="E837" t="inlineStr">
        <is>
          <t>LJUSDAL</t>
        </is>
      </c>
      <c r="F837" t="inlineStr">
        <is>
          <t>Allmännings- och besparingsskogar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46123-2021</t>
        </is>
      </c>
      <c r="B838" s="1" t="n">
        <v>44442</v>
      </c>
      <c r="C838" s="1" t="n">
        <v>45650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46091-2021</t>
        </is>
      </c>
      <c r="B839" s="1" t="n">
        <v>44442</v>
      </c>
      <c r="C839" s="1" t="n">
        <v>45650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46113-2021</t>
        </is>
      </c>
      <c r="B840" s="1" t="n">
        <v>44442</v>
      </c>
      <c r="C840" s="1" t="n">
        <v>45650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46421-2021</t>
        </is>
      </c>
      <c r="B841" s="1" t="n">
        <v>44445</v>
      </c>
      <c r="C841" s="1" t="n">
        <v>45650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46419-2021</t>
        </is>
      </c>
      <c r="B842" s="1" t="n">
        <v>44445</v>
      </c>
      <c r="C842" s="1" t="n">
        <v>45650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46524-2021</t>
        </is>
      </c>
      <c r="B843" s="1" t="n">
        <v>44445</v>
      </c>
      <c r="C843" s="1" t="n">
        <v>45650</v>
      </c>
      <c r="D843" t="inlineStr">
        <is>
          <t>GÄVLEBORGS LÄN</t>
        </is>
      </c>
      <c r="E843" t="inlineStr">
        <is>
          <t>LJUSDAL</t>
        </is>
      </c>
      <c r="F843" t="inlineStr">
        <is>
          <t>Allmännings- och besparingsskogar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46642-2021</t>
        </is>
      </c>
      <c r="B844" s="1" t="n">
        <v>44445</v>
      </c>
      <c r="C844" s="1" t="n">
        <v>45650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46651-2021</t>
        </is>
      </c>
      <c r="B845" s="1" t="n">
        <v>44445</v>
      </c>
      <c r="C845" s="1" t="n">
        <v>45650</v>
      </c>
      <c r="D845" t="inlineStr">
        <is>
          <t>GÄVLEBORGS LÄN</t>
        </is>
      </c>
      <c r="E845" t="inlineStr">
        <is>
          <t>LJUSDAL</t>
        </is>
      </c>
      <c r="F845" t="inlineStr">
        <is>
          <t>Holmen skog AB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46679-2021</t>
        </is>
      </c>
      <c r="B846" s="1" t="n">
        <v>44445</v>
      </c>
      <c r="C846" s="1" t="n">
        <v>45650</v>
      </c>
      <c r="D846" t="inlineStr">
        <is>
          <t>GÄVLEBORGS LÄN</t>
        </is>
      </c>
      <c r="E846" t="inlineStr">
        <is>
          <t>LJUSDAL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46860-2021</t>
        </is>
      </c>
      <c r="B847" s="1" t="n">
        <v>44446</v>
      </c>
      <c r="C847" s="1" t="n">
        <v>45650</v>
      </c>
      <c r="D847" t="inlineStr">
        <is>
          <t>GÄVLEBORGS LÄN</t>
        </is>
      </c>
      <c r="E847" t="inlineStr">
        <is>
          <t>LJUSDAL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47268-2021</t>
        </is>
      </c>
      <c r="B848" s="1" t="n">
        <v>44447</v>
      </c>
      <c r="C848" s="1" t="n">
        <v>45650</v>
      </c>
      <c r="D848" t="inlineStr">
        <is>
          <t>GÄVLEBORGS LÄN</t>
        </is>
      </c>
      <c r="E848" t="inlineStr">
        <is>
          <t>LJUSDAL</t>
        </is>
      </c>
      <c r="F848" t="inlineStr">
        <is>
          <t>Bergvik skog väst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47924-2021</t>
        </is>
      </c>
      <c r="B849" s="1" t="n">
        <v>44448</v>
      </c>
      <c r="C849" s="1" t="n">
        <v>45650</v>
      </c>
      <c r="D849" t="inlineStr">
        <is>
          <t>GÄVLEBORGS LÄN</t>
        </is>
      </c>
      <c r="E849" t="inlineStr">
        <is>
          <t>LJUSDAL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47925-2021</t>
        </is>
      </c>
      <c r="B850" s="1" t="n">
        <v>44448</v>
      </c>
      <c r="C850" s="1" t="n">
        <v>45650</v>
      </c>
      <c r="D850" t="inlineStr">
        <is>
          <t>GÄVLEBORGS LÄN</t>
        </is>
      </c>
      <c r="E850" t="inlineStr">
        <is>
          <t>LJUSDAL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48176-2021</t>
        </is>
      </c>
      <c r="B851" s="1" t="n">
        <v>44449</v>
      </c>
      <c r="C851" s="1" t="n">
        <v>45650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48581-2021</t>
        </is>
      </c>
      <c r="B852" s="1" t="n">
        <v>44452</v>
      </c>
      <c r="C852" s="1" t="n">
        <v>45650</v>
      </c>
      <c r="D852" t="inlineStr">
        <is>
          <t>GÄVLEBORGS LÄN</t>
        </is>
      </c>
      <c r="E852" t="inlineStr">
        <is>
          <t>LJUSDAL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48674-2021</t>
        </is>
      </c>
      <c r="B853" s="1" t="n">
        <v>44452</v>
      </c>
      <c r="C853" s="1" t="n">
        <v>45650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48587-2021</t>
        </is>
      </c>
      <c r="B854" s="1" t="n">
        <v>44452</v>
      </c>
      <c r="C854" s="1" t="n">
        <v>45650</v>
      </c>
      <c r="D854" t="inlineStr">
        <is>
          <t>GÄVLEBORGS LÄN</t>
        </is>
      </c>
      <c r="E854" t="inlineStr">
        <is>
          <t>LJUSDAL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48953-2021</t>
        </is>
      </c>
      <c r="B855" s="1" t="n">
        <v>44453</v>
      </c>
      <c r="C855" s="1" t="n">
        <v>45650</v>
      </c>
      <c r="D855" t="inlineStr">
        <is>
          <t>GÄVLEBORGS LÄN</t>
        </is>
      </c>
      <c r="E855" t="inlineStr">
        <is>
          <t>LJUSDAL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49068-2021</t>
        </is>
      </c>
      <c r="B856" s="1" t="n">
        <v>44453</v>
      </c>
      <c r="C856" s="1" t="n">
        <v>45650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49114-2021</t>
        </is>
      </c>
      <c r="B857" s="1" t="n">
        <v>44453</v>
      </c>
      <c r="C857" s="1" t="n">
        <v>45650</v>
      </c>
      <c r="D857" t="inlineStr">
        <is>
          <t>GÄVLEBORGS LÄN</t>
        </is>
      </c>
      <c r="E857" t="inlineStr">
        <is>
          <t>LJUSDAL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49099-2021</t>
        </is>
      </c>
      <c r="B858" s="1" t="n">
        <v>44453</v>
      </c>
      <c r="C858" s="1" t="n">
        <v>45650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10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49501-2021</t>
        </is>
      </c>
      <c r="B859" s="1" t="n">
        <v>44455</v>
      </c>
      <c r="C859" s="1" t="n">
        <v>45650</v>
      </c>
      <c r="D859" t="inlineStr">
        <is>
          <t>GÄVLEBORGS LÄN</t>
        </is>
      </c>
      <c r="E859" t="inlineStr">
        <is>
          <t>LJUSDAL</t>
        </is>
      </c>
      <c r="F859" t="inlineStr">
        <is>
          <t>Allmännings- och besparingsskogar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49780-2021</t>
        </is>
      </c>
      <c r="B860" s="1" t="n">
        <v>44455</v>
      </c>
      <c r="C860" s="1" t="n">
        <v>45650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50055-2021</t>
        </is>
      </c>
      <c r="B861" s="1" t="n">
        <v>44456</v>
      </c>
      <c r="C861" s="1" t="n">
        <v>45650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50057-2021</t>
        </is>
      </c>
      <c r="B862" s="1" t="n">
        <v>44456</v>
      </c>
      <c r="C862" s="1" t="n">
        <v>45650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50331-2021</t>
        </is>
      </c>
      <c r="B863" s="1" t="n">
        <v>44459</v>
      </c>
      <c r="C863" s="1" t="n">
        <v>45650</v>
      </c>
      <c r="D863" t="inlineStr">
        <is>
          <t>GÄVLEBORGS LÄN</t>
        </is>
      </c>
      <c r="E863" t="inlineStr">
        <is>
          <t>LJUSDAL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50732-2021</t>
        </is>
      </c>
      <c r="B864" s="1" t="n">
        <v>44460</v>
      </c>
      <c r="C864" s="1" t="n">
        <v>45650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50697-2021</t>
        </is>
      </c>
      <c r="B865" s="1" t="n">
        <v>44460</v>
      </c>
      <c r="C865" s="1" t="n">
        <v>45650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50849-2021</t>
        </is>
      </c>
      <c r="B866" s="1" t="n">
        <v>44460</v>
      </c>
      <c r="C866" s="1" t="n">
        <v>45650</v>
      </c>
      <c r="D866" t="inlineStr">
        <is>
          <t>GÄVLEBORGS LÄN</t>
        </is>
      </c>
      <c r="E866" t="inlineStr">
        <is>
          <t>LJUSDAL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51431-2021</t>
        </is>
      </c>
      <c r="B867" s="1" t="n">
        <v>44461</v>
      </c>
      <c r="C867" s="1" t="n">
        <v>45650</v>
      </c>
      <c r="D867" t="inlineStr">
        <is>
          <t>GÄVLEBORGS LÄN</t>
        </is>
      </c>
      <c r="E867" t="inlineStr">
        <is>
          <t>LJUSDAL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52613-2021</t>
        </is>
      </c>
      <c r="B868" s="1" t="n">
        <v>44466</v>
      </c>
      <c r="C868" s="1" t="n">
        <v>45650</v>
      </c>
      <c r="D868" t="inlineStr">
        <is>
          <t>GÄVLEBORGS LÄN</t>
        </is>
      </c>
      <c r="E868" t="inlineStr">
        <is>
          <t>LJUSDAL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52780-2021</t>
        </is>
      </c>
      <c r="B869" s="1" t="n">
        <v>44467</v>
      </c>
      <c r="C869" s="1" t="n">
        <v>45650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52778-2021</t>
        </is>
      </c>
      <c r="B870" s="1" t="n">
        <v>44467</v>
      </c>
      <c r="C870" s="1" t="n">
        <v>45650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52839-2021</t>
        </is>
      </c>
      <c r="B871" s="1" t="n">
        <v>44467</v>
      </c>
      <c r="C871" s="1" t="n">
        <v>45650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14.9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52948-2021</t>
        </is>
      </c>
      <c r="B872" s="1" t="n">
        <v>44467</v>
      </c>
      <c r="C872" s="1" t="n">
        <v>45650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54113-2021</t>
        </is>
      </c>
      <c r="B873" s="1" t="n">
        <v>44470</v>
      </c>
      <c r="C873" s="1" t="n">
        <v>45650</v>
      </c>
      <c r="D873" t="inlineStr">
        <is>
          <t>GÄVLEBORGS LÄN</t>
        </is>
      </c>
      <c r="E873" t="inlineStr">
        <is>
          <t>LJUSDAL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53999-2021</t>
        </is>
      </c>
      <c r="B874" s="1" t="n">
        <v>44470</v>
      </c>
      <c r="C874" s="1" t="n">
        <v>45650</v>
      </c>
      <c r="D874" t="inlineStr">
        <is>
          <t>GÄVLEBORGS LÄN</t>
        </is>
      </c>
      <c r="E874" t="inlineStr">
        <is>
          <t>LJUSDAL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54237-2021</t>
        </is>
      </c>
      <c r="B875" s="1" t="n">
        <v>44470</v>
      </c>
      <c r="C875" s="1" t="n">
        <v>45650</v>
      </c>
      <c r="D875" t="inlineStr">
        <is>
          <t>GÄVLEBORGS LÄN</t>
        </is>
      </c>
      <c r="E875" t="inlineStr">
        <is>
          <t>LJUSDAL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54529-2021</t>
        </is>
      </c>
      <c r="B876" s="1" t="n">
        <v>44473</v>
      </c>
      <c r="C876" s="1" t="n">
        <v>45650</v>
      </c>
      <c r="D876" t="inlineStr">
        <is>
          <t>GÄVLEBORGS LÄN</t>
        </is>
      </c>
      <c r="E876" t="inlineStr">
        <is>
          <t>LJUSDAL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55230-2021</t>
        </is>
      </c>
      <c r="B877" s="1" t="n">
        <v>44475</v>
      </c>
      <c r="C877" s="1" t="n">
        <v>45650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55209-2021</t>
        </is>
      </c>
      <c r="B878" s="1" t="n">
        <v>44475</v>
      </c>
      <c r="C878" s="1" t="n">
        <v>45650</v>
      </c>
      <c r="D878" t="inlineStr">
        <is>
          <t>GÄVLEBORGS LÄN</t>
        </is>
      </c>
      <c r="E878" t="inlineStr">
        <is>
          <t>LJUSDAL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55446-2021</t>
        </is>
      </c>
      <c r="B879" s="1" t="n">
        <v>44475</v>
      </c>
      <c r="C879" s="1" t="n">
        <v>45650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55409-2021</t>
        </is>
      </c>
      <c r="B880" s="1" t="n">
        <v>44475</v>
      </c>
      <c r="C880" s="1" t="n">
        <v>45650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55534-2021</t>
        </is>
      </c>
      <c r="B881" s="1" t="n">
        <v>44475</v>
      </c>
      <c r="C881" s="1" t="n">
        <v>45650</v>
      </c>
      <c r="D881" t="inlineStr">
        <is>
          <t>GÄVLEBORGS LÄN</t>
        </is>
      </c>
      <c r="E881" t="inlineStr">
        <is>
          <t>LJUSDAL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55535-2021</t>
        </is>
      </c>
      <c r="B882" s="1" t="n">
        <v>44475</v>
      </c>
      <c r="C882" s="1" t="n">
        <v>45650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56016-2021</t>
        </is>
      </c>
      <c r="B883" s="1" t="n">
        <v>44477</v>
      </c>
      <c r="C883" s="1" t="n">
        <v>45650</v>
      </c>
      <c r="D883" t="inlineStr">
        <is>
          <t>GÄVLEBORGS LÄN</t>
        </is>
      </c>
      <c r="E883" t="inlineStr">
        <is>
          <t>LJUSDAL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56301-2021</t>
        </is>
      </c>
      <c r="B884" s="1" t="n">
        <v>44480</v>
      </c>
      <c r="C884" s="1" t="n">
        <v>45650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56846-2021</t>
        </is>
      </c>
      <c r="B885" s="1" t="n">
        <v>44481</v>
      </c>
      <c r="C885" s="1" t="n">
        <v>45650</v>
      </c>
      <c r="D885" t="inlineStr">
        <is>
          <t>GÄVLEBORGS LÄN</t>
        </is>
      </c>
      <c r="E885" t="inlineStr">
        <is>
          <t>LJUSDAL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56787-2021</t>
        </is>
      </c>
      <c r="B886" s="1" t="n">
        <v>44481</v>
      </c>
      <c r="C886" s="1" t="n">
        <v>45650</v>
      </c>
      <c r="D886" t="inlineStr">
        <is>
          <t>GÄVLEBORGS LÄN</t>
        </is>
      </c>
      <c r="E886" t="inlineStr">
        <is>
          <t>LJUSDAL</t>
        </is>
      </c>
      <c r="F886" t="inlineStr">
        <is>
          <t>Bergvik skog väst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56985-2021</t>
        </is>
      </c>
      <c r="B887" s="1" t="n">
        <v>44482</v>
      </c>
      <c r="C887" s="1" t="n">
        <v>45650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57072-2021</t>
        </is>
      </c>
      <c r="B888" s="1" t="n">
        <v>44482</v>
      </c>
      <c r="C888" s="1" t="n">
        <v>45650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57029-2021</t>
        </is>
      </c>
      <c r="B889" s="1" t="n">
        <v>44482</v>
      </c>
      <c r="C889" s="1" t="n">
        <v>45650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57121-2021</t>
        </is>
      </c>
      <c r="B890" s="1" t="n">
        <v>44482</v>
      </c>
      <c r="C890" s="1" t="n">
        <v>45650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57123-2021</t>
        </is>
      </c>
      <c r="B891" s="1" t="n">
        <v>44482</v>
      </c>
      <c r="C891" s="1" t="n">
        <v>45650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57344-2021</t>
        </is>
      </c>
      <c r="B892" s="1" t="n">
        <v>44483</v>
      </c>
      <c r="C892" s="1" t="n">
        <v>45650</v>
      </c>
      <c r="D892" t="inlineStr">
        <is>
          <t>GÄVLEBORGS LÄN</t>
        </is>
      </c>
      <c r="E892" t="inlineStr">
        <is>
          <t>LJUSDAL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57458-2021</t>
        </is>
      </c>
      <c r="B893" s="1" t="n">
        <v>44483</v>
      </c>
      <c r="C893" s="1" t="n">
        <v>45650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57561-2021</t>
        </is>
      </c>
      <c r="B894" s="1" t="n">
        <v>44483</v>
      </c>
      <c r="C894" s="1" t="n">
        <v>45650</v>
      </c>
      <c r="D894" t="inlineStr">
        <is>
          <t>GÄVLEBORGS LÄN</t>
        </is>
      </c>
      <c r="E894" t="inlineStr">
        <is>
          <t>LJUSDAL</t>
        </is>
      </c>
      <c r="F894" t="inlineStr">
        <is>
          <t>SCA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58397-2021</t>
        </is>
      </c>
      <c r="B895" s="1" t="n">
        <v>44488</v>
      </c>
      <c r="C895" s="1" t="n">
        <v>45650</v>
      </c>
      <c r="D895" t="inlineStr">
        <is>
          <t>GÄVLEBORGS LÄN</t>
        </is>
      </c>
      <c r="E895" t="inlineStr">
        <is>
          <t>LJUSDAL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58385-2021</t>
        </is>
      </c>
      <c r="B896" s="1" t="n">
        <v>44488</v>
      </c>
      <c r="C896" s="1" t="n">
        <v>45650</v>
      </c>
      <c r="D896" t="inlineStr">
        <is>
          <t>GÄVLEBORGS LÄN</t>
        </is>
      </c>
      <c r="E896" t="inlineStr">
        <is>
          <t>LJUSDAL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58648-2021</t>
        </is>
      </c>
      <c r="B897" s="1" t="n">
        <v>44489</v>
      </c>
      <c r="C897" s="1" t="n">
        <v>45650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58731-2021</t>
        </is>
      </c>
      <c r="B898" s="1" t="n">
        <v>44489</v>
      </c>
      <c r="C898" s="1" t="n">
        <v>45650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58624-2021</t>
        </is>
      </c>
      <c r="B899" s="1" t="n">
        <v>44489</v>
      </c>
      <c r="C899" s="1" t="n">
        <v>45650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33.3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58874-2021</t>
        </is>
      </c>
      <c r="B900" s="1" t="n">
        <v>44489</v>
      </c>
      <c r="C900" s="1" t="n">
        <v>45650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59129-2021</t>
        </is>
      </c>
      <c r="B901" s="1" t="n">
        <v>44490</v>
      </c>
      <c r="C901" s="1" t="n">
        <v>45650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60346-2021</t>
        </is>
      </c>
      <c r="B902" s="1" t="n">
        <v>44496</v>
      </c>
      <c r="C902" s="1" t="n">
        <v>45650</v>
      </c>
      <c r="D902" t="inlineStr">
        <is>
          <t>GÄVLEBORGS LÄN</t>
        </is>
      </c>
      <c r="E902" t="inlineStr">
        <is>
          <t>LJUSDAL</t>
        </is>
      </c>
      <c r="F902" t="inlineStr">
        <is>
          <t>Kommuner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60569-2021</t>
        </is>
      </c>
      <c r="B903" s="1" t="n">
        <v>44496</v>
      </c>
      <c r="C903" s="1" t="n">
        <v>45650</v>
      </c>
      <c r="D903" t="inlineStr">
        <is>
          <t>GÄVLEBORGS LÄN</t>
        </is>
      </c>
      <c r="E903" t="inlineStr">
        <is>
          <t>LJUSDAL</t>
        </is>
      </c>
      <c r="F903" t="inlineStr">
        <is>
          <t>Bergvik skog väst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60689-2021</t>
        </is>
      </c>
      <c r="B904" s="1" t="n">
        <v>44496</v>
      </c>
      <c r="C904" s="1" t="n">
        <v>45650</v>
      </c>
      <c r="D904" t="inlineStr">
        <is>
          <t>GÄVLEBORGS LÄN</t>
        </is>
      </c>
      <c r="E904" t="inlineStr">
        <is>
          <t>LJUSDAL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60768-2021</t>
        </is>
      </c>
      <c r="B905" s="1" t="n">
        <v>44497</v>
      </c>
      <c r="C905" s="1" t="n">
        <v>45650</v>
      </c>
      <c r="D905" t="inlineStr">
        <is>
          <t>GÄVLEBORGS LÄN</t>
        </is>
      </c>
      <c r="E905" t="inlineStr">
        <is>
          <t>LJUSDAL</t>
        </is>
      </c>
      <c r="F905" t="inlineStr">
        <is>
          <t>SCA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61012-2021</t>
        </is>
      </c>
      <c r="B906" s="1" t="n">
        <v>44497</v>
      </c>
      <c r="C906" s="1" t="n">
        <v>45650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61010-2021</t>
        </is>
      </c>
      <c r="B907" s="1" t="n">
        <v>44497</v>
      </c>
      <c r="C907" s="1" t="n">
        <v>45650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61164-2021</t>
        </is>
      </c>
      <c r="B908" s="1" t="n">
        <v>44497</v>
      </c>
      <c r="C908" s="1" t="n">
        <v>45650</v>
      </c>
      <c r="D908" t="inlineStr">
        <is>
          <t>GÄVLEBORGS LÄN</t>
        </is>
      </c>
      <c r="E908" t="inlineStr">
        <is>
          <t>LJUSDAL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60902-2021</t>
        </is>
      </c>
      <c r="B909" s="1" t="n">
        <v>44497</v>
      </c>
      <c r="C909" s="1" t="n">
        <v>45650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61162-2021</t>
        </is>
      </c>
      <c r="B910" s="1" t="n">
        <v>44497</v>
      </c>
      <c r="C910" s="1" t="n">
        <v>45650</v>
      </c>
      <c r="D910" t="inlineStr">
        <is>
          <t>GÄVLEBORGS LÄN</t>
        </is>
      </c>
      <c r="E910" t="inlineStr">
        <is>
          <t>LJUSDAL</t>
        </is>
      </c>
      <c r="G910" t="n">
        <v>11.2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61670-2021</t>
        </is>
      </c>
      <c r="B911" s="1" t="n">
        <v>44501</v>
      </c>
      <c r="C911" s="1" t="n">
        <v>45650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62146-2021</t>
        </is>
      </c>
      <c r="B912" s="1" t="n">
        <v>44502</v>
      </c>
      <c r="C912" s="1" t="n">
        <v>45650</v>
      </c>
      <c r="D912" t="inlineStr">
        <is>
          <t>GÄVLEBORGS LÄN</t>
        </is>
      </c>
      <c r="E912" t="inlineStr">
        <is>
          <t>LJUSDAL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62424-2021</t>
        </is>
      </c>
      <c r="B913" s="1" t="n">
        <v>44503</v>
      </c>
      <c r="C913" s="1" t="n">
        <v>45650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62256-2021</t>
        </is>
      </c>
      <c r="B914" s="1" t="n">
        <v>44503</v>
      </c>
      <c r="C914" s="1" t="n">
        <v>45650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62583-2021</t>
        </is>
      </c>
      <c r="B915" s="1" t="n">
        <v>44503</v>
      </c>
      <c r="C915" s="1" t="n">
        <v>45650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62505-2021</t>
        </is>
      </c>
      <c r="B916" s="1" t="n">
        <v>44503</v>
      </c>
      <c r="C916" s="1" t="n">
        <v>45650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62650-2021</t>
        </is>
      </c>
      <c r="B917" s="1" t="n">
        <v>44503</v>
      </c>
      <c r="C917" s="1" t="n">
        <v>45650</v>
      </c>
      <c r="D917" t="inlineStr">
        <is>
          <t>GÄVLEBORGS LÄN</t>
        </is>
      </c>
      <c r="E917" t="inlineStr">
        <is>
          <t>LJUSDAL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62707-2021</t>
        </is>
      </c>
      <c r="B918" s="1" t="n">
        <v>44504</v>
      </c>
      <c r="C918" s="1" t="n">
        <v>45650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62991-2021</t>
        </is>
      </c>
      <c r="B919" s="1" t="n">
        <v>44505</v>
      </c>
      <c r="C919" s="1" t="n">
        <v>45650</v>
      </c>
      <c r="D919" t="inlineStr">
        <is>
          <t>GÄVLEBORGS LÄN</t>
        </is>
      </c>
      <c r="E919" t="inlineStr">
        <is>
          <t>LJUSDAL</t>
        </is>
      </c>
      <c r="F919" t="inlineStr">
        <is>
          <t>Bergvik skog väst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63149-2021</t>
        </is>
      </c>
      <c r="B920" s="1" t="n">
        <v>44505</v>
      </c>
      <c r="C920" s="1" t="n">
        <v>45650</v>
      </c>
      <c r="D920" t="inlineStr">
        <is>
          <t>GÄVLEBORGS LÄN</t>
        </is>
      </c>
      <c r="E920" t="inlineStr">
        <is>
          <t>LJUSDAL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63528-2021</t>
        </is>
      </c>
      <c r="B921" s="1" t="n">
        <v>44508</v>
      </c>
      <c r="C921" s="1" t="n">
        <v>45650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63760-2021</t>
        </is>
      </c>
      <c r="B922" s="1" t="n">
        <v>44509</v>
      </c>
      <c r="C922" s="1" t="n">
        <v>45650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64120-2021</t>
        </is>
      </c>
      <c r="B923" s="1" t="n">
        <v>44510</v>
      </c>
      <c r="C923" s="1" t="n">
        <v>45650</v>
      </c>
      <c r="D923" t="inlineStr">
        <is>
          <t>GÄVLEBORGS LÄN</t>
        </is>
      </c>
      <c r="E923" t="inlineStr">
        <is>
          <t>LJUSDAL</t>
        </is>
      </c>
      <c r="F923" t="inlineStr">
        <is>
          <t>Kommuner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64423-2021</t>
        </is>
      </c>
      <c r="B924" s="1" t="n">
        <v>44511</v>
      </c>
      <c r="C924" s="1" t="n">
        <v>45650</v>
      </c>
      <c r="D924" t="inlineStr">
        <is>
          <t>GÄVLEBORGS LÄN</t>
        </is>
      </c>
      <c r="E924" t="inlineStr">
        <is>
          <t>LJUSDAL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64556-2021</t>
        </is>
      </c>
      <c r="B925" s="1" t="n">
        <v>44511</v>
      </c>
      <c r="C925" s="1" t="n">
        <v>45650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64601-2021</t>
        </is>
      </c>
      <c r="B926" s="1" t="n">
        <v>44511</v>
      </c>
      <c r="C926" s="1" t="n">
        <v>45650</v>
      </c>
      <c r="D926" t="inlineStr">
        <is>
          <t>GÄVLEBORGS LÄN</t>
        </is>
      </c>
      <c r="E926" t="inlineStr">
        <is>
          <t>LJUSDAL</t>
        </is>
      </c>
      <c r="F926" t="inlineStr">
        <is>
          <t>Kommuner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64875-2021</t>
        </is>
      </c>
      <c r="B927" s="1" t="n">
        <v>44512</v>
      </c>
      <c r="C927" s="1" t="n">
        <v>45650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65345-2021</t>
        </is>
      </c>
      <c r="B928" s="1" t="n">
        <v>44515</v>
      </c>
      <c r="C928" s="1" t="n">
        <v>45650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9.300000000000001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66208-2021</t>
        </is>
      </c>
      <c r="B929" s="1" t="n">
        <v>44518</v>
      </c>
      <c r="C929" s="1" t="n">
        <v>45650</v>
      </c>
      <c r="D929" t="inlineStr">
        <is>
          <t>GÄVLEBORGS LÄN</t>
        </is>
      </c>
      <c r="E929" t="inlineStr">
        <is>
          <t>LJUSDAL</t>
        </is>
      </c>
      <c r="F929" t="inlineStr">
        <is>
          <t>Sveaskog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67327-2021</t>
        </is>
      </c>
      <c r="B930" s="1" t="n">
        <v>44523</v>
      </c>
      <c r="C930" s="1" t="n">
        <v>45650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67380-2021</t>
        </is>
      </c>
      <c r="B931" s="1" t="n">
        <v>44523</v>
      </c>
      <c r="C931" s="1" t="n">
        <v>45650</v>
      </c>
      <c r="D931" t="inlineStr">
        <is>
          <t>GÄVLEBORGS LÄN</t>
        </is>
      </c>
      <c r="E931" t="inlineStr">
        <is>
          <t>LJUSDAL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67781-2021</t>
        </is>
      </c>
      <c r="B932" s="1" t="n">
        <v>44525</v>
      </c>
      <c r="C932" s="1" t="n">
        <v>45650</v>
      </c>
      <c r="D932" t="inlineStr">
        <is>
          <t>GÄVLEBORGS LÄN</t>
        </is>
      </c>
      <c r="E932" t="inlineStr">
        <is>
          <t>LJUSDAL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67776-2021</t>
        </is>
      </c>
      <c r="B933" s="1" t="n">
        <v>44525</v>
      </c>
      <c r="C933" s="1" t="n">
        <v>45650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67854-2021</t>
        </is>
      </c>
      <c r="B934" s="1" t="n">
        <v>44525</v>
      </c>
      <c r="C934" s="1" t="n">
        <v>45650</v>
      </c>
      <c r="D934" t="inlineStr">
        <is>
          <t>GÄVLEBORGS LÄN</t>
        </is>
      </c>
      <c r="E934" t="inlineStr">
        <is>
          <t>LJUSDAL</t>
        </is>
      </c>
      <c r="F934" t="inlineStr">
        <is>
          <t>Bergvik skog väst AB</t>
        </is>
      </c>
      <c r="G934" t="n">
        <v>10.1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67794-2021</t>
        </is>
      </c>
      <c r="B935" s="1" t="n">
        <v>44525</v>
      </c>
      <c r="C935" s="1" t="n">
        <v>45650</v>
      </c>
      <c r="D935" t="inlineStr">
        <is>
          <t>GÄVLEBORGS LÄN</t>
        </is>
      </c>
      <c r="E935" t="inlineStr">
        <is>
          <t>LJUSDAL</t>
        </is>
      </c>
      <c r="F935" t="inlineStr">
        <is>
          <t>Allmännings- och besparingsskogar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67923-2021</t>
        </is>
      </c>
      <c r="B936" s="1" t="n">
        <v>44525</v>
      </c>
      <c r="C936" s="1" t="n">
        <v>45650</v>
      </c>
      <c r="D936" t="inlineStr">
        <is>
          <t>GÄVLEBORGS LÄN</t>
        </is>
      </c>
      <c r="E936" t="inlineStr">
        <is>
          <t>LJUSDAL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69057-2021</t>
        </is>
      </c>
      <c r="B937" s="1" t="n">
        <v>44530</v>
      </c>
      <c r="C937" s="1" t="n">
        <v>45650</v>
      </c>
      <c r="D937" t="inlineStr">
        <is>
          <t>GÄVLEBORGS LÄN</t>
        </is>
      </c>
      <c r="E937" t="inlineStr">
        <is>
          <t>LJUSDAL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70478-2021</t>
        </is>
      </c>
      <c r="B938" s="1" t="n">
        <v>44536</v>
      </c>
      <c r="C938" s="1" t="n">
        <v>45650</v>
      </c>
      <c r="D938" t="inlineStr">
        <is>
          <t>GÄVLEBORGS LÄN</t>
        </is>
      </c>
      <c r="E938" t="inlineStr">
        <is>
          <t>LJUSDAL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71070-2021</t>
        </is>
      </c>
      <c r="B939" s="1" t="n">
        <v>44538</v>
      </c>
      <c r="C939" s="1" t="n">
        <v>45650</v>
      </c>
      <c r="D939" t="inlineStr">
        <is>
          <t>GÄVLEBORGS LÄN</t>
        </is>
      </c>
      <c r="E939" t="inlineStr">
        <is>
          <t>LJUSDAL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71068-2021</t>
        </is>
      </c>
      <c r="B940" s="1" t="n">
        <v>44538</v>
      </c>
      <c r="C940" s="1" t="n">
        <v>45650</v>
      </c>
      <c r="D940" t="inlineStr">
        <is>
          <t>GÄVLEBORGS LÄN</t>
        </is>
      </c>
      <c r="E940" t="inlineStr">
        <is>
          <t>LJUSDAL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71305-2021</t>
        </is>
      </c>
      <c r="B941" s="1" t="n">
        <v>44539</v>
      </c>
      <c r="C941" s="1" t="n">
        <v>45650</v>
      </c>
      <c r="D941" t="inlineStr">
        <is>
          <t>GÄVLEBORGS LÄN</t>
        </is>
      </c>
      <c r="E941" t="inlineStr">
        <is>
          <t>LJUSDAL</t>
        </is>
      </c>
      <c r="F941" t="inlineStr">
        <is>
          <t>Kommuner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71698-2021</t>
        </is>
      </c>
      <c r="B942" s="1" t="n">
        <v>44543</v>
      </c>
      <c r="C942" s="1" t="n">
        <v>45650</v>
      </c>
      <c r="D942" t="inlineStr">
        <is>
          <t>GÄVLEBORGS LÄN</t>
        </is>
      </c>
      <c r="E942" t="inlineStr">
        <is>
          <t>LJUSDAL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71680-2021</t>
        </is>
      </c>
      <c r="B943" s="1" t="n">
        <v>44543</v>
      </c>
      <c r="C943" s="1" t="n">
        <v>45650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72150-2021</t>
        </is>
      </c>
      <c r="B944" s="1" t="n">
        <v>44544</v>
      </c>
      <c r="C944" s="1" t="n">
        <v>45650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72457-2021</t>
        </is>
      </c>
      <c r="B945" s="1" t="n">
        <v>44545</v>
      </c>
      <c r="C945" s="1" t="n">
        <v>45650</v>
      </c>
      <c r="D945" t="inlineStr">
        <is>
          <t>GÄVLEBORGS LÄN</t>
        </is>
      </c>
      <c r="E945" t="inlineStr">
        <is>
          <t>LJUSDAL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72464-2021</t>
        </is>
      </c>
      <c r="B946" s="1" t="n">
        <v>44545</v>
      </c>
      <c r="C946" s="1" t="n">
        <v>45650</v>
      </c>
      <c r="D946" t="inlineStr">
        <is>
          <t>GÄVLEBORGS LÄN</t>
        </is>
      </c>
      <c r="E946" t="inlineStr">
        <is>
          <t>LJUSDAL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72711-2021</t>
        </is>
      </c>
      <c r="B947" s="1" t="n">
        <v>44546</v>
      </c>
      <c r="C947" s="1" t="n">
        <v>45650</v>
      </c>
      <c r="D947" t="inlineStr">
        <is>
          <t>GÄVLEBORGS LÄN</t>
        </is>
      </c>
      <c r="E947" t="inlineStr">
        <is>
          <t>LJUSDAL</t>
        </is>
      </c>
      <c r="F947" t="inlineStr">
        <is>
          <t>Sveaskog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73190-2021</t>
        </is>
      </c>
      <c r="B948" s="1" t="n">
        <v>44550</v>
      </c>
      <c r="C948" s="1" t="n">
        <v>45650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73241-2021</t>
        </is>
      </c>
      <c r="B949" s="1" t="n">
        <v>44550</v>
      </c>
      <c r="C949" s="1" t="n">
        <v>45650</v>
      </c>
      <c r="D949" t="inlineStr">
        <is>
          <t>GÄVLEBORGS LÄN</t>
        </is>
      </c>
      <c r="E949" t="inlineStr">
        <is>
          <t>LJUSDAL</t>
        </is>
      </c>
      <c r="F949" t="inlineStr">
        <is>
          <t>Allmännings- och besparingsskogar</t>
        </is>
      </c>
      <c r="G949" t="n">
        <v>42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73555-2021</t>
        </is>
      </c>
      <c r="B950" s="1" t="n">
        <v>44551</v>
      </c>
      <c r="C950" s="1" t="n">
        <v>45650</v>
      </c>
      <c r="D950" t="inlineStr">
        <is>
          <t>GÄVLEBORGS LÄN</t>
        </is>
      </c>
      <c r="E950" t="inlineStr">
        <is>
          <t>LJUSDAL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73554-2021</t>
        </is>
      </c>
      <c r="B951" s="1" t="n">
        <v>44551</v>
      </c>
      <c r="C951" s="1" t="n">
        <v>45650</v>
      </c>
      <c r="D951" t="inlineStr">
        <is>
          <t>GÄVLEBORGS LÄN</t>
        </is>
      </c>
      <c r="E951" t="inlineStr">
        <is>
          <t>LJUSDAL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73672-2021</t>
        </is>
      </c>
      <c r="B952" s="1" t="n">
        <v>44552</v>
      </c>
      <c r="C952" s="1" t="n">
        <v>45650</v>
      </c>
      <c r="D952" t="inlineStr">
        <is>
          <t>GÄVLEBORGS LÄN</t>
        </is>
      </c>
      <c r="E952" t="inlineStr">
        <is>
          <t>LJUSDAL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73750-2021</t>
        </is>
      </c>
      <c r="B953" s="1" t="n">
        <v>44552</v>
      </c>
      <c r="C953" s="1" t="n">
        <v>45650</v>
      </c>
      <c r="D953" t="inlineStr">
        <is>
          <t>GÄVLEBORGS LÄN</t>
        </is>
      </c>
      <c r="E953" t="inlineStr">
        <is>
          <t>LJUSDAL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74337-2021</t>
        </is>
      </c>
      <c r="B954" s="1" t="n">
        <v>44559</v>
      </c>
      <c r="C954" s="1" t="n">
        <v>45650</v>
      </c>
      <c r="D954" t="inlineStr">
        <is>
          <t>GÄVLEBORGS LÄN</t>
        </is>
      </c>
      <c r="E954" t="inlineStr">
        <is>
          <t>LJUSDAL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30-2022</t>
        </is>
      </c>
      <c r="B955" s="1" t="n">
        <v>44564</v>
      </c>
      <c r="C955" s="1" t="n">
        <v>45650</v>
      </c>
      <c r="D955" t="inlineStr">
        <is>
          <t>GÄVLEBORGS LÄN</t>
        </is>
      </c>
      <c r="E955" t="inlineStr">
        <is>
          <t>LJUSDAL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331-2022</t>
        </is>
      </c>
      <c r="B956" s="1" t="n">
        <v>44565</v>
      </c>
      <c r="C956" s="1" t="n">
        <v>45650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574-2022</t>
        </is>
      </c>
      <c r="B957" s="1" t="n">
        <v>44566</v>
      </c>
      <c r="C957" s="1" t="n">
        <v>45650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983-2022</t>
        </is>
      </c>
      <c r="B958" s="1" t="n">
        <v>44571</v>
      </c>
      <c r="C958" s="1" t="n">
        <v>45650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10.6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1250-2022</t>
        </is>
      </c>
      <c r="B959" s="1" t="n">
        <v>44572</v>
      </c>
      <c r="C959" s="1" t="n">
        <v>45650</v>
      </c>
      <c r="D959" t="inlineStr">
        <is>
          <t>GÄVLEBORGS LÄN</t>
        </is>
      </c>
      <c r="E959" t="inlineStr">
        <is>
          <t>LJUSDAL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2449-2022</t>
        </is>
      </c>
      <c r="B960" s="1" t="n">
        <v>44579</v>
      </c>
      <c r="C960" s="1" t="n">
        <v>45650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3098-2022</t>
        </is>
      </c>
      <c r="B961" s="1" t="n">
        <v>44582</v>
      </c>
      <c r="C961" s="1" t="n">
        <v>45650</v>
      </c>
      <c r="D961" t="inlineStr">
        <is>
          <t>GÄVLEBORGS LÄN</t>
        </is>
      </c>
      <c r="E961" t="inlineStr">
        <is>
          <t>LJUSDAL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3868-2022</t>
        </is>
      </c>
      <c r="B962" s="1" t="n">
        <v>44587</v>
      </c>
      <c r="C962" s="1" t="n">
        <v>45650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4433-2022</t>
        </is>
      </c>
      <c r="B963" s="1" t="n">
        <v>44589</v>
      </c>
      <c r="C963" s="1" t="n">
        <v>45650</v>
      </c>
      <c r="D963" t="inlineStr">
        <is>
          <t>GÄVLEBORGS LÄN</t>
        </is>
      </c>
      <c r="E963" t="inlineStr">
        <is>
          <t>LJUSDAL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4543-2022</t>
        </is>
      </c>
      <c r="B964" s="1" t="n">
        <v>44590</v>
      </c>
      <c r="C964" s="1" t="n">
        <v>45650</v>
      </c>
      <c r="D964" t="inlineStr">
        <is>
          <t>GÄVLEBORGS LÄN</t>
        </is>
      </c>
      <c r="E964" t="inlineStr">
        <is>
          <t>LJUSDAL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4813-2022</t>
        </is>
      </c>
      <c r="B965" s="1" t="n">
        <v>44592</v>
      </c>
      <c r="C965" s="1" t="n">
        <v>45650</v>
      </c>
      <c r="D965" t="inlineStr">
        <is>
          <t>GÄVLEBORGS LÄN</t>
        </is>
      </c>
      <c r="E965" t="inlineStr">
        <is>
          <t>LJUSDAL</t>
        </is>
      </c>
      <c r="F965" t="inlineStr">
        <is>
          <t>Sveaskog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5614-2022</t>
        </is>
      </c>
      <c r="B966" s="1" t="n">
        <v>44595</v>
      </c>
      <c r="C966" s="1" t="n">
        <v>45650</v>
      </c>
      <c r="D966" t="inlineStr">
        <is>
          <t>GÄVLEBORGS LÄN</t>
        </is>
      </c>
      <c r="E966" t="inlineStr">
        <is>
          <t>LJUSDAL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5889-2022</t>
        </is>
      </c>
      <c r="B967" s="1" t="n">
        <v>44596</v>
      </c>
      <c r="C967" s="1" t="n">
        <v>45650</v>
      </c>
      <c r="D967" t="inlineStr">
        <is>
          <t>GÄVLEBORGS LÄN</t>
        </is>
      </c>
      <c r="E967" t="inlineStr">
        <is>
          <t>LJUSDAL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6308-2022</t>
        </is>
      </c>
      <c r="B968" s="1" t="n">
        <v>44600</v>
      </c>
      <c r="C968" s="1" t="n">
        <v>45650</v>
      </c>
      <c r="D968" t="inlineStr">
        <is>
          <t>GÄVLEBORGS LÄN</t>
        </is>
      </c>
      <c r="E968" t="inlineStr">
        <is>
          <t>LJUSDAL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6634-2022</t>
        </is>
      </c>
      <c r="B969" s="1" t="n">
        <v>44601</v>
      </c>
      <c r="C969" s="1" t="n">
        <v>45650</v>
      </c>
      <c r="D969" t="inlineStr">
        <is>
          <t>GÄVLEBORGS LÄN</t>
        </is>
      </c>
      <c r="E969" t="inlineStr">
        <is>
          <t>LJUSDAL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7472-2022</t>
        </is>
      </c>
      <c r="B970" s="1" t="n">
        <v>44607</v>
      </c>
      <c r="C970" s="1" t="n">
        <v>45650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7592-2022</t>
        </is>
      </c>
      <c r="B971" s="1" t="n">
        <v>44607</v>
      </c>
      <c r="C971" s="1" t="n">
        <v>45650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7606-2022</t>
        </is>
      </c>
      <c r="B972" s="1" t="n">
        <v>44607</v>
      </c>
      <c r="C972" s="1" t="n">
        <v>45650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8153-2022</t>
        </is>
      </c>
      <c r="B973" s="1" t="n">
        <v>44609</v>
      </c>
      <c r="C973" s="1" t="n">
        <v>45650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8813-2022</t>
        </is>
      </c>
      <c r="B974" s="1" t="n">
        <v>44614</v>
      </c>
      <c r="C974" s="1" t="n">
        <v>45650</v>
      </c>
      <c r="D974" t="inlineStr">
        <is>
          <t>GÄVLEBORGS LÄN</t>
        </is>
      </c>
      <c r="E974" t="inlineStr">
        <is>
          <t>LJUSDAL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9191-2022</t>
        </is>
      </c>
      <c r="B975" s="1" t="n">
        <v>44615</v>
      </c>
      <c r="C975" s="1" t="n">
        <v>45650</v>
      </c>
      <c r="D975" t="inlineStr">
        <is>
          <t>GÄVLEBORGS LÄN</t>
        </is>
      </c>
      <c r="E975" t="inlineStr">
        <is>
          <t>LJUSDAL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9194-2022</t>
        </is>
      </c>
      <c r="B976" s="1" t="n">
        <v>44615</v>
      </c>
      <c r="C976" s="1" t="n">
        <v>45650</v>
      </c>
      <c r="D976" t="inlineStr">
        <is>
          <t>GÄVLEBORGS LÄN</t>
        </is>
      </c>
      <c r="E976" t="inlineStr">
        <is>
          <t>LJUSDAL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9462-2022</t>
        </is>
      </c>
      <c r="B977" s="1" t="n">
        <v>44616</v>
      </c>
      <c r="C977" s="1" t="n">
        <v>45650</v>
      </c>
      <c r="D977" t="inlineStr">
        <is>
          <t>GÄVLEBORGS LÄN</t>
        </is>
      </c>
      <c r="E977" t="inlineStr">
        <is>
          <t>LJUSDAL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9935-2022</t>
        </is>
      </c>
      <c r="B978" s="1" t="n">
        <v>44620</v>
      </c>
      <c r="C978" s="1" t="n">
        <v>45650</v>
      </c>
      <c r="D978" t="inlineStr">
        <is>
          <t>GÄVLEBORGS LÄN</t>
        </is>
      </c>
      <c r="E978" t="inlineStr">
        <is>
          <t>LJUSDAL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9936-2022</t>
        </is>
      </c>
      <c r="B979" s="1" t="n">
        <v>44620</v>
      </c>
      <c r="C979" s="1" t="n">
        <v>45650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10074-2022</t>
        </is>
      </c>
      <c r="B980" s="1" t="n">
        <v>44621</v>
      </c>
      <c r="C980" s="1" t="n">
        <v>45650</v>
      </c>
      <c r="D980" t="inlineStr">
        <is>
          <t>GÄVLEBORGS LÄN</t>
        </is>
      </c>
      <c r="E980" t="inlineStr">
        <is>
          <t>LJUSDAL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10591-2022</t>
        </is>
      </c>
      <c r="B981" s="1" t="n">
        <v>44624</v>
      </c>
      <c r="C981" s="1" t="n">
        <v>45650</v>
      </c>
      <c r="D981" t="inlineStr">
        <is>
          <t>GÄVLEBORGS LÄN</t>
        </is>
      </c>
      <c r="E981" t="inlineStr">
        <is>
          <t>LJUSDAL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10856-2022</t>
        </is>
      </c>
      <c r="B982" s="1" t="n">
        <v>44627</v>
      </c>
      <c r="C982" s="1" t="n">
        <v>45650</v>
      </c>
      <c r="D982" t="inlineStr">
        <is>
          <t>GÄVLEBORGS LÄN</t>
        </is>
      </c>
      <c r="E982" t="inlineStr">
        <is>
          <t>LJUSDAL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10945-2022</t>
        </is>
      </c>
      <c r="B983" s="1" t="n">
        <v>44627</v>
      </c>
      <c r="C983" s="1" t="n">
        <v>45650</v>
      </c>
      <c r="D983" t="inlineStr">
        <is>
          <t>GÄVLEBORGS LÄN</t>
        </is>
      </c>
      <c r="E983" t="inlineStr">
        <is>
          <t>LJUSDAL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11242-2022</t>
        </is>
      </c>
      <c r="B984" s="1" t="n">
        <v>44629</v>
      </c>
      <c r="C984" s="1" t="n">
        <v>45650</v>
      </c>
      <c r="D984" t="inlineStr">
        <is>
          <t>GÄVLEBORGS LÄN</t>
        </is>
      </c>
      <c r="E984" t="inlineStr">
        <is>
          <t>LJUSDAL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11286-2022</t>
        </is>
      </c>
      <c r="B985" s="1" t="n">
        <v>44629</v>
      </c>
      <c r="C985" s="1" t="n">
        <v>45650</v>
      </c>
      <c r="D985" t="inlineStr">
        <is>
          <t>GÄVLEBORGS LÄN</t>
        </is>
      </c>
      <c r="E985" t="inlineStr">
        <is>
          <t>LJUSDAL</t>
        </is>
      </c>
      <c r="G985" t="n">
        <v>11.5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13064-2022</t>
        </is>
      </c>
      <c r="B986" s="1" t="n">
        <v>44643</v>
      </c>
      <c r="C986" s="1" t="n">
        <v>45650</v>
      </c>
      <c r="D986" t="inlineStr">
        <is>
          <t>GÄVLEBORGS LÄN</t>
        </is>
      </c>
      <c r="E986" t="inlineStr">
        <is>
          <t>LJUSDAL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13245-2022</t>
        </is>
      </c>
      <c r="B987" s="1" t="n">
        <v>44644</v>
      </c>
      <c r="C987" s="1" t="n">
        <v>45650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13622-2022</t>
        </is>
      </c>
      <c r="B988" s="1" t="n">
        <v>44648</v>
      </c>
      <c r="C988" s="1" t="n">
        <v>45650</v>
      </c>
      <c r="D988" t="inlineStr">
        <is>
          <t>GÄVLEBORGS LÄN</t>
        </is>
      </c>
      <c r="E988" t="inlineStr">
        <is>
          <t>LJUSDAL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14010-2022</t>
        </is>
      </c>
      <c r="B989" s="1" t="n">
        <v>44650</v>
      </c>
      <c r="C989" s="1" t="n">
        <v>45650</v>
      </c>
      <c r="D989" t="inlineStr">
        <is>
          <t>GÄVLEBORGS LÄN</t>
        </is>
      </c>
      <c r="E989" t="inlineStr">
        <is>
          <t>LJUSDAL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14608-2022</t>
        </is>
      </c>
      <c r="B990" s="1" t="n">
        <v>44655</v>
      </c>
      <c r="C990" s="1" t="n">
        <v>45650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15042-2022</t>
        </is>
      </c>
      <c r="B991" s="1" t="n">
        <v>44657</v>
      </c>
      <c r="C991" s="1" t="n">
        <v>45650</v>
      </c>
      <c r="D991" t="inlineStr">
        <is>
          <t>GÄVLEBORGS LÄN</t>
        </is>
      </c>
      <c r="E991" t="inlineStr">
        <is>
          <t>LJUSDAL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15485-2022</t>
        </is>
      </c>
      <c r="B992" s="1" t="n">
        <v>44662</v>
      </c>
      <c r="C992" s="1" t="n">
        <v>45650</v>
      </c>
      <c r="D992" t="inlineStr">
        <is>
          <t>GÄVLEBORGS LÄN</t>
        </is>
      </c>
      <c r="E992" t="inlineStr">
        <is>
          <t>LJUSDAL</t>
        </is>
      </c>
      <c r="F992" t="inlineStr">
        <is>
          <t>Kyrkan</t>
        </is>
      </c>
      <c r="G992" t="n">
        <v>17.9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15750-2022</t>
        </is>
      </c>
      <c r="B993" s="1" t="n">
        <v>44663</v>
      </c>
      <c r="C993" s="1" t="n">
        <v>45650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15767-2022</t>
        </is>
      </c>
      <c r="B994" s="1" t="n">
        <v>44663</v>
      </c>
      <c r="C994" s="1" t="n">
        <v>45650</v>
      </c>
      <c r="D994" t="inlineStr">
        <is>
          <t>GÄVLEBORGS LÄN</t>
        </is>
      </c>
      <c r="E994" t="inlineStr">
        <is>
          <t>LJUSDAL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16894-2022</t>
        </is>
      </c>
      <c r="B995" s="1" t="n">
        <v>44676</v>
      </c>
      <c r="C995" s="1" t="n">
        <v>45650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16973-2022</t>
        </is>
      </c>
      <c r="B996" s="1" t="n">
        <v>44676</v>
      </c>
      <c r="C996" s="1" t="n">
        <v>45650</v>
      </c>
      <c r="D996" t="inlineStr">
        <is>
          <t>GÄVLEBORGS LÄN</t>
        </is>
      </c>
      <c r="E996" t="inlineStr">
        <is>
          <t>LJUSDAL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17246-2022</t>
        </is>
      </c>
      <c r="B997" s="1" t="n">
        <v>44678</v>
      </c>
      <c r="C997" s="1" t="n">
        <v>45650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17458-2022</t>
        </is>
      </c>
      <c r="B998" s="1" t="n">
        <v>44679</v>
      </c>
      <c r="C998" s="1" t="n">
        <v>45650</v>
      </c>
      <c r="D998" t="inlineStr">
        <is>
          <t>GÄVLEBORGS LÄN</t>
        </is>
      </c>
      <c r="E998" t="inlineStr">
        <is>
          <t>LJUSDAL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17487-2022</t>
        </is>
      </c>
      <c r="B999" s="1" t="n">
        <v>44679</v>
      </c>
      <c r="C999" s="1" t="n">
        <v>45650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17559-2022</t>
        </is>
      </c>
      <c r="B1000" s="1" t="n">
        <v>44679</v>
      </c>
      <c r="C1000" s="1" t="n">
        <v>45650</v>
      </c>
      <c r="D1000" t="inlineStr">
        <is>
          <t>GÄVLEBORGS LÄN</t>
        </is>
      </c>
      <c r="E1000" t="inlineStr">
        <is>
          <t>LJUSDAL</t>
        </is>
      </c>
      <c r="F1000" t="inlineStr">
        <is>
          <t>Holmen skog AB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17862-2022</t>
        </is>
      </c>
      <c r="B1001" s="1" t="n">
        <v>44683</v>
      </c>
      <c r="C1001" s="1" t="n">
        <v>45650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18143-2022</t>
        </is>
      </c>
      <c r="B1002" s="1" t="n">
        <v>44684</v>
      </c>
      <c r="C1002" s="1" t="n">
        <v>45650</v>
      </c>
      <c r="D1002" t="inlineStr">
        <is>
          <t>GÄVLEBORGS LÄN</t>
        </is>
      </c>
      <c r="E1002" t="inlineStr">
        <is>
          <t>LJUSDAL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18663-2022</t>
        </is>
      </c>
      <c r="B1003" s="1" t="n">
        <v>44687</v>
      </c>
      <c r="C1003" s="1" t="n">
        <v>45650</v>
      </c>
      <c r="D1003" t="inlineStr">
        <is>
          <t>GÄVLEBORGS LÄN</t>
        </is>
      </c>
      <c r="E1003" t="inlineStr">
        <is>
          <t>LJUSDAL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18670-2022</t>
        </is>
      </c>
      <c r="B1004" s="1" t="n">
        <v>44687</v>
      </c>
      <c r="C1004" s="1" t="n">
        <v>45650</v>
      </c>
      <c r="D1004" t="inlineStr">
        <is>
          <t>GÄVLEBORGS LÄN</t>
        </is>
      </c>
      <c r="E1004" t="inlineStr">
        <is>
          <t>LJUSDAL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18691-2022</t>
        </is>
      </c>
      <c r="B1005" s="1" t="n">
        <v>44687</v>
      </c>
      <c r="C1005" s="1" t="n">
        <v>45650</v>
      </c>
      <c r="D1005" t="inlineStr">
        <is>
          <t>GÄVLEBORGS LÄN</t>
        </is>
      </c>
      <c r="E1005" t="inlineStr">
        <is>
          <t>LJUSDAL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18677-2022</t>
        </is>
      </c>
      <c r="B1006" s="1" t="n">
        <v>44687</v>
      </c>
      <c r="C1006" s="1" t="n">
        <v>45650</v>
      </c>
      <c r="D1006" t="inlineStr">
        <is>
          <t>GÄVLEBORGS LÄN</t>
        </is>
      </c>
      <c r="E1006" t="inlineStr">
        <is>
          <t>LJUSDAL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18681-2022</t>
        </is>
      </c>
      <c r="B1007" s="1" t="n">
        <v>44687</v>
      </c>
      <c r="C1007" s="1" t="n">
        <v>45650</v>
      </c>
      <c r="D1007" t="inlineStr">
        <is>
          <t>GÄVLEBORGS LÄN</t>
        </is>
      </c>
      <c r="E1007" t="inlineStr">
        <is>
          <t>LJUSDAL</t>
        </is>
      </c>
      <c r="F1007" t="inlineStr">
        <is>
          <t>Bergvik skog väst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18721-2022</t>
        </is>
      </c>
      <c r="B1008" s="1" t="n">
        <v>44687</v>
      </c>
      <c r="C1008" s="1" t="n">
        <v>45650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19200-2022</t>
        </is>
      </c>
      <c r="B1009" s="1" t="n">
        <v>44691</v>
      </c>
      <c r="C1009" s="1" t="n">
        <v>45650</v>
      </c>
      <c r="D1009" t="inlineStr">
        <is>
          <t>GÄVLEBORGS LÄN</t>
        </is>
      </c>
      <c r="E1009" t="inlineStr">
        <is>
          <t>LJUSDAL</t>
        </is>
      </c>
      <c r="F1009" t="inlineStr">
        <is>
          <t>Bergvik skog väst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19252-2022</t>
        </is>
      </c>
      <c r="B1010" s="1" t="n">
        <v>44692</v>
      </c>
      <c r="C1010" s="1" t="n">
        <v>45650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19288-2022</t>
        </is>
      </c>
      <c r="B1011" s="1" t="n">
        <v>44692</v>
      </c>
      <c r="C1011" s="1" t="n">
        <v>45650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19303-2022</t>
        </is>
      </c>
      <c r="B1012" s="1" t="n">
        <v>44692</v>
      </c>
      <c r="C1012" s="1" t="n">
        <v>45650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19265-2022</t>
        </is>
      </c>
      <c r="B1013" s="1" t="n">
        <v>44692</v>
      </c>
      <c r="C1013" s="1" t="n">
        <v>45650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19316-2022</t>
        </is>
      </c>
      <c r="B1014" s="1" t="n">
        <v>44692</v>
      </c>
      <c r="C1014" s="1" t="n">
        <v>45650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19531-2022</t>
        </is>
      </c>
      <c r="B1015" s="1" t="n">
        <v>44693</v>
      </c>
      <c r="C1015" s="1" t="n">
        <v>45650</v>
      </c>
      <c r="D1015" t="inlineStr">
        <is>
          <t>GÄVLEBORGS LÄN</t>
        </is>
      </c>
      <c r="E1015" t="inlineStr">
        <is>
          <t>LJUSDAL</t>
        </is>
      </c>
      <c r="F1015" t="inlineStr">
        <is>
          <t>Allmännings- och besparingsskogar</t>
        </is>
      </c>
      <c r="G1015" t="n">
        <v>46.7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19892-2022</t>
        </is>
      </c>
      <c r="B1016" s="1" t="n">
        <v>44697</v>
      </c>
      <c r="C1016" s="1" t="n">
        <v>45650</v>
      </c>
      <c r="D1016" t="inlineStr">
        <is>
          <t>GÄVLEBORGS LÄN</t>
        </is>
      </c>
      <c r="E1016" t="inlineStr">
        <is>
          <t>LJUSDAL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20209-2022</t>
        </is>
      </c>
      <c r="B1017" s="1" t="n">
        <v>44698</v>
      </c>
      <c r="C1017" s="1" t="n">
        <v>45650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20593-2022</t>
        </is>
      </c>
      <c r="B1018" s="1" t="n">
        <v>44700</v>
      </c>
      <c r="C1018" s="1" t="n">
        <v>45650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20730-2022</t>
        </is>
      </c>
      <c r="B1019" s="1" t="n">
        <v>44701</v>
      </c>
      <c r="C1019" s="1" t="n">
        <v>45650</v>
      </c>
      <c r="D1019" t="inlineStr">
        <is>
          <t>GÄVLEBORGS LÄN</t>
        </is>
      </c>
      <c r="E1019" t="inlineStr">
        <is>
          <t>LJUSDAL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20744-2022</t>
        </is>
      </c>
      <c r="B1020" s="1" t="n">
        <v>44701</v>
      </c>
      <c r="C1020" s="1" t="n">
        <v>45650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20746-2022</t>
        </is>
      </c>
      <c r="B1021" s="1" t="n">
        <v>44701</v>
      </c>
      <c r="C1021" s="1" t="n">
        <v>45650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20747-2022</t>
        </is>
      </c>
      <c r="B1022" s="1" t="n">
        <v>44701</v>
      </c>
      <c r="C1022" s="1" t="n">
        <v>45650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13.2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20750-2022</t>
        </is>
      </c>
      <c r="B1023" s="1" t="n">
        <v>44701</v>
      </c>
      <c r="C1023" s="1" t="n">
        <v>45650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20756-2022</t>
        </is>
      </c>
      <c r="B1024" s="1" t="n">
        <v>44701</v>
      </c>
      <c r="C1024" s="1" t="n">
        <v>45650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20906-2022</t>
        </is>
      </c>
      <c r="B1025" s="1" t="n">
        <v>44701</v>
      </c>
      <c r="C1025" s="1" t="n">
        <v>45650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20916-2022</t>
        </is>
      </c>
      <c r="B1026" s="1" t="n">
        <v>44701</v>
      </c>
      <c r="C1026" s="1" t="n">
        <v>45650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8.800000000000001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20902-2022</t>
        </is>
      </c>
      <c r="B1027" s="1" t="n">
        <v>44701</v>
      </c>
      <c r="C1027" s="1" t="n">
        <v>45650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21044-2022</t>
        </is>
      </c>
      <c r="B1028" s="1" t="n">
        <v>44704</v>
      </c>
      <c r="C1028" s="1" t="n">
        <v>45650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Allmännings- och besparingsskogar</t>
        </is>
      </c>
      <c r="G1028" t="n">
        <v>31.3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21542-2022</t>
        </is>
      </c>
      <c r="B1029" s="1" t="n">
        <v>44706</v>
      </c>
      <c r="C1029" s="1" t="n">
        <v>45650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21941-2022</t>
        </is>
      </c>
      <c r="B1030" s="1" t="n">
        <v>44711</v>
      </c>
      <c r="C1030" s="1" t="n">
        <v>45650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21890-2022</t>
        </is>
      </c>
      <c r="B1031" s="1" t="n">
        <v>44711</v>
      </c>
      <c r="C1031" s="1" t="n">
        <v>45650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30.7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21952-2022</t>
        </is>
      </c>
      <c r="B1032" s="1" t="n">
        <v>44711</v>
      </c>
      <c r="C1032" s="1" t="n">
        <v>45650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21965-2022</t>
        </is>
      </c>
      <c r="B1033" s="1" t="n">
        <v>44711</v>
      </c>
      <c r="C1033" s="1" t="n">
        <v>45650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21985-2022</t>
        </is>
      </c>
      <c r="B1034" s="1" t="n">
        <v>44711</v>
      </c>
      <c r="C1034" s="1" t="n">
        <v>45650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22097-2022</t>
        </is>
      </c>
      <c r="B1035" s="1" t="n">
        <v>44712</v>
      </c>
      <c r="C1035" s="1" t="n">
        <v>45650</v>
      </c>
      <c r="D1035" t="inlineStr">
        <is>
          <t>GÄVLEBORGS LÄN</t>
        </is>
      </c>
      <c r="E1035" t="inlineStr">
        <is>
          <t>LJUSDAL</t>
        </is>
      </c>
      <c r="F1035" t="inlineStr">
        <is>
          <t>Naturvårdsverket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22155-2022</t>
        </is>
      </c>
      <c r="B1036" s="1" t="n">
        <v>44712</v>
      </c>
      <c r="C1036" s="1" t="n">
        <v>45650</v>
      </c>
      <c r="D1036" t="inlineStr">
        <is>
          <t>GÄVLEBORGS LÄN</t>
        </is>
      </c>
      <c r="E1036" t="inlineStr">
        <is>
          <t>LJUSDAL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22357-2022</t>
        </is>
      </c>
      <c r="B1037" s="1" t="n">
        <v>44713</v>
      </c>
      <c r="C1037" s="1" t="n">
        <v>45650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22573-2022</t>
        </is>
      </c>
      <c r="B1038" s="1" t="n">
        <v>44714</v>
      </c>
      <c r="C1038" s="1" t="n">
        <v>45650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Naturvårdsverket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22699-2022</t>
        </is>
      </c>
      <c r="B1039" s="1" t="n">
        <v>44714</v>
      </c>
      <c r="C1039" s="1" t="n">
        <v>45650</v>
      </c>
      <c r="D1039" t="inlineStr">
        <is>
          <t>GÄVLEBORGS LÄN</t>
        </is>
      </c>
      <c r="E1039" t="inlineStr">
        <is>
          <t>LJUSDAL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22859-2022</t>
        </is>
      </c>
      <c r="B1040" s="1" t="n">
        <v>44715</v>
      </c>
      <c r="C1040" s="1" t="n">
        <v>45650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22851-2022</t>
        </is>
      </c>
      <c r="B1041" s="1" t="n">
        <v>44715</v>
      </c>
      <c r="C1041" s="1" t="n">
        <v>45650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22856-2022</t>
        </is>
      </c>
      <c r="B1042" s="1" t="n">
        <v>44715</v>
      </c>
      <c r="C1042" s="1" t="n">
        <v>45650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22933-2022</t>
        </is>
      </c>
      <c r="B1043" s="1" t="n">
        <v>44715</v>
      </c>
      <c r="C1043" s="1" t="n">
        <v>45650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23089-2022</t>
        </is>
      </c>
      <c r="B1044" s="1" t="n">
        <v>44719</v>
      </c>
      <c r="C1044" s="1" t="n">
        <v>45650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23087-2022</t>
        </is>
      </c>
      <c r="B1045" s="1" t="n">
        <v>44719</v>
      </c>
      <c r="C1045" s="1" t="n">
        <v>45650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23195-2022</t>
        </is>
      </c>
      <c r="B1046" s="1" t="n">
        <v>44720</v>
      </c>
      <c r="C1046" s="1" t="n">
        <v>45650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23191-2022</t>
        </is>
      </c>
      <c r="B1047" s="1" t="n">
        <v>44720</v>
      </c>
      <c r="C1047" s="1" t="n">
        <v>45650</v>
      </c>
      <c r="D1047" t="inlineStr">
        <is>
          <t>GÄVLEBORGS LÄN</t>
        </is>
      </c>
      <c r="E1047" t="inlineStr">
        <is>
          <t>LJUSDAL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23192-2022</t>
        </is>
      </c>
      <c r="B1048" s="1" t="n">
        <v>44720</v>
      </c>
      <c r="C1048" s="1" t="n">
        <v>45650</v>
      </c>
      <c r="D1048" t="inlineStr">
        <is>
          <t>GÄVLEBORGS LÄN</t>
        </is>
      </c>
      <c r="E1048" t="inlineStr">
        <is>
          <t>LJUSDAL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23652-2022</t>
        </is>
      </c>
      <c r="B1049" s="1" t="n">
        <v>44721</v>
      </c>
      <c r="C1049" s="1" t="n">
        <v>45650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7.6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23619-2022</t>
        </is>
      </c>
      <c r="B1050" s="1" t="n">
        <v>44721</v>
      </c>
      <c r="C1050" s="1" t="n">
        <v>45650</v>
      </c>
      <c r="D1050" t="inlineStr">
        <is>
          <t>GÄVLEBORGS LÄN</t>
        </is>
      </c>
      <c r="E1050" t="inlineStr">
        <is>
          <t>LJUSDAL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23982-2022</t>
        </is>
      </c>
      <c r="B1051" s="1" t="n">
        <v>44723</v>
      </c>
      <c r="C1051" s="1" t="n">
        <v>45650</v>
      </c>
      <c r="D1051" t="inlineStr">
        <is>
          <t>GÄVLEBORGS LÄN</t>
        </is>
      </c>
      <c r="E1051" t="inlineStr">
        <is>
          <t>LJUSDAL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23957-2022</t>
        </is>
      </c>
      <c r="B1052" s="1" t="n">
        <v>44722</v>
      </c>
      <c r="C1052" s="1" t="n">
        <v>45650</v>
      </c>
      <c r="D1052" t="inlineStr">
        <is>
          <t>GÄVLEBORGS LÄN</t>
        </is>
      </c>
      <c r="E1052" t="inlineStr">
        <is>
          <t>LJUSDAL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23985-2022</t>
        </is>
      </c>
      <c r="B1053" s="1" t="n">
        <v>44723</v>
      </c>
      <c r="C1053" s="1" t="n">
        <v>45650</v>
      </c>
      <c r="D1053" t="inlineStr">
        <is>
          <t>GÄVLEBORGS LÄN</t>
        </is>
      </c>
      <c r="E1053" t="inlineStr">
        <is>
          <t>LJUSDAL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24205-2022</t>
        </is>
      </c>
      <c r="B1054" s="1" t="n">
        <v>44725</v>
      </c>
      <c r="C1054" s="1" t="n">
        <v>45650</v>
      </c>
      <c r="D1054" t="inlineStr">
        <is>
          <t>GÄVLEBORGS LÄN</t>
        </is>
      </c>
      <c r="E1054" t="inlineStr">
        <is>
          <t>LJUSDAL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24208-2022</t>
        </is>
      </c>
      <c r="B1055" s="1" t="n">
        <v>44725</v>
      </c>
      <c r="C1055" s="1" t="n">
        <v>45650</v>
      </c>
      <c r="D1055" t="inlineStr">
        <is>
          <t>GÄVLEBORGS LÄN</t>
        </is>
      </c>
      <c r="E1055" t="inlineStr">
        <is>
          <t>LJUSDAL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24217-2022</t>
        </is>
      </c>
      <c r="B1056" s="1" t="n">
        <v>44725</v>
      </c>
      <c r="C1056" s="1" t="n">
        <v>45650</v>
      </c>
      <c r="D1056" t="inlineStr">
        <is>
          <t>GÄVLEBORGS LÄN</t>
        </is>
      </c>
      <c r="E1056" t="inlineStr">
        <is>
          <t>LJUSDAL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24102-2022</t>
        </is>
      </c>
      <c r="B1057" s="1" t="n">
        <v>44725</v>
      </c>
      <c r="C1057" s="1" t="n">
        <v>45650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10.5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24347-2022</t>
        </is>
      </c>
      <c r="B1058" s="1" t="n">
        <v>44726</v>
      </c>
      <c r="C1058" s="1" t="n">
        <v>45650</v>
      </c>
      <c r="D1058" t="inlineStr">
        <is>
          <t>GÄVLEBORGS LÄN</t>
        </is>
      </c>
      <c r="E1058" t="inlineStr">
        <is>
          <t>LJUSDAL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24340-2022</t>
        </is>
      </c>
      <c r="B1059" s="1" t="n">
        <v>44726</v>
      </c>
      <c r="C1059" s="1" t="n">
        <v>45650</v>
      </c>
      <c r="D1059" t="inlineStr">
        <is>
          <t>GÄVLEBORGS LÄN</t>
        </is>
      </c>
      <c r="E1059" t="inlineStr">
        <is>
          <t>LJUSDAL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24342-2022</t>
        </is>
      </c>
      <c r="B1060" s="1" t="n">
        <v>44726</v>
      </c>
      <c r="C1060" s="1" t="n">
        <v>45650</v>
      </c>
      <c r="D1060" t="inlineStr">
        <is>
          <t>GÄVLEBORGS LÄN</t>
        </is>
      </c>
      <c r="E1060" t="inlineStr">
        <is>
          <t>LJUSDAL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24457-2022</t>
        </is>
      </c>
      <c r="B1061" s="1" t="n">
        <v>44726</v>
      </c>
      <c r="C1061" s="1" t="n">
        <v>45650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24444-2022</t>
        </is>
      </c>
      <c r="B1062" s="1" t="n">
        <v>44726</v>
      </c>
      <c r="C1062" s="1" t="n">
        <v>45650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24491-2022</t>
        </is>
      </c>
      <c r="B1063" s="1" t="n">
        <v>44726</v>
      </c>
      <c r="C1063" s="1" t="n">
        <v>45650</v>
      </c>
      <c r="D1063" t="inlineStr">
        <is>
          <t>GÄVLEBORGS LÄN</t>
        </is>
      </c>
      <c r="E1063" t="inlineStr">
        <is>
          <t>LJUSDAL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24512-2022</t>
        </is>
      </c>
      <c r="B1064" s="1" t="n">
        <v>44726</v>
      </c>
      <c r="C1064" s="1" t="n">
        <v>45650</v>
      </c>
      <c r="D1064" t="inlineStr">
        <is>
          <t>GÄVLEBORGS LÄN</t>
        </is>
      </c>
      <c r="E1064" t="inlineStr">
        <is>
          <t>LJUSDAL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24752-2022</t>
        </is>
      </c>
      <c r="B1065" s="1" t="n">
        <v>44728</v>
      </c>
      <c r="C1065" s="1" t="n">
        <v>45650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24750-2022</t>
        </is>
      </c>
      <c r="B1066" s="1" t="n">
        <v>44728</v>
      </c>
      <c r="C1066" s="1" t="n">
        <v>45650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20.7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25075-2022</t>
        </is>
      </c>
      <c r="B1067" s="1" t="n">
        <v>44729</v>
      </c>
      <c r="C1067" s="1" t="n">
        <v>45650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25116-2022</t>
        </is>
      </c>
      <c r="B1068" s="1" t="n">
        <v>44729</v>
      </c>
      <c r="C1068" s="1" t="n">
        <v>45650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25110-2022</t>
        </is>
      </c>
      <c r="B1069" s="1" t="n">
        <v>44729</v>
      </c>
      <c r="C1069" s="1" t="n">
        <v>45650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25126-2022</t>
        </is>
      </c>
      <c r="B1070" s="1" t="n">
        <v>44729</v>
      </c>
      <c r="C1070" s="1" t="n">
        <v>45650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25447-2022</t>
        </is>
      </c>
      <c r="B1071" s="1" t="n">
        <v>44732</v>
      </c>
      <c r="C1071" s="1" t="n">
        <v>45650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25415-2022</t>
        </is>
      </c>
      <c r="B1072" s="1" t="n">
        <v>44732</v>
      </c>
      <c r="C1072" s="1" t="n">
        <v>45650</v>
      </c>
      <c r="D1072" t="inlineStr">
        <is>
          <t>GÄVLEBORGS LÄN</t>
        </is>
      </c>
      <c r="E1072" t="inlineStr">
        <is>
          <t>LJUSDAL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25638-2022</t>
        </is>
      </c>
      <c r="B1073" s="1" t="n">
        <v>44733</v>
      </c>
      <c r="C1073" s="1" t="n">
        <v>45650</v>
      </c>
      <c r="D1073" t="inlineStr">
        <is>
          <t>GÄVLEBORGS LÄN</t>
        </is>
      </c>
      <c r="E1073" t="inlineStr">
        <is>
          <t>LJUSDAL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25630-2022</t>
        </is>
      </c>
      <c r="B1074" s="1" t="n">
        <v>44733</v>
      </c>
      <c r="C1074" s="1" t="n">
        <v>45650</v>
      </c>
      <c r="D1074" t="inlineStr">
        <is>
          <t>GÄVLEBORGS LÄN</t>
        </is>
      </c>
      <c r="E1074" t="inlineStr">
        <is>
          <t>LJUSDAL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25634-2022</t>
        </is>
      </c>
      <c r="B1075" s="1" t="n">
        <v>44733</v>
      </c>
      <c r="C1075" s="1" t="n">
        <v>45650</v>
      </c>
      <c r="D1075" t="inlineStr">
        <is>
          <t>GÄVLEBORGS LÄN</t>
        </is>
      </c>
      <c r="E1075" t="inlineStr">
        <is>
          <t>LJUSDAL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26228-2022</t>
        </is>
      </c>
      <c r="B1076" s="1" t="n">
        <v>44735</v>
      </c>
      <c r="C1076" s="1" t="n">
        <v>45650</v>
      </c>
      <c r="D1076" t="inlineStr">
        <is>
          <t>GÄVLEBORGS LÄN</t>
        </is>
      </c>
      <c r="E1076" t="inlineStr">
        <is>
          <t>LJUSDAL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26271-2022</t>
        </is>
      </c>
      <c r="B1077" s="1" t="n">
        <v>44735</v>
      </c>
      <c r="C1077" s="1" t="n">
        <v>45650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26176-2022</t>
        </is>
      </c>
      <c r="B1078" s="1" t="n">
        <v>44735</v>
      </c>
      <c r="C1078" s="1" t="n">
        <v>45650</v>
      </c>
      <c r="D1078" t="inlineStr">
        <is>
          <t>GÄVLEBORGS LÄN</t>
        </is>
      </c>
      <c r="E1078" t="inlineStr">
        <is>
          <t>LJUSDAL</t>
        </is>
      </c>
      <c r="F1078" t="inlineStr">
        <is>
          <t>Naturvårdsverket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26955-2022</t>
        </is>
      </c>
      <c r="B1079" s="1" t="n">
        <v>44740</v>
      </c>
      <c r="C1079" s="1" t="n">
        <v>45650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26976-2022</t>
        </is>
      </c>
      <c r="B1080" s="1" t="n">
        <v>44740</v>
      </c>
      <c r="C1080" s="1" t="n">
        <v>45650</v>
      </c>
      <c r="D1080" t="inlineStr">
        <is>
          <t>GÄVLEBORGS LÄN</t>
        </is>
      </c>
      <c r="E1080" t="inlineStr">
        <is>
          <t>LJUSDAL</t>
        </is>
      </c>
      <c r="F1080" t="inlineStr">
        <is>
          <t>Holmen skog AB</t>
        </is>
      </c>
      <c r="G1080" t="n">
        <v>10.8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HYPERLINK("https://klasma.github.io/Logging_2161/knärot/A 26976-2022 karta knärot.png", "A 26976-2022")</f>
        <v/>
      </c>
      <c r="V1080">
        <f>HYPERLINK("https://klasma.github.io/Logging_2161/klagomål/A 26976-2022 FSC-klagomål.docx", "A 26976-2022")</f>
        <v/>
      </c>
      <c r="W1080">
        <f>HYPERLINK("https://klasma.github.io/Logging_2161/klagomålsmail/A 26976-2022 FSC-klagomål mail.docx", "A 26976-2022")</f>
        <v/>
      </c>
      <c r="X1080">
        <f>HYPERLINK("https://klasma.github.io/Logging_2161/tillsyn/A 26976-2022 tillsynsbegäran.docx", "A 26976-2022")</f>
        <v/>
      </c>
      <c r="Y1080">
        <f>HYPERLINK("https://klasma.github.io/Logging_2161/tillsynsmail/A 26976-2022 tillsynsbegäran mail.docx", "A 26976-2022")</f>
        <v/>
      </c>
    </row>
    <row r="1081" ht="15" customHeight="1">
      <c r="A1081" t="inlineStr">
        <is>
          <t>A 27247-2022</t>
        </is>
      </c>
      <c r="B1081" s="1" t="n">
        <v>44741</v>
      </c>
      <c r="C1081" s="1" t="n">
        <v>45650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11.7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27248-2022</t>
        </is>
      </c>
      <c r="B1082" s="1" t="n">
        <v>44741</v>
      </c>
      <c r="C1082" s="1" t="n">
        <v>45650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27320-2022</t>
        </is>
      </c>
      <c r="B1083" s="1" t="n">
        <v>44742</v>
      </c>
      <c r="C1083" s="1" t="n">
        <v>45650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27539-2022</t>
        </is>
      </c>
      <c r="B1084" s="1" t="n">
        <v>44742</v>
      </c>
      <c r="C1084" s="1" t="n">
        <v>45650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27764-2022</t>
        </is>
      </c>
      <c r="B1085" s="1" t="n">
        <v>44743</v>
      </c>
      <c r="C1085" s="1" t="n">
        <v>45650</v>
      </c>
      <c r="D1085" t="inlineStr">
        <is>
          <t>GÄVLEBORGS LÄN</t>
        </is>
      </c>
      <c r="E1085" t="inlineStr">
        <is>
          <t>LJUSDAL</t>
        </is>
      </c>
      <c r="F1085" t="inlineStr">
        <is>
          <t>Bergvik skog väst AB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27799-2022</t>
        </is>
      </c>
      <c r="B1086" s="1" t="n">
        <v>44743</v>
      </c>
      <c r="C1086" s="1" t="n">
        <v>45650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27809-2022</t>
        </is>
      </c>
      <c r="B1087" s="1" t="n">
        <v>44743</v>
      </c>
      <c r="C1087" s="1" t="n">
        <v>45650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27768-2022</t>
        </is>
      </c>
      <c r="B1088" s="1" t="n">
        <v>44743</v>
      </c>
      <c r="C1088" s="1" t="n">
        <v>45650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27806-2022</t>
        </is>
      </c>
      <c r="B1089" s="1" t="n">
        <v>44743</v>
      </c>
      <c r="C1089" s="1" t="n">
        <v>45650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9.699999999999999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27818-2022</t>
        </is>
      </c>
      <c r="B1090" s="1" t="n">
        <v>44743</v>
      </c>
      <c r="C1090" s="1" t="n">
        <v>45650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27802-2022</t>
        </is>
      </c>
      <c r="B1091" s="1" t="n">
        <v>44743</v>
      </c>
      <c r="C1091" s="1" t="n">
        <v>45650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27915-2022</t>
        </is>
      </c>
      <c r="B1092" s="1" t="n">
        <v>44744</v>
      </c>
      <c r="C1092" s="1" t="n">
        <v>45650</v>
      </c>
      <c r="D1092" t="inlineStr">
        <is>
          <t>GÄVLEBORGS LÄN</t>
        </is>
      </c>
      <c r="E1092" t="inlineStr">
        <is>
          <t>LJUSDAL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27819-2022</t>
        </is>
      </c>
      <c r="B1093" s="1" t="n">
        <v>44743</v>
      </c>
      <c r="C1093" s="1" t="n">
        <v>45650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27914-2022</t>
        </is>
      </c>
      <c r="B1094" s="1" t="n">
        <v>44744</v>
      </c>
      <c r="C1094" s="1" t="n">
        <v>45650</v>
      </c>
      <c r="D1094" t="inlineStr">
        <is>
          <t>GÄVLEBORGS LÄN</t>
        </is>
      </c>
      <c r="E1094" t="inlineStr">
        <is>
          <t>LJUSDAL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28255-2022</t>
        </is>
      </c>
      <c r="B1095" s="1" t="n">
        <v>44746</v>
      </c>
      <c r="C1095" s="1" t="n">
        <v>45650</v>
      </c>
      <c r="D1095" t="inlineStr">
        <is>
          <t>GÄVLEBORGS LÄN</t>
        </is>
      </c>
      <c r="E1095" t="inlineStr">
        <is>
          <t>LJUSDAL</t>
        </is>
      </c>
      <c r="F1095" t="inlineStr">
        <is>
          <t>Allmännings- och besparingsskogar</t>
        </is>
      </c>
      <c r="G1095" t="n">
        <v>11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28454-2022</t>
        </is>
      </c>
      <c r="B1096" s="1" t="n">
        <v>44747</v>
      </c>
      <c r="C1096" s="1" t="n">
        <v>45650</v>
      </c>
      <c r="D1096" t="inlineStr">
        <is>
          <t>GÄVLEBORGS LÄN</t>
        </is>
      </c>
      <c r="E1096" t="inlineStr">
        <is>
          <t>LJUSDAL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28457-2022</t>
        </is>
      </c>
      <c r="B1097" s="1" t="n">
        <v>44747</v>
      </c>
      <c r="C1097" s="1" t="n">
        <v>45650</v>
      </c>
      <c r="D1097" t="inlineStr">
        <is>
          <t>GÄVLEBORGS LÄN</t>
        </is>
      </c>
      <c r="E1097" t="inlineStr">
        <is>
          <t>LJUSDAL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28464-2022</t>
        </is>
      </c>
      <c r="B1098" s="1" t="n">
        <v>44747</v>
      </c>
      <c r="C1098" s="1" t="n">
        <v>45650</v>
      </c>
      <c r="D1098" t="inlineStr">
        <is>
          <t>GÄVLEBORGS LÄN</t>
        </is>
      </c>
      <c r="E1098" t="inlineStr">
        <is>
          <t>LJUSDAL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28455-2022</t>
        </is>
      </c>
      <c r="B1099" s="1" t="n">
        <v>44747</v>
      </c>
      <c r="C1099" s="1" t="n">
        <v>45650</v>
      </c>
      <c r="D1099" t="inlineStr">
        <is>
          <t>GÄVLEBORGS LÄN</t>
        </is>
      </c>
      <c r="E1099" t="inlineStr">
        <is>
          <t>LJUSDAL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28460-2022</t>
        </is>
      </c>
      <c r="B1100" s="1" t="n">
        <v>44747</v>
      </c>
      <c r="C1100" s="1" t="n">
        <v>45650</v>
      </c>
      <c r="D1100" t="inlineStr">
        <is>
          <t>GÄVLEBORGS LÄN</t>
        </is>
      </c>
      <c r="E1100" t="inlineStr">
        <is>
          <t>LJUSDAL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28527-2022</t>
        </is>
      </c>
      <c r="B1101" s="1" t="n">
        <v>44748</v>
      </c>
      <c r="C1101" s="1" t="n">
        <v>45650</v>
      </c>
      <c r="D1101" t="inlineStr">
        <is>
          <t>GÄVLEBORGS LÄN</t>
        </is>
      </c>
      <c r="E1101" t="inlineStr">
        <is>
          <t>LJUSDAL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28841-2022</t>
        </is>
      </c>
      <c r="B1102" s="1" t="n">
        <v>44749</v>
      </c>
      <c r="C1102" s="1" t="n">
        <v>45650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28846-2022</t>
        </is>
      </c>
      <c r="B1103" s="1" t="n">
        <v>44749</v>
      </c>
      <c r="C1103" s="1" t="n">
        <v>45650</v>
      </c>
      <c r="D1103" t="inlineStr">
        <is>
          <t>GÄVLEBORGS LÄN</t>
        </is>
      </c>
      <c r="E1103" t="inlineStr">
        <is>
          <t>LJUSDAL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29267-2022</t>
        </is>
      </c>
      <c r="B1104" s="1" t="n">
        <v>44750</v>
      </c>
      <c r="C1104" s="1" t="n">
        <v>45650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29263-2022</t>
        </is>
      </c>
      <c r="B1105" s="1" t="n">
        <v>44750</v>
      </c>
      <c r="C1105" s="1" t="n">
        <v>45650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29601-2022</t>
        </is>
      </c>
      <c r="B1106" s="1" t="n">
        <v>44754</v>
      </c>
      <c r="C1106" s="1" t="n">
        <v>45650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29951-2022</t>
        </is>
      </c>
      <c r="B1107" s="1" t="n">
        <v>44756</v>
      </c>
      <c r="C1107" s="1" t="n">
        <v>45650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29949-2022</t>
        </is>
      </c>
      <c r="B1108" s="1" t="n">
        <v>44756</v>
      </c>
      <c r="C1108" s="1" t="n">
        <v>45650</v>
      </c>
      <c r="D1108" t="inlineStr">
        <is>
          <t>GÄVLEBORGS LÄN</t>
        </is>
      </c>
      <c r="E1108" t="inlineStr">
        <is>
          <t>LJUSDAL</t>
        </is>
      </c>
      <c r="F1108" t="inlineStr">
        <is>
          <t>Sveaskog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30202-2022</t>
        </is>
      </c>
      <c r="B1109" s="1" t="n">
        <v>44757</v>
      </c>
      <c r="C1109" s="1" t="n">
        <v>45650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30199-2022</t>
        </is>
      </c>
      <c r="B1110" s="1" t="n">
        <v>44757</v>
      </c>
      <c r="C1110" s="1" t="n">
        <v>45650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Allmännings- och besparingsskogar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30545-2022</t>
        </is>
      </c>
      <c r="B1111" s="1" t="n">
        <v>44762</v>
      </c>
      <c r="C1111" s="1" t="n">
        <v>45650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13.8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30556-2022</t>
        </is>
      </c>
      <c r="B1112" s="1" t="n">
        <v>44762</v>
      </c>
      <c r="C1112" s="1" t="n">
        <v>45650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30629-2022</t>
        </is>
      </c>
      <c r="B1113" s="1" t="n">
        <v>44763</v>
      </c>
      <c r="C1113" s="1" t="n">
        <v>45650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30668-2022</t>
        </is>
      </c>
      <c r="B1114" s="1" t="n">
        <v>44763</v>
      </c>
      <c r="C1114" s="1" t="n">
        <v>45650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30671-2022</t>
        </is>
      </c>
      <c r="B1115" s="1" t="n">
        <v>44763</v>
      </c>
      <c r="C1115" s="1" t="n">
        <v>45650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30667-2022</t>
        </is>
      </c>
      <c r="B1116" s="1" t="n">
        <v>44763</v>
      </c>
      <c r="C1116" s="1" t="n">
        <v>45650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30869-2022</t>
        </is>
      </c>
      <c r="B1117" s="1" t="n">
        <v>44767</v>
      </c>
      <c r="C1117" s="1" t="n">
        <v>45650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30877-2022</t>
        </is>
      </c>
      <c r="B1118" s="1" t="n">
        <v>44767</v>
      </c>
      <c r="C1118" s="1" t="n">
        <v>45650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30984-2022</t>
        </is>
      </c>
      <c r="B1119" s="1" t="n">
        <v>44768</v>
      </c>
      <c r="C1119" s="1" t="n">
        <v>45650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31019-2022</t>
        </is>
      </c>
      <c r="B1120" s="1" t="n">
        <v>44768</v>
      </c>
      <c r="C1120" s="1" t="n">
        <v>45650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31348-2022</t>
        </is>
      </c>
      <c r="B1121" s="1" t="n">
        <v>44774</v>
      </c>
      <c r="C1121" s="1" t="n">
        <v>45650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31312-2022</t>
        </is>
      </c>
      <c r="B1122" s="1" t="n">
        <v>44774</v>
      </c>
      <c r="C1122" s="1" t="n">
        <v>45650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31336-2022</t>
        </is>
      </c>
      <c r="B1123" s="1" t="n">
        <v>44774</v>
      </c>
      <c r="C1123" s="1" t="n">
        <v>45650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31378-2022</t>
        </is>
      </c>
      <c r="B1124" s="1" t="n">
        <v>44774</v>
      </c>
      <c r="C1124" s="1" t="n">
        <v>45650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31397-2022</t>
        </is>
      </c>
      <c r="B1125" s="1" t="n">
        <v>44774</v>
      </c>
      <c r="C1125" s="1" t="n">
        <v>45650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31808-2022</t>
        </is>
      </c>
      <c r="B1126" s="1" t="n">
        <v>44776</v>
      </c>
      <c r="C1126" s="1" t="n">
        <v>45650</v>
      </c>
      <c r="D1126" t="inlineStr">
        <is>
          <t>GÄVLEBORGS LÄN</t>
        </is>
      </c>
      <c r="E1126" t="inlineStr">
        <is>
          <t>LJUSDAL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31890-2022</t>
        </is>
      </c>
      <c r="B1127" s="1" t="n">
        <v>44777</v>
      </c>
      <c r="C1127" s="1" t="n">
        <v>45650</v>
      </c>
      <c r="D1127" t="inlineStr">
        <is>
          <t>GÄVLEBORGS LÄN</t>
        </is>
      </c>
      <c r="E1127" t="inlineStr">
        <is>
          <t>LJUSDAL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32040-2022</t>
        </is>
      </c>
      <c r="B1128" s="1" t="n">
        <v>44778</v>
      </c>
      <c r="C1128" s="1" t="n">
        <v>45650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32035-2022</t>
        </is>
      </c>
      <c r="B1129" s="1" t="n">
        <v>44778</v>
      </c>
      <c r="C1129" s="1" t="n">
        <v>45650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32038-2022</t>
        </is>
      </c>
      <c r="B1130" s="1" t="n">
        <v>44778</v>
      </c>
      <c r="C1130" s="1" t="n">
        <v>45650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32217-2022</t>
        </is>
      </c>
      <c r="B1131" s="1" t="n">
        <v>44781</v>
      </c>
      <c r="C1131" s="1" t="n">
        <v>45650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32238-2022</t>
        </is>
      </c>
      <c r="B1132" s="1" t="n">
        <v>44781</v>
      </c>
      <c r="C1132" s="1" t="n">
        <v>45650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32277-2022</t>
        </is>
      </c>
      <c r="B1133" s="1" t="n">
        <v>44781</v>
      </c>
      <c r="C1133" s="1" t="n">
        <v>45650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32689-2022</t>
        </is>
      </c>
      <c r="B1134" s="1" t="n">
        <v>44783</v>
      </c>
      <c r="C1134" s="1" t="n">
        <v>45650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32879-2022</t>
        </is>
      </c>
      <c r="B1135" s="1" t="n">
        <v>44784</v>
      </c>
      <c r="C1135" s="1" t="n">
        <v>45650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32832-2022</t>
        </is>
      </c>
      <c r="B1136" s="1" t="n">
        <v>44784</v>
      </c>
      <c r="C1136" s="1" t="n">
        <v>45650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33568-2022</t>
        </is>
      </c>
      <c r="B1137" s="1" t="n">
        <v>44789</v>
      </c>
      <c r="C1137" s="1" t="n">
        <v>45650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33626-2022</t>
        </is>
      </c>
      <c r="B1138" s="1" t="n">
        <v>44789</v>
      </c>
      <c r="C1138" s="1" t="n">
        <v>45650</v>
      </c>
      <c r="D1138" t="inlineStr">
        <is>
          <t>GÄVLEBORGS LÄN</t>
        </is>
      </c>
      <c r="E1138" t="inlineStr">
        <is>
          <t>LJUSDAL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33806-2022</t>
        </is>
      </c>
      <c r="B1139" s="1" t="n">
        <v>44790</v>
      </c>
      <c r="C1139" s="1" t="n">
        <v>45650</v>
      </c>
      <c r="D1139" t="inlineStr">
        <is>
          <t>GÄVLEBORGS LÄN</t>
        </is>
      </c>
      <c r="E1139" t="inlineStr">
        <is>
          <t>LJUSDAL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34058-2022</t>
        </is>
      </c>
      <c r="B1140" s="1" t="n">
        <v>44791</v>
      </c>
      <c r="C1140" s="1" t="n">
        <v>45650</v>
      </c>
      <c r="D1140" t="inlineStr">
        <is>
          <t>GÄVLEBORGS LÄN</t>
        </is>
      </c>
      <c r="E1140" t="inlineStr">
        <is>
          <t>LJUSDAL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34172-2022</t>
        </is>
      </c>
      <c r="B1141" s="1" t="n">
        <v>44791</v>
      </c>
      <c r="C1141" s="1" t="n">
        <v>45650</v>
      </c>
      <c r="D1141" t="inlineStr">
        <is>
          <t>GÄVLEBORGS LÄN</t>
        </is>
      </c>
      <c r="E1141" t="inlineStr">
        <is>
          <t>LJUSDAL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34422-2022</t>
        </is>
      </c>
      <c r="B1142" s="1" t="n">
        <v>44792</v>
      </c>
      <c r="C1142" s="1" t="n">
        <v>45650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34447-2022</t>
        </is>
      </c>
      <c r="B1143" s="1" t="n">
        <v>44792</v>
      </c>
      <c r="C1143" s="1" t="n">
        <v>45650</v>
      </c>
      <c r="D1143" t="inlineStr">
        <is>
          <t>GÄVLEBORGS LÄN</t>
        </is>
      </c>
      <c r="E1143" t="inlineStr">
        <is>
          <t>LJUSDAL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34457-2022</t>
        </is>
      </c>
      <c r="B1144" s="1" t="n">
        <v>44792</v>
      </c>
      <c r="C1144" s="1" t="n">
        <v>45650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34419-2022</t>
        </is>
      </c>
      <c r="B1145" s="1" t="n">
        <v>44792</v>
      </c>
      <c r="C1145" s="1" t="n">
        <v>45650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34602-2022</t>
        </is>
      </c>
      <c r="B1146" s="1" t="n">
        <v>44795</v>
      </c>
      <c r="C1146" s="1" t="n">
        <v>45650</v>
      </c>
      <c r="D1146" t="inlineStr">
        <is>
          <t>GÄVLEBORGS LÄN</t>
        </is>
      </c>
      <c r="E1146" t="inlineStr">
        <is>
          <t>LJUSDAL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34771-2022</t>
        </is>
      </c>
      <c r="B1147" s="1" t="n">
        <v>44795</v>
      </c>
      <c r="C1147" s="1" t="n">
        <v>45650</v>
      </c>
      <c r="D1147" t="inlineStr">
        <is>
          <t>GÄVLEBORGS LÄN</t>
        </is>
      </c>
      <c r="E1147" t="inlineStr">
        <is>
          <t>LJUSDAL</t>
        </is>
      </c>
      <c r="F1147" t="inlineStr">
        <is>
          <t>Allmännings- och besparingsskogar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35035-2022</t>
        </is>
      </c>
      <c r="B1148" s="1" t="n">
        <v>44797</v>
      </c>
      <c r="C1148" s="1" t="n">
        <v>45650</v>
      </c>
      <c r="D1148" t="inlineStr">
        <is>
          <t>GÄVLEBORGS LÄN</t>
        </is>
      </c>
      <c r="E1148" t="inlineStr">
        <is>
          <t>LJUSDAL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35030-2022</t>
        </is>
      </c>
      <c r="B1149" s="1" t="n">
        <v>44797</v>
      </c>
      <c r="C1149" s="1" t="n">
        <v>45650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35387-2022</t>
        </is>
      </c>
      <c r="B1150" s="1" t="n">
        <v>44798</v>
      </c>
      <c r="C1150" s="1" t="n">
        <v>45650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35461-2022</t>
        </is>
      </c>
      <c r="B1151" s="1" t="n">
        <v>44798</v>
      </c>
      <c r="C1151" s="1" t="n">
        <v>45650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35467-2022</t>
        </is>
      </c>
      <c r="B1152" s="1" t="n">
        <v>44798</v>
      </c>
      <c r="C1152" s="1" t="n">
        <v>45650</v>
      </c>
      <c r="D1152" t="inlineStr">
        <is>
          <t>GÄVLEBORGS LÄN</t>
        </is>
      </c>
      <c r="E1152" t="inlineStr">
        <is>
          <t>LJUSDAL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35527-2022</t>
        </is>
      </c>
      <c r="B1153" s="1" t="n">
        <v>44799</v>
      </c>
      <c r="C1153" s="1" t="n">
        <v>45650</v>
      </c>
      <c r="D1153" t="inlineStr">
        <is>
          <t>GÄVLEBORGS LÄN</t>
        </is>
      </c>
      <c r="E1153" t="inlineStr">
        <is>
          <t>LJUSDAL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35586-2022</t>
        </is>
      </c>
      <c r="B1154" s="1" t="n">
        <v>44799</v>
      </c>
      <c r="C1154" s="1" t="n">
        <v>45650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35584-2022</t>
        </is>
      </c>
      <c r="B1155" s="1" t="n">
        <v>44799</v>
      </c>
      <c r="C1155" s="1" t="n">
        <v>45650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35583-2022</t>
        </is>
      </c>
      <c r="B1156" s="1" t="n">
        <v>44799</v>
      </c>
      <c r="C1156" s="1" t="n">
        <v>45650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35591-2022</t>
        </is>
      </c>
      <c r="B1157" s="1" t="n">
        <v>44799</v>
      </c>
      <c r="C1157" s="1" t="n">
        <v>45650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35734-2022</t>
        </is>
      </c>
      <c r="B1158" s="1" t="n">
        <v>44800</v>
      </c>
      <c r="C1158" s="1" t="n">
        <v>45650</v>
      </c>
      <c r="D1158" t="inlineStr">
        <is>
          <t>GÄVLEBORGS LÄN</t>
        </is>
      </c>
      <c r="E1158" t="inlineStr">
        <is>
          <t>LJUSDAL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35855-2022</t>
        </is>
      </c>
      <c r="B1159" s="1" t="n">
        <v>44802</v>
      </c>
      <c r="C1159" s="1" t="n">
        <v>45650</v>
      </c>
      <c r="D1159" t="inlineStr">
        <is>
          <t>GÄVLEBORGS LÄN</t>
        </is>
      </c>
      <c r="E1159" t="inlineStr">
        <is>
          <t>LJUSDAL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35890-2022</t>
        </is>
      </c>
      <c r="B1160" s="1" t="n">
        <v>44802</v>
      </c>
      <c r="C1160" s="1" t="n">
        <v>45650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36196-2022</t>
        </is>
      </c>
      <c r="B1161" s="1" t="n">
        <v>44803</v>
      </c>
      <c r="C1161" s="1" t="n">
        <v>45650</v>
      </c>
      <c r="D1161" t="inlineStr">
        <is>
          <t>GÄVLEBORGS LÄN</t>
        </is>
      </c>
      <c r="E1161" t="inlineStr">
        <is>
          <t>LJUSDAL</t>
        </is>
      </c>
      <c r="G1161" t="n">
        <v>37.7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36229-2022</t>
        </is>
      </c>
      <c r="B1162" s="1" t="n">
        <v>44803</v>
      </c>
      <c r="C1162" s="1" t="n">
        <v>45650</v>
      </c>
      <c r="D1162" t="inlineStr">
        <is>
          <t>GÄVLEBORGS LÄN</t>
        </is>
      </c>
      <c r="E1162" t="inlineStr">
        <is>
          <t>LJUSDAL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36233-2022</t>
        </is>
      </c>
      <c r="B1163" s="1" t="n">
        <v>44803</v>
      </c>
      <c r="C1163" s="1" t="n">
        <v>45650</v>
      </c>
      <c r="D1163" t="inlineStr">
        <is>
          <t>GÄVLEBORGS LÄN</t>
        </is>
      </c>
      <c r="E1163" t="inlineStr">
        <is>
          <t>LJUSDAL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36466-2022</t>
        </is>
      </c>
      <c r="B1164" s="1" t="n">
        <v>44804</v>
      </c>
      <c r="C1164" s="1" t="n">
        <v>45650</v>
      </c>
      <c r="D1164" t="inlineStr">
        <is>
          <t>GÄVLEBORGS LÄN</t>
        </is>
      </c>
      <c r="E1164" t="inlineStr">
        <is>
          <t>LJUSDAL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36470-2022</t>
        </is>
      </c>
      <c r="B1165" s="1" t="n">
        <v>44804</v>
      </c>
      <c r="C1165" s="1" t="n">
        <v>45650</v>
      </c>
      <c r="D1165" t="inlineStr">
        <is>
          <t>GÄVLEBORGS LÄN</t>
        </is>
      </c>
      <c r="E1165" t="inlineStr">
        <is>
          <t>LJUSDAL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36475-2022</t>
        </is>
      </c>
      <c r="B1166" s="1" t="n">
        <v>44804</v>
      </c>
      <c r="C1166" s="1" t="n">
        <v>45650</v>
      </c>
      <c r="D1166" t="inlineStr">
        <is>
          <t>GÄVLEBORGS LÄN</t>
        </is>
      </c>
      <c r="E1166" t="inlineStr">
        <is>
          <t>LJUSDAL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36518-2022</t>
        </is>
      </c>
      <c r="B1167" s="1" t="n">
        <v>44804</v>
      </c>
      <c r="C1167" s="1" t="n">
        <v>45650</v>
      </c>
      <c r="D1167" t="inlineStr">
        <is>
          <t>GÄVLEBORGS LÄN</t>
        </is>
      </c>
      <c r="E1167" t="inlineStr">
        <is>
          <t>LJUSDAL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36456-2022</t>
        </is>
      </c>
      <c r="B1168" s="1" t="n">
        <v>44804</v>
      </c>
      <c r="C1168" s="1" t="n">
        <v>45650</v>
      </c>
      <c r="D1168" t="inlineStr">
        <is>
          <t>GÄVLEBORGS LÄN</t>
        </is>
      </c>
      <c r="E1168" t="inlineStr">
        <is>
          <t>LJUSDAL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36563-2022</t>
        </is>
      </c>
      <c r="B1169" s="1" t="n">
        <v>44804</v>
      </c>
      <c r="C1169" s="1" t="n">
        <v>45650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37303-2022</t>
        </is>
      </c>
      <c r="B1170" s="1" t="n">
        <v>44809</v>
      </c>
      <c r="C1170" s="1" t="n">
        <v>45650</v>
      </c>
      <c r="D1170" t="inlineStr">
        <is>
          <t>GÄVLEBORGS LÄN</t>
        </is>
      </c>
      <c r="E1170" t="inlineStr">
        <is>
          <t>LJUSDAL</t>
        </is>
      </c>
      <c r="G1170" t="n">
        <v>8.6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37343-2022</t>
        </is>
      </c>
      <c r="B1171" s="1" t="n">
        <v>44809</v>
      </c>
      <c r="C1171" s="1" t="n">
        <v>45650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37345-2022</t>
        </is>
      </c>
      <c r="B1172" s="1" t="n">
        <v>44809</v>
      </c>
      <c r="C1172" s="1" t="n">
        <v>45650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37792-2022</t>
        </is>
      </c>
      <c r="B1173" s="1" t="n">
        <v>44810</v>
      </c>
      <c r="C1173" s="1" t="n">
        <v>45650</v>
      </c>
      <c r="D1173" t="inlineStr">
        <is>
          <t>GÄVLEBORGS LÄN</t>
        </is>
      </c>
      <c r="E1173" t="inlineStr">
        <is>
          <t>LJUSDAL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37995-2022</t>
        </is>
      </c>
      <c r="B1174" s="1" t="n">
        <v>44811</v>
      </c>
      <c r="C1174" s="1" t="n">
        <v>45650</v>
      </c>
      <c r="D1174" t="inlineStr">
        <is>
          <t>GÄVLEBORGS LÄN</t>
        </is>
      </c>
      <c r="E1174" t="inlineStr">
        <is>
          <t>LJUSDAL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38332-2022</t>
        </is>
      </c>
      <c r="B1175" s="1" t="n">
        <v>44812</v>
      </c>
      <c r="C1175" s="1" t="n">
        <v>45650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Allmännings- och besparingsskogar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38479-2022</t>
        </is>
      </c>
      <c r="B1176" s="1" t="n">
        <v>44813</v>
      </c>
      <c r="C1176" s="1" t="n">
        <v>45650</v>
      </c>
      <c r="D1176" t="inlineStr">
        <is>
          <t>GÄVLEBORGS LÄN</t>
        </is>
      </c>
      <c r="E1176" t="inlineStr">
        <is>
          <t>LJUSDAL</t>
        </is>
      </c>
      <c r="F1176" t="inlineStr">
        <is>
          <t>Bergvik skog väst AB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38540-2022</t>
        </is>
      </c>
      <c r="B1177" s="1" t="n">
        <v>44813</v>
      </c>
      <c r="C1177" s="1" t="n">
        <v>45650</v>
      </c>
      <c r="D1177" t="inlineStr">
        <is>
          <t>GÄVLEBORGS LÄN</t>
        </is>
      </c>
      <c r="E1177" t="inlineStr">
        <is>
          <t>LJUSDAL</t>
        </is>
      </c>
      <c r="F1177" t="inlineStr">
        <is>
          <t>Allmännings- och besparingsskogar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38499-2022</t>
        </is>
      </c>
      <c r="B1178" s="1" t="n">
        <v>44813</v>
      </c>
      <c r="C1178" s="1" t="n">
        <v>45650</v>
      </c>
      <c r="D1178" t="inlineStr">
        <is>
          <t>GÄVLEBORGS LÄN</t>
        </is>
      </c>
      <c r="E1178" t="inlineStr">
        <is>
          <t>LJUSDAL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38575-2022</t>
        </is>
      </c>
      <c r="B1179" s="1" t="n">
        <v>44813</v>
      </c>
      <c r="C1179" s="1" t="n">
        <v>45650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38594-2022</t>
        </is>
      </c>
      <c r="B1180" s="1" t="n">
        <v>44813</v>
      </c>
      <c r="C1180" s="1" t="n">
        <v>45650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38598-2022</t>
        </is>
      </c>
      <c r="B1181" s="1" t="n">
        <v>44813</v>
      </c>
      <c r="C1181" s="1" t="n">
        <v>45650</v>
      </c>
      <c r="D1181" t="inlineStr">
        <is>
          <t>GÄVLEBORGS LÄN</t>
        </is>
      </c>
      <c r="E1181" t="inlineStr">
        <is>
          <t>LJUSDAL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38596-2022</t>
        </is>
      </c>
      <c r="B1182" s="1" t="n">
        <v>44813</v>
      </c>
      <c r="C1182" s="1" t="n">
        <v>45650</v>
      </c>
      <c r="D1182" t="inlineStr">
        <is>
          <t>GÄVLEBORGS LÄN</t>
        </is>
      </c>
      <c r="E1182" t="inlineStr">
        <is>
          <t>LJUSDAL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38824-2022</t>
        </is>
      </c>
      <c r="B1183" s="1" t="n">
        <v>44816</v>
      </c>
      <c r="C1183" s="1" t="n">
        <v>45650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39126-2022</t>
        </is>
      </c>
      <c r="B1184" s="1" t="n">
        <v>44817</v>
      </c>
      <c r="C1184" s="1" t="n">
        <v>45650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39301-2022</t>
        </is>
      </c>
      <c r="B1185" s="1" t="n">
        <v>44817</v>
      </c>
      <c r="C1185" s="1" t="n">
        <v>45650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39062-2022</t>
        </is>
      </c>
      <c r="B1186" s="1" t="n">
        <v>44817</v>
      </c>
      <c r="C1186" s="1" t="n">
        <v>45650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39064-2022</t>
        </is>
      </c>
      <c r="B1187" s="1" t="n">
        <v>44817</v>
      </c>
      <c r="C1187" s="1" t="n">
        <v>45650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39141-2022</t>
        </is>
      </c>
      <c r="B1188" s="1" t="n">
        <v>44817</v>
      </c>
      <c r="C1188" s="1" t="n">
        <v>45650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39228-2022</t>
        </is>
      </c>
      <c r="B1189" s="1" t="n">
        <v>44817</v>
      </c>
      <c r="C1189" s="1" t="n">
        <v>45650</v>
      </c>
      <c r="D1189" t="inlineStr">
        <is>
          <t>GÄVLEBORGS LÄN</t>
        </is>
      </c>
      <c r="E1189" t="inlineStr">
        <is>
          <t>LJUSDAL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39424-2022</t>
        </is>
      </c>
      <c r="B1190" s="1" t="n">
        <v>44818</v>
      </c>
      <c r="C1190" s="1" t="n">
        <v>45650</v>
      </c>
      <c r="D1190" t="inlineStr">
        <is>
          <t>GÄVLEBORGS LÄN</t>
        </is>
      </c>
      <c r="E1190" t="inlineStr">
        <is>
          <t>LJUSDAL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39644-2022</t>
        </is>
      </c>
      <c r="B1191" s="1" t="n">
        <v>44818</v>
      </c>
      <c r="C1191" s="1" t="n">
        <v>45650</v>
      </c>
      <c r="D1191" t="inlineStr">
        <is>
          <t>GÄVLEBORGS LÄN</t>
        </is>
      </c>
      <c r="E1191" t="inlineStr">
        <is>
          <t>LJUSDAL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39832-2022</t>
        </is>
      </c>
      <c r="B1192" s="1" t="n">
        <v>44819</v>
      </c>
      <c r="C1192" s="1" t="n">
        <v>45650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39848-2022</t>
        </is>
      </c>
      <c r="B1193" s="1" t="n">
        <v>44819</v>
      </c>
      <c r="C1193" s="1" t="n">
        <v>45650</v>
      </c>
      <c r="D1193" t="inlineStr">
        <is>
          <t>GÄVLEBORGS LÄN</t>
        </is>
      </c>
      <c r="E1193" t="inlineStr">
        <is>
          <t>LJUSDAL</t>
        </is>
      </c>
      <c r="F1193" t="inlineStr">
        <is>
          <t>Allmännings- och besparingsskogar</t>
        </is>
      </c>
      <c r="G1193" t="n">
        <v>33.9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40554-2022</t>
        </is>
      </c>
      <c r="B1194" s="1" t="n">
        <v>44823</v>
      </c>
      <c r="C1194" s="1" t="n">
        <v>45650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40766-2022</t>
        </is>
      </c>
      <c r="B1195" s="1" t="n">
        <v>44824</v>
      </c>
      <c r="C1195" s="1" t="n">
        <v>45650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40729-2022</t>
        </is>
      </c>
      <c r="B1196" s="1" t="n">
        <v>44824</v>
      </c>
      <c r="C1196" s="1" t="n">
        <v>45650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40787-2022</t>
        </is>
      </c>
      <c r="B1197" s="1" t="n">
        <v>44824</v>
      </c>
      <c r="C1197" s="1" t="n">
        <v>45650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41285-2022</t>
        </is>
      </c>
      <c r="B1198" s="1" t="n">
        <v>44826</v>
      </c>
      <c r="C1198" s="1" t="n">
        <v>45650</v>
      </c>
      <c r="D1198" t="inlineStr">
        <is>
          <t>GÄVLEBORGS LÄN</t>
        </is>
      </c>
      <c r="E1198" t="inlineStr">
        <is>
          <t>LJUSDAL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41461-2022</t>
        </is>
      </c>
      <c r="B1199" s="1" t="n">
        <v>44827</v>
      </c>
      <c r="C1199" s="1" t="n">
        <v>45650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SCA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41698-2022</t>
        </is>
      </c>
      <c r="B1200" s="1" t="n">
        <v>44827</v>
      </c>
      <c r="C1200" s="1" t="n">
        <v>45650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41718-2022</t>
        </is>
      </c>
      <c r="B1201" s="1" t="n">
        <v>44827</v>
      </c>
      <c r="C1201" s="1" t="n">
        <v>45650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17.3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41525-2022</t>
        </is>
      </c>
      <c r="B1202" s="1" t="n">
        <v>44827</v>
      </c>
      <c r="C1202" s="1" t="n">
        <v>45650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41848-2022</t>
        </is>
      </c>
      <c r="B1203" s="1" t="n">
        <v>44828</v>
      </c>
      <c r="C1203" s="1" t="n">
        <v>45650</v>
      </c>
      <c r="D1203" t="inlineStr">
        <is>
          <t>GÄVLEBORGS LÄN</t>
        </is>
      </c>
      <c r="E1203" t="inlineStr">
        <is>
          <t>LJUSDAL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42330-2022</t>
        </is>
      </c>
      <c r="B1204" s="1" t="n">
        <v>44831</v>
      </c>
      <c r="C1204" s="1" t="n">
        <v>45650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HYPERLINK("https://klasma.github.io/Logging_2161/knärot/A 42330-2022 karta knärot.png", "A 42330-2022")</f>
        <v/>
      </c>
      <c r="V1204">
        <f>HYPERLINK("https://klasma.github.io/Logging_2161/klagomål/A 42330-2022 FSC-klagomål.docx", "A 42330-2022")</f>
        <v/>
      </c>
      <c r="W1204">
        <f>HYPERLINK("https://klasma.github.io/Logging_2161/klagomålsmail/A 42330-2022 FSC-klagomål mail.docx", "A 42330-2022")</f>
        <v/>
      </c>
      <c r="X1204">
        <f>HYPERLINK("https://klasma.github.io/Logging_2161/tillsyn/A 42330-2022 tillsynsbegäran.docx", "A 42330-2022")</f>
        <v/>
      </c>
      <c r="Y1204">
        <f>HYPERLINK("https://klasma.github.io/Logging_2161/tillsynsmail/A 42330-2022 tillsynsbegäran mail.docx", "A 42330-2022")</f>
        <v/>
      </c>
    </row>
    <row r="1205" ht="15" customHeight="1">
      <c r="A1205" t="inlineStr">
        <is>
          <t>A 42326-2022</t>
        </is>
      </c>
      <c r="B1205" s="1" t="n">
        <v>44831</v>
      </c>
      <c r="C1205" s="1" t="n">
        <v>45650</v>
      </c>
      <c r="D1205" t="inlineStr">
        <is>
          <t>GÄVLEBORGS LÄN</t>
        </is>
      </c>
      <c r="E1205" t="inlineStr">
        <is>
          <t>LJUSDAL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42347-2022</t>
        </is>
      </c>
      <c r="B1206" s="1" t="n">
        <v>44831</v>
      </c>
      <c r="C1206" s="1" t="n">
        <v>45650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14.1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HYPERLINK("https://klasma.github.io/Logging_2161/knärot/A 42347-2022 karta knärot.png", "A 42347-2022")</f>
        <v/>
      </c>
      <c r="V1206">
        <f>HYPERLINK("https://klasma.github.io/Logging_2161/klagomål/A 42347-2022 FSC-klagomål.docx", "A 42347-2022")</f>
        <v/>
      </c>
      <c r="W1206">
        <f>HYPERLINK("https://klasma.github.io/Logging_2161/klagomålsmail/A 42347-2022 FSC-klagomål mail.docx", "A 42347-2022")</f>
        <v/>
      </c>
      <c r="X1206">
        <f>HYPERLINK("https://klasma.github.io/Logging_2161/tillsyn/A 42347-2022 tillsynsbegäran.docx", "A 42347-2022")</f>
        <v/>
      </c>
      <c r="Y1206">
        <f>HYPERLINK("https://klasma.github.io/Logging_2161/tillsynsmail/A 42347-2022 tillsynsbegäran mail.docx", "A 42347-2022")</f>
        <v/>
      </c>
    </row>
    <row r="1207" ht="15" customHeight="1">
      <c r="A1207" t="inlineStr">
        <is>
          <t>A 42826-2022</t>
        </is>
      </c>
      <c r="B1207" s="1" t="n">
        <v>44832</v>
      </c>
      <c r="C1207" s="1" t="n">
        <v>45650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42839-2022</t>
        </is>
      </c>
      <c r="B1208" s="1" t="n">
        <v>44832</v>
      </c>
      <c r="C1208" s="1" t="n">
        <v>45650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42915-2022</t>
        </is>
      </c>
      <c r="B1209" s="1" t="n">
        <v>44833</v>
      </c>
      <c r="C1209" s="1" t="n">
        <v>45650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42961-2022</t>
        </is>
      </c>
      <c r="B1210" s="1" t="n">
        <v>44833</v>
      </c>
      <c r="C1210" s="1" t="n">
        <v>45650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7.5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42972-2022</t>
        </is>
      </c>
      <c r="B1211" s="1" t="n">
        <v>44833</v>
      </c>
      <c r="C1211" s="1" t="n">
        <v>45650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43016-2022</t>
        </is>
      </c>
      <c r="B1212" s="1" t="n">
        <v>44833</v>
      </c>
      <c r="C1212" s="1" t="n">
        <v>45650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Naturvårdsverket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43024-2022</t>
        </is>
      </c>
      <c r="B1213" s="1" t="n">
        <v>44833</v>
      </c>
      <c r="C1213" s="1" t="n">
        <v>45650</v>
      </c>
      <c r="D1213" t="inlineStr">
        <is>
          <t>GÄVLEBORGS LÄN</t>
        </is>
      </c>
      <c r="E1213" t="inlineStr">
        <is>
          <t>LJUSDAL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42956-2022</t>
        </is>
      </c>
      <c r="B1214" s="1" t="n">
        <v>44833</v>
      </c>
      <c r="C1214" s="1" t="n">
        <v>45650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42918-2022</t>
        </is>
      </c>
      <c r="B1215" s="1" t="n">
        <v>44833</v>
      </c>
      <c r="C1215" s="1" t="n">
        <v>45650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42964-2022</t>
        </is>
      </c>
      <c r="B1216" s="1" t="n">
        <v>44833</v>
      </c>
      <c r="C1216" s="1" t="n">
        <v>45650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42959-2022</t>
        </is>
      </c>
      <c r="B1217" s="1" t="n">
        <v>44833</v>
      </c>
      <c r="C1217" s="1" t="n">
        <v>45650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43023-2022</t>
        </is>
      </c>
      <c r="B1218" s="1" t="n">
        <v>44833</v>
      </c>
      <c r="C1218" s="1" t="n">
        <v>45650</v>
      </c>
      <c r="D1218" t="inlineStr">
        <is>
          <t>GÄVLEBORGS LÄN</t>
        </is>
      </c>
      <c r="E1218" t="inlineStr">
        <is>
          <t>LJUSDAL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43077-2022</t>
        </is>
      </c>
      <c r="B1219" s="1" t="n">
        <v>44833</v>
      </c>
      <c r="C1219" s="1" t="n">
        <v>45650</v>
      </c>
      <c r="D1219" t="inlineStr">
        <is>
          <t>GÄVLEBORGS LÄN</t>
        </is>
      </c>
      <c r="E1219" t="inlineStr">
        <is>
          <t>LJUSDAL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43060-2022</t>
        </is>
      </c>
      <c r="B1220" s="1" t="n">
        <v>44833</v>
      </c>
      <c r="C1220" s="1" t="n">
        <v>45650</v>
      </c>
      <c r="D1220" t="inlineStr">
        <is>
          <t>GÄVLEBORGS LÄN</t>
        </is>
      </c>
      <c r="E1220" t="inlineStr">
        <is>
          <t>LJUSDAL</t>
        </is>
      </c>
      <c r="G1220" t="n">
        <v>8.9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43090-2022</t>
        </is>
      </c>
      <c r="B1221" s="1" t="n">
        <v>44833</v>
      </c>
      <c r="C1221" s="1" t="n">
        <v>45650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43423-2022</t>
        </is>
      </c>
      <c r="B1222" s="1" t="n">
        <v>44835</v>
      </c>
      <c r="C1222" s="1" t="n">
        <v>45650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43425-2022</t>
        </is>
      </c>
      <c r="B1223" s="1" t="n">
        <v>44834</v>
      </c>
      <c r="C1223" s="1" t="n">
        <v>45650</v>
      </c>
      <c r="D1223" t="inlineStr">
        <is>
          <t>GÄVLEBORGS LÄN</t>
        </is>
      </c>
      <c r="E1223" t="inlineStr">
        <is>
          <t>LJUSDAL</t>
        </is>
      </c>
      <c r="F1223" t="inlineStr">
        <is>
          <t>SCA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43505-2022</t>
        </is>
      </c>
      <c r="B1224" s="1" t="n">
        <v>44837</v>
      </c>
      <c r="C1224" s="1" t="n">
        <v>45650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Naturvårdsverket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43523-2022</t>
        </is>
      </c>
      <c r="B1225" s="1" t="n">
        <v>44837</v>
      </c>
      <c r="C1225" s="1" t="n">
        <v>45650</v>
      </c>
      <c r="D1225" t="inlineStr">
        <is>
          <t>GÄVLEBORGS LÄN</t>
        </is>
      </c>
      <c r="E1225" t="inlineStr">
        <is>
          <t>LJUSDAL</t>
        </is>
      </c>
      <c r="G1225" t="n">
        <v>22.4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43537-2022</t>
        </is>
      </c>
      <c r="B1226" s="1" t="n">
        <v>44837</v>
      </c>
      <c r="C1226" s="1" t="n">
        <v>45650</v>
      </c>
      <c r="D1226" t="inlineStr">
        <is>
          <t>GÄVLEBORGS LÄN</t>
        </is>
      </c>
      <c r="E1226" t="inlineStr">
        <is>
          <t>LJUSDAL</t>
        </is>
      </c>
      <c r="F1226" t="inlineStr">
        <is>
          <t>Naturvårdsverket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44027-2022</t>
        </is>
      </c>
      <c r="B1227" s="1" t="n">
        <v>44839</v>
      </c>
      <c r="C1227" s="1" t="n">
        <v>45650</v>
      </c>
      <c r="D1227" t="inlineStr">
        <is>
          <t>GÄVLEBORGS LÄN</t>
        </is>
      </c>
      <c r="E1227" t="inlineStr">
        <is>
          <t>LJUSDAL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44032-2022</t>
        </is>
      </c>
      <c r="B1228" s="1" t="n">
        <v>44838</v>
      </c>
      <c r="C1228" s="1" t="n">
        <v>45650</v>
      </c>
      <c r="D1228" t="inlineStr">
        <is>
          <t>GÄVLEBORGS LÄN</t>
        </is>
      </c>
      <c r="E1228" t="inlineStr">
        <is>
          <t>LJUSDAL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44048-2022</t>
        </is>
      </c>
      <c r="B1229" s="1" t="n">
        <v>44839</v>
      </c>
      <c r="C1229" s="1" t="n">
        <v>45650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SCA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44028-2022</t>
        </is>
      </c>
      <c r="B1230" s="1" t="n">
        <v>44838</v>
      </c>
      <c r="C1230" s="1" t="n">
        <v>45650</v>
      </c>
      <c r="D1230" t="inlineStr">
        <is>
          <t>GÄVLEBORGS LÄN</t>
        </is>
      </c>
      <c r="E1230" t="inlineStr">
        <is>
          <t>LJUSDAL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44041-2022</t>
        </is>
      </c>
      <c r="B1231" s="1" t="n">
        <v>44839</v>
      </c>
      <c r="C1231" s="1" t="n">
        <v>45650</v>
      </c>
      <c r="D1231" t="inlineStr">
        <is>
          <t>GÄVLEBORGS LÄN</t>
        </is>
      </c>
      <c r="E1231" t="inlineStr">
        <is>
          <t>LJUSDAL</t>
        </is>
      </c>
      <c r="F1231" t="inlineStr">
        <is>
          <t>Naturvårdsverket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44658-2022</t>
        </is>
      </c>
      <c r="B1232" s="1" t="n">
        <v>44840</v>
      </c>
      <c r="C1232" s="1" t="n">
        <v>45650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44680-2022</t>
        </is>
      </c>
      <c r="B1233" s="1" t="n">
        <v>44840</v>
      </c>
      <c r="C1233" s="1" t="n">
        <v>45650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44636-2022</t>
        </is>
      </c>
      <c r="B1234" s="1" t="n">
        <v>44840</v>
      </c>
      <c r="C1234" s="1" t="n">
        <v>45650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45054-2022</t>
        </is>
      </c>
      <c r="B1235" s="1" t="n">
        <v>44841</v>
      </c>
      <c r="C1235" s="1" t="n">
        <v>45650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Sveaskog</t>
        </is>
      </c>
      <c r="G1235" t="n">
        <v>11.6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45116-2022</t>
        </is>
      </c>
      <c r="B1236" s="1" t="n">
        <v>44844</v>
      </c>
      <c r="C1236" s="1" t="n">
        <v>45650</v>
      </c>
      <c r="D1236" t="inlineStr">
        <is>
          <t>GÄVLEBORGS LÄN</t>
        </is>
      </c>
      <c r="E1236" t="inlineStr">
        <is>
          <t>LJUSDAL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45414-2022</t>
        </is>
      </c>
      <c r="B1237" s="1" t="n">
        <v>44844</v>
      </c>
      <c r="C1237" s="1" t="n">
        <v>45650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Sveaskog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45819-2022</t>
        </is>
      </c>
      <c r="B1238" s="1" t="n">
        <v>44846</v>
      </c>
      <c r="C1238" s="1" t="n">
        <v>45650</v>
      </c>
      <c r="D1238" t="inlineStr">
        <is>
          <t>GÄVLEBORGS LÄN</t>
        </is>
      </c>
      <c r="E1238" t="inlineStr">
        <is>
          <t>LJUSDAL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46157-2022</t>
        </is>
      </c>
      <c r="B1239" s="1" t="n">
        <v>44847</v>
      </c>
      <c r="C1239" s="1" t="n">
        <v>45650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46221-2022</t>
        </is>
      </c>
      <c r="B1240" s="1" t="n">
        <v>44847</v>
      </c>
      <c r="C1240" s="1" t="n">
        <v>45650</v>
      </c>
      <c r="D1240" t="inlineStr">
        <is>
          <t>GÄVLEBORGS LÄN</t>
        </is>
      </c>
      <c r="E1240" t="inlineStr">
        <is>
          <t>LJUSDAL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46198-2022</t>
        </is>
      </c>
      <c r="B1241" s="1" t="n">
        <v>44847</v>
      </c>
      <c r="C1241" s="1" t="n">
        <v>45650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46193-2022</t>
        </is>
      </c>
      <c r="B1242" s="1" t="n">
        <v>44847</v>
      </c>
      <c r="C1242" s="1" t="n">
        <v>45650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46256-2022</t>
        </is>
      </c>
      <c r="B1243" s="1" t="n">
        <v>44847</v>
      </c>
      <c r="C1243" s="1" t="n">
        <v>45650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46404-2022</t>
        </is>
      </c>
      <c r="B1244" s="1" t="n">
        <v>44848</v>
      </c>
      <c r="C1244" s="1" t="n">
        <v>45650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9.199999999999999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46572-2022</t>
        </is>
      </c>
      <c r="B1245" s="1" t="n">
        <v>44848</v>
      </c>
      <c r="C1245" s="1" t="n">
        <v>45650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47502-2022</t>
        </is>
      </c>
      <c r="B1246" s="1" t="n">
        <v>44853</v>
      </c>
      <c r="C1246" s="1" t="n">
        <v>45650</v>
      </c>
      <c r="D1246" t="inlineStr">
        <is>
          <t>GÄVLEBORGS LÄN</t>
        </is>
      </c>
      <c r="E1246" t="inlineStr">
        <is>
          <t>LJUSDAL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47855-2022</t>
        </is>
      </c>
      <c r="B1247" s="1" t="n">
        <v>44855</v>
      </c>
      <c r="C1247" s="1" t="n">
        <v>45650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47853-2022</t>
        </is>
      </c>
      <c r="B1248" s="1" t="n">
        <v>44855</v>
      </c>
      <c r="C1248" s="1" t="n">
        <v>45650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7.5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48332-2022</t>
        </is>
      </c>
      <c r="B1249" s="1" t="n">
        <v>44858</v>
      </c>
      <c r="C1249" s="1" t="n">
        <v>45650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48370-2022</t>
        </is>
      </c>
      <c r="B1250" s="1" t="n">
        <v>44858</v>
      </c>
      <c r="C1250" s="1" t="n">
        <v>45650</v>
      </c>
      <c r="D1250" t="inlineStr">
        <is>
          <t>GÄVLEBORGS LÄN</t>
        </is>
      </c>
      <c r="E1250" t="inlineStr">
        <is>
          <t>LJUSDAL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48330-2022</t>
        </is>
      </c>
      <c r="B1251" s="1" t="n">
        <v>44858</v>
      </c>
      <c r="C1251" s="1" t="n">
        <v>45650</v>
      </c>
      <c r="D1251" t="inlineStr">
        <is>
          <t>GÄVLEBORGS LÄN</t>
        </is>
      </c>
      <c r="E1251" t="inlineStr">
        <is>
          <t>LJUSDAL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48654-2022</t>
        </is>
      </c>
      <c r="B1252" s="1" t="n">
        <v>44859</v>
      </c>
      <c r="C1252" s="1" t="n">
        <v>45650</v>
      </c>
      <c r="D1252" t="inlineStr">
        <is>
          <t>GÄVLEBORGS LÄN</t>
        </is>
      </c>
      <c r="E1252" t="inlineStr">
        <is>
          <t>LJUSDAL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49172-2022</t>
        </is>
      </c>
      <c r="B1253" s="1" t="n">
        <v>44860</v>
      </c>
      <c r="C1253" s="1" t="n">
        <v>45650</v>
      </c>
      <c r="D1253" t="inlineStr">
        <is>
          <t>GÄVLEBORGS LÄN</t>
        </is>
      </c>
      <c r="E1253" t="inlineStr">
        <is>
          <t>LJUSDAL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49671-2022</t>
        </is>
      </c>
      <c r="B1254" s="1" t="n">
        <v>44862</v>
      </c>
      <c r="C1254" s="1" t="n">
        <v>45650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11.4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49672-2022</t>
        </is>
      </c>
      <c r="B1255" s="1" t="n">
        <v>44862</v>
      </c>
      <c r="C1255" s="1" t="n">
        <v>45650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49716-2022</t>
        </is>
      </c>
      <c r="B1256" s="1" t="n">
        <v>44862</v>
      </c>
      <c r="C1256" s="1" t="n">
        <v>45650</v>
      </c>
      <c r="D1256" t="inlineStr">
        <is>
          <t>GÄVLEBORGS LÄN</t>
        </is>
      </c>
      <c r="E1256" t="inlineStr">
        <is>
          <t>LJUSDAL</t>
        </is>
      </c>
      <c r="G1256" t="n">
        <v>13.7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49803-2022</t>
        </is>
      </c>
      <c r="B1257" s="1" t="n">
        <v>44862</v>
      </c>
      <c r="C1257" s="1" t="n">
        <v>45650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49726-2022</t>
        </is>
      </c>
      <c r="B1258" s="1" t="n">
        <v>44862</v>
      </c>
      <c r="C1258" s="1" t="n">
        <v>45650</v>
      </c>
      <c r="D1258" t="inlineStr">
        <is>
          <t>GÄVLEBORGS LÄN</t>
        </is>
      </c>
      <c r="E1258" t="inlineStr">
        <is>
          <t>LJUSDAL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49881-2022</t>
        </is>
      </c>
      <c r="B1259" s="1" t="n">
        <v>44864</v>
      </c>
      <c r="C1259" s="1" t="n">
        <v>45650</v>
      </c>
      <c r="D1259" t="inlineStr">
        <is>
          <t>GÄVLEBORGS LÄN</t>
        </is>
      </c>
      <c r="E1259" t="inlineStr">
        <is>
          <t>LJUSDAL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50299-2022</t>
        </is>
      </c>
      <c r="B1260" s="1" t="n">
        <v>44865</v>
      </c>
      <c r="C1260" s="1" t="n">
        <v>45650</v>
      </c>
      <c r="D1260" t="inlineStr">
        <is>
          <t>GÄVLEBORGS LÄN</t>
        </is>
      </c>
      <c r="E1260" t="inlineStr">
        <is>
          <t>LJUSDAL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50345-2022</t>
        </is>
      </c>
      <c r="B1261" s="1" t="n">
        <v>44866</v>
      </c>
      <c r="C1261" s="1" t="n">
        <v>45650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50369-2022</t>
        </is>
      </c>
      <c r="B1262" s="1" t="n">
        <v>44866</v>
      </c>
      <c r="C1262" s="1" t="n">
        <v>45650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50347-2022</t>
        </is>
      </c>
      <c r="B1263" s="1" t="n">
        <v>44866</v>
      </c>
      <c r="C1263" s="1" t="n">
        <v>45650</v>
      </c>
      <c r="D1263" t="inlineStr">
        <is>
          <t>GÄVLEBORGS LÄN</t>
        </is>
      </c>
      <c r="E1263" t="inlineStr">
        <is>
          <t>LJUSDAL</t>
        </is>
      </c>
      <c r="F1263" t="inlineStr">
        <is>
          <t>Holmen skog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50351-2022</t>
        </is>
      </c>
      <c r="B1264" s="1" t="n">
        <v>44866</v>
      </c>
      <c r="C1264" s="1" t="n">
        <v>45650</v>
      </c>
      <c r="D1264" t="inlineStr">
        <is>
          <t>GÄVLEBORGS LÄN</t>
        </is>
      </c>
      <c r="E1264" t="inlineStr">
        <is>
          <t>LJUSDAL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50567-2022</t>
        </is>
      </c>
      <c r="B1265" s="1" t="n">
        <v>44866</v>
      </c>
      <c r="C1265" s="1" t="n">
        <v>45650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50579-2022</t>
        </is>
      </c>
      <c r="B1266" s="1" t="n">
        <v>44866</v>
      </c>
      <c r="C1266" s="1" t="n">
        <v>45650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50740-2022</t>
        </is>
      </c>
      <c r="B1267" s="1" t="n">
        <v>44867</v>
      </c>
      <c r="C1267" s="1" t="n">
        <v>45650</v>
      </c>
      <c r="D1267" t="inlineStr">
        <is>
          <t>GÄVLEBORGS LÄN</t>
        </is>
      </c>
      <c r="E1267" t="inlineStr">
        <is>
          <t>LJUSDAL</t>
        </is>
      </c>
      <c r="F1267" t="inlineStr">
        <is>
          <t>Kommuner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50863-2022</t>
        </is>
      </c>
      <c r="B1268" s="1" t="n">
        <v>44867</v>
      </c>
      <c r="C1268" s="1" t="n">
        <v>45650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50931-2022</t>
        </is>
      </c>
      <c r="B1269" s="1" t="n">
        <v>44867</v>
      </c>
      <c r="C1269" s="1" t="n">
        <v>45650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50733-2022</t>
        </is>
      </c>
      <c r="B1270" s="1" t="n">
        <v>44867</v>
      </c>
      <c r="C1270" s="1" t="n">
        <v>45650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6.3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50743-2022</t>
        </is>
      </c>
      <c r="B1271" s="1" t="n">
        <v>44867</v>
      </c>
      <c r="C1271" s="1" t="n">
        <v>45650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50877-2022</t>
        </is>
      </c>
      <c r="B1272" s="1" t="n">
        <v>44867</v>
      </c>
      <c r="C1272" s="1" t="n">
        <v>45650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50927-2022</t>
        </is>
      </c>
      <c r="B1273" s="1" t="n">
        <v>44867</v>
      </c>
      <c r="C1273" s="1" t="n">
        <v>45650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50886-2022</t>
        </is>
      </c>
      <c r="B1274" s="1" t="n">
        <v>44867</v>
      </c>
      <c r="C1274" s="1" t="n">
        <v>45650</v>
      </c>
      <c r="D1274" t="inlineStr">
        <is>
          <t>GÄVLEBORGS LÄN</t>
        </is>
      </c>
      <c r="E1274" t="inlineStr">
        <is>
          <t>LJUSDAL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51048-2022</t>
        </is>
      </c>
      <c r="B1275" s="1" t="n">
        <v>44868</v>
      </c>
      <c r="C1275" s="1" t="n">
        <v>45650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51089-2022</t>
        </is>
      </c>
      <c r="B1276" s="1" t="n">
        <v>44868</v>
      </c>
      <c r="C1276" s="1" t="n">
        <v>45650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51099-2022</t>
        </is>
      </c>
      <c r="B1277" s="1" t="n">
        <v>44868</v>
      </c>
      <c r="C1277" s="1" t="n">
        <v>45650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7.1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51044-2022</t>
        </is>
      </c>
      <c r="B1278" s="1" t="n">
        <v>44868</v>
      </c>
      <c r="C1278" s="1" t="n">
        <v>45650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51049-2022</t>
        </is>
      </c>
      <c r="B1279" s="1" t="n">
        <v>44868</v>
      </c>
      <c r="C1279" s="1" t="n">
        <v>45650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51115-2022</t>
        </is>
      </c>
      <c r="B1280" s="1" t="n">
        <v>44868</v>
      </c>
      <c r="C1280" s="1" t="n">
        <v>45650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12.9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51123-2022</t>
        </is>
      </c>
      <c r="B1281" s="1" t="n">
        <v>44868</v>
      </c>
      <c r="C1281" s="1" t="n">
        <v>45650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8.9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51121-2022</t>
        </is>
      </c>
      <c r="B1282" s="1" t="n">
        <v>44868</v>
      </c>
      <c r="C1282" s="1" t="n">
        <v>45650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51145-2022</t>
        </is>
      </c>
      <c r="B1283" s="1" t="n">
        <v>44868</v>
      </c>
      <c r="C1283" s="1" t="n">
        <v>45650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51330-2022</t>
        </is>
      </c>
      <c r="B1284" s="1" t="n">
        <v>44869</v>
      </c>
      <c r="C1284" s="1" t="n">
        <v>45650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51519-2022</t>
        </is>
      </c>
      <c r="B1285" s="1" t="n">
        <v>44869</v>
      </c>
      <c r="C1285" s="1" t="n">
        <v>45650</v>
      </c>
      <c r="D1285" t="inlineStr">
        <is>
          <t>GÄVLEBORGS LÄN</t>
        </is>
      </c>
      <c r="E1285" t="inlineStr">
        <is>
          <t>LJUSDAL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51738-2022</t>
        </is>
      </c>
      <c r="B1286" s="1" t="n">
        <v>44872</v>
      </c>
      <c r="C1286" s="1" t="n">
        <v>45650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51634-2022</t>
        </is>
      </c>
      <c r="B1287" s="1" t="n">
        <v>44872</v>
      </c>
      <c r="C1287" s="1" t="n">
        <v>45650</v>
      </c>
      <c r="D1287" t="inlineStr">
        <is>
          <t>GÄVLEBORGS LÄN</t>
        </is>
      </c>
      <c r="E1287" t="inlineStr">
        <is>
          <t>LJUSDAL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51726-2022</t>
        </is>
      </c>
      <c r="B1288" s="1" t="n">
        <v>44872</v>
      </c>
      <c r="C1288" s="1" t="n">
        <v>45650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51754-2022</t>
        </is>
      </c>
      <c r="B1289" s="1" t="n">
        <v>44872</v>
      </c>
      <c r="C1289" s="1" t="n">
        <v>45650</v>
      </c>
      <c r="D1289" t="inlineStr">
        <is>
          <t>GÄVLEBORGS LÄN</t>
        </is>
      </c>
      <c r="E1289" t="inlineStr">
        <is>
          <t>LJUSDAL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51838-2022</t>
        </is>
      </c>
      <c r="B1290" s="1" t="n">
        <v>44872</v>
      </c>
      <c r="C1290" s="1" t="n">
        <v>45650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51853-2022</t>
        </is>
      </c>
      <c r="B1291" s="1" t="n">
        <v>44872</v>
      </c>
      <c r="C1291" s="1" t="n">
        <v>45650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51922-2022</t>
        </is>
      </c>
      <c r="B1292" s="1" t="n">
        <v>44872</v>
      </c>
      <c r="C1292" s="1" t="n">
        <v>45650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Kommuner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52121-2022</t>
        </is>
      </c>
      <c r="B1293" s="1" t="n">
        <v>44873</v>
      </c>
      <c r="C1293" s="1" t="n">
        <v>45650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52226-2022</t>
        </is>
      </c>
      <c r="B1294" s="1" t="n">
        <v>44873</v>
      </c>
      <c r="C1294" s="1" t="n">
        <v>45650</v>
      </c>
      <c r="D1294" t="inlineStr">
        <is>
          <t>GÄVLEBORGS LÄN</t>
        </is>
      </c>
      <c r="E1294" t="inlineStr">
        <is>
          <t>LJUSDAL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52222-2022</t>
        </is>
      </c>
      <c r="B1295" s="1" t="n">
        <v>44873</v>
      </c>
      <c r="C1295" s="1" t="n">
        <v>45650</v>
      </c>
      <c r="D1295" t="inlineStr">
        <is>
          <t>GÄVLEBORGS LÄN</t>
        </is>
      </c>
      <c r="E1295" t="inlineStr">
        <is>
          <t>LJUSDAL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52443-2022</t>
        </is>
      </c>
      <c r="B1296" s="1" t="n">
        <v>44874</v>
      </c>
      <c r="C1296" s="1" t="n">
        <v>45650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10.4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52626-2022</t>
        </is>
      </c>
      <c r="B1297" s="1" t="n">
        <v>44874</v>
      </c>
      <c r="C1297" s="1" t="n">
        <v>45650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52568-2022</t>
        </is>
      </c>
      <c r="B1298" s="1" t="n">
        <v>44874</v>
      </c>
      <c r="C1298" s="1" t="n">
        <v>45650</v>
      </c>
      <c r="D1298" t="inlineStr">
        <is>
          <t>GÄVLEBORGS LÄN</t>
        </is>
      </c>
      <c r="E1298" t="inlineStr">
        <is>
          <t>LJUSDAL</t>
        </is>
      </c>
      <c r="F1298" t="inlineStr">
        <is>
          <t>Kyrkan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52824-2022</t>
        </is>
      </c>
      <c r="B1299" s="1" t="n">
        <v>44875</v>
      </c>
      <c r="C1299" s="1" t="n">
        <v>45650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52842-2022</t>
        </is>
      </c>
      <c r="B1300" s="1" t="n">
        <v>44875</v>
      </c>
      <c r="C1300" s="1" t="n">
        <v>45650</v>
      </c>
      <c r="D1300" t="inlineStr">
        <is>
          <t>GÄVLEBORGS LÄN</t>
        </is>
      </c>
      <c r="E1300" t="inlineStr">
        <is>
          <t>LJUSDAL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53159-2022</t>
        </is>
      </c>
      <c r="B1301" s="1" t="n">
        <v>44876</v>
      </c>
      <c r="C1301" s="1" t="n">
        <v>45650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26.3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53844-2022</t>
        </is>
      </c>
      <c r="B1302" s="1" t="n">
        <v>44880</v>
      </c>
      <c r="C1302" s="1" t="n">
        <v>45650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53927-2022</t>
        </is>
      </c>
      <c r="B1303" s="1" t="n">
        <v>44880</v>
      </c>
      <c r="C1303" s="1" t="n">
        <v>45650</v>
      </c>
      <c r="D1303" t="inlineStr">
        <is>
          <t>GÄVLEBORGS LÄN</t>
        </is>
      </c>
      <c r="E1303" t="inlineStr">
        <is>
          <t>LJUSDAL</t>
        </is>
      </c>
      <c r="F1303" t="inlineStr">
        <is>
          <t>Naturvårdsverket</t>
        </is>
      </c>
      <c r="G1303" t="n">
        <v>17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54349-2022</t>
        </is>
      </c>
      <c r="B1304" s="1" t="n">
        <v>44882</v>
      </c>
      <c r="C1304" s="1" t="n">
        <v>45650</v>
      </c>
      <c r="D1304" t="inlineStr">
        <is>
          <t>GÄVLEBORGS LÄN</t>
        </is>
      </c>
      <c r="E1304" t="inlineStr">
        <is>
          <t>LJUSDAL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54908-2022</t>
        </is>
      </c>
      <c r="B1305" s="1" t="n">
        <v>44886</v>
      </c>
      <c r="C1305" s="1" t="n">
        <v>45650</v>
      </c>
      <c r="D1305" t="inlineStr">
        <is>
          <t>GÄVLEBORGS LÄN</t>
        </is>
      </c>
      <c r="E1305" t="inlineStr">
        <is>
          <t>LJUSDAL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55055-2022</t>
        </is>
      </c>
      <c r="B1306" s="1" t="n">
        <v>44886</v>
      </c>
      <c r="C1306" s="1" t="n">
        <v>45650</v>
      </c>
      <c r="D1306" t="inlineStr">
        <is>
          <t>GÄVLEBORGS LÄN</t>
        </is>
      </c>
      <c r="E1306" t="inlineStr">
        <is>
          <t>LJUSDAL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55215-2022</t>
        </is>
      </c>
      <c r="B1307" s="1" t="n">
        <v>44886</v>
      </c>
      <c r="C1307" s="1" t="n">
        <v>45650</v>
      </c>
      <c r="D1307" t="inlineStr">
        <is>
          <t>GÄVLEBORGS LÄN</t>
        </is>
      </c>
      <c r="E1307" t="inlineStr">
        <is>
          <t>LJUSDAL</t>
        </is>
      </c>
      <c r="F1307" t="inlineStr">
        <is>
          <t>SCA</t>
        </is>
      </c>
      <c r="G1307" t="n">
        <v>14.5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55025-2022</t>
        </is>
      </c>
      <c r="B1308" s="1" t="n">
        <v>44886</v>
      </c>
      <c r="C1308" s="1" t="n">
        <v>45650</v>
      </c>
      <c r="D1308" t="inlineStr">
        <is>
          <t>GÄVLEBORGS LÄN</t>
        </is>
      </c>
      <c r="E1308" t="inlineStr">
        <is>
          <t>LJUSDAL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55046-2022</t>
        </is>
      </c>
      <c r="B1309" s="1" t="n">
        <v>44886</v>
      </c>
      <c r="C1309" s="1" t="n">
        <v>45650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43.8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55781-2022</t>
        </is>
      </c>
      <c r="B1310" s="1" t="n">
        <v>44888</v>
      </c>
      <c r="C1310" s="1" t="n">
        <v>45650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Kommuner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55997-2022</t>
        </is>
      </c>
      <c r="B1311" s="1" t="n">
        <v>44889</v>
      </c>
      <c r="C1311" s="1" t="n">
        <v>45650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55962-2022</t>
        </is>
      </c>
      <c r="B1312" s="1" t="n">
        <v>44889</v>
      </c>
      <c r="C1312" s="1" t="n">
        <v>45650</v>
      </c>
      <c r="D1312" t="inlineStr">
        <is>
          <t>GÄVLEBORGS LÄN</t>
        </is>
      </c>
      <c r="E1312" t="inlineStr">
        <is>
          <t>LJUSDAL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56478-2022</t>
        </is>
      </c>
      <c r="B1313" s="1" t="n">
        <v>44893</v>
      </c>
      <c r="C1313" s="1" t="n">
        <v>45650</v>
      </c>
      <c r="D1313" t="inlineStr">
        <is>
          <t>GÄVLEBORGS LÄN</t>
        </is>
      </c>
      <c r="E1313" t="inlineStr">
        <is>
          <t>LJUSDAL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56766-2022</t>
        </is>
      </c>
      <c r="B1314" s="1" t="n">
        <v>44894</v>
      </c>
      <c r="C1314" s="1" t="n">
        <v>45650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57110-2022</t>
        </is>
      </c>
      <c r="B1315" s="1" t="n">
        <v>44895</v>
      </c>
      <c r="C1315" s="1" t="n">
        <v>45650</v>
      </c>
      <c r="D1315" t="inlineStr">
        <is>
          <t>GÄVLEBORGS LÄN</t>
        </is>
      </c>
      <c r="E1315" t="inlineStr">
        <is>
          <t>LJUSDAL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57269-2022</t>
        </is>
      </c>
      <c r="B1316" s="1" t="n">
        <v>44895</v>
      </c>
      <c r="C1316" s="1" t="n">
        <v>45650</v>
      </c>
      <c r="D1316" t="inlineStr">
        <is>
          <t>GÄVLEBORGS LÄN</t>
        </is>
      </c>
      <c r="E1316" t="inlineStr">
        <is>
          <t>LJUSDAL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57905-2022</t>
        </is>
      </c>
      <c r="B1317" s="1" t="n">
        <v>44900</v>
      </c>
      <c r="C1317" s="1" t="n">
        <v>45650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Allmännings- och besparingsskogar</t>
        </is>
      </c>
      <c r="G1317" t="n">
        <v>11.5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58113-2022</t>
        </is>
      </c>
      <c r="B1318" s="1" t="n">
        <v>44900</v>
      </c>
      <c r="C1318" s="1" t="n">
        <v>45650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57949-2022</t>
        </is>
      </c>
      <c r="B1319" s="1" t="n">
        <v>44900</v>
      </c>
      <c r="C1319" s="1" t="n">
        <v>45650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57977-2022</t>
        </is>
      </c>
      <c r="B1320" s="1" t="n">
        <v>44900</v>
      </c>
      <c r="C1320" s="1" t="n">
        <v>45650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58239-2022</t>
        </is>
      </c>
      <c r="B1321" s="1" t="n">
        <v>44901</v>
      </c>
      <c r="C1321" s="1" t="n">
        <v>45650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58280-2022</t>
        </is>
      </c>
      <c r="B1322" s="1" t="n">
        <v>44901</v>
      </c>
      <c r="C1322" s="1" t="n">
        <v>45650</v>
      </c>
      <c r="D1322" t="inlineStr">
        <is>
          <t>GÄVLEBORGS LÄN</t>
        </is>
      </c>
      <c r="E1322" t="inlineStr">
        <is>
          <t>LJUSDAL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58530-2022</t>
        </is>
      </c>
      <c r="B1323" s="1" t="n">
        <v>44902</v>
      </c>
      <c r="C1323" s="1" t="n">
        <v>45650</v>
      </c>
      <c r="D1323" t="inlineStr">
        <is>
          <t>GÄVLEBORGS LÄN</t>
        </is>
      </c>
      <c r="E1323" t="inlineStr">
        <is>
          <t>LJUSDAL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58600-2022</t>
        </is>
      </c>
      <c r="B1324" s="1" t="n">
        <v>44902</v>
      </c>
      <c r="C1324" s="1" t="n">
        <v>45650</v>
      </c>
      <c r="D1324" t="inlineStr">
        <is>
          <t>GÄVLEBORGS LÄN</t>
        </is>
      </c>
      <c r="E1324" t="inlineStr">
        <is>
          <t>LJUSDAL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58611-2022</t>
        </is>
      </c>
      <c r="B1325" s="1" t="n">
        <v>44902</v>
      </c>
      <c r="C1325" s="1" t="n">
        <v>45650</v>
      </c>
      <c r="D1325" t="inlineStr">
        <is>
          <t>GÄVLEBORGS LÄN</t>
        </is>
      </c>
      <c r="E1325" t="inlineStr">
        <is>
          <t>LJUSDAL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58783-2022</t>
        </is>
      </c>
      <c r="B1326" s="1" t="n">
        <v>44903</v>
      </c>
      <c r="C1326" s="1" t="n">
        <v>45650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58796-2022</t>
        </is>
      </c>
      <c r="B1327" s="1" t="n">
        <v>44903</v>
      </c>
      <c r="C1327" s="1" t="n">
        <v>45650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HYPERLINK("https://klasma.github.io/Logging_2161/knärot/A 58796-2022 karta knärot.png", "A 58796-2022")</f>
        <v/>
      </c>
      <c r="V1327">
        <f>HYPERLINK("https://klasma.github.io/Logging_2161/klagomål/A 58796-2022 FSC-klagomål.docx", "A 58796-2022")</f>
        <v/>
      </c>
      <c r="W1327">
        <f>HYPERLINK("https://klasma.github.io/Logging_2161/klagomålsmail/A 58796-2022 FSC-klagomål mail.docx", "A 58796-2022")</f>
        <v/>
      </c>
      <c r="X1327">
        <f>HYPERLINK("https://klasma.github.io/Logging_2161/tillsyn/A 58796-2022 tillsynsbegäran.docx", "A 58796-2022")</f>
        <v/>
      </c>
      <c r="Y1327">
        <f>HYPERLINK("https://klasma.github.io/Logging_2161/tillsynsmail/A 58796-2022 tillsynsbegäran mail.docx", "A 58796-2022")</f>
        <v/>
      </c>
    </row>
    <row r="1328" ht="15" customHeight="1">
      <c r="A1328" t="inlineStr">
        <is>
          <t>A 58820-2022</t>
        </is>
      </c>
      <c r="B1328" s="1" t="n">
        <v>44903</v>
      </c>
      <c r="C1328" s="1" t="n">
        <v>45650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Kyrkan</t>
        </is>
      </c>
      <c r="G1328" t="n">
        <v>13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59077-2022</t>
        </is>
      </c>
      <c r="B1329" s="1" t="n">
        <v>44904</v>
      </c>
      <c r="C1329" s="1" t="n">
        <v>45650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59120-2022</t>
        </is>
      </c>
      <c r="B1330" s="1" t="n">
        <v>44904</v>
      </c>
      <c r="C1330" s="1" t="n">
        <v>45650</v>
      </c>
      <c r="D1330" t="inlineStr">
        <is>
          <t>GÄVLEBORGS LÄN</t>
        </is>
      </c>
      <c r="E1330" t="inlineStr">
        <is>
          <t>LJUSDAL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60822-2022</t>
        </is>
      </c>
      <c r="B1331" s="1" t="n">
        <v>44904</v>
      </c>
      <c r="C1331" s="1" t="n">
        <v>45650</v>
      </c>
      <c r="D1331" t="inlineStr">
        <is>
          <t>GÄVLEBORGS LÄN</t>
        </is>
      </c>
      <c r="E1331" t="inlineStr">
        <is>
          <t>LJUSDAL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59710-2022</t>
        </is>
      </c>
      <c r="B1332" s="1" t="n">
        <v>44908</v>
      </c>
      <c r="C1332" s="1" t="n">
        <v>45650</v>
      </c>
      <c r="D1332" t="inlineStr">
        <is>
          <t>GÄVLEBORGS LÄN</t>
        </is>
      </c>
      <c r="E1332" t="inlineStr">
        <is>
          <t>LJUSDAL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59901-2022</t>
        </is>
      </c>
      <c r="B1333" s="1" t="n">
        <v>44908</v>
      </c>
      <c r="C1333" s="1" t="n">
        <v>45650</v>
      </c>
      <c r="D1333" t="inlineStr">
        <is>
          <t>GÄVLEBORGS LÄN</t>
        </is>
      </c>
      <c r="E1333" t="inlineStr">
        <is>
          <t>LJUSDAL</t>
        </is>
      </c>
      <c r="G1333" t="n">
        <v>10.3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59826-2022</t>
        </is>
      </c>
      <c r="B1334" s="1" t="n">
        <v>44908</v>
      </c>
      <c r="C1334" s="1" t="n">
        <v>45650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60099-2022</t>
        </is>
      </c>
      <c r="B1335" s="1" t="n">
        <v>44909</v>
      </c>
      <c r="C1335" s="1" t="n">
        <v>45650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60118-2022</t>
        </is>
      </c>
      <c r="B1336" s="1" t="n">
        <v>44909</v>
      </c>
      <c r="C1336" s="1" t="n">
        <v>45650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60125-2022</t>
        </is>
      </c>
      <c r="B1337" s="1" t="n">
        <v>44909</v>
      </c>
      <c r="C1337" s="1" t="n">
        <v>45650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60121-2022</t>
        </is>
      </c>
      <c r="B1338" s="1" t="n">
        <v>44909</v>
      </c>
      <c r="C1338" s="1" t="n">
        <v>45650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60183-2022</t>
        </is>
      </c>
      <c r="B1339" s="1" t="n">
        <v>44910</v>
      </c>
      <c r="C1339" s="1" t="n">
        <v>45650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14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60273-2022</t>
        </is>
      </c>
      <c r="B1340" s="1" t="n">
        <v>44910</v>
      </c>
      <c r="C1340" s="1" t="n">
        <v>45650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60541-2022</t>
        </is>
      </c>
      <c r="B1341" s="1" t="n">
        <v>44911</v>
      </c>
      <c r="C1341" s="1" t="n">
        <v>45650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60553-2022</t>
        </is>
      </c>
      <c r="B1342" s="1" t="n">
        <v>44911</v>
      </c>
      <c r="C1342" s="1" t="n">
        <v>45650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61157-2022</t>
        </is>
      </c>
      <c r="B1343" s="1" t="n">
        <v>44915</v>
      </c>
      <c r="C1343" s="1" t="n">
        <v>45650</v>
      </c>
      <c r="D1343" t="inlineStr">
        <is>
          <t>GÄVLEBORGS LÄN</t>
        </is>
      </c>
      <c r="E1343" t="inlineStr">
        <is>
          <t>LJUSDAL</t>
        </is>
      </c>
      <c r="F1343" t="inlineStr">
        <is>
          <t>Kommuner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61124-2022</t>
        </is>
      </c>
      <c r="B1344" s="1" t="n">
        <v>44915</v>
      </c>
      <c r="C1344" s="1" t="n">
        <v>45650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12.1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61603-2022</t>
        </is>
      </c>
      <c r="B1345" s="1" t="n">
        <v>44916</v>
      </c>
      <c r="C1345" s="1" t="n">
        <v>45650</v>
      </c>
      <c r="D1345" t="inlineStr">
        <is>
          <t>GÄVLEBORGS LÄN</t>
        </is>
      </c>
      <c r="E1345" t="inlineStr">
        <is>
          <t>LJUSDAL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62024-2022</t>
        </is>
      </c>
      <c r="B1346" s="1" t="n">
        <v>44918</v>
      </c>
      <c r="C1346" s="1" t="n">
        <v>45650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62030-2022</t>
        </is>
      </c>
      <c r="B1347" s="1" t="n">
        <v>44918</v>
      </c>
      <c r="C1347" s="1" t="n">
        <v>45650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62200-2022</t>
        </is>
      </c>
      <c r="B1348" s="1" t="n">
        <v>44922</v>
      </c>
      <c r="C1348" s="1" t="n">
        <v>45650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62420-2022</t>
        </is>
      </c>
      <c r="B1349" s="1" t="n">
        <v>44924</v>
      </c>
      <c r="C1349" s="1" t="n">
        <v>45650</v>
      </c>
      <c r="D1349" t="inlineStr">
        <is>
          <t>GÄVLEBORGS LÄN</t>
        </is>
      </c>
      <c r="E1349" t="inlineStr">
        <is>
          <t>LJUSDAL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62489-2022</t>
        </is>
      </c>
      <c r="B1350" s="1" t="n">
        <v>44924</v>
      </c>
      <c r="C1350" s="1" t="n">
        <v>45650</v>
      </c>
      <c r="D1350" t="inlineStr">
        <is>
          <t>GÄVLEBORGS LÄN</t>
        </is>
      </c>
      <c r="E1350" t="inlineStr">
        <is>
          <t>LJUSDAL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62620-2022</t>
        </is>
      </c>
      <c r="B1351" s="1" t="n">
        <v>44925</v>
      </c>
      <c r="C1351" s="1" t="n">
        <v>45650</v>
      </c>
      <c r="D1351" t="inlineStr">
        <is>
          <t>GÄVLEBORGS LÄN</t>
        </is>
      </c>
      <c r="E1351" t="inlineStr">
        <is>
          <t>LJUSDAL</t>
        </is>
      </c>
      <c r="G1351" t="n">
        <v>11.6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62631-2022</t>
        </is>
      </c>
      <c r="B1352" s="1" t="n">
        <v>44925</v>
      </c>
      <c r="C1352" s="1" t="n">
        <v>45650</v>
      </c>
      <c r="D1352" t="inlineStr">
        <is>
          <t>GÄVLEBORGS LÄN</t>
        </is>
      </c>
      <c r="E1352" t="inlineStr">
        <is>
          <t>LJUSDAL</t>
        </is>
      </c>
      <c r="G1352" t="n">
        <v>13.8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474-2023</t>
        </is>
      </c>
      <c r="B1353" s="1" t="n">
        <v>44929</v>
      </c>
      <c r="C1353" s="1" t="n">
        <v>45650</v>
      </c>
      <c r="D1353" t="inlineStr">
        <is>
          <t>GÄVLEBORGS LÄN</t>
        </is>
      </c>
      <c r="E1353" t="inlineStr">
        <is>
          <t>LJUSDAL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619-2023</t>
        </is>
      </c>
      <c r="B1354" s="1" t="n">
        <v>44930</v>
      </c>
      <c r="C1354" s="1" t="n">
        <v>45650</v>
      </c>
      <c r="D1354" t="inlineStr">
        <is>
          <t>GÄVLEBORGS LÄN</t>
        </is>
      </c>
      <c r="E1354" t="inlineStr">
        <is>
          <t>LJUSDAL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599-2023</t>
        </is>
      </c>
      <c r="B1355" s="1" t="n">
        <v>44930</v>
      </c>
      <c r="C1355" s="1" t="n">
        <v>45650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766-2023</t>
        </is>
      </c>
      <c r="B1356" s="1" t="n">
        <v>44931</v>
      </c>
      <c r="C1356" s="1" t="n">
        <v>45650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835-2023</t>
        </is>
      </c>
      <c r="B1357" s="1" t="n">
        <v>44931</v>
      </c>
      <c r="C1357" s="1" t="n">
        <v>45650</v>
      </c>
      <c r="D1357" t="inlineStr">
        <is>
          <t>GÄVLEBORGS LÄN</t>
        </is>
      </c>
      <c r="E1357" t="inlineStr">
        <is>
          <t>LJUSDAL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846-2023</t>
        </is>
      </c>
      <c r="B1358" s="1" t="n">
        <v>44931</v>
      </c>
      <c r="C1358" s="1" t="n">
        <v>45650</v>
      </c>
      <c r="D1358" t="inlineStr">
        <is>
          <t>GÄVLEBORGS LÄN</t>
        </is>
      </c>
      <c r="E1358" t="inlineStr">
        <is>
          <t>LJUSDAL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1067-2023</t>
        </is>
      </c>
      <c r="B1359" s="1" t="n">
        <v>44935</v>
      </c>
      <c r="C1359" s="1" t="n">
        <v>45650</v>
      </c>
      <c r="D1359" t="inlineStr">
        <is>
          <t>GÄVLEBORGS LÄN</t>
        </is>
      </c>
      <c r="E1359" t="inlineStr">
        <is>
          <t>LJUSDAL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1005-2023</t>
        </is>
      </c>
      <c r="B1360" s="1" t="n">
        <v>44935</v>
      </c>
      <c r="C1360" s="1" t="n">
        <v>45650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1259-2023</t>
        </is>
      </c>
      <c r="B1361" s="1" t="n">
        <v>44936</v>
      </c>
      <c r="C1361" s="1" t="n">
        <v>45650</v>
      </c>
      <c r="D1361" t="inlineStr">
        <is>
          <t>GÄVLEBORGS LÄN</t>
        </is>
      </c>
      <c r="E1361" t="inlineStr">
        <is>
          <t>LJUSDAL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1253-2023</t>
        </is>
      </c>
      <c r="B1362" s="1" t="n">
        <v>44936</v>
      </c>
      <c r="C1362" s="1" t="n">
        <v>45650</v>
      </c>
      <c r="D1362" t="inlineStr">
        <is>
          <t>GÄVLEBORGS LÄN</t>
        </is>
      </c>
      <c r="E1362" t="inlineStr">
        <is>
          <t>LJUSDAL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1471-2023</t>
        </is>
      </c>
      <c r="B1363" s="1" t="n">
        <v>44937</v>
      </c>
      <c r="C1363" s="1" t="n">
        <v>45650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1445-2023</t>
        </is>
      </c>
      <c r="B1364" s="1" t="n">
        <v>44937</v>
      </c>
      <c r="C1364" s="1" t="n">
        <v>45650</v>
      </c>
      <c r="D1364" t="inlineStr">
        <is>
          <t>GÄVLEBORGS LÄN</t>
        </is>
      </c>
      <c r="E1364" t="inlineStr">
        <is>
          <t>LJUSDAL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1584-2023</t>
        </is>
      </c>
      <c r="B1365" s="1" t="n">
        <v>44937</v>
      </c>
      <c r="C1365" s="1" t="n">
        <v>45650</v>
      </c>
      <c r="D1365" t="inlineStr">
        <is>
          <t>GÄVLEBORGS LÄN</t>
        </is>
      </c>
      <c r="E1365" t="inlineStr">
        <is>
          <t>LJUSDAL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2013-2023</t>
        </is>
      </c>
      <c r="B1366" s="1" t="n">
        <v>44939</v>
      </c>
      <c r="C1366" s="1" t="n">
        <v>45650</v>
      </c>
      <c r="D1366" t="inlineStr">
        <is>
          <t>GÄVLEBORGS LÄN</t>
        </is>
      </c>
      <c r="E1366" t="inlineStr">
        <is>
          <t>LJUSDAL</t>
        </is>
      </c>
      <c r="F1366" t="inlineStr">
        <is>
          <t>Sveaskog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2248-2023</t>
        </is>
      </c>
      <c r="B1367" s="1" t="n">
        <v>44942</v>
      </c>
      <c r="C1367" s="1" t="n">
        <v>45650</v>
      </c>
      <c r="D1367" t="inlineStr">
        <is>
          <t>GÄVLEBORGS LÄN</t>
        </is>
      </c>
      <c r="E1367" t="inlineStr">
        <is>
          <t>LJUSDAL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2330-2023</t>
        </is>
      </c>
      <c r="B1368" s="1" t="n">
        <v>44942</v>
      </c>
      <c r="C1368" s="1" t="n">
        <v>45650</v>
      </c>
      <c r="D1368" t="inlineStr">
        <is>
          <t>GÄVLEBORGS LÄN</t>
        </is>
      </c>
      <c r="E1368" t="inlineStr">
        <is>
          <t>LJUSDAL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2378-2023</t>
        </is>
      </c>
      <c r="B1369" s="1" t="n">
        <v>44942</v>
      </c>
      <c r="C1369" s="1" t="n">
        <v>45650</v>
      </c>
      <c r="D1369" t="inlineStr">
        <is>
          <t>GÄVLEBORGS LÄN</t>
        </is>
      </c>
      <c r="E1369" t="inlineStr">
        <is>
          <t>LJUSDAL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2370-2023</t>
        </is>
      </c>
      <c r="B1370" s="1" t="n">
        <v>44942</v>
      </c>
      <c r="C1370" s="1" t="n">
        <v>45650</v>
      </c>
      <c r="D1370" t="inlineStr">
        <is>
          <t>GÄVLEBORGS LÄN</t>
        </is>
      </c>
      <c r="E1370" t="inlineStr">
        <is>
          <t>LJUSDAL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3193-2023</t>
        </is>
      </c>
      <c r="B1371" s="1" t="n">
        <v>44946</v>
      </c>
      <c r="C1371" s="1" t="n">
        <v>45650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3188-2023</t>
        </is>
      </c>
      <c r="B1372" s="1" t="n">
        <v>44946</v>
      </c>
      <c r="C1372" s="1" t="n">
        <v>45650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3365-2023</t>
        </is>
      </c>
      <c r="B1373" s="1" t="n">
        <v>44949</v>
      </c>
      <c r="C1373" s="1" t="n">
        <v>45650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3289-2023</t>
        </is>
      </c>
      <c r="B1374" s="1" t="n">
        <v>44949</v>
      </c>
      <c r="C1374" s="1" t="n">
        <v>45650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3313-2023</t>
        </is>
      </c>
      <c r="B1375" s="1" t="n">
        <v>44949</v>
      </c>
      <c r="C1375" s="1" t="n">
        <v>45650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3370-2023</t>
        </is>
      </c>
      <c r="B1376" s="1" t="n">
        <v>44949</v>
      </c>
      <c r="C1376" s="1" t="n">
        <v>45650</v>
      </c>
      <c r="D1376" t="inlineStr">
        <is>
          <t>GÄVLEBORGS LÄN</t>
        </is>
      </c>
      <c r="E1376" t="inlineStr">
        <is>
          <t>LJUSDAL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3464-2023</t>
        </is>
      </c>
      <c r="B1377" s="1" t="n">
        <v>44949</v>
      </c>
      <c r="C1377" s="1" t="n">
        <v>45650</v>
      </c>
      <c r="D1377" t="inlineStr">
        <is>
          <t>GÄVLEBORGS LÄN</t>
        </is>
      </c>
      <c r="E1377" t="inlineStr">
        <is>
          <t>LJUSDAL</t>
        </is>
      </c>
      <c r="G1377" t="n">
        <v>18.6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3532-2023</t>
        </is>
      </c>
      <c r="B1378" s="1" t="n">
        <v>44950</v>
      </c>
      <c r="C1378" s="1" t="n">
        <v>45650</v>
      </c>
      <c r="D1378" t="inlineStr">
        <is>
          <t>GÄVLEBORGS LÄN</t>
        </is>
      </c>
      <c r="E1378" t="inlineStr">
        <is>
          <t>LJUSDAL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3635-2023</t>
        </is>
      </c>
      <c r="B1379" s="1" t="n">
        <v>44950</v>
      </c>
      <c r="C1379" s="1" t="n">
        <v>45650</v>
      </c>
      <c r="D1379" t="inlineStr">
        <is>
          <t>GÄVLEBORGS LÄN</t>
        </is>
      </c>
      <c r="E1379" t="inlineStr">
        <is>
          <t>LJUSDAL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4039-2023</t>
        </is>
      </c>
      <c r="B1380" s="1" t="n">
        <v>44952</v>
      </c>
      <c r="C1380" s="1" t="n">
        <v>45650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4044-2023</t>
        </is>
      </c>
      <c r="B1381" s="1" t="n">
        <v>44952</v>
      </c>
      <c r="C1381" s="1" t="n">
        <v>45650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4053-2023</t>
        </is>
      </c>
      <c r="B1382" s="1" t="n">
        <v>44952</v>
      </c>
      <c r="C1382" s="1" t="n">
        <v>45650</v>
      </c>
      <c r="D1382" t="inlineStr">
        <is>
          <t>GÄVLEBORGS LÄN</t>
        </is>
      </c>
      <c r="E1382" t="inlineStr">
        <is>
          <t>LJUSDAL</t>
        </is>
      </c>
      <c r="F1382" t="inlineStr">
        <is>
          <t>Bergvik skog väst AB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4034-2023</t>
        </is>
      </c>
      <c r="B1383" s="1" t="n">
        <v>44952</v>
      </c>
      <c r="C1383" s="1" t="n">
        <v>45650</v>
      </c>
      <c r="D1383" t="inlineStr">
        <is>
          <t>GÄVLEBORGS LÄN</t>
        </is>
      </c>
      <c r="E1383" t="inlineStr">
        <is>
          <t>LJUSDAL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4197-2023</t>
        </is>
      </c>
      <c r="B1384" s="1" t="n">
        <v>44953</v>
      </c>
      <c r="C1384" s="1" t="n">
        <v>45650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4195-2023</t>
        </is>
      </c>
      <c r="B1385" s="1" t="n">
        <v>44953</v>
      </c>
      <c r="C1385" s="1" t="n">
        <v>45650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4148-2023</t>
        </is>
      </c>
      <c r="B1386" s="1" t="n">
        <v>44953</v>
      </c>
      <c r="C1386" s="1" t="n">
        <v>45650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4275-2023</t>
        </is>
      </c>
      <c r="B1387" s="1" t="n">
        <v>44953</v>
      </c>
      <c r="C1387" s="1" t="n">
        <v>45650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4476-2023</t>
        </is>
      </c>
      <c r="B1388" s="1" t="n">
        <v>44956</v>
      </c>
      <c r="C1388" s="1" t="n">
        <v>45650</v>
      </c>
      <c r="D1388" t="inlineStr">
        <is>
          <t>GÄVLEBORGS LÄN</t>
        </is>
      </c>
      <c r="E1388" t="inlineStr">
        <is>
          <t>LJUSDAL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4525-2023</t>
        </is>
      </c>
      <c r="B1389" s="1" t="n">
        <v>44956</v>
      </c>
      <c r="C1389" s="1" t="n">
        <v>45650</v>
      </c>
      <c r="D1389" t="inlineStr">
        <is>
          <t>GÄVLEBORGS LÄN</t>
        </is>
      </c>
      <c r="E1389" t="inlineStr">
        <is>
          <t>LJUSDAL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4660-2023</t>
        </is>
      </c>
      <c r="B1390" s="1" t="n">
        <v>44957</v>
      </c>
      <c r="C1390" s="1" t="n">
        <v>45650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4818-2023</t>
        </is>
      </c>
      <c r="B1391" s="1" t="n">
        <v>44957</v>
      </c>
      <c r="C1391" s="1" t="n">
        <v>45650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4865-2023</t>
        </is>
      </c>
      <c r="B1392" s="1" t="n">
        <v>44957</v>
      </c>
      <c r="C1392" s="1" t="n">
        <v>45650</v>
      </c>
      <c r="D1392" t="inlineStr">
        <is>
          <t>GÄVLEBORGS LÄN</t>
        </is>
      </c>
      <c r="E1392" t="inlineStr">
        <is>
          <t>LJUSDAL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4824-2023</t>
        </is>
      </c>
      <c r="B1393" s="1" t="n">
        <v>44957</v>
      </c>
      <c r="C1393" s="1" t="n">
        <v>45650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4642-2023</t>
        </is>
      </c>
      <c r="B1394" s="1" t="n">
        <v>44957</v>
      </c>
      <c r="C1394" s="1" t="n">
        <v>45650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4686-2023</t>
        </is>
      </c>
      <c r="B1395" s="1" t="n">
        <v>44957</v>
      </c>
      <c r="C1395" s="1" t="n">
        <v>45650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4805-2023</t>
        </is>
      </c>
      <c r="B1396" s="1" t="n">
        <v>44957</v>
      </c>
      <c r="C1396" s="1" t="n">
        <v>45650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6.9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4646-2023</t>
        </is>
      </c>
      <c r="B1397" s="1" t="n">
        <v>44957</v>
      </c>
      <c r="C1397" s="1" t="n">
        <v>45650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4667-2023</t>
        </is>
      </c>
      <c r="B1398" s="1" t="n">
        <v>44957</v>
      </c>
      <c r="C1398" s="1" t="n">
        <v>45650</v>
      </c>
      <c r="D1398" t="inlineStr">
        <is>
          <t>GÄVLEBORGS LÄN</t>
        </is>
      </c>
      <c r="E1398" t="inlineStr">
        <is>
          <t>LJUSDAL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4862-2023</t>
        </is>
      </c>
      <c r="B1399" s="1" t="n">
        <v>44957</v>
      </c>
      <c r="C1399" s="1" t="n">
        <v>45650</v>
      </c>
      <c r="D1399" t="inlineStr">
        <is>
          <t>GÄVLEBORGS LÄN</t>
        </is>
      </c>
      <c r="E1399" t="inlineStr">
        <is>
          <t>LJUSDAL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4823-2023</t>
        </is>
      </c>
      <c r="B1400" s="1" t="n">
        <v>44957</v>
      </c>
      <c r="C1400" s="1" t="n">
        <v>45650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4864-2023</t>
        </is>
      </c>
      <c r="B1401" s="1" t="n">
        <v>44957</v>
      </c>
      <c r="C1401" s="1" t="n">
        <v>45650</v>
      </c>
      <c r="D1401" t="inlineStr">
        <is>
          <t>GÄVLEBORGS LÄN</t>
        </is>
      </c>
      <c r="E1401" t="inlineStr">
        <is>
          <t>LJUSDAL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5440-2023</t>
        </is>
      </c>
      <c r="B1402" s="1" t="n">
        <v>44959</v>
      </c>
      <c r="C1402" s="1" t="n">
        <v>45650</v>
      </c>
      <c r="D1402" t="inlineStr">
        <is>
          <t>GÄVLEBORGS LÄN</t>
        </is>
      </c>
      <c r="E1402" t="inlineStr">
        <is>
          <t>LJUSDAL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5203-2023</t>
        </is>
      </c>
      <c r="B1403" s="1" t="n">
        <v>44959</v>
      </c>
      <c r="C1403" s="1" t="n">
        <v>45650</v>
      </c>
      <c r="D1403" t="inlineStr">
        <is>
          <t>GÄVLEBORGS LÄN</t>
        </is>
      </c>
      <c r="E1403" t="inlineStr">
        <is>
          <t>LJUSDAL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5639-2023</t>
        </is>
      </c>
      <c r="B1404" s="1" t="n">
        <v>44960</v>
      </c>
      <c r="C1404" s="1" t="n">
        <v>45650</v>
      </c>
      <c r="D1404" t="inlineStr">
        <is>
          <t>GÄVLEBORGS LÄN</t>
        </is>
      </c>
      <c r="E1404" t="inlineStr">
        <is>
          <t>LJUSDAL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5779-2023</t>
        </is>
      </c>
      <c r="B1405" s="1" t="n">
        <v>44963</v>
      </c>
      <c r="C1405" s="1" t="n">
        <v>45650</v>
      </c>
      <c r="D1405" t="inlineStr">
        <is>
          <t>GÄVLEBORGS LÄN</t>
        </is>
      </c>
      <c r="E1405" t="inlineStr">
        <is>
          <t>LJUSDAL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5853-2023</t>
        </is>
      </c>
      <c r="B1406" s="1" t="n">
        <v>44963</v>
      </c>
      <c r="C1406" s="1" t="n">
        <v>45650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5833-2023</t>
        </is>
      </c>
      <c r="B1407" s="1" t="n">
        <v>44963</v>
      </c>
      <c r="C1407" s="1" t="n">
        <v>45650</v>
      </c>
      <c r="D1407" t="inlineStr">
        <is>
          <t>GÄVLEBORGS LÄN</t>
        </is>
      </c>
      <c r="E1407" t="inlineStr">
        <is>
          <t>LJUSDAL</t>
        </is>
      </c>
      <c r="G1407" t="n">
        <v>8.9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5850-2023</t>
        </is>
      </c>
      <c r="B1408" s="1" t="n">
        <v>44963</v>
      </c>
      <c r="C1408" s="1" t="n">
        <v>45650</v>
      </c>
      <c r="D1408" t="inlineStr">
        <is>
          <t>GÄVLEBORGS LÄN</t>
        </is>
      </c>
      <c r="E1408" t="inlineStr">
        <is>
          <t>LJUSDAL</t>
        </is>
      </c>
      <c r="F1408" t="inlineStr">
        <is>
          <t>Allmännings- och besparingsskogar</t>
        </is>
      </c>
      <c r="G1408" t="n">
        <v>20.5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5856-2023</t>
        </is>
      </c>
      <c r="B1409" s="1" t="n">
        <v>44963</v>
      </c>
      <c r="C1409" s="1" t="n">
        <v>45650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5912-2023</t>
        </is>
      </c>
      <c r="B1410" s="1" t="n">
        <v>44963</v>
      </c>
      <c r="C1410" s="1" t="n">
        <v>45650</v>
      </c>
      <c r="D1410" t="inlineStr">
        <is>
          <t>GÄVLEBORGS LÄN</t>
        </is>
      </c>
      <c r="E1410" t="inlineStr">
        <is>
          <t>LJUSDAL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5925-2023</t>
        </is>
      </c>
      <c r="B1411" s="1" t="n">
        <v>44963</v>
      </c>
      <c r="C1411" s="1" t="n">
        <v>45650</v>
      </c>
      <c r="D1411" t="inlineStr">
        <is>
          <t>GÄVLEBORGS LÄN</t>
        </is>
      </c>
      <c r="E1411" t="inlineStr">
        <is>
          <t>LJUSDAL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5915-2023</t>
        </is>
      </c>
      <c r="B1412" s="1" t="n">
        <v>44963</v>
      </c>
      <c r="C1412" s="1" t="n">
        <v>45650</v>
      </c>
      <c r="D1412" t="inlineStr">
        <is>
          <t>GÄVLEBORGS LÄN</t>
        </is>
      </c>
      <c r="E1412" t="inlineStr">
        <is>
          <t>LJUSDAL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6153-2023</t>
        </is>
      </c>
      <c r="B1413" s="1" t="n">
        <v>44964</v>
      </c>
      <c r="C1413" s="1" t="n">
        <v>45650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6259-2023</t>
        </is>
      </c>
      <c r="B1414" s="1" t="n">
        <v>44965</v>
      </c>
      <c r="C1414" s="1" t="n">
        <v>45650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6342-2023</t>
        </is>
      </c>
      <c r="B1415" s="1" t="n">
        <v>44965</v>
      </c>
      <c r="C1415" s="1" t="n">
        <v>45650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26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6432-2023</t>
        </is>
      </c>
      <c r="B1416" s="1" t="n">
        <v>44965</v>
      </c>
      <c r="C1416" s="1" t="n">
        <v>45650</v>
      </c>
      <c r="D1416" t="inlineStr">
        <is>
          <t>GÄVLEBORGS LÄN</t>
        </is>
      </c>
      <c r="E1416" t="inlineStr">
        <is>
          <t>LJUSDAL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6861-2023</t>
        </is>
      </c>
      <c r="B1417" s="1" t="n">
        <v>44967</v>
      </c>
      <c r="C1417" s="1" t="n">
        <v>45650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7012-2023</t>
        </is>
      </c>
      <c r="B1418" s="1" t="n">
        <v>44967</v>
      </c>
      <c r="C1418" s="1" t="n">
        <v>45650</v>
      </c>
      <c r="D1418" t="inlineStr">
        <is>
          <t>GÄVLEBORGS LÄN</t>
        </is>
      </c>
      <c r="E1418" t="inlineStr">
        <is>
          <t>LJUSDAL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7182-2023</t>
        </is>
      </c>
      <c r="B1419" s="1" t="n">
        <v>44970</v>
      </c>
      <c r="C1419" s="1" t="n">
        <v>45650</v>
      </c>
      <c r="D1419" t="inlineStr">
        <is>
          <t>GÄVLEBORGS LÄN</t>
        </is>
      </c>
      <c r="E1419" t="inlineStr">
        <is>
          <t>LJUSDAL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7177-2023</t>
        </is>
      </c>
      <c r="B1420" s="1" t="n">
        <v>44970</v>
      </c>
      <c r="C1420" s="1" t="n">
        <v>45650</v>
      </c>
      <c r="D1420" t="inlineStr">
        <is>
          <t>GÄVLEBORGS LÄN</t>
        </is>
      </c>
      <c r="E1420" t="inlineStr">
        <is>
          <t>LJUSDAL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7192-2023</t>
        </is>
      </c>
      <c r="B1421" s="1" t="n">
        <v>44970</v>
      </c>
      <c r="C1421" s="1" t="n">
        <v>45650</v>
      </c>
      <c r="D1421" t="inlineStr">
        <is>
          <t>GÄVLEBORGS LÄN</t>
        </is>
      </c>
      <c r="E1421" t="inlineStr">
        <is>
          <t>LJUSDAL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7578-2023</t>
        </is>
      </c>
      <c r="B1422" s="1" t="n">
        <v>44972</v>
      </c>
      <c r="C1422" s="1" t="n">
        <v>45650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7569-2023</t>
        </is>
      </c>
      <c r="B1423" s="1" t="n">
        <v>44972</v>
      </c>
      <c r="C1423" s="1" t="n">
        <v>45650</v>
      </c>
      <c r="D1423" t="inlineStr">
        <is>
          <t>GÄVLEBORGS LÄN</t>
        </is>
      </c>
      <c r="E1423" t="inlineStr">
        <is>
          <t>LJUSDAL</t>
        </is>
      </c>
      <c r="F1423" t="inlineStr">
        <is>
          <t>Kommuner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7576-2023</t>
        </is>
      </c>
      <c r="B1424" s="1" t="n">
        <v>44972</v>
      </c>
      <c r="C1424" s="1" t="n">
        <v>45650</v>
      </c>
      <c r="D1424" t="inlineStr">
        <is>
          <t>GÄVLEBORGS LÄN</t>
        </is>
      </c>
      <c r="E1424" t="inlineStr">
        <is>
          <t>LJUSDAL</t>
        </is>
      </c>
      <c r="F1424" t="inlineStr">
        <is>
          <t>Kommuner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8300-2023</t>
        </is>
      </c>
      <c r="B1425" s="1" t="n">
        <v>44974</v>
      </c>
      <c r="C1425" s="1" t="n">
        <v>45650</v>
      </c>
      <c r="D1425" t="inlineStr">
        <is>
          <t>GÄVLEBORGS LÄN</t>
        </is>
      </c>
      <c r="E1425" t="inlineStr">
        <is>
          <t>LJUSDAL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8659-2023</t>
        </is>
      </c>
      <c r="B1426" s="1" t="n">
        <v>44977</v>
      </c>
      <c r="C1426" s="1" t="n">
        <v>45650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8664-2023</t>
        </is>
      </c>
      <c r="B1427" s="1" t="n">
        <v>44977</v>
      </c>
      <c r="C1427" s="1" t="n">
        <v>45650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23.3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8662-2023</t>
        </is>
      </c>
      <c r="B1428" s="1" t="n">
        <v>44977</v>
      </c>
      <c r="C1428" s="1" t="n">
        <v>45650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17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8660-2023</t>
        </is>
      </c>
      <c r="B1429" s="1" t="n">
        <v>44977</v>
      </c>
      <c r="C1429" s="1" t="n">
        <v>45650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8661-2023</t>
        </is>
      </c>
      <c r="B1430" s="1" t="n">
        <v>44977</v>
      </c>
      <c r="C1430" s="1" t="n">
        <v>45650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41.6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9241-2023</t>
        </is>
      </c>
      <c r="B1431" s="1" t="n">
        <v>44980</v>
      </c>
      <c r="C1431" s="1" t="n">
        <v>45650</v>
      </c>
      <c r="D1431" t="inlineStr">
        <is>
          <t>GÄVLEBORGS LÄN</t>
        </is>
      </c>
      <c r="E1431" t="inlineStr">
        <is>
          <t>LJUSDAL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10192-2023</t>
        </is>
      </c>
      <c r="B1432" s="1" t="n">
        <v>44980</v>
      </c>
      <c r="C1432" s="1" t="n">
        <v>45650</v>
      </c>
      <c r="D1432" t="inlineStr">
        <is>
          <t>GÄVLEBORGS LÄN</t>
        </is>
      </c>
      <c r="E1432" t="inlineStr">
        <is>
          <t>LJUSDAL</t>
        </is>
      </c>
      <c r="F1432" t="inlineStr">
        <is>
          <t>Allmännings- och besparingsskogar</t>
        </is>
      </c>
      <c r="G1432" t="n">
        <v>24.3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9946-2023</t>
        </is>
      </c>
      <c r="B1433" s="1" t="n">
        <v>44985</v>
      </c>
      <c r="C1433" s="1" t="n">
        <v>45650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9926-2023</t>
        </is>
      </c>
      <c r="B1434" s="1" t="n">
        <v>44985</v>
      </c>
      <c r="C1434" s="1" t="n">
        <v>45650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17.5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10038-2023</t>
        </is>
      </c>
      <c r="B1435" s="1" t="n">
        <v>44985</v>
      </c>
      <c r="C1435" s="1" t="n">
        <v>45650</v>
      </c>
      <c r="D1435" t="inlineStr">
        <is>
          <t>GÄVLEBORGS LÄN</t>
        </is>
      </c>
      <c r="E1435" t="inlineStr">
        <is>
          <t>LJUSDAL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9937-2023</t>
        </is>
      </c>
      <c r="B1436" s="1" t="n">
        <v>44985</v>
      </c>
      <c r="C1436" s="1" t="n">
        <v>45650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9981-2023</t>
        </is>
      </c>
      <c r="B1437" s="1" t="n">
        <v>44985</v>
      </c>
      <c r="C1437" s="1" t="n">
        <v>45650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9999-2023</t>
        </is>
      </c>
      <c r="B1438" s="1" t="n">
        <v>44985</v>
      </c>
      <c r="C1438" s="1" t="n">
        <v>45650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10026-2023</t>
        </is>
      </c>
      <c r="B1439" s="1" t="n">
        <v>44985</v>
      </c>
      <c r="C1439" s="1" t="n">
        <v>45650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10157-2023</t>
        </is>
      </c>
      <c r="B1440" s="1" t="n">
        <v>44986</v>
      </c>
      <c r="C1440" s="1" t="n">
        <v>45650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10176-2023</t>
        </is>
      </c>
      <c r="B1441" s="1" t="n">
        <v>44986</v>
      </c>
      <c r="C1441" s="1" t="n">
        <v>45650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10197-2023</t>
        </is>
      </c>
      <c r="B1442" s="1" t="n">
        <v>44986</v>
      </c>
      <c r="C1442" s="1" t="n">
        <v>45650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10163-2023</t>
        </is>
      </c>
      <c r="B1443" s="1" t="n">
        <v>44986</v>
      </c>
      <c r="C1443" s="1" t="n">
        <v>45650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10186-2023</t>
        </is>
      </c>
      <c r="B1444" s="1" t="n">
        <v>44986</v>
      </c>
      <c r="C1444" s="1" t="n">
        <v>45650</v>
      </c>
      <c r="D1444" t="inlineStr">
        <is>
          <t>GÄVLEBORGS LÄN</t>
        </is>
      </c>
      <c r="E1444" t="inlineStr">
        <is>
          <t>LJUSDAL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10213-2023</t>
        </is>
      </c>
      <c r="B1445" s="1" t="n">
        <v>44986</v>
      </c>
      <c r="C1445" s="1" t="n">
        <v>45650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10470-2023</t>
        </is>
      </c>
      <c r="B1446" s="1" t="n">
        <v>44987</v>
      </c>
      <c r="C1446" s="1" t="n">
        <v>45650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Sveaskog</t>
        </is>
      </c>
      <c r="G1446" t="n">
        <v>16.2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10853-2023</t>
        </is>
      </c>
      <c r="B1447" s="1" t="n">
        <v>44991</v>
      </c>
      <c r="C1447" s="1" t="n">
        <v>45650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10850-2023</t>
        </is>
      </c>
      <c r="B1448" s="1" t="n">
        <v>44991</v>
      </c>
      <c r="C1448" s="1" t="n">
        <v>45650</v>
      </c>
      <c r="D1448" t="inlineStr">
        <is>
          <t>GÄVLEBORGS LÄN</t>
        </is>
      </c>
      <c r="E1448" t="inlineStr">
        <is>
          <t>LJUSDAL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11914-2023</t>
        </is>
      </c>
      <c r="B1449" s="1" t="n">
        <v>44995</v>
      </c>
      <c r="C1449" s="1" t="n">
        <v>45650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11923-2023</t>
        </is>
      </c>
      <c r="B1450" s="1" t="n">
        <v>44995</v>
      </c>
      <c r="C1450" s="1" t="n">
        <v>45650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Holmen skog AB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11964-2023</t>
        </is>
      </c>
      <c r="B1451" s="1" t="n">
        <v>44995</v>
      </c>
      <c r="C1451" s="1" t="n">
        <v>45650</v>
      </c>
      <c r="D1451" t="inlineStr">
        <is>
          <t>GÄVLEBORGS LÄN</t>
        </is>
      </c>
      <c r="E1451" t="inlineStr">
        <is>
          <t>LJUSDAL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11979-2023</t>
        </is>
      </c>
      <c r="B1452" s="1" t="n">
        <v>44995</v>
      </c>
      <c r="C1452" s="1" t="n">
        <v>45650</v>
      </c>
      <c r="D1452" t="inlineStr">
        <is>
          <t>GÄVLEBORGS LÄN</t>
        </is>
      </c>
      <c r="E1452" t="inlineStr">
        <is>
          <t>LJUSDAL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12004-2023</t>
        </is>
      </c>
      <c r="B1453" s="1" t="n">
        <v>44995</v>
      </c>
      <c r="C1453" s="1" t="n">
        <v>45650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12555-2023</t>
        </is>
      </c>
      <c r="B1454" s="1" t="n">
        <v>45000</v>
      </c>
      <c r="C1454" s="1" t="n">
        <v>45650</v>
      </c>
      <c r="D1454" t="inlineStr">
        <is>
          <t>GÄVLEBORGS LÄN</t>
        </is>
      </c>
      <c r="E1454" t="inlineStr">
        <is>
          <t>LJUSDAL</t>
        </is>
      </c>
      <c r="G1454" t="n">
        <v>8.4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13094-2023</t>
        </is>
      </c>
      <c r="B1455" s="1" t="n">
        <v>45002</v>
      </c>
      <c r="C1455" s="1" t="n">
        <v>45650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13116-2023</t>
        </is>
      </c>
      <c r="B1456" s="1" t="n">
        <v>45002</v>
      </c>
      <c r="C1456" s="1" t="n">
        <v>45650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Allmännings- och besparingsskogar</t>
        </is>
      </c>
      <c r="G1456" t="n">
        <v>8.800000000000001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13345-2023</t>
        </is>
      </c>
      <c r="B1457" s="1" t="n">
        <v>45005</v>
      </c>
      <c r="C1457" s="1" t="n">
        <v>45650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17.8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13667-2023</t>
        </is>
      </c>
      <c r="B1458" s="1" t="n">
        <v>45006</v>
      </c>
      <c r="C1458" s="1" t="n">
        <v>45650</v>
      </c>
      <c r="D1458" t="inlineStr">
        <is>
          <t>GÄVLEBORGS LÄN</t>
        </is>
      </c>
      <c r="E1458" t="inlineStr">
        <is>
          <t>LJUSDAL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13854-2023</t>
        </is>
      </c>
      <c r="B1459" s="1" t="n">
        <v>45007</v>
      </c>
      <c r="C1459" s="1" t="n">
        <v>45650</v>
      </c>
      <c r="D1459" t="inlineStr">
        <is>
          <t>GÄVLEBORGS LÄN</t>
        </is>
      </c>
      <c r="E1459" t="inlineStr">
        <is>
          <t>LJUSDAL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14036-2023</t>
        </is>
      </c>
      <c r="B1460" s="1" t="n">
        <v>45008</v>
      </c>
      <c r="C1460" s="1" t="n">
        <v>45650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14473-2023</t>
        </is>
      </c>
      <c r="B1461" s="1" t="n">
        <v>45012</v>
      </c>
      <c r="C1461" s="1" t="n">
        <v>45650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Kyrkan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14479-2023</t>
        </is>
      </c>
      <c r="B1462" s="1" t="n">
        <v>45012</v>
      </c>
      <c r="C1462" s="1" t="n">
        <v>45650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Kyrkan</t>
        </is>
      </c>
      <c r="G1462" t="n">
        <v>27.5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14664-2023</t>
        </is>
      </c>
      <c r="B1463" s="1" t="n">
        <v>45014</v>
      </c>
      <c r="C1463" s="1" t="n">
        <v>45650</v>
      </c>
      <c r="D1463" t="inlineStr">
        <is>
          <t>GÄVLEBORGS LÄN</t>
        </is>
      </c>
      <c r="E1463" t="inlineStr">
        <is>
          <t>LJUSDAL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15015-2023</t>
        </is>
      </c>
      <c r="B1464" s="1" t="n">
        <v>45015</v>
      </c>
      <c r="C1464" s="1" t="n">
        <v>45650</v>
      </c>
      <c r="D1464" t="inlineStr">
        <is>
          <t>GÄVLEBORGS LÄN</t>
        </is>
      </c>
      <c r="E1464" t="inlineStr">
        <is>
          <t>LJUSDAL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15138-2023</t>
        </is>
      </c>
      <c r="B1465" s="1" t="n">
        <v>45016</v>
      </c>
      <c r="C1465" s="1" t="n">
        <v>45650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15171-2023</t>
        </is>
      </c>
      <c r="B1466" s="1" t="n">
        <v>45016</v>
      </c>
      <c r="C1466" s="1" t="n">
        <v>45650</v>
      </c>
      <c r="D1466" t="inlineStr">
        <is>
          <t>GÄVLEBORGS LÄN</t>
        </is>
      </c>
      <c r="E1466" t="inlineStr">
        <is>
          <t>LJUSDAL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15178-2023</t>
        </is>
      </c>
      <c r="B1467" s="1" t="n">
        <v>45016</v>
      </c>
      <c r="C1467" s="1" t="n">
        <v>45650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15285-2023</t>
        </is>
      </c>
      <c r="B1468" s="1" t="n">
        <v>45019</v>
      </c>
      <c r="C1468" s="1" t="n">
        <v>45650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15537-2023</t>
        </is>
      </c>
      <c r="B1469" s="1" t="n">
        <v>45020</v>
      </c>
      <c r="C1469" s="1" t="n">
        <v>45650</v>
      </c>
      <c r="D1469" t="inlineStr">
        <is>
          <t>GÄVLEBORGS LÄN</t>
        </is>
      </c>
      <c r="E1469" t="inlineStr">
        <is>
          <t>LJUSDAL</t>
        </is>
      </c>
      <c r="G1469" t="n">
        <v>9.5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16081-2023</t>
        </is>
      </c>
      <c r="B1470" s="1" t="n">
        <v>45027</v>
      </c>
      <c r="C1470" s="1" t="n">
        <v>45650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46.6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16104-2023</t>
        </is>
      </c>
      <c r="B1471" s="1" t="n">
        <v>45027</v>
      </c>
      <c r="C1471" s="1" t="n">
        <v>45650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18.5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16111-2023</t>
        </is>
      </c>
      <c r="B1472" s="1" t="n">
        <v>45027</v>
      </c>
      <c r="C1472" s="1" t="n">
        <v>45650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21.5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16047-2023</t>
        </is>
      </c>
      <c r="B1473" s="1" t="n">
        <v>45027</v>
      </c>
      <c r="C1473" s="1" t="n">
        <v>45650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8.300000000000001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16100-2023</t>
        </is>
      </c>
      <c r="B1474" s="1" t="n">
        <v>45027</v>
      </c>
      <c r="C1474" s="1" t="n">
        <v>45650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16197-2023</t>
        </is>
      </c>
      <c r="B1475" s="1" t="n">
        <v>45028</v>
      </c>
      <c r="C1475" s="1" t="n">
        <v>45650</v>
      </c>
      <c r="D1475" t="inlineStr">
        <is>
          <t>GÄVLEBORGS LÄN</t>
        </is>
      </c>
      <c r="E1475" t="inlineStr">
        <is>
          <t>LJUSDAL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16228-2023</t>
        </is>
      </c>
      <c r="B1476" s="1" t="n">
        <v>45028</v>
      </c>
      <c r="C1476" s="1" t="n">
        <v>45650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16443-2023</t>
        </is>
      </c>
      <c r="B1477" s="1" t="n">
        <v>45029</v>
      </c>
      <c r="C1477" s="1" t="n">
        <v>45650</v>
      </c>
      <c r="D1477" t="inlineStr">
        <is>
          <t>GÄVLEBORGS LÄN</t>
        </is>
      </c>
      <c r="E1477" t="inlineStr">
        <is>
          <t>LJUSDAL</t>
        </is>
      </c>
      <c r="G1477" t="n">
        <v>15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16575-2023</t>
        </is>
      </c>
      <c r="B1478" s="1" t="n">
        <v>45030</v>
      </c>
      <c r="C1478" s="1" t="n">
        <v>45650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17003-2023</t>
        </is>
      </c>
      <c r="B1479" s="1" t="n">
        <v>45034</v>
      </c>
      <c r="C1479" s="1" t="n">
        <v>45650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10.8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17004-2023</t>
        </is>
      </c>
      <c r="B1480" s="1" t="n">
        <v>45033</v>
      </c>
      <c r="C1480" s="1" t="n">
        <v>45650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17005-2023</t>
        </is>
      </c>
      <c r="B1481" s="1" t="n">
        <v>45034</v>
      </c>
      <c r="C1481" s="1" t="n">
        <v>45650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17244-2023</t>
        </is>
      </c>
      <c r="B1482" s="1" t="n">
        <v>45035</v>
      </c>
      <c r="C1482" s="1" t="n">
        <v>45650</v>
      </c>
      <c r="D1482" t="inlineStr">
        <is>
          <t>GÄVLEBORGS LÄN</t>
        </is>
      </c>
      <c r="E1482" t="inlineStr">
        <is>
          <t>LJUSDAL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17230-2023</t>
        </is>
      </c>
      <c r="B1483" s="1" t="n">
        <v>45035</v>
      </c>
      <c r="C1483" s="1" t="n">
        <v>45650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17228-2023</t>
        </is>
      </c>
      <c r="B1484" s="1" t="n">
        <v>45035</v>
      </c>
      <c r="C1484" s="1" t="n">
        <v>45650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  <c r="U1484">
        <f>HYPERLINK("https://klasma.github.io/Logging_2161/knärot/A 17228-2023 karta knärot.png", "A 17228-2023")</f>
        <v/>
      </c>
      <c r="V1484">
        <f>HYPERLINK("https://klasma.github.io/Logging_2161/klagomål/A 17228-2023 FSC-klagomål.docx", "A 17228-2023")</f>
        <v/>
      </c>
      <c r="W1484">
        <f>HYPERLINK("https://klasma.github.io/Logging_2161/klagomålsmail/A 17228-2023 FSC-klagomål mail.docx", "A 17228-2023")</f>
        <v/>
      </c>
      <c r="X1484">
        <f>HYPERLINK("https://klasma.github.io/Logging_2161/tillsyn/A 17228-2023 tillsynsbegäran.docx", "A 17228-2023")</f>
        <v/>
      </c>
      <c r="Y1484">
        <f>HYPERLINK("https://klasma.github.io/Logging_2161/tillsynsmail/A 17228-2023 tillsynsbegäran mail.docx", "A 17228-2023")</f>
        <v/>
      </c>
    </row>
    <row r="1485" ht="15" customHeight="1">
      <c r="A1485" t="inlineStr">
        <is>
          <t>A 17241-2023</t>
        </is>
      </c>
      <c r="B1485" s="1" t="n">
        <v>45035</v>
      </c>
      <c r="C1485" s="1" t="n">
        <v>45650</v>
      </c>
      <c r="D1485" t="inlineStr">
        <is>
          <t>GÄVLEBORGS LÄN</t>
        </is>
      </c>
      <c r="E1485" t="inlineStr">
        <is>
          <t>LJUSDAL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17499-2023</t>
        </is>
      </c>
      <c r="B1486" s="1" t="n">
        <v>45036</v>
      </c>
      <c r="C1486" s="1" t="n">
        <v>45650</v>
      </c>
      <c r="D1486" t="inlineStr">
        <is>
          <t>GÄVLEBORGS LÄN</t>
        </is>
      </c>
      <c r="E1486" t="inlineStr">
        <is>
          <t>LJUSDAL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17526-2023</t>
        </is>
      </c>
      <c r="B1487" s="1" t="n">
        <v>45036</v>
      </c>
      <c r="C1487" s="1" t="n">
        <v>45650</v>
      </c>
      <c r="D1487" t="inlineStr">
        <is>
          <t>GÄVLEBORGS LÄN</t>
        </is>
      </c>
      <c r="E1487" t="inlineStr">
        <is>
          <t>LJUSDAL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17522-2023</t>
        </is>
      </c>
      <c r="B1488" s="1" t="n">
        <v>45036</v>
      </c>
      <c r="C1488" s="1" t="n">
        <v>45650</v>
      </c>
      <c r="D1488" t="inlineStr">
        <is>
          <t>GÄVLEBORGS LÄN</t>
        </is>
      </c>
      <c r="E1488" t="inlineStr">
        <is>
          <t>LJUSDAL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17667-2023</t>
        </is>
      </c>
      <c r="B1489" s="1" t="n">
        <v>45037</v>
      </c>
      <c r="C1489" s="1" t="n">
        <v>45650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SCA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17699-2023</t>
        </is>
      </c>
      <c r="B1490" s="1" t="n">
        <v>45037</v>
      </c>
      <c r="C1490" s="1" t="n">
        <v>45650</v>
      </c>
      <c r="D1490" t="inlineStr">
        <is>
          <t>GÄVLEBORGS LÄN</t>
        </is>
      </c>
      <c r="E1490" t="inlineStr">
        <is>
          <t>LJUSDAL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17681-2023</t>
        </is>
      </c>
      <c r="B1491" s="1" t="n">
        <v>45037</v>
      </c>
      <c r="C1491" s="1" t="n">
        <v>45650</v>
      </c>
      <c r="D1491" t="inlineStr">
        <is>
          <t>GÄVLEBORGS LÄN</t>
        </is>
      </c>
      <c r="E1491" t="inlineStr">
        <is>
          <t>LJUSDAL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17696-2023</t>
        </is>
      </c>
      <c r="B1492" s="1" t="n">
        <v>45037</v>
      </c>
      <c r="C1492" s="1" t="n">
        <v>45650</v>
      </c>
      <c r="D1492" t="inlineStr">
        <is>
          <t>GÄVLEBORGS LÄN</t>
        </is>
      </c>
      <c r="E1492" t="inlineStr">
        <is>
          <t>LJUSDAL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18043-2023</t>
        </is>
      </c>
      <c r="B1493" s="1" t="n">
        <v>45040</v>
      </c>
      <c r="C1493" s="1" t="n">
        <v>45650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18314-2023</t>
        </is>
      </c>
      <c r="B1494" s="1" t="n">
        <v>45041</v>
      </c>
      <c r="C1494" s="1" t="n">
        <v>45650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18488-2023</t>
        </is>
      </c>
      <c r="B1495" s="1" t="n">
        <v>45042</v>
      </c>
      <c r="C1495" s="1" t="n">
        <v>45650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19033-2023</t>
        </is>
      </c>
      <c r="B1496" s="1" t="n">
        <v>45047</v>
      </c>
      <c r="C1496" s="1" t="n">
        <v>45650</v>
      </c>
      <c r="D1496" t="inlineStr">
        <is>
          <t>GÄVLEBORGS LÄN</t>
        </is>
      </c>
      <c r="E1496" t="inlineStr">
        <is>
          <t>LJUSDAL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19022-2023</t>
        </is>
      </c>
      <c r="B1497" s="1" t="n">
        <v>45047</v>
      </c>
      <c r="C1497" s="1" t="n">
        <v>45650</v>
      </c>
      <c r="D1497" t="inlineStr">
        <is>
          <t>GÄVLEBORGS LÄN</t>
        </is>
      </c>
      <c r="E1497" t="inlineStr">
        <is>
          <t>LJUSDAL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19035-2023</t>
        </is>
      </c>
      <c r="B1498" s="1" t="n">
        <v>45047</v>
      </c>
      <c r="C1498" s="1" t="n">
        <v>45650</v>
      </c>
      <c r="D1498" t="inlineStr">
        <is>
          <t>GÄVLEBORGS LÄN</t>
        </is>
      </c>
      <c r="E1498" t="inlineStr">
        <is>
          <t>LJUSDAL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19034-2023</t>
        </is>
      </c>
      <c r="B1499" s="1" t="n">
        <v>45047</v>
      </c>
      <c r="C1499" s="1" t="n">
        <v>45650</v>
      </c>
      <c r="D1499" t="inlineStr">
        <is>
          <t>GÄVLEBORGS LÄN</t>
        </is>
      </c>
      <c r="E1499" t="inlineStr">
        <is>
          <t>LJUSDAL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19078-2023</t>
        </is>
      </c>
      <c r="B1500" s="1" t="n">
        <v>45048</v>
      </c>
      <c r="C1500" s="1" t="n">
        <v>45650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19693-2023</t>
        </is>
      </c>
      <c r="B1501" s="1" t="n">
        <v>45051</v>
      </c>
      <c r="C1501" s="1" t="n">
        <v>45650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19954-2023</t>
        </is>
      </c>
      <c r="B1502" s="1" t="n">
        <v>45054</v>
      </c>
      <c r="C1502" s="1" t="n">
        <v>45650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6.1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20016-2023</t>
        </is>
      </c>
      <c r="B1503" s="1" t="n">
        <v>45054</v>
      </c>
      <c r="C1503" s="1" t="n">
        <v>45650</v>
      </c>
      <c r="D1503" t="inlineStr">
        <is>
          <t>GÄVLEBORGS LÄN</t>
        </is>
      </c>
      <c r="E1503" t="inlineStr">
        <is>
          <t>LJUSDAL</t>
        </is>
      </c>
      <c r="F1503" t="inlineStr">
        <is>
          <t>Kommuner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20219-2023</t>
        </is>
      </c>
      <c r="B1504" s="1" t="n">
        <v>45055</v>
      </c>
      <c r="C1504" s="1" t="n">
        <v>45650</v>
      </c>
      <c r="D1504" t="inlineStr">
        <is>
          <t>GÄVLEBORGS LÄN</t>
        </is>
      </c>
      <c r="E1504" t="inlineStr">
        <is>
          <t>LJUSDAL</t>
        </is>
      </c>
      <c r="F1504" t="inlineStr">
        <is>
          <t>Bergvik skog väst AB</t>
        </is>
      </c>
      <c r="G1504" t="n">
        <v>8.800000000000001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20171-2023</t>
        </is>
      </c>
      <c r="B1505" s="1" t="n">
        <v>45055</v>
      </c>
      <c r="C1505" s="1" t="n">
        <v>45650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20204-2023</t>
        </is>
      </c>
      <c r="B1506" s="1" t="n">
        <v>45055</v>
      </c>
      <c r="C1506" s="1" t="n">
        <v>45650</v>
      </c>
      <c r="D1506" t="inlineStr">
        <is>
          <t>GÄVLEBORGS LÄN</t>
        </is>
      </c>
      <c r="E1506" t="inlineStr">
        <is>
          <t>LJUSDAL</t>
        </is>
      </c>
      <c r="F1506" t="inlineStr">
        <is>
          <t>Allmännings- och besparingsskogar</t>
        </is>
      </c>
      <c r="G1506" t="n">
        <v>18.5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20408-2023</t>
        </is>
      </c>
      <c r="B1507" s="1" t="n">
        <v>45056</v>
      </c>
      <c r="C1507" s="1" t="n">
        <v>45650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Sveaskog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20412-2023</t>
        </is>
      </c>
      <c r="B1508" s="1" t="n">
        <v>45056</v>
      </c>
      <c r="C1508" s="1" t="n">
        <v>45650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20655-2023</t>
        </is>
      </c>
      <c r="B1509" s="1" t="n">
        <v>45058</v>
      </c>
      <c r="C1509" s="1" t="n">
        <v>45650</v>
      </c>
      <c r="D1509" t="inlineStr">
        <is>
          <t>GÄVLEBORGS LÄN</t>
        </is>
      </c>
      <c r="E1509" t="inlineStr">
        <is>
          <t>LJUSDAL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20909-2023</t>
        </is>
      </c>
      <c r="B1510" s="1" t="n">
        <v>45060</v>
      </c>
      <c r="C1510" s="1" t="n">
        <v>45650</v>
      </c>
      <c r="D1510" t="inlineStr">
        <is>
          <t>GÄVLEBORGS LÄN</t>
        </is>
      </c>
      <c r="E1510" t="inlineStr">
        <is>
          <t>LJUSDAL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20988-2023</t>
        </is>
      </c>
      <c r="B1511" s="1" t="n">
        <v>45061</v>
      </c>
      <c r="C1511" s="1" t="n">
        <v>45650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20912-2023</t>
        </is>
      </c>
      <c r="B1512" s="1" t="n">
        <v>45061</v>
      </c>
      <c r="C1512" s="1" t="n">
        <v>45650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20914-2023</t>
        </is>
      </c>
      <c r="B1513" s="1" t="n">
        <v>45061</v>
      </c>
      <c r="C1513" s="1" t="n">
        <v>45650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35.5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20910-2023</t>
        </is>
      </c>
      <c r="B1514" s="1" t="n">
        <v>45061</v>
      </c>
      <c r="C1514" s="1" t="n">
        <v>45650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21125-2023</t>
        </is>
      </c>
      <c r="B1515" s="1" t="n">
        <v>45062</v>
      </c>
      <c r="C1515" s="1" t="n">
        <v>45650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21475-2023</t>
        </is>
      </c>
      <c r="B1516" s="1" t="n">
        <v>45063</v>
      </c>
      <c r="C1516" s="1" t="n">
        <v>45650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9.4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21474-2023</t>
        </is>
      </c>
      <c r="B1517" s="1" t="n">
        <v>45063</v>
      </c>
      <c r="C1517" s="1" t="n">
        <v>45650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21591-2023</t>
        </is>
      </c>
      <c r="B1518" s="1" t="n">
        <v>45063</v>
      </c>
      <c r="C1518" s="1" t="n">
        <v>45650</v>
      </c>
      <c r="D1518" t="inlineStr">
        <is>
          <t>GÄVLEBORGS LÄN</t>
        </is>
      </c>
      <c r="E1518" t="inlineStr">
        <is>
          <t>LJUSDAL</t>
        </is>
      </c>
      <c r="G1518" t="n">
        <v>8.699999999999999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21742-2023</t>
        </is>
      </c>
      <c r="B1519" s="1" t="n">
        <v>45065</v>
      </c>
      <c r="C1519" s="1" t="n">
        <v>45650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Allmännings- och besparingsskogar</t>
        </is>
      </c>
      <c r="G1519" t="n">
        <v>17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21816-2023</t>
        </is>
      </c>
      <c r="B1520" s="1" t="n">
        <v>45068</v>
      </c>
      <c r="C1520" s="1" t="n">
        <v>45650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21914-2023</t>
        </is>
      </c>
      <c r="B1521" s="1" t="n">
        <v>45068</v>
      </c>
      <c r="C1521" s="1" t="n">
        <v>45650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17.3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22066-2023</t>
        </is>
      </c>
      <c r="B1522" s="1" t="n">
        <v>45069</v>
      </c>
      <c r="C1522" s="1" t="n">
        <v>45650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22096-2023</t>
        </is>
      </c>
      <c r="B1523" s="1" t="n">
        <v>45069</v>
      </c>
      <c r="C1523" s="1" t="n">
        <v>45650</v>
      </c>
      <c r="D1523" t="inlineStr">
        <is>
          <t>GÄVLEBORGS LÄN</t>
        </is>
      </c>
      <c r="E1523" t="inlineStr">
        <is>
          <t>LJUSDAL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22221-2023</t>
        </is>
      </c>
      <c r="B1524" s="1" t="n">
        <v>45070</v>
      </c>
      <c r="C1524" s="1" t="n">
        <v>45650</v>
      </c>
      <c r="D1524" t="inlineStr">
        <is>
          <t>GÄVLEBORGS LÄN</t>
        </is>
      </c>
      <c r="E1524" t="inlineStr">
        <is>
          <t>LJUSDAL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22039-2023</t>
        </is>
      </c>
      <c r="B1525" s="1" t="n">
        <v>45069</v>
      </c>
      <c r="C1525" s="1" t="n">
        <v>45650</v>
      </c>
      <c r="D1525" t="inlineStr">
        <is>
          <t>GÄVLEBORGS LÄN</t>
        </is>
      </c>
      <c r="E1525" t="inlineStr">
        <is>
          <t>LJUSDAL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22250-2023</t>
        </is>
      </c>
      <c r="B1526" s="1" t="n">
        <v>45070</v>
      </c>
      <c r="C1526" s="1" t="n">
        <v>45650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29.7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22317-2023</t>
        </is>
      </c>
      <c r="B1527" s="1" t="n">
        <v>45070</v>
      </c>
      <c r="C1527" s="1" t="n">
        <v>45650</v>
      </c>
      <c r="D1527" t="inlineStr">
        <is>
          <t>GÄVLEBORGS LÄN</t>
        </is>
      </c>
      <c r="E1527" t="inlineStr">
        <is>
          <t>LJUSDAL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22343-2023</t>
        </is>
      </c>
      <c r="B1528" s="1" t="n">
        <v>45070</v>
      </c>
      <c r="C1528" s="1" t="n">
        <v>45650</v>
      </c>
      <c r="D1528" t="inlineStr">
        <is>
          <t>GÄVLEBORGS LÄN</t>
        </is>
      </c>
      <c r="E1528" t="inlineStr">
        <is>
          <t>LJUSDAL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22251-2023</t>
        </is>
      </c>
      <c r="B1529" s="1" t="n">
        <v>45070</v>
      </c>
      <c r="C1529" s="1" t="n">
        <v>45650</v>
      </c>
      <c r="D1529" t="inlineStr">
        <is>
          <t>GÄVLEBORGS LÄN</t>
        </is>
      </c>
      <c r="E1529" t="inlineStr">
        <is>
          <t>LJUSDAL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22252-2023</t>
        </is>
      </c>
      <c r="B1530" s="1" t="n">
        <v>45070</v>
      </c>
      <c r="C1530" s="1" t="n">
        <v>45650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22276-2023</t>
        </is>
      </c>
      <c r="B1531" s="1" t="n">
        <v>45070</v>
      </c>
      <c r="C1531" s="1" t="n">
        <v>45650</v>
      </c>
      <c r="D1531" t="inlineStr">
        <is>
          <t>GÄVLEBORGS LÄN</t>
        </is>
      </c>
      <c r="E1531" t="inlineStr">
        <is>
          <t>LJUSDAL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22338-2023</t>
        </is>
      </c>
      <c r="B1532" s="1" t="n">
        <v>45070</v>
      </c>
      <c r="C1532" s="1" t="n">
        <v>45650</v>
      </c>
      <c r="D1532" t="inlineStr">
        <is>
          <t>GÄVLEBORGS LÄN</t>
        </is>
      </c>
      <c r="E1532" t="inlineStr">
        <is>
          <t>LJUSDAL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22440-2023</t>
        </is>
      </c>
      <c r="B1533" s="1" t="n">
        <v>45070</v>
      </c>
      <c r="C1533" s="1" t="n">
        <v>45650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22462-2023</t>
        </is>
      </c>
      <c r="B1534" s="1" t="n">
        <v>45070</v>
      </c>
      <c r="C1534" s="1" t="n">
        <v>45650</v>
      </c>
      <c r="D1534" t="inlineStr">
        <is>
          <t>GÄVLEBORGS LÄN</t>
        </is>
      </c>
      <c r="E1534" t="inlineStr">
        <is>
          <t>LJUSDAL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22504-2023</t>
        </is>
      </c>
      <c r="B1535" s="1" t="n">
        <v>45071</v>
      </c>
      <c r="C1535" s="1" t="n">
        <v>45650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22627-2023</t>
        </is>
      </c>
      <c r="B1536" s="1" t="n">
        <v>45071</v>
      </c>
      <c r="C1536" s="1" t="n">
        <v>45650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22531-2023</t>
        </is>
      </c>
      <c r="B1537" s="1" t="n">
        <v>45071</v>
      </c>
      <c r="C1537" s="1" t="n">
        <v>45650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22559-2023</t>
        </is>
      </c>
      <c r="B1538" s="1" t="n">
        <v>45071</v>
      </c>
      <c r="C1538" s="1" t="n">
        <v>45650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22558-2023</t>
        </is>
      </c>
      <c r="B1539" s="1" t="n">
        <v>45071</v>
      </c>
      <c r="C1539" s="1" t="n">
        <v>45650</v>
      </c>
      <c r="D1539" t="inlineStr">
        <is>
          <t>GÄVLEBORGS LÄN</t>
        </is>
      </c>
      <c r="E1539" t="inlineStr">
        <is>
          <t>LJUSDAL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22608-2023</t>
        </is>
      </c>
      <c r="B1540" s="1" t="n">
        <v>45071</v>
      </c>
      <c r="C1540" s="1" t="n">
        <v>45650</v>
      </c>
      <c r="D1540" t="inlineStr">
        <is>
          <t>GÄVLEBORGS LÄN</t>
        </is>
      </c>
      <c r="E1540" t="inlineStr">
        <is>
          <t>LJUSDAL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22620-2023</t>
        </is>
      </c>
      <c r="B1541" s="1" t="n">
        <v>45071</v>
      </c>
      <c r="C1541" s="1" t="n">
        <v>45650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22678-2023</t>
        </is>
      </c>
      <c r="B1542" s="1" t="n">
        <v>45071</v>
      </c>
      <c r="C1542" s="1" t="n">
        <v>45650</v>
      </c>
      <c r="D1542" t="inlineStr">
        <is>
          <t>GÄVLEBORGS LÄN</t>
        </is>
      </c>
      <c r="E1542" t="inlineStr">
        <is>
          <t>LJUSDAL</t>
        </is>
      </c>
      <c r="G1542" t="n">
        <v>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22727-2023</t>
        </is>
      </c>
      <c r="B1543" s="1" t="n">
        <v>45072</v>
      </c>
      <c r="C1543" s="1" t="n">
        <v>45650</v>
      </c>
      <c r="D1543" t="inlineStr">
        <is>
          <t>GÄVLEBORGS LÄN</t>
        </is>
      </c>
      <c r="E1543" t="inlineStr">
        <is>
          <t>LJUSDAL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22801-2023</t>
        </is>
      </c>
      <c r="B1544" s="1" t="n">
        <v>45072</v>
      </c>
      <c r="C1544" s="1" t="n">
        <v>45650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22810-2023</t>
        </is>
      </c>
      <c r="B1545" s="1" t="n">
        <v>45072</v>
      </c>
      <c r="C1545" s="1" t="n">
        <v>45650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22870-2023</t>
        </is>
      </c>
      <c r="B1546" s="1" t="n">
        <v>45072</v>
      </c>
      <c r="C1546" s="1" t="n">
        <v>45650</v>
      </c>
      <c r="D1546" t="inlineStr">
        <is>
          <t>GÄVLEBORGS LÄN</t>
        </is>
      </c>
      <c r="E1546" t="inlineStr">
        <is>
          <t>LJUSDAL</t>
        </is>
      </c>
      <c r="F1546" t="inlineStr">
        <is>
          <t>Sveaskog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22959-2023</t>
        </is>
      </c>
      <c r="B1547" s="1" t="n">
        <v>45072</v>
      </c>
      <c r="C1547" s="1" t="n">
        <v>45650</v>
      </c>
      <c r="D1547" t="inlineStr">
        <is>
          <t>GÄVLEBORGS LÄN</t>
        </is>
      </c>
      <c r="E1547" t="inlineStr">
        <is>
          <t>LJUSDAL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22979-2023</t>
        </is>
      </c>
      <c r="B1548" s="1" t="n">
        <v>45073</v>
      </c>
      <c r="C1548" s="1" t="n">
        <v>45650</v>
      </c>
      <c r="D1548" t="inlineStr">
        <is>
          <t>GÄVLEBORGS LÄN</t>
        </is>
      </c>
      <c r="E1548" t="inlineStr">
        <is>
          <t>LJUSDAL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22867-2023</t>
        </is>
      </c>
      <c r="B1549" s="1" t="n">
        <v>45072</v>
      </c>
      <c r="C1549" s="1" t="n">
        <v>45650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18.1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22980-2023</t>
        </is>
      </c>
      <c r="B1550" s="1" t="n">
        <v>45073</v>
      </c>
      <c r="C1550" s="1" t="n">
        <v>45650</v>
      </c>
      <c r="D1550" t="inlineStr">
        <is>
          <t>GÄVLEBORGS LÄN</t>
        </is>
      </c>
      <c r="E1550" t="inlineStr">
        <is>
          <t>LJUSDAL</t>
        </is>
      </c>
      <c r="G1550" t="n">
        <v>12.1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23711-2023</t>
        </is>
      </c>
      <c r="B1551" s="1" t="n">
        <v>45077</v>
      </c>
      <c r="C1551" s="1" t="n">
        <v>45650</v>
      </c>
      <c r="D1551" t="inlineStr">
        <is>
          <t>GÄVLEBORGS LÄN</t>
        </is>
      </c>
      <c r="E1551" t="inlineStr">
        <is>
          <t>LJUSDAL</t>
        </is>
      </c>
      <c r="G1551" t="n">
        <v>34.9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23846-2023</t>
        </is>
      </c>
      <c r="B1552" s="1" t="n">
        <v>45078</v>
      </c>
      <c r="C1552" s="1" t="n">
        <v>45650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23848-2023</t>
        </is>
      </c>
      <c r="B1553" s="1" t="n">
        <v>45078</v>
      </c>
      <c r="C1553" s="1" t="n">
        <v>45650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23841-2023</t>
        </is>
      </c>
      <c r="B1554" s="1" t="n">
        <v>45078</v>
      </c>
      <c r="C1554" s="1" t="n">
        <v>45650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23853-2023</t>
        </is>
      </c>
      <c r="B1555" s="1" t="n">
        <v>45078</v>
      </c>
      <c r="C1555" s="1" t="n">
        <v>45650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23930-2023</t>
        </is>
      </c>
      <c r="B1556" s="1" t="n">
        <v>45078</v>
      </c>
      <c r="C1556" s="1" t="n">
        <v>45650</v>
      </c>
      <c r="D1556" t="inlineStr">
        <is>
          <t>GÄVLEBORGS LÄN</t>
        </is>
      </c>
      <c r="E1556" t="inlineStr">
        <is>
          <t>LJUSDAL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23961-2023</t>
        </is>
      </c>
      <c r="B1557" s="1" t="n">
        <v>45078</v>
      </c>
      <c r="C1557" s="1" t="n">
        <v>45650</v>
      </c>
      <c r="D1557" t="inlineStr">
        <is>
          <t>GÄVLEBORGS LÄN</t>
        </is>
      </c>
      <c r="E1557" t="inlineStr">
        <is>
          <t>LJUSDAL</t>
        </is>
      </c>
      <c r="G1557" t="n">
        <v>22.5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24221-2023</t>
        </is>
      </c>
      <c r="B1558" s="1" t="n">
        <v>45079</v>
      </c>
      <c r="C1558" s="1" t="n">
        <v>45650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24190-2023</t>
        </is>
      </c>
      <c r="B1559" s="1" t="n">
        <v>45079</v>
      </c>
      <c r="C1559" s="1" t="n">
        <v>45650</v>
      </c>
      <c r="D1559" t="inlineStr">
        <is>
          <t>GÄVLEBORGS LÄN</t>
        </is>
      </c>
      <c r="E1559" t="inlineStr">
        <is>
          <t>LJUSDAL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24237-2023</t>
        </is>
      </c>
      <c r="B1560" s="1" t="n">
        <v>45079</v>
      </c>
      <c r="C1560" s="1" t="n">
        <v>45650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24571-2023</t>
        </is>
      </c>
      <c r="B1561" s="1" t="n">
        <v>45083</v>
      </c>
      <c r="C1561" s="1" t="n">
        <v>45650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8.199999999999999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24654-2023</t>
        </is>
      </c>
      <c r="B1562" s="1" t="n">
        <v>45084</v>
      </c>
      <c r="C1562" s="1" t="n">
        <v>45650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28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25089-2023</t>
        </is>
      </c>
      <c r="B1563" s="1" t="n">
        <v>45086</v>
      </c>
      <c r="C1563" s="1" t="n">
        <v>45650</v>
      </c>
      <c r="D1563" t="inlineStr">
        <is>
          <t>GÄVLEBORGS LÄN</t>
        </is>
      </c>
      <c r="E1563" t="inlineStr">
        <is>
          <t>LJUSDAL</t>
        </is>
      </c>
      <c r="F1563" t="inlineStr">
        <is>
          <t>Bergvik skog väst AB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25252-2023</t>
        </is>
      </c>
      <c r="B1564" s="1" t="n">
        <v>45086</v>
      </c>
      <c r="C1564" s="1" t="n">
        <v>45650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9.699999999999999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25112-2023</t>
        </is>
      </c>
      <c r="B1565" s="1" t="n">
        <v>45086</v>
      </c>
      <c r="C1565" s="1" t="n">
        <v>45650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25091-2023</t>
        </is>
      </c>
      <c r="B1566" s="1" t="n">
        <v>45086</v>
      </c>
      <c r="C1566" s="1" t="n">
        <v>45650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25353-2023</t>
        </is>
      </c>
      <c r="B1567" s="1" t="n">
        <v>45088</v>
      </c>
      <c r="C1567" s="1" t="n">
        <v>45650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SCA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25354-2023</t>
        </is>
      </c>
      <c r="B1568" s="1" t="n">
        <v>45088</v>
      </c>
      <c r="C1568" s="1" t="n">
        <v>45650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SCA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25398-2023</t>
        </is>
      </c>
      <c r="B1569" s="1" t="n">
        <v>45089</v>
      </c>
      <c r="C1569" s="1" t="n">
        <v>45650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24.7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25415-2023</t>
        </is>
      </c>
      <c r="B1570" s="1" t="n">
        <v>45089</v>
      </c>
      <c r="C1570" s="1" t="n">
        <v>45650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Allmännings- och besparingsskogar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25564-2023</t>
        </is>
      </c>
      <c r="B1571" s="1" t="n">
        <v>45089</v>
      </c>
      <c r="C1571" s="1" t="n">
        <v>45650</v>
      </c>
      <c r="D1571" t="inlineStr">
        <is>
          <t>GÄVLEBORGS LÄN</t>
        </is>
      </c>
      <c r="E1571" t="inlineStr">
        <is>
          <t>LJUSDAL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25668-2023</t>
        </is>
      </c>
      <c r="B1572" s="1" t="n">
        <v>45090</v>
      </c>
      <c r="C1572" s="1" t="n">
        <v>45650</v>
      </c>
      <c r="D1572" t="inlineStr">
        <is>
          <t>GÄVLEBORGS LÄN</t>
        </is>
      </c>
      <c r="E1572" t="inlineStr">
        <is>
          <t>LJUSDAL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25822-2023</t>
        </is>
      </c>
      <c r="B1573" s="1" t="n">
        <v>45090</v>
      </c>
      <c r="C1573" s="1" t="n">
        <v>45650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25991-2023</t>
        </is>
      </c>
      <c r="B1574" s="1" t="n">
        <v>45091</v>
      </c>
      <c r="C1574" s="1" t="n">
        <v>45650</v>
      </c>
      <c r="D1574" t="inlineStr">
        <is>
          <t>GÄVLEBORGS LÄN</t>
        </is>
      </c>
      <c r="E1574" t="inlineStr">
        <is>
          <t>LJUSDAL</t>
        </is>
      </c>
      <c r="G1574" t="n">
        <v>9.5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25929-2023</t>
        </is>
      </c>
      <c r="B1575" s="1" t="n">
        <v>45090</v>
      </c>
      <c r="C1575" s="1" t="n">
        <v>45650</v>
      </c>
      <c r="D1575" t="inlineStr">
        <is>
          <t>GÄVLEBORGS LÄN</t>
        </is>
      </c>
      <c r="E1575" t="inlineStr">
        <is>
          <t>LJUSDAL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25992-2023</t>
        </is>
      </c>
      <c r="B1576" s="1" t="n">
        <v>45090</v>
      </c>
      <c r="C1576" s="1" t="n">
        <v>45650</v>
      </c>
      <c r="D1576" t="inlineStr">
        <is>
          <t>GÄVLEBORGS LÄN</t>
        </is>
      </c>
      <c r="E1576" t="inlineStr">
        <is>
          <t>LJUSDAL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26264-2023</t>
        </is>
      </c>
      <c r="B1577" s="1" t="n">
        <v>45091</v>
      </c>
      <c r="C1577" s="1" t="n">
        <v>45650</v>
      </c>
      <c r="D1577" t="inlineStr">
        <is>
          <t>GÄVLEBORGS LÄN</t>
        </is>
      </c>
      <c r="E1577" t="inlineStr">
        <is>
          <t>LJUSDAL</t>
        </is>
      </c>
      <c r="G1577" t="n">
        <v>6.3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26184-2023</t>
        </is>
      </c>
      <c r="B1578" s="1" t="n">
        <v>45091</v>
      </c>
      <c r="C1578" s="1" t="n">
        <v>45650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11.8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26186-2023</t>
        </is>
      </c>
      <c r="B1579" s="1" t="n">
        <v>45091</v>
      </c>
      <c r="C1579" s="1" t="n">
        <v>45650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26181-2023</t>
        </is>
      </c>
      <c r="B1580" s="1" t="n">
        <v>45091</v>
      </c>
      <c r="C1580" s="1" t="n">
        <v>45650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26185-2023</t>
        </is>
      </c>
      <c r="B1581" s="1" t="n">
        <v>45091</v>
      </c>
      <c r="C1581" s="1" t="n">
        <v>45650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26180-2023</t>
        </is>
      </c>
      <c r="B1582" s="1" t="n">
        <v>45091</v>
      </c>
      <c r="C1582" s="1" t="n">
        <v>45650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26109-2023</t>
        </is>
      </c>
      <c r="B1583" s="1" t="n">
        <v>45091</v>
      </c>
      <c r="C1583" s="1" t="n">
        <v>45650</v>
      </c>
      <c r="D1583" t="inlineStr">
        <is>
          <t>GÄVLEBORGS LÄN</t>
        </is>
      </c>
      <c r="E1583" t="inlineStr">
        <is>
          <t>LJUSDAL</t>
        </is>
      </c>
      <c r="G1583" t="n">
        <v>9.4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26523-2023</t>
        </is>
      </c>
      <c r="B1584" s="1" t="n">
        <v>45092</v>
      </c>
      <c r="C1584" s="1" t="n">
        <v>45650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26527-2023</t>
        </is>
      </c>
      <c r="B1585" s="1" t="n">
        <v>45092</v>
      </c>
      <c r="C1585" s="1" t="n">
        <v>45650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26539-2023</t>
        </is>
      </c>
      <c r="B1586" s="1" t="n">
        <v>45092</v>
      </c>
      <c r="C1586" s="1" t="n">
        <v>45650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26619-2023</t>
        </is>
      </c>
      <c r="B1587" s="1" t="n">
        <v>45092</v>
      </c>
      <c r="C1587" s="1" t="n">
        <v>45650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26436-2023</t>
        </is>
      </c>
      <c r="B1588" s="1" t="n">
        <v>45092</v>
      </c>
      <c r="C1588" s="1" t="n">
        <v>45650</v>
      </c>
      <c r="D1588" t="inlineStr">
        <is>
          <t>GÄVLEBORGS LÄN</t>
        </is>
      </c>
      <c r="E1588" t="inlineStr">
        <is>
          <t>LJUSDAL</t>
        </is>
      </c>
      <c r="F1588" t="inlineStr">
        <is>
          <t>Bergvik skog väst AB</t>
        </is>
      </c>
      <c r="G1588" t="n">
        <v>20.2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26491-2023</t>
        </is>
      </c>
      <c r="B1589" s="1" t="n">
        <v>45092</v>
      </c>
      <c r="C1589" s="1" t="n">
        <v>45650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26503-2023</t>
        </is>
      </c>
      <c r="B1590" s="1" t="n">
        <v>45092</v>
      </c>
      <c r="C1590" s="1" t="n">
        <v>45650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8.199999999999999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26479-2023</t>
        </is>
      </c>
      <c r="B1591" s="1" t="n">
        <v>45092</v>
      </c>
      <c r="C1591" s="1" t="n">
        <v>45650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26484-2023</t>
        </is>
      </c>
      <c r="B1592" s="1" t="n">
        <v>45092</v>
      </c>
      <c r="C1592" s="1" t="n">
        <v>45650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26525-2023</t>
        </is>
      </c>
      <c r="B1593" s="1" t="n">
        <v>45092</v>
      </c>
      <c r="C1593" s="1" t="n">
        <v>45650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26502-2023</t>
        </is>
      </c>
      <c r="B1594" s="1" t="n">
        <v>45092</v>
      </c>
      <c r="C1594" s="1" t="n">
        <v>45650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26506-2023</t>
        </is>
      </c>
      <c r="B1595" s="1" t="n">
        <v>45092</v>
      </c>
      <c r="C1595" s="1" t="n">
        <v>45650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26510-2023</t>
        </is>
      </c>
      <c r="B1596" s="1" t="n">
        <v>45092</v>
      </c>
      <c r="C1596" s="1" t="n">
        <v>45650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26524-2023</t>
        </is>
      </c>
      <c r="B1597" s="1" t="n">
        <v>45092</v>
      </c>
      <c r="C1597" s="1" t="n">
        <v>45650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26611-2023</t>
        </is>
      </c>
      <c r="B1598" s="1" t="n">
        <v>45092</v>
      </c>
      <c r="C1598" s="1" t="n">
        <v>45650</v>
      </c>
      <c r="D1598" t="inlineStr">
        <is>
          <t>GÄVLEBORGS LÄN</t>
        </is>
      </c>
      <c r="E1598" t="inlineStr">
        <is>
          <t>LJUSDAL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26621-2023</t>
        </is>
      </c>
      <c r="B1599" s="1" t="n">
        <v>45092</v>
      </c>
      <c r="C1599" s="1" t="n">
        <v>45650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26625-2023</t>
        </is>
      </c>
      <c r="B1600" s="1" t="n">
        <v>45092</v>
      </c>
      <c r="C1600" s="1" t="n">
        <v>45650</v>
      </c>
      <c r="D1600" t="inlineStr">
        <is>
          <t>GÄVLEBORGS LÄN</t>
        </is>
      </c>
      <c r="E1600" t="inlineStr">
        <is>
          <t>LJUSDAL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26653-2023</t>
        </is>
      </c>
      <c r="B1601" s="1" t="n">
        <v>45093</v>
      </c>
      <c r="C1601" s="1" t="n">
        <v>45650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SCA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26669-2023</t>
        </is>
      </c>
      <c r="B1602" s="1" t="n">
        <v>45093</v>
      </c>
      <c r="C1602" s="1" t="n">
        <v>45650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22.6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26667-2023</t>
        </is>
      </c>
      <c r="B1603" s="1" t="n">
        <v>45093</v>
      </c>
      <c r="C1603" s="1" t="n">
        <v>45650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26668-2023</t>
        </is>
      </c>
      <c r="B1604" s="1" t="n">
        <v>45093</v>
      </c>
      <c r="C1604" s="1" t="n">
        <v>45650</v>
      </c>
      <c r="D1604" t="inlineStr">
        <is>
          <t>GÄVLEBORGS LÄN</t>
        </is>
      </c>
      <c r="E1604" t="inlineStr">
        <is>
          <t>LJUSDAL</t>
        </is>
      </c>
      <c r="F1604" t="inlineStr">
        <is>
          <t>Bergvik skog väst AB</t>
        </is>
      </c>
      <c r="G1604" t="n">
        <v>19.4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26654-2023</t>
        </is>
      </c>
      <c r="B1605" s="1" t="n">
        <v>45093</v>
      </c>
      <c r="C1605" s="1" t="n">
        <v>45650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26781-2023</t>
        </is>
      </c>
      <c r="B1606" s="1" t="n">
        <v>45093</v>
      </c>
      <c r="C1606" s="1" t="n">
        <v>45650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26894-2023</t>
        </is>
      </c>
      <c r="B1607" s="1" t="n">
        <v>45093</v>
      </c>
      <c r="C1607" s="1" t="n">
        <v>45650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Holmen skog AB</t>
        </is>
      </c>
      <c r="G1607" t="n">
        <v>10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26785-2023</t>
        </is>
      </c>
      <c r="B1608" s="1" t="n">
        <v>45093</v>
      </c>
      <c r="C1608" s="1" t="n">
        <v>45650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26861-2023</t>
        </is>
      </c>
      <c r="B1609" s="1" t="n">
        <v>45093</v>
      </c>
      <c r="C1609" s="1" t="n">
        <v>45650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26860-2023</t>
        </is>
      </c>
      <c r="B1610" s="1" t="n">
        <v>45093</v>
      </c>
      <c r="C1610" s="1" t="n">
        <v>45650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26827-2023</t>
        </is>
      </c>
      <c r="B1611" s="1" t="n">
        <v>45093</v>
      </c>
      <c r="C1611" s="1" t="n">
        <v>45650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27012-2023</t>
        </is>
      </c>
      <c r="B1612" s="1" t="n">
        <v>45094</v>
      </c>
      <c r="C1612" s="1" t="n">
        <v>45650</v>
      </c>
      <c r="D1612" t="inlineStr">
        <is>
          <t>GÄVLEBORGS LÄN</t>
        </is>
      </c>
      <c r="E1612" t="inlineStr">
        <is>
          <t>LJUSDAL</t>
        </is>
      </c>
      <c r="G1612" t="n">
        <v>7.6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27460-2023</t>
        </is>
      </c>
      <c r="B1613" s="1" t="n">
        <v>45097</v>
      </c>
      <c r="C1613" s="1" t="n">
        <v>45650</v>
      </c>
      <c r="D1613" t="inlineStr">
        <is>
          <t>GÄVLEBORGS LÄN</t>
        </is>
      </c>
      <c r="E1613" t="inlineStr">
        <is>
          <t>LJUSDAL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27497-2023</t>
        </is>
      </c>
      <c r="B1614" s="1" t="n">
        <v>45097</v>
      </c>
      <c r="C1614" s="1" t="n">
        <v>45650</v>
      </c>
      <c r="D1614" t="inlineStr">
        <is>
          <t>GÄVLEBORGS LÄN</t>
        </is>
      </c>
      <c r="E1614" t="inlineStr">
        <is>
          <t>LJUSDAL</t>
        </is>
      </c>
      <c r="F1614" t="inlineStr">
        <is>
          <t>Bergvik skog väst AB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27564-2023</t>
        </is>
      </c>
      <c r="B1615" s="1" t="n">
        <v>45097</v>
      </c>
      <c r="C1615" s="1" t="n">
        <v>45650</v>
      </c>
      <c r="D1615" t="inlineStr">
        <is>
          <t>GÄVLEBORGS LÄN</t>
        </is>
      </c>
      <c r="E1615" t="inlineStr">
        <is>
          <t>LJUSDAL</t>
        </is>
      </c>
      <c r="F1615" t="inlineStr">
        <is>
          <t>Holmen skog AB</t>
        </is>
      </c>
      <c r="G1615" t="n">
        <v>9.4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27490-2023</t>
        </is>
      </c>
      <c r="B1616" s="1" t="n">
        <v>45097</v>
      </c>
      <c r="C1616" s="1" t="n">
        <v>45650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27512-2023</t>
        </is>
      </c>
      <c r="B1617" s="1" t="n">
        <v>45097</v>
      </c>
      <c r="C1617" s="1" t="n">
        <v>45650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27718-2023</t>
        </is>
      </c>
      <c r="B1618" s="1" t="n">
        <v>45098</v>
      </c>
      <c r="C1618" s="1" t="n">
        <v>45650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23.3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28114-2023</t>
        </is>
      </c>
      <c r="B1619" s="1" t="n">
        <v>45099</v>
      </c>
      <c r="C1619" s="1" t="n">
        <v>45650</v>
      </c>
      <c r="D1619" t="inlineStr">
        <is>
          <t>GÄVLEBORGS LÄN</t>
        </is>
      </c>
      <c r="E1619" t="inlineStr">
        <is>
          <t>LJUSDAL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28240-2023</t>
        </is>
      </c>
      <c r="B1620" s="1" t="n">
        <v>45099</v>
      </c>
      <c r="C1620" s="1" t="n">
        <v>45650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5.8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28248-2023</t>
        </is>
      </c>
      <c r="B1621" s="1" t="n">
        <v>45099</v>
      </c>
      <c r="C1621" s="1" t="n">
        <v>45650</v>
      </c>
      <c r="D1621" t="inlineStr">
        <is>
          <t>GÄVLEBORGS LÄN</t>
        </is>
      </c>
      <c r="E1621" t="inlineStr">
        <is>
          <t>LJUSDAL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28246-2023</t>
        </is>
      </c>
      <c r="B1622" s="1" t="n">
        <v>45099</v>
      </c>
      <c r="C1622" s="1" t="n">
        <v>45650</v>
      </c>
      <c r="D1622" t="inlineStr">
        <is>
          <t>GÄVLEBORGS LÄN</t>
        </is>
      </c>
      <c r="E1622" t="inlineStr">
        <is>
          <t>LJUSDAL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28272-2023</t>
        </is>
      </c>
      <c r="B1623" s="1" t="n">
        <v>45099</v>
      </c>
      <c r="C1623" s="1" t="n">
        <v>45650</v>
      </c>
      <c r="D1623" t="inlineStr">
        <is>
          <t>GÄVLEBORGS LÄN</t>
        </is>
      </c>
      <c r="E1623" t="inlineStr">
        <is>
          <t>LJUSDAL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28303-2023</t>
        </is>
      </c>
      <c r="B1624" s="1" t="n">
        <v>45099</v>
      </c>
      <c r="C1624" s="1" t="n">
        <v>45650</v>
      </c>
      <c r="D1624" t="inlineStr">
        <is>
          <t>GÄVLEBORGS LÄN</t>
        </is>
      </c>
      <c r="E1624" t="inlineStr">
        <is>
          <t>LJUSDAL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28293-2023</t>
        </is>
      </c>
      <c r="B1625" s="1" t="n">
        <v>45099</v>
      </c>
      <c r="C1625" s="1" t="n">
        <v>45650</v>
      </c>
      <c r="D1625" t="inlineStr">
        <is>
          <t>GÄVLEBORGS LÄN</t>
        </is>
      </c>
      <c r="E1625" t="inlineStr">
        <is>
          <t>LJUSDAL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28298-2023</t>
        </is>
      </c>
      <c r="B1626" s="1" t="n">
        <v>45099</v>
      </c>
      <c r="C1626" s="1" t="n">
        <v>45650</v>
      </c>
      <c r="D1626" t="inlineStr">
        <is>
          <t>GÄVLEBORGS LÄN</t>
        </is>
      </c>
      <c r="E1626" t="inlineStr">
        <is>
          <t>LJUSDAL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28302-2023</t>
        </is>
      </c>
      <c r="B1627" s="1" t="n">
        <v>45099</v>
      </c>
      <c r="C1627" s="1" t="n">
        <v>45650</v>
      </c>
      <c r="D1627" t="inlineStr">
        <is>
          <t>GÄVLEBORGS LÄN</t>
        </is>
      </c>
      <c r="E1627" t="inlineStr">
        <is>
          <t>LJUSDAL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28306-2023</t>
        </is>
      </c>
      <c r="B1628" s="1" t="n">
        <v>45099</v>
      </c>
      <c r="C1628" s="1" t="n">
        <v>45650</v>
      </c>
      <c r="D1628" t="inlineStr">
        <is>
          <t>GÄVLEBORGS LÄN</t>
        </is>
      </c>
      <c r="E1628" t="inlineStr">
        <is>
          <t>LJUSDAL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28301-2023</t>
        </is>
      </c>
      <c r="B1629" s="1" t="n">
        <v>45099</v>
      </c>
      <c r="C1629" s="1" t="n">
        <v>45650</v>
      </c>
      <c r="D1629" t="inlineStr">
        <is>
          <t>GÄVLEBORGS LÄN</t>
        </is>
      </c>
      <c r="E1629" t="inlineStr">
        <is>
          <t>LJUSDAL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28305-2023</t>
        </is>
      </c>
      <c r="B1630" s="1" t="n">
        <v>45099</v>
      </c>
      <c r="C1630" s="1" t="n">
        <v>45650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28339-2023</t>
        </is>
      </c>
      <c r="B1631" s="1" t="n">
        <v>45099</v>
      </c>
      <c r="C1631" s="1" t="n">
        <v>45650</v>
      </c>
      <c r="D1631" t="inlineStr">
        <is>
          <t>GÄVLEBORGS LÄN</t>
        </is>
      </c>
      <c r="E1631" t="inlineStr">
        <is>
          <t>LJUSDAL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28347-2023</t>
        </is>
      </c>
      <c r="B1632" s="1" t="n">
        <v>45099</v>
      </c>
      <c r="C1632" s="1" t="n">
        <v>45650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29807-2023</t>
        </is>
      </c>
      <c r="B1633" s="1" t="n">
        <v>45099</v>
      </c>
      <c r="C1633" s="1" t="n">
        <v>45650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28300-2023</t>
        </is>
      </c>
      <c r="B1634" s="1" t="n">
        <v>45099</v>
      </c>
      <c r="C1634" s="1" t="n">
        <v>45650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28304-2023</t>
        </is>
      </c>
      <c r="B1635" s="1" t="n">
        <v>45099</v>
      </c>
      <c r="C1635" s="1" t="n">
        <v>45650</v>
      </c>
      <c r="D1635" t="inlineStr">
        <is>
          <t>GÄVLEBORGS LÄN</t>
        </is>
      </c>
      <c r="E1635" t="inlineStr">
        <is>
          <t>LJUSDAL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28346-2023</t>
        </is>
      </c>
      <c r="B1636" s="1" t="n">
        <v>45099</v>
      </c>
      <c r="C1636" s="1" t="n">
        <v>45650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29841-2023</t>
        </is>
      </c>
      <c r="B1637" s="1" t="n">
        <v>45099</v>
      </c>
      <c r="C1637" s="1" t="n">
        <v>45650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29831-2023</t>
        </is>
      </c>
      <c r="B1638" s="1" t="n">
        <v>45099</v>
      </c>
      <c r="C1638" s="1" t="n">
        <v>45650</v>
      </c>
      <c r="D1638" t="inlineStr">
        <is>
          <t>GÄVLEBORGS LÄN</t>
        </is>
      </c>
      <c r="E1638" t="inlineStr">
        <is>
          <t>LJUSDAL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29845-2023</t>
        </is>
      </c>
      <c r="B1639" s="1" t="n">
        <v>45099</v>
      </c>
      <c r="C1639" s="1" t="n">
        <v>45650</v>
      </c>
      <c r="D1639" t="inlineStr">
        <is>
          <t>GÄVLEBORGS LÄN</t>
        </is>
      </c>
      <c r="E1639" t="inlineStr">
        <is>
          <t>LJUSDAL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28631-2023</t>
        </is>
      </c>
      <c r="B1640" s="1" t="n">
        <v>45103</v>
      </c>
      <c r="C1640" s="1" t="n">
        <v>45650</v>
      </c>
      <c r="D1640" t="inlineStr">
        <is>
          <t>GÄVLEBORGS LÄN</t>
        </is>
      </c>
      <c r="E1640" t="inlineStr">
        <is>
          <t>LJUSDAL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28712-2023</t>
        </is>
      </c>
      <c r="B1641" s="1" t="n">
        <v>45103</v>
      </c>
      <c r="C1641" s="1" t="n">
        <v>45650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28865-2023</t>
        </is>
      </c>
      <c r="B1642" s="1" t="n">
        <v>45104</v>
      </c>
      <c r="C1642" s="1" t="n">
        <v>45650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28891-2023</t>
        </is>
      </c>
      <c r="B1643" s="1" t="n">
        <v>45104</v>
      </c>
      <c r="C1643" s="1" t="n">
        <v>45650</v>
      </c>
      <c r="D1643" t="inlineStr">
        <is>
          <t>GÄVLEBORGS LÄN</t>
        </is>
      </c>
      <c r="E1643" t="inlineStr">
        <is>
          <t>LJUSDAL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28944-2023</t>
        </is>
      </c>
      <c r="B1644" s="1" t="n">
        <v>45104</v>
      </c>
      <c r="C1644" s="1" t="n">
        <v>45650</v>
      </c>
      <c r="D1644" t="inlineStr">
        <is>
          <t>GÄVLEBORGS LÄN</t>
        </is>
      </c>
      <c r="E1644" t="inlineStr">
        <is>
          <t>LJUSDAL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28927-2023</t>
        </is>
      </c>
      <c r="B1645" s="1" t="n">
        <v>45104</v>
      </c>
      <c r="C1645" s="1" t="n">
        <v>45650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28853-2023</t>
        </is>
      </c>
      <c r="B1646" s="1" t="n">
        <v>45104</v>
      </c>
      <c r="C1646" s="1" t="n">
        <v>45650</v>
      </c>
      <c r="D1646" t="inlineStr">
        <is>
          <t>GÄVLEBORGS LÄN</t>
        </is>
      </c>
      <c r="E1646" t="inlineStr">
        <is>
          <t>LJUSDAL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28892-2023</t>
        </is>
      </c>
      <c r="B1647" s="1" t="n">
        <v>45104</v>
      </c>
      <c r="C1647" s="1" t="n">
        <v>45650</v>
      </c>
      <c r="D1647" t="inlineStr">
        <is>
          <t>GÄVLEBORGS LÄN</t>
        </is>
      </c>
      <c r="E1647" t="inlineStr">
        <is>
          <t>LJUSDAL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29205-2023</t>
        </is>
      </c>
      <c r="B1648" s="1" t="n">
        <v>45105</v>
      </c>
      <c r="C1648" s="1" t="n">
        <v>45650</v>
      </c>
      <c r="D1648" t="inlineStr">
        <is>
          <t>GÄVLEBORGS LÄN</t>
        </is>
      </c>
      <c r="E1648" t="inlineStr">
        <is>
          <t>LJUSDAL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29239-2023</t>
        </is>
      </c>
      <c r="B1649" s="1" t="n">
        <v>45105</v>
      </c>
      <c r="C1649" s="1" t="n">
        <v>45650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29238-2023</t>
        </is>
      </c>
      <c r="B1650" s="1" t="n">
        <v>45105</v>
      </c>
      <c r="C1650" s="1" t="n">
        <v>45650</v>
      </c>
      <c r="D1650" t="inlineStr">
        <is>
          <t>GÄVLEBORGS LÄN</t>
        </is>
      </c>
      <c r="E1650" t="inlineStr">
        <is>
          <t>LJUSDAL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29260-2023</t>
        </is>
      </c>
      <c r="B1651" s="1" t="n">
        <v>45105</v>
      </c>
      <c r="C1651" s="1" t="n">
        <v>45650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29494-2023</t>
        </is>
      </c>
      <c r="B1652" s="1" t="n">
        <v>45106</v>
      </c>
      <c r="C1652" s="1" t="n">
        <v>45650</v>
      </c>
      <c r="D1652" t="inlineStr">
        <is>
          <t>GÄVLEBORGS LÄN</t>
        </is>
      </c>
      <c r="E1652" t="inlineStr">
        <is>
          <t>LJUSDAL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29439-2023</t>
        </is>
      </c>
      <c r="B1653" s="1" t="n">
        <v>45106</v>
      </c>
      <c r="C1653" s="1" t="n">
        <v>45650</v>
      </c>
      <c r="D1653" t="inlineStr">
        <is>
          <t>GÄVLEBORGS LÄN</t>
        </is>
      </c>
      <c r="E1653" t="inlineStr">
        <is>
          <t>LJUSDAL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29505-2023</t>
        </is>
      </c>
      <c r="B1654" s="1" t="n">
        <v>45106</v>
      </c>
      <c r="C1654" s="1" t="n">
        <v>45650</v>
      </c>
      <c r="D1654" t="inlineStr">
        <is>
          <t>GÄVLEBORGS LÄN</t>
        </is>
      </c>
      <c r="E1654" t="inlineStr">
        <is>
          <t>LJUSDAL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29725-2023</t>
        </is>
      </c>
      <c r="B1655" s="1" t="n">
        <v>45107</v>
      </c>
      <c r="C1655" s="1" t="n">
        <v>45650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29790-2023</t>
        </is>
      </c>
      <c r="B1656" s="1" t="n">
        <v>45107</v>
      </c>
      <c r="C1656" s="1" t="n">
        <v>45650</v>
      </c>
      <c r="D1656" t="inlineStr">
        <is>
          <t>GÄVLEBORGS LÄN</t>
        </is>
      </c>
      <c r="E1656" t="inlineStr">
        <is>
          <t>LJUSDAL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29910-2023</t>
        </is>
      </c>
      <c r="B1657" s="1" t="n">
        <v>45107</v>
      </c>
      <c r="C1657" s="1" t="n">
        <v>45650</v>
      </c>
      <c r="D1657" t="inlineStr">
        <is>
          <t>GÄVLEBORGS LÄN</t>
        </is>
      </c>
      <c r="E1657" t="inlineStr">
        <is>
          <t>LJUSDAL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29686-2023</t>
        </is>
      </c>
      <c r="B1658" s="1" t="n">
        <v>45107</v>
      </c>
      <c r="C1658" s="1" t="n">
        <v>45650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29801-2023</t>
        </is>
      </c>
      <c r="B1659" s="1" t="n">
        <v>45107</v>
      </c>
      <c r="C1659" s="1" t="n">
        <v>45650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29837-2023</t>
        </is>
      </c>
      <c r="B1660" s="1" t="n">
        <v>45107</v>
      </c>
      <c r="C1660" s="1" t="n">
        <v>45650</v>
      </c>
      <c r="D1660" t="inlineStr">
        <is>
          <t>GÄVLEBORGS LÄN</t>
        </is>
      </c>
      <c r="E1660" t="inlineStr">
        <is>
          <t>LJUSDAL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29928-2023</t>
        </is>
      </c>
      <c r="B1661" s="1" t="n">
        <v>45107</v>
      </c>
      <c r="C1661" s="1" t="n">
        <v>45650</v>
      </c>
      <c r="D1661" t="inlineStr">
        <is>
          <t>GÄVLEBORGS LÄN</t>
        </is>
      </c>
      <c r="E1661" t="inlineStr">
        <is>
          <t>LJUSDAL</t>
        </is>
      </c>
      <c r="F1661" t="inlineStr">
        <is>
          <t>Sveaskog</t>
        </is>
      </c>
      <c r="G1661" t="n">
        <v>24.2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29931-2023</t>
        </is>
      </c>
      <c r="B1662" s="1" t="n">
        <v>45107</v>
      </c>
      <c r="C1662" s="1" t="n">
        <v>45650</v>
      </c>
      <c r="D1662" t="inlineStr">
        <is>
          <t>GÄVLEBORGS LÄN</t>
        </is>
      </c>
      <c r="E1662" t="inlineStr">
        <is>
          <t>LJUSDAL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32287-2023</t>
        </is>
      </c>
      <c r="B1663" s="1" t="n">
        <v>45107</v>
      </c>
      <c r="C1663" s="1" t="n">
        <v>45650</v>
      </c>
      <c r="D1663" t="inlineStr">
        <is>
          <t>GÄVLEBORGS LÄN</t>
        </is>
      </c>
      <c r="E1663" t="inlineStr">
        <is>
          <t>LJUSDAL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32293-2023</t>
        </is>
      </c>
      <c r="B1664" s="1" t="n">
        <v>45107</v>
      </c>
      <c r="C1664" s="1" t="n">
        <v>45650</v>
      </c>
      <c r="D1664" t="inlineStr">
        <is>
          <t>GÄVLEBORGS LÄN</t>
        </is>
      </c>
      <c r="E1664" t="inlineStr">
        <is>
          <t>LJUSDAL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32289-2023</t>
        </is>
      </c>
      <c r="B1665" s="1" t="n">
        <v>45107</v>
      </c>
      <c r="C1665" s="1" t="n">
        <v>45650</v>
      </c>
      <c r="D1665" t="inlineStr">
        <is>
          <t>GÄVLEBORGS LÄN</t>
        </is>
      </c>
      <c r="E1665" t="inlineStr">
        <is>
          <t>LJUSDAL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32294-2023</t>
        </is>
      </c>
      <c r="B1666" s="1" t="n">
        <v>45107</v>
      </c>
      <c r="C1666" s="1" t="n">
        <v>45650</v>
      </c>
      <c r="D1666" t="inlineStr">
        <is>
          <t>GÄVLEBORGS LÄN</t>
        </is>
      </c>
      <c r="E1666" t="inlineStr">
        <is>
          <t>LJUSDAL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30061-2023</t>
        </is>
      </c>
      <c r="B1667" s="1" t="n">
        <v>45110</v>
      </c>
      <c r="C1667" s="1" t="n">
        <v>45650</v>
      </c>
      <c r="D1667" t="inlineStr">
        <is>
          <t>GÄVLEBORGS LÄN</t>
        </is>
      </c>
      <c r="E1667" t="inlineStr">
        <is>
          <t>LJUSDAL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30240-2023</t>
        </is>
      </c>
      <c r="B1668" s="1" t="n">
        <v>45110</v>
      </c>
      <c r="C1668" s="1" t="n">
        <v>45650</v>
      </c>
      <c r="D1668" t="inlineStr">
        <is>
          <t>GÄVLEBORGS LÄN</t>
        </is>
      </c>
      <c r="E1668" t="inlineStr">
        <is>
          <t>LJUSDAL</t>
        </is>
      </c>
      <c r="F1668" t="inlineStr">
        <is>
          <t>Sveaskog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30476-2023</t>
        </is>
      </c>
      <c r="B1669" s="1" t="n">
        <v>45111</v>
      </c>
      <c r="C1669" s="1" t="n">
        <v>45650</v>
      </c>
      <c r="D1669" t="inlineStr">
        <is>
          <t>GÄVLEBORGS LÄN</t>
        </is>
      </c>
      <c r="E1669" t="inlineStr">
        <is>
          <t>LJUSDAL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30454-2023</t>
        </is>
      </c>
      <c r="B1670" s="1" t="n">
        <v>45111</v>
      </c>
      <c r="C1670" s="1" t="n">
        <v>45650</v>
      </c>
      <c r="D1670" t="inlineStr">
        <is>
          <t>GÄVLEBORGS LÄN</t>
        </is>
      </c>
      <c r="E1670" t="inlineStr">
        <is>
          <t>LJUSDAL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30416-2023</t>
        </is>
      </c>
      <c r="B1671" s="1" t="n">
        <v>45111</v>
      </c>
      <c r="C1671" s="1" t="n">
        <v>45650</v>
      </c>
      <c r="D1671" t="inlineStr">
        <is>
          <t>GÄVLEBORGS LÄN</t>
        </is>
      </c>
      <c r="E1671" t="inlineStr">
        <is>
          <t>LJUSDAL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30619-2023</t>
        </is>
      </c>
      <c r="B1672" s="1" t="n">
        <v>45112</v>
      </c>
      <c r="C1672" s="1" t="n">
        <v>45650</v>
      </c>
      <c r="D1672" t="inlineStr">
        <is>
          <t>GÄVLEBORGS LÄN</t>
        </is>
      </c>
      <c r="E1672" t="inlineStr">
        <is>
          <t>LJUSDAL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30609-2023</t>
        </is>
      </c>
      <c r="B1673" s="1" t="n">
        <v>45112</v>
      </c>
      <c r="C1673" s="1" t="n">
        <v>45650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30608-2023</t>
        </is>
      </c>
      <c r="B1674" s="1" t="n">
        <v>45112</v>
      </c>
      <c r="C1674" s="1" t="n">
        <v>45650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11.6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30622-2023</t>
        </is>
      </c>
      <c r="B1675" s="1" t="n">
        <v>45112</v>
      </c>
      <c r="C1675" s="1" t="n">
        <v>45650</v>
      </c>
      <c r="D1675" t="inlineStr">
        <is>
          <t>GÄVLEBORGS LÄN</t>
        </is>
      </c>
      <c r="E1675" t="inlineStr">
        <is>
          <t>LJUSDAL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30669-2023</t>
        </is>
      </c>
      <c r="B1676" s="1" t="n">
        <v>45112</v>
      </c>
      <c r="C1676" s="1" t="n">
        <v>45650</v>
      </c>
      <c r="D1676" t="inlineStr">
        <is>
          <t>GÄVLEBORGS LÄN</t>
        </is>
      </c>
      <c r="E1676" t="inlineStr">
        <is>
          <t>LJUSDAL</t>
        </is>
      </c>
      <c r="F1676" t="inlineStr">
        <is>
          <t>Allmännings- och besparingsskogar</t>
        </is>
      </c>
      <c r="G1676" t="n">
        <v>35.5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30968-2023</t>
        </is>
      </c>
      <c r="B1677" s="1" t="n">
        <v>45113</v>
      </c>
      <c r="C1677" s="1" t="n">
        <v>45650</v>
      </c>
      <c r="D1677" t="inlineStr">
        <is>
          <t>GÄVLEBORGS LÄN</t>
        </is>
      </c>
      <c r="E1677" t="inlineStr">
        <is>
          <t>LJUSDAL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30997-2023</t>
        </is>
      </c>
      <c r="B1678" s="1" t="n">
        <v>45113</v>
      </c>
      <c r="C1678" s="1" t="n">
        <v>45650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30973-2023</t>
        </is>
      </c>
      <c r="B1679" s="1" t="n">
        <v>45113</v>
      </c>
      <c r="C1679" s="1" t="n">
        <v>45650</v>
      </c>
      <c r="D1679" t="inlineStr">
        <is>
          <t>GÄVLEBORGS LÄN</t>
        </is>
      </c>
      <c r="E1679" t="inlineStr">
        <is>
          <t>LJUSDAL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31129-2023</t>
        </is>
      </c>
      <c r="B1680" s="1" t="n">
        <v>45113</v>
      </c>
      <c r="C1680" s="1" t="n">
        <v>45650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30913-2023</t>
        </is>
      </c>
      <c r="B1681" s="1" t="n">
        <v>45113</v>
      </c>
      <c r="C1681" s="1" t="n">
        <v>45650</v>
      </c>
      <c r="D1681" t="inlineStr">
        <is>
          <t>GÄVLEBORGS LÄN</t>
        </is>
      </c>
      <c r="E1681" t="inlineStr">
        <is>
          <t>LJUSDAL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30962-2023</t>
        </is>
      </c>
      <c r="B1682" s="1" t="n">
        <v>45113</v>
      </c>
      <c r="C1682" s="1" t="n">
        <v>45650</v>
      </c>
      <c r="D1682" t="inlineStr">
        <is>
          <t>GÄVLEBORGS LÄN</t>
        </is>
      </c>
      <c r="E1682" t="inlineStr">
        <is>
          <t>LJUSDAL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31248-2023</t>
        </is>
      </c>
      <c r="B1683" s="1" t="n">
        <v>45114</v>
      </c>
      <c r="C1683" s="1" t="n">
        <v>45650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6.9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31892-2023</t>
        </is>
      </c>
      <c r="B1684" s="1" t="n">
        <v>45118</v>
      </c>
      <c r="C1684" s="1" t="n">
        <v>45650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31890-2023</t>
        </is>
      </c>
      <c r="B1685" s="1" t="n">
        <v>45118</v>
      </c>
      <c r="C1685" s="1" t="n">
        <v>45650</v>
      </c>
      <c r="D1685" t="inlineStr">
        <is>
          <t>GÄVLEBORGS LÄN</t>
        </is>
      </c>
      <c r="E1685" t="inlineStr">
        <is>
          <t>LJUSDAL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31992-2023</t>
        </is>
      </c>
      <c r="B1686" s="1" t="n">
        <v>45119</v>
      </c>
      <c r="C1686" s="1" t="n">
        <v>45650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31976-2023</t>
        </is>
      </c>
      <c r="B1687" s="1" t="n">
        <v>45119</v>
      </c>
      <c r="C1687" s="1" t="n">
        <v>45650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32098-2023</t>
        </is>
      </c>
      <c r="B1688" s="1" t="n">
        <v>45119</v>
      </c>
      <c r="C1688" s="1" t="n">
        <v>45650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32148-2023</t>
        </is>
      </c>
      <c r="B1689" s="1" t="n">
        <v>45119</v>
      </c>
      <c r="C1689" s="1" t="n">
        <v>45650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32005-2023</t>
        </is>
      </c>
      <c r="B1690" s="1" t="n">
        <v>45119</v>
      </c>
      <c r="C1690" s="1" t="n">
        <v>45650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17.7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32151-2023</t>
        </is>
      </c>
      <c r="B1691" s="1" t="n">
        <v>45119</v>
      </c>
      <c r="C1691" s="1" t="n">
        <v>45650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32017-2023</t>
        </is>
      </c>
      <c r="B1692" s="1" t="n">
        <v>45119</v>
      </c>
      <c r="C1692" s="1" t="n">
        <v>45650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32130-2023</t>
        </is>
      </c>
      <c r="B1693" s="1" t="n">
        <v>45119</v>
      </c>
      <c r="C1693" s="1" t="n">
        <v>45650</v>
      </c>
      <c r="D1693" t="inlineStr">
        <is>
          <t>GÄVLEBORGS LÄN</t>
        </is>
      </c>
      <c r="E1693" t="inlineStr">
        <is>
          <t>LJUSDAL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32365-2023</t>
        </is>
      </c>
      <c r="B1694" s="1" t="n">
        <v>45120</v>
      </c>
      <c r="C1694" s="1" t="n">
        <v>45650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32335-2023</t>
        </is>
      </c>
      <c r="B1695" s="1" t="n">
        <v>45120</v>
      </c>
      <c r="C1695" s="1" t="n">
        <v>45650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32581-2023</t>
        </is>
      </c>
      <c r="B1696" s="1" t="n">
        <v>45121</v>
      </c>
      <c r="C1696" s="1" t="n">
        <v>45650</v>
      </c>
      <c r="D1696" t="inlineStr">
        <is>
          <t>GÄVLEBORGS LÄN</t>
        </is>
      </c>
      <c r="E1696" t="inlineStr">
        <is>
          <t>LJUSDAL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32597-2023</t>
        </is>
      </c>
      <c r="B1697" s="1" t="n">
        <v>45121</v>
      </c>
      <c r="C1697" s="1" t="n">
        <v>45650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34040-2023</t>
        </is>
      </c>
      <c r="B1698" s="1" t="n">
        <v>45124</v>
      </c>
      <c r="C1698" s="1" t="n">
        <v>45650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SCA</t>
        </is>
      </c>
      <c r="G1698" t="n">
        <v>18.4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32943-2023</t>
        </is>
      </c>
      <c r="B1699" s="1" t="n">
        <v>45125</v>
      </c>
      <c r="C1699" s="1" t="n">
        <v>45650</v>
      </c>
      <c r="D1699" t="inlineStr">
        <is>
          <t>GÄVLEBORGS LÄN</t>
        </is>
      </c>
      <c r="E1699" t="inlineStr">
        <is>
          <t>LJUSDAL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32920-2023</t>
        </is>
      </c>
      <c r="B1700" s="1" t="n">
        <v>45125</v>
      </c>
      <c r="C1700" s="1" t="n">
        <v>45650</v>
      </c>
      <c r="D1700" t="inlineStr">
        <is>
          <t>GÄVLEBORGS LÄN</t>
        </is>
      </c>
      <c r="E1700" t="inlineStr">
        <is>
          <t>LJUSDAL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32924-2023</t>
        </is>
      </c>
      <c r="B1701" s="1" t="n">
        <v>45125</v>
      </c>
      <c r="C1701" s="1" t="n">
        <v>45650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32986-2023</t>
        </is>
      </c>
      <c r="B1702" s="1" t="n">
        <v>45125</v>
      </c>
      <c r="C1702" s="1" t="n">
        <v>45650</v>
      </c>
      <c r="D1702" t="inlineStr">
        <is>
          <t>GÄVLEBORGS LÄN</t>
        </is>
      </c>
      <c r="E1702" t="inlineStr">
        <is>
          <t>LJUSDAL</t>
        </is>
      </c>
      <c r="F1702" t="inlineStr">
        <is>
          <t>Allmännings- och besparingsskogar</t>
        </is>
      </c>
      <c r="G1702" t="n">
        <v>15.1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32941-2023</t>
        </is>
      </c>
      <c r="B1703" s="1" t="n">
        <v>45125</v>
      </c>
      <c r="C1703" s="1" t="n">
        <v>45650</v>
      </c>
      <c r="D1703" t="inlineStr">
        <is>
          <t>GÄVLEBORGS LÄN</t>
        </is>
      </c>
      <c r="E1703" t="inlineStr">
        <is>
          <t>LJUSDAL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32918-2023</t>
        </is>
      </c>
      <c r="B1704" s="1" t="n">
        <v>45125</v>
      </c>
      <c r="C1704" s="1" t="n">
        <v>45650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32922-2023</t>
        </is>
      </c>
      <c r="B1705" s="1" t="n">
        <v>45125</v>
      </c>
      <c r="C1705" s="1" t="n">
        <v>45650</v>
      </c>
      <c r="D1705" t="inlineStr">
        <is>
          <t>GÄVLEBORGS LÄN</t>
        </is>
      </c>
      <c r="E1705" t="inlineStr">
        <is>
          <t>LJUSDAL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32947-2023</t>
        </is>
      </c>
      <c r="B1706" s="1" t="n">
        <v>45125</v>
      </c>
      <c r="C1706" s="1" t="n">
        <v>45650</v>
      </c>
      <c r="D1706" t="inlineStr">
        <is>
          <t>GÄVLEBORGS LÄN</t>
        </is>
      </c>
      <c r="E1706" t="inlineStr">
        <is>
          <t>LJUSDAL</t>
        </is>
      </c>
      <c r="G1706" t="n">
        <v>11.5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33200-2023</t>
        </is>
      </c>
      <c r="B1707" s="1" t="n">
        <v>45127</v>
      </c>
      <c r="C1707" s="1" t="n">
        <v>45650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9.9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33198-2023</t>
        </is>
      </c>
      <c r="B1708" s="1" t="n">
        <v>45127</v>
      </c>
      <c r="C1708" s="1" t="n">
        <v>45650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33199-2023</t>
        </is>
      </c>
      <c r="B1709" s="1" t="n">
        <v>45127</v>
      </c>
      <c r="C1709" s="1" t="n">
        <v>45650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6.7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33193-2023</t>
        </is>
      </c>
      <c r="B1710" s="1" t="n">
        <v>45127</v>
      </c>
      <c r="C1710" s="1" t="n">
        <v>45650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34228-2023</t>
        </is>
      </c>
      <c r="B1711" s="1" t="n">
        <v>45127</v>
      </c>
      <c r="C1711" s="1" t="n">
        <v>45650</v>
      </c>
      <c r="D1711" t="inlineStr">
        <is>
          <t>GÄVLEBORGS LÄN</t>
        </is>
      </c>
      <c r="E1711" t="inlineStr">
        <is>
          <t>LJUSDAL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33493-2023</t>
        </is>
      </c>
      <c r="B1712" s="1" t="n">
        <v>45131</v>
      </c>
      <c r="C1712" s="1" t="n">
        <v>45650</v>
      </c>
      <c r="D1712" t="inlineStr">
        <is>
          <t>GÄVLEBORGS LÄN</t>
        </is>
      </c>
      <c r="E1712" t="inlineStr">
        <is>
          <t>LJUSDAL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33688-2023</t>
        </is>
      </c>
      <c r="B1713" s="1" t="n">
        <v>45132</v>
      </c>
      <c r="C1713" s="1" t="n">
        <v>45650</v>
      </c>
      <c r="D1713" t="inlineStr">
        <is>
          <t>GÄVLEBORGS LÄN</t>
        </is>
      </c>
      <c r="E1713" t="inlineStr">
        <is>
          <t>LJUSDAL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33802-2023</t>
        </is>
      </c>
      <c r="B1714" s="1" t="n">
        <v>45133</v>
      </c>
      <c r="C1714" s="1" t="n">
        <v>45650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33766-2023</t>
        </is>
      </c>
      <c r="B1715" s="1" t="n">
        <v>45133</v>
      </c>
      <c r="C1715" s="1" t="n">
        <v>45650</v>
      </c>
      <c r="D1715" t="inlineStr">
        <is>
          <t>GÄVLEBORGS LÄN</t>
        </is>
      </c>
      <c r="E1715" t="inlineStr">
        <is>
          <t>LJUSDAL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33819-2023</t>
        </is>
      </c>
      <c r="B1716" s="1" t="n">
        <v>45133</v>
      </c>
      <c r="C1716" s="1" t="n">
        <v>45650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33850-2023</t>
        </is>
      </c>
      <c r="B1717" s="1" t="n">
        <v>45133</v>
      </c>
      <c r="C1717" s="1" t="n">
        <v>45650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Holmen skog AB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33795-2023</t>
        </is>
      </c>
      <c r="B1718" s="1" t="n">
        <v>45133</v>
      </c>
      <c r="C1718" s="1" t="n">
        <v>45650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34088-2023</t>
        </is>
      </c>
      <c r="B1719" s="1" t="n">
        <v>45135</v>
      </c>
      <c r="C1719" s="1" t="n">
        <v>45650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34094-2023</t>
        </is>
      </c>
      <c r="B1720" s="1" t="n">
        <v>45135</v>
      </c>
      <c r="C1720" s="1" t="n">
        <v>45650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34103-2023</t>
        </is>
      </c>
      <c r="B1721" s="1" t="n">
        <v>45135</v>
      </c>
      <c r="C1721" s="1" t="n">
        <v>45650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34113-2023</t>
        </is>
      </c>
      <c r="B1722" s="1" t="n">
        <v>45135</v>
      </c>
      <c r="C1722" s="1" t="n">
        <v>45650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34168-2023</t>
        </is>
      </c>
      <c r="B1723" s="1" t="n">
        <v>45138</v>
      </c>
      <c r="C1723" s="1" t="n">
        <v>45650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Allmännings- och besparingsskogar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34363-2023</t>
        </is>
      </c>
      <c r="B1724" s="1" t="n">
        <v>45139</v>
      </c>
      <c r="C1724" s="1" t="n">
        <v>45650</v>
      </c>
      <c r="D1724" t="inlineStr">
        <is>
          <t>GÄVLEBORGS LÄN</t>
        </is>
      </c>
      <c r="E1724" t="inlineStr">
        <is>
          <t>LJUSDAL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34814-2023</t>
        </is>
      </c>
      <c r="B1725" s="1" t="n">
        <v>45141</v>
      </c>
      <c r="C1725" s="1" t="n">
        <v>45650</v>
      </c>
      <c r="D1725" t="inlineStr">
        <is>
          <t>GÄVLEBORGS LÄN</t>
        </is>
      </c>
      <c r="E1725" t="inlineStr">
        <is>
          <t>LJUSDAL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34974-2023</t>
        </is>
      </c>
      <c r="B1726" s="1" t="n">
        <v>45142</v>
      </c>
      <c r="C1726" s="1" t="n">
        <v>45650</v>
      </c>
      <c r="D1726" t="inlineStr">
        <is>
          <t>GÄVLEBORGS LÄN</t>
        </is>
      </c>
      <c r="E1726" t="inlineStr">
        <is>
          <t>LJUSDAL</t>
        </is>
      </c>
      <c r="G1726" t="n">
        <v>7.2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35154-2023</t>
        </is>
      </c>
      <c r="B1727" s="1" t="n">
        <v>45145</v>
      </c>
      <c r="C1727" s="1" t="n">
        <v>45650</v>
      </c>
      <c r="D1727" t="inlineStr">
        <is>
          <t>GÄVLEBORGS LÄN</t>
        </is>
      </c>
      <c r="E1727" t="inlineStr">
        <is>
          <t>LJUSDAL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35037-2023</t>
        </is>
      </c>
      <c r="B1728" s="1" t="n">
        <v>45145</v>
      </c>
      <c r="C1728" s="1" t="n">
        <v>45650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35373-2023</t>
        </is>
      </c>
      <c r="B1729" s="1" t="n">
        <v>45145</v>
      </c>
      <c r="C1729" s="1" t="n">
        <v>45650</v>
      </c>
      <c r="D1729" t="inlineStr">
        <is>
          <t>GÄVLEBORGS LÄN</t>
        </is>
      </c>
      <c r="E1729" t="inlineStr">
        <is>
          <t>LJUSDAL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35387-2023</t>
        </is>
      </c>
      <c r="B1730" s="1" t="n">
        <v>45146</v>
      </c>
      <c r="C1730" s="1" t="n">
        <v>45650</v>
      </c>
      <c r="D1730" t="inlineStr">
        <is>
          <t>GÄVLEBORGS LÄN</t>
        </is>
      </c>
      <c r="E1730" t="inlineStr">
        <is>
          <t>LJUSDAL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35448-2023</t>
        </is>
      </c>
      <c r="B1731" s="1" t="n">
        <v>45146</v>
      </c>
      <c r="C1731" s="1" t="n">
        <v>45650</v>
      </c>
      <c r="D1731" t="inlineStr">
        <is>
          <t>GÄVLEBORGS LÄN</t>
        </is>
      </c>
      <c r="E1731" t="inlineStr">
        <is>
          <t>LJUSDAL</t>
        </is>
      </c>
      <c r="F1731" t="inlineStr">
        <is>
          <t>Sveaskog</t>
        </is>
      </c>
      <c r="G1731" t="n">
        <v>7.9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35714-2023</t>
        </is>
      </c>
      <c r="B1732" s="1" t="n">
        <v>45147</v>
      </c>
      <c r="C1732" s="1" t="n">
        <v>45650</v>
      </c>
      <c r="D1732" t="inlineStr">
        <is>
          <t>GÄVLEBORGS LÄN</t>
        </is>
      </c>
      <c r="E1732" t="inlineStr">
        <is>
          <t>LJUSDAL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35718-2023</t>
        </is>
      </c>
      <c r="B1733" s="1" t="n">
        <v>45147</v>
      </c>
      <c r="C1733" s="1" t="n">
        <v>45650</v>
      </c>
      <c r="D1733" t="inlineStr">
        <is>
          <t>GÄVLEBORGS LÄN</t>
        </is>
      </c>
      <c r="E1733" t="inlineStr">
        <is>
          <t>LJUSDAL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35683-2023</t>
        </is>
      </c>
      <c r="B1734" s="1" t="n">
        <v>45147</v>
      </c>
      <c r="C1734" s="1" t="n">
        <v>45650</v>
      </c>
      <c r="D1734" t="inlineStr">
        <is>
          <t>GÄVLEBORGS LÄN</t>
        </is>
      </c>
      <c r="E1734" t="inlineStr">
        <is>
          <t>LJUSDAL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35826-2023</t>
        </is>
      </c>
      <c r="B1735" s="1" t="n">
        <v>45148</v>
      </c>
      <c r="C1735" s="1" t="n">
        <v>45650</v>
      </c>
      <c r="D1735" t="inlineStr">
        <is>
          <t>GÄVLEBORGS LÄN</t>
        </is>
      </c>
      <c r="E1735" t="inlineStr">
        <is>
          <t>LJUSDAL</t>
        </is>
      </c>
      <c r="F1735" t="inlineStr">
        <is>
          <t>Kommuner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35877-2023</t>
        </is>
      </c>
      <c r="B1736" s="1" t="n">
        <v>45148</v>
      </c>
      <c r="C1736" s="1" t="n">
        <v>45650</v>
      </c>
      <c r="D1736" t="inlineStr">
        <is>
          <t>GÄVLEBORGS LÄN</t>
        </is>
      </c>
      <c r="E1736" t="inlineStr">
        <is>
          <t>LJUSDAL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35782-2023</t>
        </is>
      </c>
      <c r="B1737" s="1" t="n">
        <v>45148</v>
      </c>
      <c r="C1737" s="1" t="n">
        <v>45650</v>
      </c>
      <c r="D1737" t="inlineStr">
        <is>
          <t>GÄVLEBORGS LÄN</t>
        </is>
      </c>
      <c r="E1737" t="inlineStr">
        <is>
          <t>LJUSDAL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35958-2023</t>
        </is>
      </c>
      <c r="B1738" s="1" t="n">
        <v>45148</v>
      </c>
      <c r="C1738" s="1" t="n">
        <v>45650</v>
      </c>
      <c r="D1738" t="inlineStr">
        <is>
          <t>GÄVLEBORGS LÄN</t>
        </is>
      </c>
      <c r="E1738" t="inlineStr">
        <is>
          <t>LJUSDAL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35997-2023</t>
        </is>
      </c>
      <c r="B1739" s="1" t="n">
        <v>45149</v>
      </c>
      <c r="C1739" s="1" t="n">
        <v>45650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36105-2023</t>
        </is>
      </c>
      <c r="B1740" s="1" t="n">
        <v>45149</v>
      </c>
      <c r="C1740" s="1" t="n">
        <v>45650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36170-2023</t>
        </is>
      </c>
      <c r="B1741" s="1" t="n">
        <v>45149</v>
      </c>
      <c r="C1741" s="1" t="n">
        <v>45650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9.4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36171-2023</t>
        </is>
      </c>
      <c r="B1742" s="1" t="n">
        <v>45149</v>
      </c>
      <c r="C1742" s="1" t="n">
        <v>45650</v>
      </c>
      <c r="D1742" t="inlineStr">
        <is>
          <t>GÄVLEBORGS LÄN</t>
        </is>
      </c>
      <c r="E1742" t="inlineStr">
        <is>
          <t>LJUSDAL</t>
        </is>
      </c>
      <c r="F1742" t="inlineStr">
        <is>
          <t>Sveaskog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36321-2023</t>
        </is>
      </c>
      <c r="B1743" s="1" t="n">
        <v>45152</v>
      </c>
      <c r="C1743" s="1" t="n">
        <v>45650</v>
      </c>
      <c r="D1743" t="inlineStr">
        <is>
          <t>GÄVLEBORGS LÄN</t>
        </is>
      </c>
      <c r="E1743" t="inlineStr">
        <is>
          <t>LJUSDAL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36458-2023</t>
        </is>
      </c>
      <c r="B1744" s="1" t="n">
        <v>45152</v>
      </c>
      <c r="C1744" s="1" t="n">
        <v>45650</v>
      </c>
      <c r="D1744" t="inlineStr">
        <is>
          <t>GÄVLEBORGS LÄN</t>
        </is>
      </c>
      <c r="E1744" t="inlineStr">
        <is>
          <t>LJUSDAL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36378-2023</t>
        </is>
      </c>
      <c r="B1745" s="1" t="n">
        <v>45152</v>
      </c>
      <c r="C1745" s="1" t="n">
        <v>45650</v>
      </c>
      <c r="D1745" t="inlineStr">
        <is>
          <t>GÄVLEBORGS LÄN</t>
        </is>
      </c>
      <c r="E1745" t="inlineStr">
        <is>
          <t>LJUSDAL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36448-2023</t>
        </is>
      </c>
      <c r="B1746" s="1" t="n">
        <v>45152</v>
      </c>
      <c r="C1746" s="1" t="n">
        <v>45650</v>
      </c>
      <c r="D1746" t="inlineStr">
        <is>
          <t>GÄVLEBORGS LÄN</t>
        </is>
      </c>
      <c r="E1746" t="inlineStr">
        <is>
          <t>LJUSDAL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36566-2023</t>
        </is>
      </c>
      <c r="B1747" s="1" t="n">
        <v>45153</v>
      </c>
      <c r="C1747" s="1" t="n">
        <v>45650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18.2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36558-2023</t>
        </is>
      </c>
      <c r="B1748" s="1" t="n">
        <v>45153</v>
      </c>
      <c r="C1748" s="1" t="n">
        <v>45650</v>
      </c>
      <c r="D1748" t="inlineStr">
        <is>
          <t>GÄVLEBORGS LÄN</t>
        </is>
      </c>
      <c r="E1748" t="inlineStr">
        <is>
          <t>LJUSDAL</t>
        </is>
      </c>
      <c r="F1748" t="inlineStr">
        <is>
          <t>Bergvik skog väst AB</t>
        </is>
      </c>
      <c r="G1748" t="n">
        <v>15.9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36668-2023</t>
        </is>
      </c>
      <c r="B1749" s="1" t="n">
        <v>45153</v>
      </c>
      <c r="C1749" s="1" t="n">
        <v>45650</v>
      </c>
      <c r="D1749" t="inlineStr">
        <is>
          <t>GÄVLEBORGS LÄN</t>
        </is>
      </c>
      <c r="E1749" t="inlineStr">
        <is>
          <t>LJUSDAL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36700-2023</t>
        </is>
      </c>
      <c r="B1750" s="1" t="n">
        <v>45153</v>
      </c>
      <c r="C1750" s="1" t="n">
        <v>45650</v>
      </c>
      <c r="D1750" t="inlineStr">
        <is>
          <t>GÄVLEBORGS LÄN</t>
        </is>
      </c>
      <c r="E1750" t="inlineStr">
        <is>
          <t>LJUSDAL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37064-2023</t>
        </is>
      </c>
      <c r="B1751" s="1" t="n">
        <v>45155</v>
      </c>
      <c r="C1751" s="1" t="n">
        <v>45650</v>
      </c>
      <c r="D1751" t="inlineStr">
        <is>
          <t>GÄVLEBORGS LÄN</t>
        </is>
      </c>
      <c r="E1751" t="inlineStr">
        <is>
          <t>LJUSDAL</t>
        </is>
      </c>
      <c r="F1751" t="inlineStr">
        <is>
          <t>Övriga Aktiebolag</t>
        </is>
      </c>
      <c r="G1751" t="n">
        <v>9.699999999999999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37202-2023</t>
        </is>
      </c>
      <c r="B1752" s="1" t="n">
        <v>45155</v>
      </c>
      <c r="C1752" s="1" t="n">
        <v>45650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37203-2023</t>
        </is>
      </c>
      <c r="B1753" s="1" t="n">
        <v>45155</v>
      </c>
      <c r="C1753" s="1" t="n">
        <v>45650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37227-2023</t>
        </is>
      </c>
      <c r="B1754" s="1" t="n">
        <v>45155</v>
      </c>
      <c r="C1754" s="1" t="n">
        <v>45650</v>
      </c>
      <c r="D1754" t="inlineStr">
        <is>
          <t>GÄVLEBORGS LÄN</t>
        </is>
      </c>
      <c r="E1754" t="inlineStr">
        <is>
          <t>LJUSDAL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37274-2023</t>
        </is>
      </c>
      <c r="B1755" s="1" t="n">
        <v>45156</v>
      </c>
      <c r="C1755" s="1" t="n">
        <v>45650</v>
      </c>
      <c r="D1755" t="inlineStr">
        <is>
          <t>GÄVLEBORGS LÄN</t>
        </is>
      </c>
      <c r="E1755" t="inlineStr">
        <is>
          <t>LJUSDAL</t>
        </is>
      </c>
      <c r="G1755" t="n">
        <v>7.8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37291-2023</t>
        </is>
      </c>
      <c r="B1756" s="1" t="n">
        <v>45156</v>
      </c>
      <c r="C1756" s="1" t="n">
        <v>45650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29.4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37275-2023</t>
        </is>
      </c>
      <c r="B1757" s="1" t="n">
        <v>45156</v>
      </c>
      <c r="C1757" s="1" t="n">
        <v>45650</v>
      </c>
      <c r="D1757" t="inlineStr">
        <is>
          <t>GÄVLEBORGS LÄN</t>
        </is>
      </c>
      <c r="E1757" t="inlineStr">
        <is>
          <t>LJUSDAL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37663-2023</t>
        </is>
      </c>
      <c r="B1758" s="1" t="n">
        <v>45159</v>
      </c>
      <c r="C1758" s="1" t="n">
        <v>45650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37599-2023</t>
        </is>
      </c>
      <c r="B1759" s="1" t="n">
        <v>45159</v>
      </c>
      <c r="C1759" s="1" t="n">
        <v>45650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37724-2023</t>
        </is>
      </c>
      <c r="B1760" s="1" t="n">
        <v>45159</v>
      </c>
      <c r="C1760" s="1" t="n">
        <v>45650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37633-2023</t>
        </is>
      </c>
      <c r="B1761" s="1" t="n">
        <v>45159</v>
      </c>
      <c r="C1761" s="1" t="n">
        <v>45650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13.6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37892-2023</t>
        </is>
      </c>
      <c r="B1762" s="1" t="n">
        <v>45160</v>
      </c>
      <c r="C1762" s="1" t="n">
        <v>45650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38014-2023</t>
        </is>
      </c>
      <c r="B1763" s="1" t="n">
        <v>45160</v>
      </c>
      <c r="C1763" s="1" t="n">
        <v>45650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38004-2023</t>
        </is>
      </c>
      <c r="B1764" s="1" t="n">
        <v>45160</v>
      </c>
      <c r="C1764" s="1" t="n">
        <v>45650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38027-2023</t>
        </is>
      </c>
      <c r="B1765" s="1" t="n">
        <v>45160</v>
      </c>
      <c r="C1765" s="1" t="n">
        <v>45650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38282-2023</t>
        </is>
      </c>
      <c r="B1766" s="1" t="n">
        <v>45161</v>
      </c>
      <c r="C1766" s="1" t="n">
        <v>45650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38425-2023</t>
        </is>
      </c>
      <c r="B1767" s="1" t="n">
        <v>45162</v>
      </c>
      <c r="C1767" s="1" t="n">
        <v>45650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38518-2023</t>
        </is>
      </c>
      <c r="B1768" s="1" t="n">
        <v>45162</v>
      </c>
      <c r="C1768" s="1" t="n">
        <v>45650</v>
      </c>
      <c r="D1768" t="inlineStr">
        <is>
          <t>GÄVLEBORGS LÄN</t>
        </is>
      </c>
      <c r="E1768" t="inlineStr">
        <is>
          <t>LJUSDAL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38634-2023</t>
        </is>
      </c>
      <c r="B1769" s="1" t="n">
        <v>45162</v>
      </c>
      <c r="C1769" s="1" t="n">
        <v>45650</v>
      </c>
      <c r="D1769" t="inlineStr">
        <is>
          <t>GÄVLEBORGS LÄN</t>
        </is>
      </c>
      <c r="E1769" t="inlineStr">
        <is>
          <t>LJUSDAL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39012-2023</t>
        </is>
      </c>
      <c r="B1770" s="1" t="n">
        <v>45163</v>
      </c>
      <c r="C1770" s="1" t="n">
        <v>45650</v>
      </c>
      <c r="D1770" t="inlineStr">
        <is>
          <t>GÄVLEBORGS LÄN</t>
        </is>
      </c>
      <c r="E1770" t="inlineStr">
        <is>
          <t>LJUSDAL</t>
        </is>
      </c>
      <c r="G1770" t="n">
        <v>16.3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38778-2023</t>
        </is>
      </c>
      <c r="B1771" s="1" t="n">
        <v>45163</v>
      </c>
      <c r="C1771" s="1" t="n">
        <v>45650</v>
      </c>
      <c r="D1771" t="inlineStr">
        <is>
          <t>GÄVLEBORGS LÄN</t>
        </is>
      </c>
      <c r="E1771" t="inlineStr">
        <is>
          <t>LJUSDAL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39413-2023</t>
        </is>
      </c>
      <c r="B1772" s="1" t="n">
        <v>45166</v>
      </c>
      <c r="C1772" s="1" t="n">
        <v>45650</v>
      </c>
      <c r="D1772" t="inlineStr">
        <is>
          <t>GÄVLEBORGS LÄN</t>
        </is>
      </c>
      <c r="E1772" t="inlineStr">
        <is>
          <t>LJUSDAL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39738-2023</t>
        </is>
      </c>
      <c r="B1773" s="1" t="n">
        <v>45167</v>
      </c>
      <c r="C1773" s="1" t="n">
        <v>45650</v>
      </c>
      <c r="D1773" t="inlineStr">
        <is>
          <t>GÄVLEBORGS LÄN</t>
        </is>
      </c>
      <c r="E1773" t="inlineStr">
        <is>
          <t>LJUSDAL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39742-2023</t>
        </is>
      </c>
      <c r="B1774" s="1" t="n">
        <v>45167</v>
      </c>
      <c r="C1774" s="1" t="n">
        <v>45650</v>
      </c>
      <c r="D1774" t="inlineStr">
        <is>
          <t>GÄVLEBORGS LÄN</t>
        </is>
      </c>
      <c r="E1774" t="inlineStr">
        <is>
          <t>LJUSDAL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39526-2023</t>
        </is>
      </c>
      <c r="B1775" s="1" t="n">
        <v>45167</v>
      </c>
      <c r="C1775" s="1" t="n">
        <v>45650</v>
      </c>
      <c r="D1775" t="inlineStr">
        <is>
          <t>GÄVLEBORGS LÄN</t>
        </is>
      </c>
      <c r="E1775" t="inlineStr">
        <is>
          <t>LJUSDAL</t>
        </is>
      </c>
      <c r="G1775" t="n">
        <v>6.1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39883-2023</t>
        </is>
      </c>
      <c r="B1776" s="1" t="n">
        <v>45168</v>
      </c>
      <c r="C1776" s="1" t="n">
        <v>45650</v>
      </c>
      <c r="D1776" t="inlineStr">
        <is>
          <t>GÄVLEBORGS LÄN</t>
        </is>
      </c>
      <c r="E1776" t="inlineStr">
        <is>
          <t>LJUSDAL</t>
        </is>
      </c>
      <c r="F1776" t="inlineStr">
        <is>
          <t>Holmen skog AB</t>
        </is>
      </c>
      <c r="G1776" t="n">
        <v>13.9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39923-2023</t>
        </is>
      </c>
      <c r="B1777" s="1" t="n">
        <v>45168</v>
      </c>
      <c r="C1777" s="1" t="n">
        <v>45650</v>
      </c>
      <c r="D1777" t="inlineStr">
        <is>
          <t>GÄVLEBORGS LÄN</t>
        </is>
      </c>
      <c r="E1777" t="inlineStr">
        <is>
          <t>LJUSDAL</t>
        </is>
      </c>
      <c r="F1777" t="inlineStr">
        <is>
          <t>Allmännings- och besparingsskogar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39932-2023</t>
        </is>
      </c>
      <c r="B1778" s="1" t="n">
        <v>45168</v>
      </c>
      <c r="C1778" s="1" t="n">
        <v>45650</v>
      </c>
      <c r="D1778" t="inlineStr">
        <is>
          <t>GÄVLEBORGS LÄN</t>
        </is>
      </c>
      <c r="E1778" t="inlineStr">
        <is>
          <t>LJUSDAL</t>
        </is>
      </c>
      <c r="F1778" t="inlineStr">
        <is>
          <t>Bergvik skog väst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40253-2023</t>
        </is>
      </c>
      <c r="B1779" s="1" t="n">
        <v>45169</v>
      </c>
      <c r="C1779" s="1" t="n">
        <v>45650</v>
      </c>
      <c r="D1779" t="inlineStr">
        <is>
          <t>GÄVLEBORGS LÄN</t>
        </is>
      </c>
      <c r="E1779" t="inlineStr">
        <is>
          <t>LJUSDAL</t>
        </is>
      </c>
      <c r="G1779" t="n">
        <v>9.300000000000001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40281-2023</t>
        </is>
      </c>
      <c r="B1780" s="1" t="n">
        <v>45169</v>
      </c>
      <c r="C1780" s="1" t="n">
        <v>45650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40260-2023</t>
        </is>
      </c>
      <c r="B1781" s="1" t="n">
        <v>45169</v>
      </c>
      <c r="C1781" s="1" t="n">
        <v>45650</v>
      </c>
      <c r="D1781" t="inlineStr">
        <is>
          <t>GÄVLEBORGS LÄN</t>
        </is>
      </c>
      <c r="E1781" t="inlineStr">
        <is>
          <t>LJUSDAL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40276-2023</t>
        </is>
      </c>
      <c r="B1782" s="1" t="n">
        <v>45169</v>
      </c>
      <c r="C1782" s="1" t="n">
        <v>45650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40280-2023</t>
        </is>
      </c>
      <c r="B1783" s="1" t="n">
        <v>45169</v>
      </c>
      <c r="C1783" s="1" t="n">
        <v>45650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40146-2023</t>
        </is>
      </c>
      <c r="B1784" s="1" t="n">
        <v>45169</v>
      </c>
      <c r="C1784" s="1" t="n">
        <v>45650</v>
      </c>
      <c r="D1784" t="inlineStr">
        <is>
          <t>GÄVLEBORGS LÄN</t>
        </is>
      </c>
      <c r="E1784" t="inlineStr">
        <is>
          <t>LJUSDAL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40191-2023</t>
        </is>
      </c>
      <c r="B1785" s="1" t="n">
        <v>45169</v>
      </c>
      <c r="C1785" s="1" t="n">
        <v>45650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40384-2023</t>
        </is>
      </c>
      <c r="B1786" s="1" t="n">
        <v>45169</v>
      </c>
      <c r="C1786" s="1" t="n">
        <v>45650</v>
      </c>
      <c r="D1786" t="inlineStr">
        <is>
          <t>GÄVLEBORGS LÄN</t>
        </is>
      </c>
      <c r="E1786" t="inlineStr">
        <is>
          <t>LJUSDAL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40695-2023</t>
        </is>
      </c>
      <c r="B1787" s="1" t="n">
        <v>45170</v>
      </c>
      <c r="C1787" s="1" t="n">
        <v>45650</v>
      </c>
      <c r="D1787" t="inlineStr">
        <is>
          <t>GÄVLEBORGS LÄN</t>
        </is>
      </c>
      <c r="E1787" t="inlineStr">
        <is>
          <t>LJUSDAL</t>
        </is>
      </c>
      <c r="F1787" t="inlineStr">
        <is>
          <t>Holmen skog AB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40744-2023</t>
        </is>
      </c>
      <c r="B1788" s="1" t="n">
        <v>45170</v>
      </c>
      <c r="C1788" s="1" t="n">
        <v>45650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14.1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41048-2023</t>
        </is>
      </c>
      <c r="B1789" s="1" t="n">
        <v>45173</v>
      </c>
      <c r="C1789" s="1" t="n">
        <v>45650</v>
      </c>
      <c r="D1789" t="inlineStr">
        <is>
          <t>GÄVLEBORGS LÄN</t>
        </is>
      </c>
      <c r="E1789" t="inlineStr">
        <is>
          <t>LJUSDAL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41123-2023</t>
        </is>
      </c>
      <c r="B1790" s="1" t="n">
        <v>45173</v>
      </c>
      <c r="C1790" s="1" t="n">
        <v>45650</v>
      </c>
      <c r="D1790" t="inlineStr">
        <is>
          <t>GÄVLEBORGS LÄN</t>
        </is>
      </c>
      <c r="E1790" t="inlineStr">
        <is>
          <t>LJUSDAL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41124-2023</t>
        </is>
      </c>
      <c r="B1791" s="1" t="n">
        <v>45173</v>
      </c>
      <c r="C1791" s="1" t="n">
        <v>45650</v>
      </c>
      <c r="D1791" t="inlineStr">
        <is>
          <t>GÄVLEBORGS LÄN</t>
        </is>
      </c>
      <c r="E1791" t="inlineStr">
        <is>
          <t>LJUSDAL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41292-2023</t>
        </is>
      </c>
      <c r="B1792" s="1" t="n">
        <v>45174</v>
      </c>
      <c r="C1792" s="1" t="n">
        <v>45650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41293-2023</t>
        </is>
      </c>
      <c r="B1793" s="1" t="n">
        <v>45174</v>
      </c>
      <c r="C1793" s="1" t="n">
        <v>45650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41476-2023</t>
        </is>
      </c>
      <c r="B1794" s="1" t="n">
        <v>45175</v>
      </c>
      <c r="C1794" s="1" t="n">
        <v>45650</v>
      </c>
      <c r="D1794" t="inlineStr">
        <is>
          <t>GÄVLEBORGS LÄN</t>
        </is>
      </c>
      <c r="E1794" t="inlineStr">
        <is>
          <t>LJUSDAL</t>
        </is>
      </c>
      <c r="F1794" t="inlineStr">
        <is>
          <t>Allmännings- och besparingsskogar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41658-2023</t>
        </is>
      </c>
      <c r="B1795" s="1" t="n">
        <v>45176</v>
      </c>
      <c r="C1795" s="1" t="n">
        <v>45650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SCA</t>
        </is>
      </c>
      <c r="G1795" t="n">
        <v>16.5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41463-2023</t>
        </is>
      </c>
      <c r="B1796" s="1" t="n">
        <v>45175</v>
      </c>
      <c r="C1796" s="1" t="n">
        <v>45650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Övriga Aktiebolag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41513-2023</t>
        </is>
      </c>
      <c r="B1797" s="1" t="n">
        <v>45175</v>
      </c>
      <c r="C1797" s="1" t="n">
        <v>45650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41657-2023</t>
        </is>
      </c>
      <c r="B1798" s="1" t="n">
        <v>45176</v>
      </c>
      <c r="C1798" s="1" t="n">
        <v>45650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41614-2023</t>
        </is>
      </c>
      <c r="B1799" s="1" t="n">
        <v>45175</v>
      </c>
      <c r="C1799" s="1" t="n">
        <v>45650</v>
      </c>
      <c r="D1799" t="inlineStr">
        <is>
          <t>GÄVLEBORGS LÄN</t>
        </is>
      </c>
      <c r="E1799" t="inlineStr">
        <is>
          <t>LJUSDAL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41773-2023</t>
        </is>
      </c>
      <c r="B1800" s="1" t="n">
        <v>45176</v>
      </c>
      <c r="C1800" s="1" t="n">
        <v>45650</v>
      </c>
      <c r="D1800" t="inlineStr">
        <is>
          <t>GÄVLEBORGS LÄN</t>
        </is>
      </c>
      <c r="E1800" t="inlineStr">
        <is>
          <t>LJUSDAL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42145-2023</t>
        </is>
      </c>
      <c r="B1801" s="1" t="n">
        <v>45178</v>
      </c>
      <c r="C1801" s="1" t="n">
        <v>45650</v>
      </c>
      <c r="D1801" t="inlineStr">
        <is>
          <t>GÄVLEBORGS LÄN</t>
        </is>
      </c>
      <c r="E1801" t="inlineStr">
        <is>
          <t>LJUSDAL</t>
        </is>
      </c>
      <c r="G1801" t="n">
        <v>16.2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42276-2023</t>
        </is>
      </c>
      <c r="B1802" s="1" t="n">
        <v>45180</v>
      </c>
      <c r="C1802" s="1" t="n">
        <v>45650</v>
      </c>
      <c r="D1802" t="inlineStr">
        <is>
          <t>GÄVLEBORGS LÄN</t>
        </is>
      </c>
      <c r="E1802" t="inlineStr">
        <is>
          <t>LJUSDAL</t>
        </is>
      </c>
      <c r="G1802" t="n">
        <v>6.9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42419-2023</t>
        </is>
      </c>
      <c r="B1803" s="1" t="n">
        <v>45180</v>
      </c>
      <c r="C1803" s="1" t="n">
        <v>45650</v>
      </c>
      <c r="D1803" t="inlineStr">
        <is>
          <t>GÄVLEBORGS LÄN</t>
        </is>
      </c>
      <c r="E1803" t="inlineStr">
        <is>
          <t>LJUSDAL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42580-2023</t>
        </is>
      </c>
      <c r="B1804" s="1" t="n">
        <v>45181</v>
      </c>
      <c r="C1804" s="1" t="n">
        <v>45650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42732-2023</t>
        </is>
      </c>
      <c r="B1805" s="1" t="n">
        <v>45181</v>
      </c>
      <c r="C1805" s="1" t="n">
        <v>45650</v>
      </c>
      <c r="D1805" t="inlineStr">
        <is>
          <t>GÄVLEBORGS LÄN</t>
        </is>
      </c>
      <c r="E1805" t="inlineStr">
        <is>
          <t>LJUSDAL</t>
        </is>
      </c>
      <c r="F1805" t="inlineStr">
        <is>
          <t>Kommuner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42572-2023</t>
        </is>
      </c>
      <c r="B1806" s="1" t="n">
        <v>45181</v>
      </c>
      <c r="C1806" s="1" t="n">
        <v>45650</v>
      </c>
      <c r="D1806" t="inlineStr">
        <is>
          <t>GÄVLEBORGS LÄN</t>
        </is>
      </c>
      <c r="E1806" t="inlineStr">
        <is>
          <t>LJUSDAL</t>
        </is>
      </c>
      <c r="F1806" t="inlineStr">
        <is>
          <t>Bergvik skog väst AB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42596-2023</t>
        </is>
      </c>
      <c r="B1807" s="1" t="n">
        <v>45181</v>
      </c>
      <c r="C1807" s="1" t="n">
        <v>45650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42685-2023</t>
        </is>
      </c>
      <c r="B1808" s="1" t="n">
        <v>45181</v>
      </c>
      <c r="C1808" s="1" t="n">
        <v>45650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42979-2023</t>
        </is>
      </c>
      <c r="B1809" s="1" t="n">
        <v>45182</v>
      </c>
      <c r="C1809" s="1" t="n">
        <v>45650</v>
      </c>
      <c r="D1809" t="inlineStr">
        <is>
          <t>GÄVLEBORGS LÄN</t>
        </is>
      </c>
      <c r="E1809" t="inlineStr">
        <is>
          <t>LJUSDAL</t>
        </is>
      </c>
      <c r="G1809" t="n">
        <v>13.2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42841-2023</t>
        </is>
      </c>
      <c r="B1810" s="1" t="n">
        <v>45182</v>
      </c>
      <c r="C1810" s="1" t="n">
        <v>45650</v>
      </c>
      <c r="D1810" t="inlineStr">
        <is>
          <t>GÄVLEBORGS LÄN</t>
        </is>
      </c>
      <c r="E1810" t="inlineStr">
        <is>
          <t>LJUSDAL</t>
        </is>
      </c>
      <c r="F1810" t="inlineStr">
        <is>
          <t>Allmännings- och besparingsskogar</t>
        </is>
      </c>
      <c r="G1810" t="n">
        <v>28.8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42949-2023</t>
        </is>
      </c>
      <c r="B1811" s="1" t="n">
        <v>45182</v>
      </c>
      <c r="C1811" s="1" t="n">
        <v>45650</v>
      </c>
      <c r="D1811" t="inlineStr">
        <is>
          <t>GÄVLEBORGS LÄN</t>
        </is>
      </c>
      <c r="E1811" t="inlineStr">
        <is>
          <t>LJUSDAL</t>
        </is>
      </c>
      <c r="G1811" t="n">
        <v>10.4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43018-2023</t>
        </is>
      </c>
      <c r="B1812" s="1" t="n">
        <v>45182</v>
      </c>
      <c r="C1812" s="1" t="n">
        <v>45650</v>
      </c>
      <c r="D1812" t="inlineStr">
        <is>
          <t>GÄVLEBORGS LÄN</t>
        </is>
      </c>
      <c r="E1812" t="inlineStr">
        <is>
          <t>LJUSDAL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43121-2023</t>
        </is>
      </c>
      <c r="B1813" s="1" t="n">
        <v>45183</v>
      </c>
      <c r="C1813" s="1" t="n">
        <v>45650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SCA</t>
        </is>
      </c>
      <c r="G1813" t="n">
        <v>7.6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43490-2023</t>
        </is>
      </c>
      <c r="B1814" s="1" t="n">
        <v>45184</v>
      </c>
      <c r="C1814" s="1" t="n">
        <v>45650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43517-2023</t>
        </is>
      </c>
      <c r="B1815" s="1" t="n">
        <v>45184</v>
      </c>
      <c r="C1815" s="1" t="n">
        <v>45650</v>
      </c>
      <c r="D1815" t="inlineStr">
        <is>
          <t>GÄVLEBORGS LÄN</t>
        </is>
      </c>
      <c r="E1815" t="inlineStr">
        <is>
          <t>LJUSDAL</t>
        </is>
      </c>
      <c r="G1815" t="n">
        <v>23.5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43669-2023</t>
        </is>
      </c>
      <c r="B1816" s="1" t="n">
        <v>45187</v>
      </c>
      <c r="C1816" s="1" t="n">
        <v>45650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43673-2023</t>
        </is>
      </c>
      <c r="B1817" s="1" t="n">
        <v>45187</v>
      </c>
      <c r="C1817" s="1" t="n">
        <v>45650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43682-2023</t>
        </is>
      </c>
      <c r="B1818" s="1" t="n">
        <v>45187</v>
      </c>
      <c r="C1818" s="1" t="n">
        <v>45650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43800-2023</t>
        </is>
      </c>
      <c r="B1819" s="1" t="n">
        <v>45187</v>
      </c>
      <c r="C1819" s="1" t="n">
        <v>45650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43718-2023</t>
        </is>
      </c>
      <c r="B1820" s="1" t="n">
        <v>45187</v>
      </c>
      <c r="C1820" s="1" t="n">
        <v>45650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43799-2023</t>
        </is>
      </c>
      <c r="B1821" s="1" t="n">
        <v>45187</v>
      </c>
      <c r="C1821" s="1" t="n">
        <v>45650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44020-2023</t>
        </is>
      </c>
      <c r="B1822" s="1" t="n">
        <v>45188</v>
      </c>
      <c r="C1822" s="1" t="n">
        <v>45650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44204-2023</t>
        </is>
      </c>
      <c r="B1823" s="1" t="n">
        <v>45188</v>
      </c>
      <c r="C1823" s="1" t="n">
        <v>45650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9.800000000000001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44291-2023</t>
        </is>
      </c>
      <c r="B1824" s="1" t="n">
        <v>45188</v>
      </c>
      <c r="C1824" s="1" t="n">
        <v>45650</v>
      </c>
      <c r="D1824" t="inlineStr">
        <is>
          <t>GÄVLEBORGS LÄN</t>
        </is>
      </c>
      <c r="E1824" t="inlineStr">
        <is>
          <t>LJUSDAL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44188-2023</t>
        </is>
      </c>
      <c r="B1825" s="1" t="n">
        <v>45188</v>
      </c>
      <c r="C1825" s="1" t="n">
        <v>45650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29.6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44192-2023</t>
        </is>
      </c>
      <c r="B1826" s="1" t="n">
        <v>45188</v>
      </c>
      <c r="C1826" s="1" t="n">
        <v>45650</v>
      </c>
      <c r="D1826" t="inlineStr">
        <is>
          <t>GÄVLEBORGS LÄN</t>
        </is>
      </c>
      <c r="E1826" t="inlineStr">
        <is>
          <t>LJUSDAL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44665-2023</t>
        </is>
      </c>
      <c r="B1827" s="1" t="n">
        <v>45189</v>
      </c>
      <c r="C1827" s="1" t="n">
        <v>45650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25.1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44699-2023</t>
        </is>
      </c>
      <c r="B1828" s="1" t="n">
        <v>45190</v>
      </c>
      <c r="C1828" s="1" t="n">
        <v>45650</v>
      </c>
      <c r="D1828" t="inlineStr">
        <is>
          <t>GÄVLEBORGS LÄN</t>
        </is>
      </c>
      <c r="E1828" t="inlineStr">
        <is>
          <t>LJUSDAL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44967-2023</t>
        </is>
      </c>
      <c r="B1829" s="1" t="n">
        <v>45191</v>
      </c>
      <c r="C1829" s="1" t="n">
        <v>45650</v>
      </c>
      <c r="D1829" t="inlineStr">
        <is>
          <t>GÄVLEBORGS LÄN</t>
        </is>
      </c>
      <c r="E1829" t="inlineStr">
        <is>
          <t>LJUSDAL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45175-2023</t>
        </is>
      </c>
      <c r="B1830" s="1" t="n">
        <v>45191</v>
      </c>
      <c r="C1830" s="1" t="n">
        <v>45650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45110-2023</t>
        </is>
      </c>
      <c r="B1831" s="1" t="n">
        <v>45191</v>
      </c>
      <c r="C1831" s="1" t="n">
        <v>45650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45243-2023</t>
        </is>
      </c>
      <c r="B1832" s="1" t="n">
        <v>45191</v>
      </c>
      <c r="C1832" s="1" t="n">
        <v>45650</v>
      </c>
      <c r="D1832" t="inlineStr">
        <is>
          <t>GÄVLEBORGS LÄN</t>
        </is>
      </c>
      <c r="E1832" t="inlineStr">
        <is>
          <t>LJUSDAL</t>
        </is>
      </c>
      <c r="G1832" t="n">
        <v>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45251-2023</t>
        </is>
      </c>
      <c r="B1833" s="1" t="n">
        <v>45191</v>
      </c>
      <c r="C1833" s="1" t="n">
        <v>45650</v>
      </c>
      <c r="D1833" t="inlineStr">
        <is>
          <t>GÄVLEBORGS LÄN</t>
        </is>
      </c>
      <c r="E1833" t="inlineStr">
        <is>
          <t>LJUSDAL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45289-2023</t>
        </is>
      </c>
      <c r="B1834" s="1" t="n">
        <v>45191</v>
      </c>
      <c r="C1834" s="1" t="n">
        <v>45650</v>
      </c>
      <c r="D1834" t="inlineStr">
        <is>
          <t>GÄVLEBORGS LÄN</t>
        </is>
      </c>
      <c r="E1834" t="inlineStr">
        <is>
          <t>LJUSDAL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45089-2023</t>
        </is>
      </c>
      <c r="B1835" s="1" t="n">
        <v>45191</v>
      </c>
      <c r="C1835" s="1" t="n">
        <v>45650</v>
      </c>
      <c r="D1835" t="inlineStr">
        <is>
          <t>GÄVLEBORGS LÄN</t>
        </is>
      </c>
      <c r="E1835" t="inlineStr">
        <is>
          <t>LJUSDAL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45250-2023</t>
        </is>
      </c>
      <c r="B1836" s="1" t="n">
        <v>45191</v>
      </c>
      <c r="C1836" s="1" t="n">
        <v>45650</v>
      </c>
      <c r="D1836" t="inlineStr">
        <is>
          <t>GÄVLEBORGS LÄN</t>
        </is>
      </c>
      <c r="E1836" t="inlineStr">
        <is>
          <t>LJUSDAL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45255-2023</t>
        </is>
      </c>
      <c r="B1837" s="1" t="n">
        <v>45191</v>
      </c>
      <c r="C1837" s="1" t="n">
        <v>45650</v>
      </c>
      <c r="D1837" t="inlineStr">
        <is>
          <t>GÄVLEBORGS LÄN</t>
        </is>
      </c>
      <c r="E1837" t="inlineStr">
        <is>
          <t>LJUSDAL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45260-2023</t>
        </is>
      </c>
      <c r="B1838" s="1" t="n">
        <v>45191</v>
      </c>
      <c r="C1838" s="1" t="n">
        <v>45650</v>
      </c>
      <c r="D1838" t="inlineStr">
        <is>
          <t>GÄVLEBORGS LÄN</t>
        </is>
      </c>
      <c r="E1838" t="inlineStr">
        <is>
          <t>LJUSDAL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45278-2023</t>
        </is>
      </c>
      <c r="B1839" s="1" t="n">
        <v>45191</v>
      </c>
      <c r="C1839" s="1" t="n">
        <v>45650</v>
      </c>
      <c r="D1839" t="inlineStr">
        <is>
          <t>GÄVLEBORGS LÄN</t>
        </is>
      </c>
      <c r="E1839" t="inlineStr">
        <is>
          <t>LJUSDAL</t>
        </is>
      </c>
      <c r="G1839" t="n">
        <v>7.7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45536-2023</t>
        </is>
      </c>
      <c r="B1840" s="1" t="n">
        <v>45194</v>
      </c>
      <c r="C1840" s="1" t="n">
        <v>45650</v>
      </c>
      <c r="D1840" t="inlineStr">
        <is>
          <t>GÄVLEBORGS LÄN</t>
        </is>
      </c>
      <c r="E1840" t="inlineStr">
        <is>
          <t>LJUSDAL</t>
        </is>
      </c>
      <c r="G1840" t="n">
        <v>10.7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45645-2023</t>
        </is>
      </c>
      <c r="B1841" s="1" t="n">
        <v>45194</v>
      </c>
      <c r="C1841" s="1" t="n">
        <v>45650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45733-2023</t>
        </is>
      </c>
      <c r="B1842" s="1" t="n">
        <v>45195</v>
      </c>
      <c r="C1842" s="1" t="n">
        <v>45650</v>
      </c>
      <c r="D1842" t="inlineStr">
        <is>
          <t>GÄVLEBORGS LÄN</t>
        </is>
      </c>
      <c r="E1842" t="inlineStr">
        <is>
          <t>LJUSDAL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45752-2023</t>
        </is>
      </c>
      <c r="B1843" s="1" t="n">
        <v>45195</v>
      </c>
      <c r="C1843" s="1" t="n">
        <v>45650</v>
      </c>
      <c r="D1843" t="inlineStr">
        <is>
          <t>GÄVLEBORGS LÄN</t>
        </is>
      </c>
      <c r="E1843" t="inlineStr">
        <is>
          <t>LJUSDAL</t>
        </is>
      </c>
      <c r="G1843" t="n">
        <v>7.6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45763-2023</t>
        </is>
      </c>
      <c r="B1844" s="1" t="n">
        <v>45195</v>
      </c>
      <c r="C1844" s="1" t="n">
        <v>45650</v>
      </c>
      <c r="D1844" t="inlineStr">
        <is>
          <t>GÄVLEBORGS LÄN</t>
        </is>
      </c>
      <c r="E1844" t="inlineStr">
        <is>
          <t>LJUSDAL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45703-2023</t>
        </is>
      </c>
      <c r="B1845" s="1" t="n">
        <v>45195</v>
      </c>
      <c r="C1845" s="1" t="n">
        <v>45650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45709-2023</t>
        </is>
      </c>
      <c r="B1846" s="1" t="n">
        <v>45195</v>
      </c>
      <c r="C1846" s="1" t="n">
        <v>45650</v>
      </c>
      <c r="D1846" t="inlineStr">
        <is>
          <t>GÄVLEBORGS LÄN</t>
        </is>
      </c>
      <c r="E1846" t="inlineStr">
        <is>
          <t>LJUSDAL</t>
        </is>
      </c>
      <c r="F1846" t="inlineStr">
        <is>
          <t>Holmen skog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45726-2023</t>
        </is>
      </c>
      <c r="B1847" s="1" t="n">
        <v>45195</v>
      </c>
      <c r="C1847" s="1" t="n">
        <v>45650</v>
      </c>
      <c r="D1847" t="inlineStr">
        <is>
          <t>GÄVLEBORGS LÄN</t>
        </is>
      </c>
      <c r="E1847" t="inlineStr">
        <is>
          <t>LJUSDAL</t>
        </is>
      </c>
      <c r="G1847" t="n">
        <v>5.1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45751-2023</t>
        </is>
      </c>
      <c r="B1848" s="1" t="n">
        <v>45195</v>
      </c>
      <c r="C1848" s="1" t="n">
        <v>45650</v>
      </c>
      <c r="D1848" t="inlineStr">
        <is>
          <t>GÄVLEBORGS LÄN</t>
        </is>
      </c>
      <c r="E1848" t="inlineStr">
        <is>
          <t>LJUSDAL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45730-2023</t>
        </is>
      </c>
      <c r="B1849" s="1" t="n">
        <v>45195</v>
      </c>
      <c r="C1849" s="1" t="n">
        <v>45650</v>
      </c>
      <c r="D1849" t="inlineStr">
        <is>
          <t>GÄVLEBORGS LÄN</t>
        </is>
      </c>
      <c r="E1849" t="inlineStr">
        <is>
          <t>LJUSDAL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46034-2023</t>
        </is>
      </c>
      <c r="B1850" s="1" t="n">
        <v>45196</v>
      </c>
      <c r="C1850" s="1" t="n">
        <v>45650</v>
      </c>
      <c r="D1850" t="inlineStr">
        <is>
          <t>GÄVLEBORGS LÄN</t>
        </is>
      </c>
      <c r="E1850" t="inlineStr">
        <is>
          <t>LJUSDAL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46029-2023</t>
        </is>
      </c>
      <c r="B1851" s="1" t="n">
        <v>45196</v>
      </c>
      <c r="C1851" s="1" t="n">
        <v>45650</v>
      </c>
      <c r="D1851" t="inlineStr">
        <is>
          <t>GÄVLEBORGS LÄN</t>
        </is>
      </c>
      <c r="E1851" t="inlineStr">
        <is>
          <t>LJUSDAL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46413-2023</t>
        </is>
      </c>
      <c r="B1852" s="1" t="n">
        <v>45197</v>
      </c>
      <c r="C1852" s="1" t="n">
        <v>45650</v>
      </c>
      <c r="D1852" t="inlineStr">
        <is>
          <t>GÄVLEBORGS LÄN</t>
        </is>
      </c>
      <c r="E1852" t="inlineStr">
        <is>
          <t>LJUSDAL</t>
        </is>
      </c>
      <c r="F1852" t="inlineStr">
        <is>
          <t>Allmännings- och besparingsskogar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46567-2023</t>
        </is>
      </c>
      <c r="B1853" s="1" t="n">
        <v>45198</v>
      </c>
      <c r="C1853" s="1" t="n">
        <v>45650</v>
      </c>
      <c r="D1853" t="inlineStr">
        <is>
          <t>GÄVLEBORGS LÄN</t>
        </is>
      </c>
      <c r="E1853" t="inlineStr">
        <is>
          <t>LJUSDAL</t>
        </is>
      </c>
      <c r="G1853" t="n">
        <v>6.5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46781-2023</t>
        </is>
      </c>
      <c r="B1854" s="1" t="n">
        <v>45198</v>
      </c>
      <c r="C1854" s="1" t="n">
        <v>45650</v>
      </c>
      <c r="D1854" t="inlineStr">
        <is>
          <t>GÄVLEBORGS LÄN</t>
        </is>
      </c>
      <c r="E1854" t="inlineStr">
        <is>
          <t>LJUSDAL</t>
        </is>
      </c>
      <c r="F1854" t="inlineStr">
        <is>
          <t>Sveaskog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46568-2023</t>
        </is>
      </c>
      <c r="B1855" s="1" t="n">
        <v>45198</v>
      </c>
      <c r="C1855" s="1" t="n">
        <v>45650</v>
      </c>
      <c r="D1855" t="inlineStr">
        <is>
          <t>GÄVLEBORGS LÄN</t>
        </is>
      </c>
      <c r="E1855" t="inlineStr">
        <is>
          <t>LJUSDAL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46892-2023</t>
        </is>
      </c>
      <c r="B1856" s="1" t="n">
        <v>45201</v>
      </c>
      <c r="C1856" s="1" t="n">
        <v>45650</v>
      </c>
      <c r="D1856" t="inlineStr">
        <is>
          <t>GÄVLEBORGS LÄN</t>
        </is>
      </c>
      <c r="E1856" t="inlineStr">
        <is>
          <t>LJUSDAL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47026-2023</t>
        </is>
      </c>
      <c r="B1857" s="1" t="n">
        <v>45201</v>
      </c>
      <c r="C1857" s="1" t="n">
        <v>45650</v>
      </c>
      <c r="D1857" t="inlineStr">
        <is>
          <t>GÄVLEBORGS LÄN</t>
        </is>
      </c>
      <c r="E1857" t="inlineStr">
        <is>
          <t>LJUSDAL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46983-2023</t>
        </is>
      </c>
      <c r="B1858" s="1" t="n">
        <v>45201</v>
      </c>
      <c r="C1858" s="1" t="n">
        <v>45650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47189-2023</t>
        </is>
      </c>
      <c r="B1859" s="1" t="n">
        <v>45202</v>
      </c>
      <c r="C1859" s="1" t="n">
        <v>45650</v>
      </c>
      <c r="D1859" t="inlineStr">
        <is>
          <t>GÄVLEBORGS LÄN</t>
        </is>
      </c>
      <c r="E1859" t="inlineStr">
        <is>
          <t>LJUSDAL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47206-2023</t>
        </is>
      </c>
      <c r="B1860" s="1" t="n">
        <v>45202</v>
      </c>
      <c r="C1860" s="1" t="n">
        <v>45650</v>
      </c>
      <c r="D1860" t="inlineStr">
        <is>
          <t>GÄVLEBORGS LÄN</t>
        </is>
      </c>
      <c r="E1860" t="inlineStr">
        <is>
          <t>LJUSDAL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47292-2023</t>
        </is>
      </c>
      <c r="B1861" s="1" t="n">
        <v>45202</v>
      </c>
      <c r="C1861" s="1" t="n">
        <v>45650</v>
      </c>
      <c r="D1861" t="inlineStr">
        <is>
          <t>GÄVLEBORGS LÄN</t>
        </is>
      </c>
      <c r="E1861" t="inlineStr">
        <is>
          <t>LJUSDAL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47261-2023</t>
        </is>
      </c>
      <c r="B1862" s="1" t="n">
        <v>45202</v>
      </c>
      <c r="C1862" s="1" t="n">
        <v>45650</v>
      </c>
      <c r="D1862" t="inlineStr">
        <is>
          <t>GÄVLEBORGS LÄN</t>
        </is>
      </c>
      <c r="E1862" t="inlineStr">
        <is>
          <t>LJUSDAL</t>
        </is>
      </c>
      <c r="G1862" t="n">
        <v>7.6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47276-2023</t>
        </is>
      </c>
      <c r="B1863" s="1" t="n">
        <v>45202</v>
      </c>
      <c r="C1863" s="1" t="n">
        <v>45650</v>
      </c>
      <c r="D1863" t="inlineStr">
        <is>
          <t>GÄVLEBORGS LÄN</t>
        </is>
      </c>
      <c r="E1863" t="inlineStr">
        <is>
          <t>LJUSDAL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47823-2023</t>
        </is>
      </c>
      <c r="B1864" s="1" t="n">
        <v>45204</v>
      </c>
      <c r="C1864" s="1" t="n">
        <v>45650</v>
      </c>
      <c r="D1864" t="inlineStr">
        <is>
          <t>GÄVLEBORGS LÄN</t>
        </is>
      </c>
      <c r="E1864" t="inlineStr">
        <is>
          <t>LJUSDAL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47827-2023</t>
        </is>
      </c>
      <c r="B1865" s="1" t="n">
        <v>45204</v>
      </c>
      <c r="C1865" s="1" t="n">
        <v>45650</v>
      </c>
      <c r="D1865" t="inlineStr">
        <is>
          <t>GÄVLEBORGS LÄN</t>
        </is>
      </c>
      <c r="E1865" t="inlineStr">
        <is>
          <t>LJUSDAL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47864-2023</t>
        </is>
      </c>
      <c r="B1866" s="1" t="n">
        <v>45204</v>
      </c>
      <c r="C1866" s="1" t="n">
        <v>45650</v>
      </c>
      <c r="D1866" t="inlineStr">
        <is>
          <t>GÄVLEBORGS LÄN</t>
        </is>
      </c>
      <c r="E1866" t="inlineStr">
        <is>
          <t>LJUSDAL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47875-2023</t>
        </is>
      </c>
      <c r="B1867" s="1" t="n">
        <v>45204</v>
      </c>
      <c r="C1867" s="1" t="n">
        <v>45650</v>
      </c>
      <c r="D1867" t="inlineStr">
        <is>
          <t>GÄVLEBORGS LÄN</t>
        </is>
      </c>
      <c r="E1867" t="inlineStr">
        <is>
          <t>LJUSDAL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48015-2023</t>
        </is>
      </c>
      <c r="B1868" s="1" t="n">
        <v>45204</v>
      </c>
      <c r="C1868" s="1" t="n">
        <v>45650</v>
      </c>
      <c r="D1868" t="inlineStr">
        <is>
          <t>GÄVLEBORGS LÄN</t>
        </is>
      </c>
      <c r="E1868" t="inlineStr">
        <is>
          <t>LJUSDAL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48188-2023</t>
        </is>
      </c>
      <c r="B1869" s="1" t="n">
        <v>45205</v>
      </c>
      <c r="C1869" s="1" t="n">
        <v>45650</v>
      </c>
      <c r="D1869" t="inlineStr">
        <is>
          <t>GÄVLEBORGS LÄN</t>
        </is>
      </c>
      <c r="E1869" t="inlineStr">
        <is>
          <t>LJUSDAL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48195-2023</t>
        </is>
      </c>
      <c r="B1870" s="1" t="n">
        <v>45205</v>
      </c>
      <c r="C1870" s="1" t="n">
        <v>45650</v>
      </c>
      <c r="D1870" t="inlineStr">
        <is>
          <t>GÄVLEBORGS LÄN</t>
        </is>
      </c>
      <c r="E1870" t="inlineStr">
        <is>
          <t>LJUSDAL</t>
        </is>
      </c>
      <c r="G1870" t="n">
        <v>4.8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48355-2023</t>
        </is>
      </c>
      <c r="B1871" s="1" t="n">
        <v>45205</v>
      </c>
      <c r="C1871" s="1" t="n">
        <v>45650</v>
      </c>
      <c r="D1871" t="inlineStr">
        <is>
          <t>GÄVLEBORGS LÄN</t>
        </is>
      </c>
      <c r="E1871" t="inlineStr">
        <is>
          <t>LJUSDAL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48360-2023</t>
        </is>
      </c>
      <c r="B1872" s="1" t="n">
        <v>45205</v>
      </c>
      <c r="C1872" s="1" t="n">
        <v>45650</v>
      </c>
      <c r="D1872" t="inlineStr">
        <is>
          <t>GÄVLEBORGS LÄN</t>
        </is>
      </c>
      <c r="E1872" t="inlineStr">
        <is>
          <t>LJUSDAL</t>
        </is>
      </c>
      <c r="G1872" t="n">
        <v>7.5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48400-2023</t>
        </is>
      </c>
      <c r="B1873" s="1" t="n">
        <v>45205</v>
      </c>
      <c r="C1873" s="1" t="n">
        <v>45650</v>
      </c>
      <c r="D1873" t="inlineStr">
        <is>
          <t>GÄVLEBORGS LÄN</t>
        </is>
      </c>
      <c r="E1873" t="inlineStr">
        <is>
          <t>LJUSDAL</t>
        </is>
      </c>
      <c r="F1873" t="inlineStr">
        <is>
          <t>Sveaskog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48567-2023</t>
        </is>
      </c>
      <c r="B1874" s="1" t="n">
        <v>45208</v>
      </c>
      <c r="C1874" s="1" t="n">
        <v>45650</v>
      </c>
      <c r="D1874" t="inlineStr">
        <is>
          <t>GÄVLEBORGS LÄN</t>
        </is>
      </c>
      <c r="E1874" t="inlineStr">
        <is>
          <t>LJUSDAL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48813-2023</t>
        </is>
      </c>
      <c r="B1875" s="1" t="n">
        <v>45209</v>
      </c>
      <c r="C1875" s="1" t="n">
        <v>45650</v>
      </c>
      <c r="D1875" t="inlineStr">
        <is>
          <t>GÄVLEBORGS LÄN</t>
        </is>
      </c>
      <c r="E1875" t="inlineStr">
        <is>
          <t>LJUSDAL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48869-2023</t>
        </is>
      </c>
      <c r="B1876" s="1" t="n">
        <v>45209</v>
      </c>
      <c r="C1876" s="1" t="n">
        <v>45650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48870-2023</t>
        </is>
      </c>
      <c r="B1877" s="1" t="n">
        <v>45209</v>
      </c>
      <c r="C1877" s="1" t="n">
        <v>45650</v>
      </c>
      <c r="D1877" t="inlineStr">
        <is>
          <t>GÄVLEBORGS LÄN</t>
        </is>
      </c>
      <c r="E1877" t="inlineStr">
        <is>
          <t>LJUSDAL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48856-2023</t>
        </is>
      </c>
      <c r="B1878" s="1" t="n">
        <v>45209</v>
      </c>
      <c r="C1878" s="1" t="n">
        <v>45650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48904-2023</t>
        </is>
      </c>
      <c r="B1879" s="1" t="n">
        <v>45209</v>
      </c>
      <c r="C1879" s="1" t="n">
        <v>45650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48921-2023</t>
        </is>
      </c>
      <c r="B1880" s="1" t="n">
        <v>45209</v>
      </c>
      <c r="C1880" s="1" t="n">
        <v>45650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48925-2023</t>
        </is>
      </c>
      <c r="B1881" s="1" t="n">
        <v>45209</v>
      </c>
      <c r="C1881" s="1" t="n">
        <v>45650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48955-2023</t>
        </is>
      </c>
      <c r="B1882" s="1" t="n">
        <v>45209</v>
      </c>
      <c r="C1882" s="1" t="n">
        <v>45650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48879-2023</t>
        </is>
      </c>
      <c r="B1883" s="1" t="n">
        <v>45209</v>
      </c>
      <c r="C1883" s="1" t="n">
        <v>45650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48919-2023</t>
        </is>
      </c>
      <c r="B1884" s="1" t="n">
        <v>45209</v>
      </c>
      <c r="C1884" s="1" t="n">
        <v>45650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48945-2023</t>
        </is>
      </c>
      <c r="B1885" s="1" t="n">
        <v>45209</v>
      </c>
      <c r="C1885" s="1" t="n">
        <v>45650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48959-2023</t>
        </is>
      </c>
      <c r="B1886" s="1" t="n">
        <v>45209</v>
      </c>
      <c r="C1886" s="1" t="n">
        <v>45650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48971-2023</t>
        </is>
      </c>
      <c r="B1887" s="1" t="n">
        <v>45209</v>
      </c>
      <c r="C1887" s="1" t="n">
        <v>45650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48968-2023</t>
        </is>
      </c>
      <c r="B1888" s="1" t="n">
        <v>45209</v>
      </c>
      <c r="C1888" s="1" t="n">
        <v>45650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49019-2023</t>
        </is>
      </c>
      <c r="B1889" s="1" t="n">
        <v>45209</v>
      </c>
      <c r="C1889" s="1" t="n">
        <v>45650</v>
      </c>
      <c r="D1889" t="inlineStr">
        <is>
          <t>GÄVLEBORGS LÄN</t>
        </is>
      </c>
      <c r="E1889" t="inlineStr">
        <is>
          <t>LJUSDAL</t>
        </is>
      </c>
      <c r="G1889" t="n">
        <v>27.3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49139-2023</t>
        </is>
      </c>
      <c r="B1890" s="1" t="n">
        <v>45210</v>
      </c>
      <c r="C1890" s="1" t="n">
        <v>45650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49171-2023</t>
        </is>
      </c>
      <c r="B1891" s="1" t="n">
        <v>45210</v>
      </c>
      <c r="C1891" s="1" t="n">
        <v>45650</v>
      </c>
      <c r="D1891" t="inlineStr">
        <is>
          <t>GÄVLEBORGS LÄN</t>
        </is>
      </c>
      <c r="E1891" t="inlineStr">
        <is>
          <t>LJUSDAL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49121-2023</t>
        </is>
      </c>
      <c r="B1892" s="1" t="n">
        <v>45210</v>
      </c>
      <c r="C1892" s="1" t="n">
        <v>45650</v>
      </c>
      <c r="D1892" t="inlineStr">
        <is>
          <t>GÄVLEBORGS LÄN</t>
        </is>
      </c>
      <c r="E1892" t="inlineStr">
        <is>
          <t>LJUSDAL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49855-2023</t>
        </is>
      </c>
      <c r="B1893" s="1" t="n">
        <v>45213</v>
      </c>
      <c r="C1893" s="1" t="n">
        <v>45650</v>
      </c>
      <c r="D1893" t="inlineStr">
        <is>
          <t>GÄVLEBORGS LÄN</t>
        </is>
      </c>
      <c r="E1893" t="inlineStr">
        <is>
          <t>LJUSDAL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49935-2023</t>
        </is>
      </c>
      <c r="B1894" s="1" t="n">
        <v>45215</v>
      </c>
      <c r="C1894" s="1" t="n">
        <v>45650</v>
      </c>
      <c r="D1894" t="inlineStr">
        <is>
          <t>GÄVLEBORGS LÄN</t>
        </is>
      </c>
      <c r="E1894" t="inlineStr">
        <is>
          <t>LJUSDAL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50271-2023</t>
        </is>
      </c>
      <c r="B1895" s="1" t="n">
        <v>45216</v>
      </c>
      <c r="C1895" s="1" t="n">
        <v>45650</v>
      </c>
      <c r="D1895" t="inlineStr">
        <is>
          <t>GÄVLEBORGS LÄN</t>
        </is>
      </c>
      <c r="E1895" t="inlineStr">
        <is>
          <t>LJUSDAL</t>
        </is>
      </c>
      <c r="G1895" t="n">
        <v>27.4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50373-2023</t>
        </is>
      </c>
      <c r="B1896" s="1" t="n">
        <v>45216</v>
      </c>
      <c r="C1896" s="1" t="n">
        <v>45650</v>
      </c>
      <c r="D1896" t="inlineStr">
        <is>
          <t>GÄVLEBORGS LÄN</t>
        </is>
      </c>
      <c r="E1896" t="inlineStr">
        <is>
          <t>LJUSDAL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50385-2023</t>
        </is>
      </c>
      <c r="B1897" s="1" t="n">
        <v>45216</v>
      </c>
      <c r="C1897" s="1" t="n">
        <v>45650</v>
      </c>
      <c r="D1897" t="inlineStr">
        <is>
          <t>GÄVLEBORGS LÄN</t>
        </is>
      </c>
      <c r="E1897" t="inlineStr">
        <is>
          <t>LJUSDAL</t>
        </is>
      </c>
      <c r="G1897" t="n">
        <v>4.3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50273-2023</t>
        </is>
      </c>
      <c r="B1898" s="1" t="n">
        <v>45216</v>
      </c>
      <c r="C1898" s="1" t="n">
        <v>45650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50392-2023</t>
        </is>
      </c>
      <c r="B1899" s="1" t="n">
        <v>45216</v>
      </c>
      <c r="C1899" s="1" t="n">
        <v>45650</v>
      </c>
      <c r="D1899" t="inlineStr">
        <is>
          <t>GÄVLEBORGS LÄN</t>
        </is>
      </c>
      <c r="E1899" t="inlineStr">
        <is>
          <t>LJUSDAL</t>
        </is>
      </c>
      <c r="G1899" t="n">
        <v>6.5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50667-2023</t>
        </is>
      </c>
      <c r="B1900" s="1" t="n">
        <v>45217</v>
      </c>
      <c r="C1900" s="1" t="n">
        <v>45650</v>
      </c>
      <c r="D1900" t="inlineStr">
        <is>
          <t>GÄVLEBORGS LÄN</t>
        </is>
      </c>
      <c r="E1900" t="inlineStr">
        <is>
          <t>LJUSDAL</t>
        </is>
      </c>
      <c r="G1900" t="n">
        <v>9.9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50672-2023</t>
        </is>
      </c>
      <c r="B1901" s="1" t="n">
        <v>45217</v>
      </c>
      <c r="C1901" s="1" t="n">
        <v>45650</v>
      </c>
      <c r="D1901" t="inlineStr">
        <is>
          <t>GÄVLEBORGS LÄN</t>
        </is>
      </c>
      <c r="E1901" t="inlineStr">
        <is>
          <t>LJUSDAL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50944-2023</t>
        </is>
      </c>
      <c r="B1902" s="1" t="n">
        <v>45218</v>
      </c>
      <c r="C1902" s="1" t="n">
        <v>45650</v>
      </c>
      <c r="D1902" t="inlineStr">
        <is>
          <t>GÄVLEBORGS LÄN</t>
        </is>
      </c>
      <c r="E1902" t="inlineStr">
        <is>
          <t>LJUSDAL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51238-2023</t>
        </is>
      </c>
      <c r="B1903" s="1" t="n">
        <v>45219</v>
      </c>
      <c r="C1903" s="1" t="n">
        <v>45650</v>
      </c>
      <c r="D1903" t="inlineStr">
        <is>
          <t>GÄVLEBORGS LÄN</t>
        </is>
      </c>
      <c r="E1903" t="inlineStr">
        <is>
          <t>LJUSDAL</t>
        </is>
      </c>
      <c r="F1903" t="inlineStr">
        <is>
          <t>Sveaskog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52674-2023</t>
        </is>
      </c>
      <c r="B1904" s="1" t="n">
        <v>45219</v>
      </c>
      <c r="C1904" s="1" t="n">
        <v>45650</v>
      </c>
      <c r="D1904" t="inlineStr">
        <is>
          <t>GÄVLEBORGS LÄN</t>
        </is>
      </c>
      <c r="E1904" t="inlineStr">
        <is>
          <t>LJUSDAL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51353-2023</t>
        </is>
      </c>
      <c r="B1905" s="1" t="n">
        <v>45219</v>
      </c>
      <c r="C1905" s="1" t="n">
        <v>45650</v>
      </c>
      <c r="D1905" t="inlineStr">
        <is>
          <t>GÄVLEBORGS LÄN</t>
        </is>
      </c>
      <c r="E1905" t="inlineStr">
        <is>
          <t>LJUSDAL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51116-2023</t>
        </is>
      </c>
      <c r="B1906" s="1" t="n">
        <v>45219</v>
      </c>
      <c r="C1906" s="1" t="n">
        <v>45650</v>
      </c>
      <c r="D1906" t="inlineStr">
        <is>
          <t>GÄVLEBORGS LÄN</t>
        </is>
      </c>
      <c r="E1906" t="inlineStr">
        <is>
          <t>LJUSDAL</t>
        </is>
      </c>
      <c r="G1906" t="n">
        <v>5.1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51341-2023</t>
        </is>
      </c>
      <c r="B1907" s="1" t="n">
        <v>45219</v>
      </c>
      <c r="C1907" s="1" t="n">
        <v>45650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51538-2023</t>
        </is>
      </c>
      <c r="B1908" s="1" t="n">
        <v>45222</v>
      </c>
      <c r="C1908" s="1" t="n">
        <v>45650</v>
      </c>
      <c r="D1908" t="inlineStr">
        <is>
          <t>GÄVLEBORGS LÄN</t>
        </is>
      </c>
      <c r="E1908" t="inlineStr">
        <is>
          <t>LJUSDAL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51525-2023</t>
        </is>
      </c>
      <c r="B1909" s="1" t="n">
        <v>45222</v>
      </c>
      <c r="C1909" s="1" t="n">
        <v>45650</v>
      </c>
      <c r="D1909" t="inlineStr">
        <is>
          <t>GÄVLEBORGS LÄN</t>
        </is>
      </c>
      <c r="E1909" t="inlineStr">
        <is>
          <t>LJUSDAL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51798-2023</t>
        </is>
      </c>
      <c r="B1910" s="1" t="n">
        <v>45222</v>
      </c>
      <c r="C1910" s="1" t="n">
        <v>45650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52057-2023</t>
        </is>
      </c>
      <c r="B1911" s="1" t="n">
        <v>45223</v>
      </c>
      <c r="C1911" s="1" t="n">
        <v>45650</v>
      </c>
      <c r="D1911" t="inlineStr">
        <is>
          <t>GÄVLEBORGS LÄN</t>
        </is>
      </c>
      <c r="E1911" t="inlineStr">
        <is>
          <t>LJUSDAL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52145-2023</t>
        </is>
      </c>
      <c r="B1912" s="1" t="n">
        <v>45224</v>
      </c>
      <c r="C1912" s="1" t="n">
        <v>45650</v>
      </c>
      <c r="D1912" t="inlineStr">
        <is>
          <t>GÄVLEBORGS LÄN</t>
        </is>
      </c>
      <c r="E1912" t="inlineStr">
        <is>
          <t>LJUSDAL</t>
        </is>
      </c>
      <c r="F1912" t="inlineStr">
        <is>
          <t>Naturvårdsverket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52174-2023</t>
        </is>
      </c>
      <c r="B1913" s="1" t="n">
        <v>45224</v>
      </c>
      <c r="C1913" s="1" t="n">
        <v>45650</v>
      </c>
      <c r="D1913" t="inlineStr">
        <is>
          <t>GÄVLEBORGS LÄN</t>
        </is>
      </c>
      <c r="E1913" t="inlineStr">
        <is>
          <t>LJUSDAL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52184-2023</t>
        </is>
      </c>
      <c r="B1914" s="1" t="n">
        <v>45224</v>
      </c>
      <c r="C1914" s="1" t="n">
        <v>45650</v>
      </c>
      <c r="D1914" t="inlineStr">
        <is>
          <t>GÄVLEBORGS LÄN</t>
        </is>
      </c>
      <c r="E1914" t="inlineStr">
        <is>
          <t>LJUSDAL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52391-2023</t>
        </is>
      </c>
      <c r="B1915" s="1" t="n">
        <v>45225</v>
      </c>
      <c r="C1915" s="1" t="n">
        <v>45650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52497-2023</t>
        </is>
      </c>
      <c r="B1916" s="1" t="n">
        <v>45225</v>
      </c>
      <c r="C1916" s="1" t="n">
        <v>45650</v>
      </c>
      <c r="D1916" t="inlineStr">
        <is>
          <t>GÄVLEBORGS LÄN</t>
        </is>
      </c>
      <c r="E1916" t="inlineStr">
        <is>
          <t>LJUSDAL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52426-2023</t>
        </is>
      </c>
      <c r="B1917" s="1" t="n">
        <v>45225</v>
      </c>
      <c r="C1917" s="1" t="n">
        <v>45650</v>
      </c>
      <c r="D1917" t="inlineStr">
        <is>
          <t>GÄVLEBORGS LÄN</t>
        </is>
      </c>
      <c r="E1917" t="inlineStr">
        <is>
          <t>LJUSDAL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52427-2023</t>
        </is>
      </c>
      <c r="B1918" s="1" t="n">
        <v>45225</v>
      </c>
      <c r="C1918" s="1" t="n">
        <v>45650</v>
      </c>
      <c r="D1918" t="inlineStr">
        <is>
          <t>GÄVLEBORGS LÄN</t>
        </is>
      </c>
      <c r="E1918" t="inlineStr">
        <is>
          <t>LJUSDAL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52473-2023</t>
        </is>
      </c>
      <c r="B1919" s="1" t="n">
        <v>45225</v>
      </c>
      <c r="C1919" s="1" t="n">
        <v>45650</v>
      </c>
      <c r="D1919" t="inlineStr">
        <is>
          <t>GÄVLEBORGS LÄN</t>
        </is>
      </c>
      <c r="E1919" t="inlineStr">
        <is>
          <t>LJUSDAL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52729-2023</t>
        </is>
      </c>
      <c r="B1920" s="1" t="n">
        <v>45226</v>
      </c>
      <c r="C1920" s="1" t="n">
        <v>45650</v>
      </c>
      <c r="D1920" t="inlineStr">
        <is>
          <t>GÄVLEBORGS LÄN</t>
        </is>
      </c>
      <c r="E1920" t="inlineStr">
        <is>
          <t>LJUSDAL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53013-2023</t>
        </is>
      </c>
      <c r="B1921" s="1" t="n">
        <v>45226</v>
      </c>
      <c r="C1921" s="1" t="n">
        <v>45650</v>
      </c>
      <c r="D1921" t="inlineStr">
        <is>
          <t>GÄVLEBORGS LÄN</t>
        </is>
      </c>
      <c r="E1921" t="inlineStr">
        <is>
          <t>LJUSDAL</t>
        </is>
      </c>
      <c r="F1921" t="inlineStr">
        <is>
          <t>Sveaskog</t>
        </is>
      </c>
      <c r="G1921" t="n">
        <v>21.1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52903-2023</t>
        </is>
      </c>
      <c r="B1922" s="1" t="n">
        <v>45226</v>
      </c>
      <c r="C1922" s="1" t="n">
        <v>45650</v>
      </c>
      <c r="D1922" t="inlineStr">
        <is>
          <t>GÄVLEBORGS LÄN</t>
        </is>
      </c>
      <c r="E1922" t="inlineStr">
        <is>
          <t>LJUSDAL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52965-2023</t>
        </is>
      </c>
      <c r="B1923" s="1" t="n">
        <v>45226</v>
      </c>
      <c r="C1923" s="1" t="n">
        <v>45650</v>
      </c>
      <c r="D1923" t="inlineStr">
        <is>
          <t>GÄVLEBORGS LÄN</t>
        </is>
      </c>
      <c r="E1923" t="inlineStr">
        <is>
          <t>LJUSDAL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52842-2023</t>
        </is>
      </c>
      <c r="B1924" s="1" t="n">
        <v>45226</v>
      </c>
      <c r="C1924" s="1" t="n">
        <v>45650</v>
      </c>
      <c r="D1924" t="inlineStr">
        <is>
          <t>GÄVLEBORGS LÄN</t>
        </is>
      </c>
      <c r="E1924" t="inlineStr">
        <is>
          <t>LJUSDAL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52949-2023</t>
        </is>
      </c>
      <c r="B1925" s="1" t="n">
        <v>45226</v>
      </c>
      <c r="C1925" s="1" t="n">
        <v>45650</v>
      </c>
      <c r="D1925" t="inlineStr">
        <is>
          <t>GÄVLEBORGS LÄN</t>
        </is>
      </c>
      <c r="E1925" t="inlineStr">
        <is>
          <t>LJUSDAL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52935-2023</t>
        </is>
      </c>
      <c r="B1926" s="1" t="n">
        <v>45226</v>
      </c>
      <c r="C1926" s="1" t="n">
        <v>45650</v>
      </c>
      <c r="D1926" t="inlineStr">
        <is>
          <t>GÄVLEBORGS LÄN</t>
        </is>
      </c>
      <c r="E1926" t="inlineStr">
        <is>
          <t>LJUSDAL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52837-2023</t>
        </is>
      </c>
      <c r="B1927" s="1" t="n">
        <v>45226</v>
      </c>
      <c r="C1927" s="1" t="n">
        <v>45650</v>
      </c>
      <c r="D1927" t="inlineStr">
        <is>
          <t>GÄVLEBORGS LÄN</t>
        </is>
      </c>
      <c r="E1927" t="inlineStr">
        <is>
          <t>LJUSDAL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52970-2023</t>
        </is>
      </c>
      <c r="B1928" s="1" t="n">
        <v>45226</v>
      </c>
      <c r="C1928" s="1" t="n">
        <v>45650</v>
      </c>
      <c r="D1928" t="inlineStr">
        <is>
          <t>GÄVLEBORGS LÄN</t>
        </is>
      </c>
      <c r="E1928" t="inlineStr">
        <is>
          <t>LJUSDAL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52938-2023</t>
        </is>
      </c>
      <c r="B1929" s="1" t="n">
        <v>45226</v>
      </c>
      <c r="C1929" s="1" t="n">
        <v>45650</v>
      </c>
      <c r="D1929" t="inlineStr">
        <is>
          <t>GÄVLEBORGS LÄN</t>
        </is>
      </c>
      <c r="E1929" t="inlineStr">
        <is>
          <t>LJUSDAL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53166-2023</t>
        </is>
      </c>
      <c r="B1930" s="1" t="n">
        <v>45229</v>
      </c>
      <c r="C1930" s="1" t="n">
        <v>45650</v>
      </c>
      <c r="D1930" t="inlineStr">
        <is>
          <t>GÄVLEBORGS LÄN</t>
        </is>
      </c>
      <c r="E1930" t="inlineStr">
        <is>
          <t>LJUSDAL</t>
        </is>
      </c>
      <c r="F1930" t="inlineStr">
        <is>
          <t>Allmännings- och besparingsskogar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53569-2023</t>
        </is>
      </c>
      <c r="B1931" s="1" t="n">
        <v>45230</v>
      </c>
      <c r="C1931" s="1" t="n">
        <v>45650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53542-2023</t>
        </is>
      </c>
      <c r="B1932" s="1" t="n">
        <v>45230</v>
      </c>
      <c r="C1932" s="1" t="n">
        <v>45650</v>
      </c>
      <c r="D1932" t="inlineStr">
        <is>
          <t>GÄVLEBORGS LÄN</t>
        </is>
      </c>
      <c r="E1932" t="inlineStr">
        <is>
          <t>LJUSDAL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53477-2023</t>
        </is>
      </c>
      <c r="B1933" s="1" t="n">
        <v>45230</v>
      </c>
      <c r="C1933" s="1" t="n">
        <v>45650</v>
      </c>
      <c r="D1933" t="inlineStr">
        <is>
          <t>GÄVLEBORGS LÄN</t>
        </is>
      </c>
      <c r="E1933" t="inlineStr">
        <is>
          <t>LJUSDAL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53695-2023</t>
        </is>
      </c>
      <c r="B1934" s="1" t="n">
        <v>45230</v>
      </c>
      <c r="C1934" s="1" t="n">
        <v>45650</v>
      </c>
      <c r="D1934" t="inlineStr">
        <is>
          <t>GÄVLEBORGS LÄN</t>
        </is>
      </c>
      <c r="E1934" t="inlineStr">
        <is>
          <t>LJUSDAL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53709-2023</t>
        </is>
      </c>
      <c r="B1935" s="1" t="n">
        <v>45230</v>
      </c>
      <c r="C1935" s="1" t="n">
        <v>45650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53660-2023</t>
        </is>
      </c>
      <c r="B1936" s="1" t="n">
        <v>45230</v>
      </c>
      <c r="C1936" s="1" t="n">
        <v>45650</v>
      </c>
      <c r="D1936" t="inlineStr">
        <is>
          <t>GÄVLEBORGS LÄN</t>
        </is>
      </c>
      <c r="E1936" t="inlineStr">
        <is>
          <t>LJUSDAL</t>
        </is>
      </c>
      <c r="G1936" t="n">
        <v>8.199999999999999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53544-2023</t>
        </is>
      </c>
      <c r="B1937" s="1" t="n">
        <v>45230</v>
      </c>
      <c r="C1937" s="1" t="n">
        <v>45650</v>
      </c>
      <c r="D1937" t="inlineStr">
        <is>
          <t>GÄVLEBORGS LÄN</t>
        </is>
      </c>
      <c r="E1937" t="inlineStr">
        <is>
          <t>LJUSDAL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53461-2023</t>
        </is>
      </c>
      <c r="B1938" s="1" t="n">
        <v>45230</v>
      </c>
      <c r="C1938" s="1" t="n">
        <v>45650</v>
      </c>
      <c r="D1938" t="inlineStr">
        <is>
          <t>GÄVLEBORGS LÄN</t>
        </is>
      </c>
      <c r="E1938" t="inlineStr">
        <is>
          <t>LJUSDAL</t>
        </is>
      </c>
      <c r="G1938" t="n">
        <v>5.7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53463-2023</t>
        </is>
      </c>
      <c r="B1939" s="1" t="n">
        <v>45230</v>
      </c>
      <c r="C1939" s="1" t="n">
        <v>45650</v>
      </c>
      <c r="D1939" t="inlineStr">
        <is>
          <t>GÄVLEBORGS LÄN</t>
        </is>
      </c>
      <c r="E1939" t="inlineStr">
        <is>
          <t>LJUSDAL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53785-2023</t>
        </is>
      </c>
      <c r="B1940" s="1" t="n">
        <v>45231</v>
      </c>
      <c r="C1940" s="1" t="n">
        <v>45650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9.199999999999999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53867-2023</t>
        </is>
      </c>
      <c r="B1941" s="1" t="n">
        <v>45231</v>
      </c>
      <c r="C1941" s="1" t="n">
        <v>45650</v>
      </c>
      <c r="D1941" t="inlineStr">
        <is>
          <t>GÄVLEBORGS LÄN</t>
        </is>
      </c>
      <c r="E1941" t="inlineStr">
        <is>
          <t>LJUSDAL</t>
        </is>
      </c>
      <c r="F1941" t="inlineStr">
        <is>
          <t>Allmännings- och besparingsskogar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53873-2023</t>
        </is>
      </c>
      <c r="B1942" s="1" t="n">
        <v>45231</v>
      </c>
      <c r="C1942" s="1" t="n">
        <v>45650</v>
      </c>
      <c r="D1942" t="inlineStr">
        <is>
          <t>GÄVLEBORGS LÄN</t>
        </is>
      </c>
      <c r="E1942" t="inlineStr">
        <is>
          <t>LJUSDAL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53948-2023</t>
        </is>
      </c>
      <c r="B1943" s="1" t="n">
        <v>45231</v>
      </c>
      <c r="C1943" s="1" t="n">
        <v>45650</v>
      </c>
      <c r="D1943" t="inlineStr">
        <is>
          <t>GÄVLEBORGS LÄN</t>
        </is>
      </c>
      <c r="E1943" t="inlineStr">
        <is>
          <t>LJUSDAL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53831-2023</t>
        </is>
      </c>
      <c r="B1944" s="1" t="n">
        <v>45231</v>
      </c>
      <c r="C1944" s="1" t="n">
        <v>45650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53852-2023</t>
        </is>
      </c>
      <c r="B1945" s="1" t="n">
        <v>45231</v>
      </c>
      <c r="C1945" s="1" t="n">
        <v>45650</v>
      </c>
      <c r="D1945" t="inlineStr">
        <is>
          <t>GÄVLEBORGS LÄN</t>
        </is>
      </c>
      <c r="E1945" t="inlineStr">
        <is>
          <t>LJUSDAL</t>
        </is>
      </c>
      <c r="G1945" t="n">
        <v>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53857-2023</t>
        </is>
      </c>
      <c r="B1946" s="1" t="n">
        <v>45231</v>
      </c>
      <c r="C1946" s="1" t="n">
        <v>45650</v>
      </c>
      <c r="D1946" t="inlineStr">
        <is>
          <t>GÄVLEBORGS LÄN</t>
        </is>
      </c>
      <c r="E1946" t="inlineStr">
        <is>
          <t>LJUSDAL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54167-2023</t>
        </is>
      </c>
      <c r="B1947" s="1" t="n">
        <v>45232</v>
      </c>
      <c r="C1947" s="1" t="n">
        <v>45650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54090-2023</t>
        </is>
      </c>
      <c r="B1948" s="1" t="n">
        <v>45232</v>
      </c>
      <c r="C1948" s="1" t="n">
        <v>45650</v>
      </c>
      <c r="D1948" t="inlineStr">
        <is>
          <t>GÄVLEBORGS LÄN</t>
        </is>
      </c>
      <c r="E1948" t="inlineStr">
        <is>
          <t>LJUSDAL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54595-2023</t>
        </is>
      </c>
      <c r="B1949" s="1" t="n">
        <v>45233</v>
      </c>
      <c r="C1949" s="1" t="n">
        <v>45650</v>
      </c>
      <c r="D1949" t="inlineStr">
        <is>
          <t>GÄVLEBORGS LÄN</t>
        </is>
      </c>
      <c r="E1949" t="inlineStr">
        <is>
          <t>LJUSDAL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54760-2023</t>
        </is>
      </c>
      <c r="B1950" s="1" t="n">
        <v>45236</v>
      </c>
      <c r="C1950" s="1" t="n">
        <v>45650</v>
      </c>
      <c r="D1950" t="inlineStr">
        <is>
          <t>GÄVLEBORGS LÄN</t>
        </is>
      </c>
      <c r="E1950" t="inlineStr">
        <is>
          <t>LJUSDAL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55025-2023</t>
        </is>
      </c>
      <c r="B1951" s="1" t="n">
        <v>45237</v>
      </c>
      <c r="C1951" s="1" t="n">
        <v>45650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55078-2023</t>
        </is>
      </c>
      <c r="B1952" s="1" t="n">
        <v>45237</v>
      </c>
      <c r="C1952" s="1" t="n">
        <v>45650</v>
      </c>
      <c r="D1952" t="inlineStr">
        <is>
          <t>GÄVLEBORGS LÄN</t>
        </is>
      </c>
      <c r="E1952" t="inlineStr">
        <is>
          <t>LJUSDAL</t>
        </is>
      </c>
      <c r="F1952" t="inlineStr">
        <is>
          <t>Bergvik skog väst AB</t>
        </is>
      </c>
      <c r="G1952" t="n">
        <v>8.199999999999999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55136-2023</t>
        </is>
      </c>
      <c r="B1953" s="1" t="n">
        <v>45237</v>
      </c>
      <c r="C1953" s="1" t="n">
        <v>45650</v>
      </c>
      <c r="D1953" t="inlineStr">
        <is>
          <t>GÄVLEBORGS LÄN</t>
        </is>
      </c>
      <c r="E1953" t="inlineStr">
        <is>
          <t>LJUSDAL</t>
        </is>
      </c>
      <c r="G1953" t="n">
        <v>12.7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55176-2023</t>
        </is>
      </c>
      <c r="B1954" s="1" t="n">
        <v>45237</v>
      </c>
      <c r="C1954" s="1" t="n">
        <v>45650</v>
      </c>
      <c r="D1954" t="inlineStr">
        <is>
          <t>GÄVLEBORGS LÄN</t>
        </is>
      </c>
      <c r="E1954" t="inlineStr">
        <is>
          <t>LJUSDAL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55219-2023</t>
        </is>
      </c>
      <c r="B1955" s="1" t="n">
        <v>45237</v>
      </c>
      <c r="C1955" s="1" t="n">
        <v>45650</v>
      </c>
      <c r="D1955" t="inlineStr">
        <is>
          <t>GÄVLEBORGS LÄN</t>
        </is>
      </c>
      <c r="E1955" t="inlineStr">
        <is>
          <t>LJUSDAL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55123-2023</t>
        </is>
      </c>
      <c r="B1956" s="1" t="n">
        <v>45237</v>
      </c>
      <c r="C1956" s="1" t="n">
        <v>45650</v>
      </c>
      <c r="D1956" t="inlineStr">
        <is>
          <t>GÄVLEBORGS LÄN</t>
        </is>
      </c>
      <c r="E1956" t="inlineStr">
        <is>
          <t>LJUSDAL</t>
        </is>
      </c>
      <c r="F1956" t="inlineStr">
        <is>
          <t>Allmännings- och besparingsskogar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55151-2023</t>
        </is>
      </c>
      <c r="B1957" s="1" t="n">
        <v>45237</v>
      </c>
      <c r="C1957" s="1" t="n">
        <v>45650</v>
      </c>
      <c r="D1957" t="inlineStr">
        <is>
          <t>GÄVLEBORGS LÄN</t>
        </is>
      </c>
      <c r="E1957" t="inlineStr">
        <is>
          <t>LJUSDAL</t>
        </is>
      </c>
      <c r="G1957" t="n">
        <v>8.300000000000001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55238-2023</t>
        </is>
      </c>
      <c r="B1958" s="1" t="n">
        <v>45237</v>
      </c>
      <c r="C1958" s="1" t="n">
        <v>45650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55248-2023</t>
        </is>
      </c>
      <c r="B1959" s="1" t="n">
        <v>45237</v>
      </c>
      <c r="C1959" s="1" t="n">
        <v>45650</v>
      </c>
      <c r="D1959" t="inlineStr">
        <is>
          <t>GÄVLEBORGS LÄN</t>
        </is>
      </c>
      <c r="E1959" t="inlineStr">
        <is>
          <t>LJUSDAL</t>
        </is>
      </c>
      <c r="G1959" t="n">
        <v>6.2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55356-2023</t>
        </is>
      </c>
      <c r="B1960" s="1" t="n">
        <v>45238</v>
      </c>
      <c r="C1960" s="1" t="n">
        <v>45650</v>
      </c>
      <c r="D1960" t="inlineStr">
        <is>
          <t>GÄVLEBORGS LÄN</t>
        </is>
      </c>
      <c r="E1960" t="inlineStr">
        <is>
          <t>LJUSDAL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55358-2023</t>
        </is>
      </c>
      <c r="B1961" s="1" t="n">
        <v>45238</v>
      </c>
      <c r="C1961" s="1" t="n">
        <v>45650</v>
      </c>
      <c r="D1961" t="inlineStr">
        <is>
          <t>GÄVLEBORGS LÄN</t>
        </is>
      </c>
      <c r="E1961" t="inlineStr">
        <is>
          <t>LJUSDAL</t>
        </is>
      </c>
      <c r="G1961" t="n">
        <v>9.800000000000001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55370-2023</t>
        </is>
      </c>
      <c r="B1962" s="1" t="n">
        <v>45238</v>
      </c>
      <c r="C1962" s="1" t="n">
        <v>45650</v>
      </c>
      <c r="D1962" t="inlineStr">
        <is>
          <t>GÄVLEBORGS LÄN</t>
        </is>
      </c>
      <c r="E1962" t="inlineStr">
        <is>
          <t>LJUSDAL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55375-2023</t>
        </is>
      </c>
      <c r="B1963" s="1" t="n">
        <v>45238</v>
      </c>
      <c r="C1963" s="1" t="n">
        <v>45650</v>
      </c>
      <c r="D1963" t="inlineStr">
        <is>
          <t>GÄVLEBORGS LÄN</t>
        </is>
      </c>
      <c r="E1963" t="inlineStr">
        <is>
          <t>LJUSDAL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55681-2023</t>
        </is>
      </c>
      <c r="B1964" s="1" t="n">
        <v>45239</v>
      </c>
      <c r="C1964" s="1" t="n">
        <v>45650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55675-2023</t>
        </is>
      </c>
      <c r="B1965" s="1" t="n">
        <v>45239</v>
      </c>
      <c r="C1965" s="1" t="n">
        <v>45650</v>
      </c>
      <c r="D1965" t="inlineStr">
        <is>
          <t>GÄVLEBORGS LÄN</t>
        </is>
      </c>
      <c r="E1965" t="inlineStr">
        <is>
          <t>LJUSDAL</t>
        </is>
      </c>
      <c r="G1965" t="n">
        <v>11.1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55690-2023</t>
        </is>
      </c>
      <c r="B1966" s="1" t="n">
        <v>45239</v>
      </c>
      <c r="C1966" s="1" t="n">
        <v>45650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55870-2023</t>
        </is>
      </c>
      <c r="B1967" s="1" t="n">
        <v>45239</v>
      </c>
      <c r="C1967" s="1" t="n">
        <v>45650</v>
      </c>
      <c r="D1967" t="inlineStr">
        <is>
          <t>GÄVLEBORGS LÄN</t>
        </is>
      </c>
      <c r="E1967" t="inlineStr">
        <is>
          <t>LJUSDAL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56142-2023</t>
        </is>
      </c>
      <c r="B1968" s="1" t="n">
        <v>45240</v>
      </c>
      <c r="C1968" s="1" t="n">
        <v>45650</v>
      </c>
      <c r="D1968" t="inlineStr">
        <is>
          <t>GÄVLEBORGS LÄN</t>
        </is>
      </c>
      <c r="E1968" t="inlineStr">
        <is>
          <t>LJUSDAL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56113-2023</t>
        </is>
      </c>
      <c r="B1969" s="1" t="n">
        <v>45240</v>
      </c>
      <c r="C1969" s="1" t="n">
        <v>45650</v>
      </c>
      <c r="D1969" t="inlineStr">
        <is>
          <t>GÄVLEBORGS LÄN</t>
        </is>
      </c>
      <c r="E1969" t="inlineStr">
        <is>
          <t>LJUSDAL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56425-2023</t>
        </is>
      </c>
      <c r="B1970" s="1" t="n">
        <v>45243</v>
      </c>
      <c r="C1970" s="1" t="n">
        <v>45650</v>
      </c>
      <c r="D1970" t="inlineStr">
        <is>
          <t>GÄVLEBORGS LÄN</t>
        </is>
      </c>
      <c r="E1970" t="inlineStr">
        <is>
          <t>LJUSDAL</t>
        </is>
      </c>
      <c r="G1970" t="n">
        <v>15.4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56643-2023</t>
        </is>
      </c>
      <c r="B1971" s="1" t="n">
        <v>45243</v>
      </c>
      <c r="C1971" s="1" t="n">
        <v>45650</v>
      </c>
      <c r="D1971" t="inlineStr">
        <is>
          <t>GÄVLEBORGS LÄN</t>
        </is>
      </c>
      <c r="E1971" t="inlineStr">
        <is>
          <t>LJUSDAL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56330-2023</t>
        </is>
      </c>
      <c r="B1972" s="1" t="n">
        <v>45243</v>
      </c>
      <c r="C1972" s="1" t="n">
        <v>45650</v>
      </c>
      <c r="D1972" t="inlineStr">
        <is>
          <t>GÄVLEBORGS LÄN</t>
        </is>
      </c>
      <c r="E1972" t="inlineStr">
        <is>
          <t>LJUSDAL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56464-2023</t>
        </is>
      </c>
      <c r="B1973" s="1" t="n">
        <v>45243</v>
      </c>
      <c r="C1973" s="1" t="n">
        <v>45650</v>
      </c>
      <c r="D1973" t="inlineStr">
        <is>
          <t>GÄVLEBORGS LÄN</t>
        </is>
      </c>
      <c r="E1973" t="inlineStr">
        <is>
          <t>LJUSDAL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56985-2023</t>
        </is>
      </c>
      <c r="B1974" s="1" t="n">
        <v>45244</v>
      </c>
      <c r="C1974" s="1" t="n">
        <v>45650</v>
      </c>
      <c r="D1974" t="inlineStr">
        <is>
          <t>GÄVLEBORGS LÄN</t>
        </is>
      </c>
      <c r="E1974" t="inlineStr">
        <is>
          <t>LJUSDAL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56983-2023</t>
        </is>
      </c>
      <c r="B1975" s="1" t="n">
        <v>45244</v>
      </c>
      <c r="C1975" s="1" t="n">
        <v>45650</v>
      </c>
      <c r="D1975" t="inlineStr">
        <is>
          <t>GÄVLEBORGS LÄN</t>
        </is>
      </c>
      <c r="E1975" t="inlineStr">
        <is>
          <t>LJUSDAL</t>
        </is>
      </c>
      <c r="G1975" t="n">
        <v>7.7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57064-2023</t>
        </is>
      </c>
      <c r="B1976" s="1" t="n">
        <v>45245</v>
      </c>
      <c r="C1976" s="1" t="n">
        <v>45650</v>
      </c>
      <c r="D1976" t="inlineStr">
        <is>
          <t>GÄVLEBORGS LÄN</t>
        </is>
      </c>
      <c r="E1976" t="inlineStr">
        <is>
          <t>LJUSDAL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57065-2023</t>
        </is>
      </c>
      <c r="B1977" s="1" t="n">
        <v>45245</v>
      </c>
      <c r="C1977" s="1" t="n">
        <v>45650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57061-2023</t>
        </is>
      </c>
      <c r="B1978" s="1" t="n">
        <v>45244</v>
      </c>
      <c r="C1978" s="1" t="n">
        <v>45650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57096-2023</t>
        </is>
      </c>
      <c r="B1979" s="1" t="n">
        <v>45245</v>
      </c>
      <c r="C1979" s="1" t="n">
        <v>45650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57101-2023</t>
        </is>
      </c>
      <c r="B1980" s="1" t="n">
        <v>45245</v>
      </c>
      <c r="C1980" s="1" t="n">
        <v>45650</v>
      </c>
      <c r="D1980" t="inlineStr">
        <is>
          <t>GÄVLEBORGS LÄN</t>
        </is>
      </c>
      <c r="E1980" t="inlineStr">
        <is>
          <t>LJUSDAL</t>
        </is>
      </c>
      <c r="F1980" t="inlineStr">
        <is>
          <t>Holmen skog AB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57098-2023</t>
        </is>
      </c>
      <c r="B1981" s="1" t="n">
        <v>45245</v>
      </c>
      <c r="C1981" s="1" t="n">
        <v>45650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57479-2023</t>
        </is>
      </c>
      <c r="B1982" s="1" t="n">
        <v>45246</v>
      </c>
      <c r="C1982" s="1" t="n">
        <v>45650</v>
      </c>
      <c r="D1982" t="inlineStr">
        <is>
          <t>GÄVLEBORGS LÄN</t>
        </is>
      </c>
      <c r="E1982" t="inlineStr">
        <is>
          <t>LJUSDAL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57475-2023</t>
        </is>
      </c>
      <c r="B1983" s="1" t="n">
        <v>45246</v>
      </c>
      <c r="C1983" s="1" t="n">
        <v>45650</v>
      </c>
      <c r="D1983" t="inlineStr">
        <is>
          <t>GÄVLEBORGS LÄN</t>
        </is>
      </c>
      <c r="E1983" t="inlineStr">
        <is>
          <t>LJUSDAL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57649-2023</t>
        </is>
      </c>
      <c r="B1984" s="1" t="n">
        <v>45246</v>
      </c>
      <c r="C1984" s="1" t="n">
        <v>45650</v>
      </c>
      <c r="D1984" t="inlineStr">
        <is>
          <t>GÄVLEBORGS LÄN</t>
        </is>
      </c>
      <c r="E1984" t="inlineStr">
        <is>
          <t>LJUSDAL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57644-2023</t>
        </is>
      </c>
      <c r="B1985" s="1" t="n">
        <v>45246</v>
      </c>
      <c r="C1985" s="1" t="n">
        <v>45650</v>
      </c>
      <c r="D1985" t="inlineStr">
        <is>
          <t>GÄVLEBORGS LÄN</t>
        </is>
      </c>
      <c r="E1985" t="inlineStr">
        <is>
          <t>LJUSDAL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57840-2023</t>
        </is>
      </c>
      <c r="B1986" s="1" t="n">
        <v>45247</v>
      </c>
      <c r="C1986" s="1" t="n">
        <v>45650</v>
      </c>
      <c r="D1986" t="inlineStr">
        <is>
          <t>GÄVLEBORGS LÄN</t>
        </is>
      </c>
      <c r="E1986" t="inlineStr">
        <is>
          <t>LJUSDAL</t>
        </is>
      </c>
      <c r="G1986" t="n">
        <v>10.2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57997-2023</t>
        </is>
      </c>
      <c r="B1987" s="1" t="n">
        <v>45247</v>
      </c>
      <c r="C1987" s="1" t="n">
        <v>45650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58103-2023</t>
        </is>
      </c>
      <c r="B1988" s="1" t="n">
        <v>45249</v>
      </c>
      <c r="C1988" s="1" t="n">
        <v>45650</v>
      </c>
      <c r="D1988" t="inlineStr">
        <is>
          <t>GÄVLEBORGS LÄN</t>
        </is>
      </c>
      <c r="E1988" t="inlineStr">
        <is>
          <t>LJUSDAL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58104-2023</t>
        </is>
      </c>
      <c r="B1989" s="1" t="n">
        <v>45249</v>
      </c>
      <c r="C1989" s="1" t="n">
        <v>45650</v>
      </c>
      <c r="D1989" t="inlineStr">
        <is>
          <t>GÄVLEBORGS LÄN</t>
        </is>
      </c>
      <c r="E1989" t="inlineStr">
        <is>
          <t>LJUSDAL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58309-2023</t>
        </is>
      </c>
      <c r="B1990" s="1" t="n">
        <v>45250</v>
      </c>
      <c r="C1990" s="1" t="n">
        <v>45650</v>
      </c>
      <c r="D1990" t="inlineStr">
        <is>
          <t>GÄVLEBORGS LÄN</t>
        </is>
      </c>
      <c r="E1990" t="inlineStr">
        <is>
          <t>LJUSDAL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58622-2023</t>
        </is>
      </c>
      <c r="B1991" s="1" t="n">
        <v>45251</v>
      </c>
      <c r="C1991" s="1" t="n">
        <v>45650</v>
      </c>
      <c r="D1991" t="inlineStr">
        <is>
          <t>GÄVLEBORGS LÄN</t>
        </is>
      </c>
      <c r="E1991" t="inlineStr">
        <is>
          <t>LJUSDAL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58626-2023</t>
        </is>
      </c>
      <c r="B1992" s="1" t="n">
        <v>45251</v>
      </c>
      <c r="C1992" s="1" t="n">
        <v>45650</v>
      </c>
      <c r="D1992" t="inlineStr">
        <is>
          <t>GÄVLEBORGS LÄN</t>
        </is>
      </c>
      <c r="E1992" t="inlineStr">
        <is>
          <t>LJUSDAL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58629-2023</t>
        </is>
      </c>
      <c r="B1993" s="1" t="n">
        <v>45251</v>
      </c>
      <c r="C1993" s="1" t="n">
        <v>45650</v>
      </c>
      <c r="D1993" t="inlineStr">
        <is>
          <t>GÄVLEBORGS LÄN</t>
        </is>
      </c>
      <c r="E1993" t="inlineStr">
        <is>
          <t>LJUSDAL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58683-2023</t>
        </is>
      </c>
      <c r="B1994" s="1" t="n">
        <v>45251</v>
      </c>
      <c r="C1994" s="1" t="n">
        <v>45650</v>
      </c>
      <c r="D1994" t="inlineStr">
        <is>
          <t>GÄVLEBORGS LÄN</t>
        </is>
      </c>
      <c r="E1994" t="inlineStr">
        <is>
          <t>LJUSDAL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58623-2023</t>
        </is>
      </c>
      <c r="B1995" s="1" t="n">
        <v>45251</v>
      </c>
      <c r="C1995" s="1" t="n">
        <v>45650</v>
      </c>
      <c r="D1995" t="inlineStr">
        <is>
          <t>GÄVLEBORGS LÄN</t>
        </is>
      </c>
      <c r="E1995" t="inlineStr">
        <is>
          <t>LJUSDAL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58796-2023</t>
        </is>
      </c>
      <c r="B1996" s="1" t="n">
        <v>45252</v>
      </c>
      <c r="C1996" s="1" t="n">
        <v>45650</v>
      </c>
      <c r="D1996" t="inlineStr">
        <is>
          <t>GÄVLEBORGS LÄN</t>
        </is>
      </c>
      <c r="E1996" t="inlineStr">
        <is>
          <t>LJUSDAL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58883-2023</t>
        </is>
      </c>
      <c r="B1997" s="1" t="n">
        <v>45252</v>
      </c>
      <c r="C1997" s="1" t="n">
        <v>45650</v>
      </c>
      <c r="D1997" t="inlineStr">
        <is>
          <t>GÄVLEBORGS LÄN</t>
        </is>
      </c>
      <c r="E1997" t="inlineStr">
        <is>
          <t>LJUSDAL</t>
        </is>
      </c>
      <c r="F1997" t="inlineStr">
        <is>
          <t>Holmen skog AB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58964-2023</t>
        </is>
      </c>
      <c r="B1998" s="1" t="n">
        <v>45252</v>
      </c>
      <c r="C1998" s="1" t="n">
        <v>45650</v>
      </c>
      <c r="D1998" t="inlineStr">
        <is>
          <t>GÄVLEBORGS LÄN</t>
        </is>
      </c>
      <c r="E1998" t="inlineStr">
        <is>
          <t>LJUSDAL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58825-2023</t>
        </is>
      </c>
      <c r="B1999" s="1" t="n">
        <v>45252</v>
      </c>
      <c r="C1999" s="1" t="n">
        <v>45650</v>
      </c>
      <c r="D1999" t="inlineStr">
        <is>
          <t>GÄVLEBORGS LÄN</t>
        </is>
      </c>
      <c r="E1999" t="inlineStr">
        <is>
          <t>LJUSDAL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58909-2023</t>
        </is>
      </c>
      <c r="B2000" s="1" t="n">
        <v>45252</v>
      </c>
      <c r="C2000" s="1" t="n">
        <v>45650</v>
      </c>
      <c r="D2000" t="inlineStr">
        <is>
          <t>GÄVLEBORGS LÄN</t>
        </is>
      </c>
      <c r="E2000" t="inlineStr">
        <is>
          <t>LJUSDAL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59143-2023</t>
        </is>
      </c>
      <c r="B2001" s="1" t="n">
        <v>45253</v>
      </c>
      <c r="C2001" s="1" t="n">
        <v>45650</v>
      </c>
      <c r="D2001" t="inlineStr">
        <is>
          <t>GÄVLEBORGS LÄN</t>
        </is>
      </c>
      <c r="E2001" t="inlineStr">
        <is>
          <t>LJUSDAL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59243-2023</t>
        </is>
      </c>
      <c r="B2002" s="1" t="n">
        <v>45253</v>
      </c>
      <c r="C2002" s="1" t="n">
        <v>45650</v>
      </c>
      <c r="D2002" t="inlineStr">
        <is>
          <t>GÄVLEBORGS LÄN</t>
        </is>
      </c>
      <c r="E2002" t="inlineStr">
        <is>
          <t>LJUSDAL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59227-2023</t>
        </is>
      </c>
      <c r="B2003" s="1" t="n">
        <v>45253</v>
      </c>
      <c r="C2003" s="1" t="n">
        <v>45650</v>
      </c>
      <c r="D2003" t="inlineStr">
        <is>
          <t>GÄVLEBORGS LÄN</t>
        </is>
      </c>
      <c r="E2003" t="inlineStr">
        <is>
          <t>LJUSDAL</t>
        </is>
      </c>
      <c r="G2003" t="n">
        <v>11.3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59590-2023</t>
        </is>
      </c>
      <c r="B2004" s="1" t="n">
        <v>45254</v>
      </c>
      <c r="C2004" s="1" t="n">
        <v>45650</v>
      </c>
      <c r="D2004" t="inlineStr">
        <is>
          <t>GÄVLEBORGS LÄN</t>
        </is>
      </c>
      <c r="E2004" t="inlineStr">
        <is>
          <t>LJUSDAL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59883-2023</t>
        </is>
      </c>
      <c r="B2005" s="1" t="n">
        <v>45257</v>
      </c>
      <c r="C2005" s="1" t="n">
        <v>45650</v>
      </c>
      <c r="D2005" t="inlineStr">
        <is>
          <t>GÄVLEBORGS LÄN</t>
        </is>
      </c>
      <c r="E2005" t="inlineStr">
        <is>
          <t>LJUSDAL</t>
        </is>
      </c>
      <c r="G2005" t="n">
        <v>16.6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59900-2023</t>
        </is>
      </c>
      <c r="B2006" s="1" t="n">
        <v>45257</v>
      </c>
      <c r="C2006" s="1" t="n">
        <v>45650</v>
      </c>
      <c r="D2006" t="inlineStr">
        <is>
          <t>GÄVLEBORGS LÄN</t>
        </is>
      </c>
      <c r="E2006" t="inlineStr">
        <is>
          <t>LJUSDAL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59931-2023</t>
        </is>
      </c>
      <c r="B2007" s="1" t="n">
        <v>45257</v>
      </c>
      <c r="C2007" s="1" t="n">
        <v>45650</v>
      </c>
      <c r="D2007" t="inlineStr">
        <is>
          <t>GÄVLEBORGS LÄN</t>
        </is>
      </c>
      <c r="E2007" t="inlineStr">
        <is>
          <t>LJUSDAL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60098-2023</t>
        </is>
      </c>
      <c r="B2008" s="1" t="n">
        <v>45258</v>
      </c>
      <c r="C2008" s="1" t="n">
        <v>45650</v>
      </c>
      <c r="D2008" t="inlineStr">
        <is>
          <t>GÄVLEBORGS LÄN</t>
        </is>
      </c>
      <c r="E2008" t="inlineStr">
        <is>
          <t>LJUSDAL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60160-2023</t>
        </is>
      </c>
      <c r="B2009" s="1" t="n">
        <v>45258</v>
      </c>
      <c r="C2009" s="1" t="n">
        <v>45650</v>
      </c>
      <c r="D2009" t="inlineStr">
        <is>
          <t>GÄVLEBORGS LÄN</t>
        </is>
      </c>
      <c r="E2009" t="inlineStr">
        <is>
          <t>LJUSDAL</t>
        </is>
      </c>
      <c r="G2009" t="n">
        <v>7.1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60076-2023</t>
        </is>
      </c>
      <c r="B2010" s="1" t="n">
        <v>45258</v>
      </c>
      <c r="C2010" s="1" t="n">
        <v>45650</v>
      </c>
      <c r="D2010" t="inlineStr">
        <is>
          <t>GÄVLEBORGS LÄN</t>
        </is>
      </c>
      <c r="E2010" t="inlineStr">
        <is>
          <t>LJUSDAL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60197-2023</t>
        </is>
      </c>
      <c r="B2011" s="1" t="n">
        <v>45258</v>
      </c>
      <c r="C2011" s="1" t="n">
        <v>45650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60590-2023</t>
        </is>
      </c>
      <c r="B2012" s="1" t="n">
        <v>45260</v>
      </c>
      <c r="C2012" s="1" t="n">
        <v>45650</v>
      </c>
      <c r="D2012" t="inlineStr">
        <is>
          <t>GÄVLEBORGS LÄN</t>
        </is>
      </c>
      <c r="E2012" t="inlineStr">
        <is>
          <t>LJUSDAL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60608-2023</t>
        </is>
      </c>
      <c r="B2013" s="1" t="n">
        <v>45260</v>
      </c>
      <c r="C2013" s="1" t="n">
        <v>45650</v>
      </c>
      <c r="D2013" t="inlineStr">
        <is>
          <t>GÄVLEBORGS LÄN</t>
        </is>
      </c>
      <c r="E2013" t="inlineStr">
        <is>
          <t>LJUSDAL</t>
        </is>
      </c>
      <c r="F2013" t="inlineStr">
        <is>
          <t>Holmen skog AB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60948-2023</t>
        </is>
      </c>
      <c r="B2014" s="1" t="n">
        <v>45261</v>
      </c>
      <c r="C2014" s="1" t="n">
        <v>45650</v>
      </c>
      <c r="D2014" t="inlineStr">
        <is>
          <t>GÄVLEBORGS LÄN</t>
        </is>
      </c>
      <c r="E2014" t="inlineStr">
        <is>
          <t>LJUSDAL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61020-2023</t>
        </is>
      </c>
      <c r="B2015" s="1" t="n">
        <v>45261</v>
      </c>
      <c r="C2015" s="1" t="n">
        <v>45650</v>
      </c>
      <c r="D2015" t="inlineStr">
        <is>
          <t>GÄVLEBORGS LÄN</t>
        </is>
      </c>
      <c r="E2015" t="inlineStr">
        <is>
          <t>LJUSDAL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61053-2023</t>
        </is>
      </c>
      <c r="B2016" s="1" t="n">
        <v>45261</v>
      </c>
      <c r="C2016" s="1" t="n">
        <v>45650</v>
      </c>
      <c r="D2016" t="inlineStr">
        <is>
          <t>GÄVLEBORGS LÄN</t>
        </is>
      </c>
      <c r="E2016" t="inlineStr">
        <is>
          <t>LJUSDAL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60952-2023</t>
        </is>
      </c>
      <c r="B2017" s="1" t="n">
        <v>45261</v>
      </c>
      <c r="C2017" s="1" t="n">
        <v>45650</v>
      </c>
      <c r="D2017" t="inlineStr">
        <is>
          <t>GÄVLEBORGS LÄN</t>
        </is>
      </c>
      <c r="E2017" t="inlineStr">
        <is>
          <t>LJUSDAL</t>
        </is>
      </c>
      <c r="G2017" t="n">
        <v>6.3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60957-2023</t>
        </is>
      </c>
      <c r="B2018" s="1" t="n">
        <v>45261</v>
      </c>
      <c r="C2018" s="1" t="n">
        <v>45650</v>
      </c>
      <c r="D2018" t="inlineStr">
        <is>
          <t>GÄVLEBORGS LÄN</t>
        </is>
      </c>
      <c r="E2018" t="inlineStr">
        <is>
          <t>LJUSDAL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61092-2023</t>
        </is>
      </c>
      <c r="B2019" s="1" t="n">
        <v>45261</v>
      </c>
      <c r="C2019" s="1" t="n">
        <v>45650</v>
      </c>
      <c r="D2019" t="inlineStr">
        <is>
          <t>GÄVLEBORGS LÄN</t>
        </is>
      </c>
      <c r="E2019" t="inlineStr">
        <is>
          <t>LJUSDAL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61114-2023</t>
        </is>
      </c>
      <c r="B2020" s="1" t="n">
        <v>45261</v>
      </c>
      <c r="C2020" s="1" t="n">
        <v>45650</v>
      </c>
      <c r="D2020" t="inlineStr">
        <is>
          <t>GÄVLEBORGS LÄN</t>
        </is>
      </c>
      <c r="E2020" t="inlineStr">
        <is>
          <t>LJUSDAL</t>
        </is>
      </c>
      <c r="G2020" t="n">
        <v>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61214-2023</t>
        </is>
      </c>
      <c r="B2021" s="1" t="n">
        <v>45264</v>
      </c>
      <c r="C2021" s="1" t="n">
        <v>45650</v>
      </c>
      <c r="D2021" t="inlineStr">
        <is>
          <t>GÄVLEBORGS LÄN</t>
        </is>
      </c>
      <c r="E2021" t="inlineStr">
        <is>
          <t>LJUSDAL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61431-2023</t>
        </is>
      </c>
      <c r="B2022" s="1" t="n">
        <v>45264</v>
      </c>
      <c r="C2022" s="1" t="n">
        <v>45650</v>
      </c>
      <c r="D2022" t="inlineStr">
        <is>
          <t>GÄVLEBORGS LÄN</t>
        </is>
      </c>
      <c r="E2022" t="inlineStr">
        <is>
          <t>LJUSDAL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61718-2023</t>
        </is>
      </c>
      <c r="B2023" s="1" t="n">
        <v>45265</v>
      </c>
      <c r="C2023" s="1" t="n">
        <v>45650</v>
      </c>
      <c r="D2023" t="inlineStr">
        <is>
          <t>GÄVLEBORGS LÄN</t>
        </is>
      </c>
      <c r="E2023" t="inlineStr">
        <is>
          <t>LJUSDAL</t>
        </is>
      </c>
      <c r="F2023" t="inlineStr">
        <is>
          <t>Kommuner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61836-2023</t>
        </is>
      </c>
      <c r="B2024" s="1" t="n">
        <v>45266</v>
      </c>
      <c r="C2024" s="1" t="n">
        <v>45650</v>
      </c>
      <c r="D2024" t="inlineStr">
        <is>
          <t>GÄVLEBORGS LÄN</t>
        </is>
      </c>
      <c r="E2024" t="inlineStr">
        <is>
          <t>LJUSDAL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61949-2023</t>
        </is>
      </c>
      <c r="B2025" s="1" t="n">
        <v>45266</v>
      </c>
      <c r="C2025" s="1" t="n">
        <v>45650</v>
      </c>
      <c r="D2025" t="inlineStr">
        <is>
          <t>GÄVLEBORGS LÄN</t>
        </is>
      </c>
      <c r="E2025" t="inlineStr">
        <is>
          <t>LJUSDAL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61880-2023</t>
        </is>
      </c>
      <c r="B2026" s="1" t="n">
        <v>45266</v>
      </c>
      <c r="C2026" s="1" t="n">
        <v>45650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62095-2023</t>
        </is>
      </c>
      <c r="B2027" s="1" t="n">
        <v>45266</v>
      </c>
      <c r="C2027" s="1" t="n">
        <v>45650</v>
      </c>
      <c r="D2027" t="inlineStr">
        <is>
          <t>GÄVLEBORGS LÄN</t>
        </is>
      </c>
      <c r="E2027" t="inlineStr">
        <is>
          <t>LJUSDAL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62101-2023</t>
        </is>
      </c>
      <c r="B2028" s="1" t="n">
        <v>45266</v>
      </c>
      <c r="C2028" s="1" t="n">
        <v>45650</v>
      </c>
      <c r="D2028" t="inlineStr">
        <is>
          <t>GÄVLEBORGS LÄN</t>
        </is>
      </c>
      <c r="E2028" t="inlineStr">
        <is>
          <t>LJUSDAL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62252-2023</t>
        </is>
      </c>
      <c r="B2029" s="1" t="n">
        <v>45267</v>
      </c>
      <c r="C2029" s="1" t="n">
        <v>45650</v>
      </c>
      <c r="D2029" t="inlineStr">
        <is>
          <t>GÄVLEBORGS LÄN</t>
        </is>
      </c>
      <c r="E2029" t="inlineStr">
        <is>
          <t>LJUSDAL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62256-2023</t>
        </is>
      </c>
      <c r="B2030" s="1" t="n">
        <v>45267</v>
      </c>
      <c r="C2030" s="1" t="n">
        <v>45650</v>
      </c>
      <c r="D2030" t="inlineStr">
        <is>
          <t>GÄVLEBORGS LÄN</t>
        </is>
      </c>
      <c r="E2030" t="inlineStr">
        <is>
          <t>LJUSDAL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63258-2023</t>
        </is>
      </c>
      <c r="B2031" s="1" t="n">
        <v>45273</v>
      </c>
      <c r="C2031" s="1" t="n">
        <v>45650</v>
      </c>
      <c r="D2031" t="inlineStr">
        <is>
          <t>GÄVLEBORGS LÄN</t>
        </is>
      </c>
      <c r="E2031" t="inlineStr">
        <is>
          <t>LJUSDAL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63256-2023</t>
        </is>
      </c>
      <c r="B2032" s="1" t="n">
        <v>45273</v>
      </c>
      <c r="C2032" s="1" t="n">
        <v>45650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63253-2023</t>
        </is>
      </c>
      <c r="B2033" s="1" t="n">
        <v>45273</v>
      </c>
      <c r="C2033" s="1" t="n">
        <v>45650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63438-2023</t>
        </is>
      </c>
      <c r="B2034" s="1" t="n">
        <v>45274</v>
      </c>
      <c r="C2034" s="1" t="n">
        <v>45650</v>
      </c>
      <c r="D2034" t="inlineStr">
        <is>
          <t>GÄVLEBORGS LÄN</t>
        </is>
      </c>
      <c r="E2034" t="inlineStr">
        <is>
          <t>LJUSDAL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63324-2023</t>
        </is>
      </c>
      <c r="B2035" s="1" t="n">
        <v>45274</v>
      </c>
      <c r="C2035" s="1" t="n">
        <v>45650</v>
      </c>
      <c r="D2035" t="inlineStr">
        <is>
          <t>GÄVLEBORGS LÄN</t>
        </is>
      </c>
      <c r="E2035" t="inlineStr">
        <is>
          <t>LJUSDAL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63511-2023</t>
        </is>
      </c>
      <c r="B2036" s="1" t="n">
        <v>45274</v>
      </c>
      <c r="C2036" s="1" t="n">
        <v>45650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63550-2023</t>
        </is>
      </c>
      <c r="B2037" s="1" t="n">
        <v>45275</v>
      </c>
      <c r="C2037" s="1" t="n">
        <v>45650</v>
      </c>
      <c r="D2037" t="inlineStr">
        <is>
          <t>GÄVLEBORGS LÄN</t>
        </is>
      </c>
      <c r="E2037" t="inlineStr">
        <is>
          <t>LJUSDAL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63880-2023</t>
        </is>
      </c>
      <c r="B2038" s="1" t="n">
        <v>45278</v>
      </c>
      <c r="C2038" s="1" t="n">
        <v>45650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64018-2023</t>
        </is>
      </c>
      <c r="B2039" s="1" t="n">
        <v>45278</v>
      </c>
      <c r="C2039" s="1" t="n">
        <v>45650</v>
      </c>
      <c r="D2039" t="inlineStr">
        <is>
          <t>GÄVLEBORGS LÄN</t>
        </is>
      </c>
      <c r="E2039" t="inlineStr">
        <is>
          <t>LJUSDAL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64019-2023</t>
        </is>
      </c>
      <c r="B2040" s="1" t="n">
        <v>45278</v>
      </c>
      <c r="C2040" s="1" t="n">
        <v>45650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64064-2023</t>
        </is>
      </c>
      <c r="B2041" s="1" t="n">
        <v>45279</v>
      </c>
      <c r="C2041" s="1" t="n">
        <v>45650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64065-2023</t>
        </is>
      </c>
      <c r="B2042" s="1" t="n">
        <v>45279</v>
      </c>
      <c r="C2042" s="1" t="n">
        <v>45650</v>
      </c>
      <c r="D2042" t="inlineStr">
        <is>
          <t>GÄVLEBORGS LÄN</t>
        </is>
      </c>
      <c r="E2042" t="inlineStr">
        <is>
          <t>LJUSDAL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64382-2023</t>
        </is>
      </c>
      <c r="B2043" s="1" t="n">
        <v>45280</v>
      </c>
      <c r="C2043" s="1" t="n">
        <v>45650</v>
      </c>
      <c r="D2043" t="inlineStr">
        <is>
          <t>GÄVLEBORGS LÄN</t>
        </is>
      </c>
      <c r="E2043" t="inlineStr">
        <is>
          <t>LJUSDAL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64519-2023</t>
        </is>
      </c>
      <c r="B2044" s="1" t="n">
        <v>45281</v>
      </c>
      <c r="C2044" s="1" t="n">
        <v>45650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7.5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64627-2023</t>
        </is>
      </c>
      <c r="B2045" s="1" t="n">
        <v>45281</v>
      </c>
      <c r="C2045" s="1" t="n">
        <v>45650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64786-2023</t>
        </is>
      </c>
      <c r="B2046" s="1" t="n">
        <v>45282</v>
      </c>
      <c r="C2046" s="1" t="n">
        <v>45650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64779-2023</t>
        </is>
      </c>
      <c r="B2047" s="1" t="n">
        <v>45282</v>
      </c>
      <c r="C2047" s="1" t="n">
        <v>45650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64889-2023</t>
        </is>
      </c>
      <c r="B2048" s="1" t="n">
        <v>45282</v>
      </c>
      <c r="C2048" s="1" t="n">
        <v>45650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65175-2023</t>
        </is>
      </c>
      <c r="B2049" s="1" t="n">
        <v>45288</v>
      </c>
      <c r="C2049" s="1" t="n">
        <v>45650</v>
      </c>
      <c r="D2049" t="inlineStr">
        <is>
          <t>GÄVLEBORGS LÄN</t>
        </is>
      </c>
      <c r="E2049" t="inlineStr">
        <is>
          <t>LJUSDAL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8-2024</t>
        </is>
      </c>
      <c r="B2050" s="1" t="n">
        <v>45293</v>
      </c>
      <c r="C2050" s="1" t="n">
        <v>45650</v>
      </c>
      <c r="D2050" t="inlineStr">
        <is>
          <t>GÄVLEBORGS LÄN</t>
        </is>
      </c>
      <c r="E2050" t="inlineStr">
        <is>
          <t>LJUSDAL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57-2024</t>
        </is>
      </c>
      <c r="B2051" s="1" t="n">
        <v>45293</v>
      </c>
      <c r="C2051" s="1" t="n">
        <v>45650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10-2024</t>
        </is>
      </c>
      <c r="B2052" s="1" t="n">
        <v>45293</v>
      </c>
      <c r="C2052" s="1" t="n">
        <v>45650</v>
      </c>
      <c r="D2052" t="inlineStr">
        <is>
          <t>GÄVLEBORGS LÄN</t>
        </is>
      </c>
      <c r="E2052" t="inlineStr">
        <is>
          <t>LJUSDAL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147-2024</t>
        </is>
      </c>
      <c r="B2053" s="1" t="n">
        <v>45294</v>
      </c>
      <c r="C2053" s="1" t="n">
        <v>45650</v>
      </c>
      <c r="D2053" t="inlineStr">
        <is>
          <t>GÄVLEBORGS LÄN</t>
        </is>
      </c>
      <c r="E2053" t="inlineStr">
        <is>
          <t>LJUSDAL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188-2024</t>
        </is>
      </c>
      <c r="B2054" s="1" t="n">
        <v>45294</v>
      </c>
      <c r="C2054" s="1" t="n">
        <v>45650</v>
      </c>
      <c r="D2054" t="inlineStr">
        <is>
          <t>GÄVLEBORGS LÄN</t>
        </is>
      </c>
      <c r="E2054" t="inlineStr">
        <is>
          <t>LJUSDAL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264-2024</t>
        </is>
      </c>
      <c r="B2055" s="1" t="n">
        <v>45295</v>
      </c>
      <c r="C2055" s="1" t="n">
        <v>45650</v>
      </c>
      <c r="D2055" t="inlineStr">
        <is>
          <t>GÄVLEBORGS LÄN</t>
        </is>
      </c>
      <c r="E2055" t="inlineStr">
        <is>
          <t>LJUSDAL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274-2024</t>
        </is>
      </c>
      <c r="B2056" s="1" t="n">
        <v>45295</v>
      </c>
      <c r="C2056" s="1" t="n">
        <v>45650</v>
      </c>
      <c r="D2056" t="inlineStr">
        <is>
          <t>GÄVLEBORGS LÄN</t>
        </is>
      </c>
      <c r="E2056" t="inlineStr">
        <is>
          <t>LJUSDAL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270-2024</t>
        </is>
      </c>
      <c r="B2057" s="1" t="n">
        <v>45295</v>
      </c>
      <c r="C2057" s="1" t="n">
        <v>45650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273-2024</t>
        </is>
      </c>
      <c r="B2058" s="1" t="n">
        <v>45295</v>
      </c>
      <c r="C2058" s="1" t="n">
        <v>45650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328-2024</t>
        </is>
      </c>
      <c r="B2059" s="1" t="n">
        <v>45295</v>
      </c>
      <c r="C2059" s="1" t="n">
        <v>45650</v>
      </c>
      <c r="D2059" t="inlineStr">
        <is>
          <t>GÄVLEBORGS LÄN</t>
        </is>
      </c>
      <c r="E2059" t="inlineStr">
        <is>
          <t>LJUSDAL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522-2024</t>
        </is>
      </c>
      <c r="B2060" s="1" t="n">
        <v>45299</v>
      </c>
      <c r="C2060" s="1" t="n">
        <v>45650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591-2024</t>
        </is>
      </c>
      <c r="B2061" s="1" t="n">
        <v>45299</v>
      </c>
      <c r="C2061" s="1" t="n">
        <v>45650</v>
      </c>
      <c r="D2061" t="inlineStr">
        <is>
          <t>GÄVLEBORGS LÄN</t>
        </is>
      </c>
      <c r="E2061" t="inlineStr">
        <is>
          <t>LJUSDAL</t>
        </is>
      </c>
      <c r="G2061" t="n">
        <v>14.1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589-2024</t>
        </is>
      </c>
      <c r="B2062" s="1" t="n">
        <v>45299</v>
      </c>
      <c r="C2062" s="1" t="n">
        <v>45650</v>
      </c>
      <c r="D2062" t="inlineStr">
        <is>
          <t>GÄVLEBORGS LÄN</t>
        </is>
      </c>
      <c r="E2062" t="inlineStr">
        <is>
          <t>LJUSDAL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592-2024</t>
        </is>
      </c>
      <c r="B2063" s="1" t="n">
        <v>45299</v>
      </c>
      <c r="C2063" s="1" t="n">
        <v>45650</v>
      </c>
      <c r="D2063" t="inlineStr">
        <is>
          <t>GÄVLEBORGS LÄN</t>
        </is>
      </c>
      <c r="E2063" t="inlineStr">
        <is>
          <t>LJUSDAL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608-2024</t>
        </is>
      </c>
      <c r="B2064" s="1" t="n">
        <v>45299</v>
      </c>
      <c r="C2064" s="1" t="n">
        <v>45650</v>
      </c>
      <c r="D2064" t="inlineStr">
        <is>
          <t>GÄVLEBORGS LÄN</t>
        </is>
      </c>
      <c r="E2064" t="inlineStr">
        <is>
          <t>LJUSDAL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612-2024</t>
        </is>
      </c>
      <c r="B2065" s="1" t="n">
        <v>45299</v>
      </c>
      <c r="C2065" s="1" t="n">
        <v>45650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718-2024</t>
        </is>
      </c>
      <c r="B2066" s="1" t="n">
        <v>45300</v>
      </c>
      <c r="C2066" s="1" t="n">
        <v>45650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1033-2024</t>
        </is>
      </c>
      <c r="B2067" s="1" t="n">
        <v>45301</v>
      </c>
      <c r="C2067" s="1" t="n">
        <v>45650</v>
      </c>
      <c r="D2067" t="inlineStr">
        <is>
          <t>GÄVLEBORGS LÄN</t>
        </is>
      </c>
      <c r="E2067" t="inlineStr">
        <is>
          <t>LJUSDAL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1331-2024</t>
        </is>
      </c>
      <c r="B2068" s="1" t="n">
        <v>45303</v>
      </c>
      <c r="C2068" s="1" t="n">
        <v>45650</v>
      </c>
      <c r="D2068" t="inlineStr">
        <is>
          <t>GÄVLEBORGS LÄN</t>
        </is>
      </c>
      <c r="E2068" t="inlineStr">
        <is>
          <t>LJUSDAL</t>
        </is>
      </c>
      <c r="G2068" t="n">
        <v>39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1335-2024</t>
        </is>
      </c>
      <c r="B2069" s="1" t="n">
        <v>45303</v>
      </c>
      <c r="C2069" s="1" t="n">
        <v>45650</v>
      </c>
      <c r="D2069" t="inlineStr">
        <is>
          <t>GÄVLEBORGS LÄN</t>
        </is>
      </c>
      <c r="E2069" t="inlineStr">
        <is>
          <t>LJUSDAL</t>
        </is>
      </c>
      <c r="G2069" t="n">
        <v>13.8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1618-2024</t>
        </is>
      </c>
      <c r="B2070" s="1" t="n">
        <v>45306</v>
      </c>
      <c r="C2070" s="1" t="n">
        <v>45650</v>
      </c>
      <c r="D2070" t="inlineStr">
        <is>
          <t>GÄVLEBORGS LÄN</t>
        </is>
      </c>
      <c r="E2070" t="inlineStr">
        <is>
          <t>LJUSDAL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1820-2024</t>
        </is>
      </c>
      <c r="B2071" s="1" t="n">
        <v>45307</v>
      </c>
      <c r="C2071" s="1" t="n">
        <v>45650</v>
      </c>
      <c r="D2071" t="inlineStr">
        <is>
          <t>GÄVLEBORGS LÄN</t>
        </is>
      </c>
      <c r="E2071" t="inlineStr">
        <is>
          <t>LJUSDAL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2074-2024</t>
        </is>
      </c>
      <c r="B2072" s="1" t="n">
        <v>45309</v>
      </c>
      <c r="C2072" s="1" t="n">
        <v>45650</v>
      </c>
      <c r="D2072" t="inlineStr">
        <is>
          <t>GÄVLEBORGS LÄN</t>
        </is>
      </c>
      <c r="E2072" t="inlineStr">
        <is>
          <t>LJUSDAL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2367-2024</t>
        </is>
      </c>
      <c r="B2073" s="1" t="n">
        <v>45310</v>
      </c>
      <c r="C2073" s="1" t="n">
        <v>45650</v>
      </c>
      <c r="D2073" t="inlineStr">
        <is>
          <t>GÄVLEBORGS LÄN</t>
        </is>
      </c>
      <c r="E2073" t="inlineStr">
        <is>
          <t>LJUSDAL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2396-2024</t>
        </is>
      </c>
      <c r="B2074" s="1" t="n">
        <v>45310</v>
      </c>
      <c r="C2074" s="1" t="n">
        <v>45650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2894-2024</t>
        </is>
      </c>
      <c r="B2075" s="1" t="n">
        <v>45315</v>
      </c>
      <c r="C2075" s="1" t="n">
        <v>45650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2985-2024</t>
        </is>
      </c>
      <c r="B2076" s="1" t="n">
        <v>45315</v>
      </c>
      <c r="C2076" s="1" t="n">
        <v>45650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2986-2024</t>
        </is>
      </c>
      <c r="B2077" s="1" t="n">
        <v>45315</v>
      </c>
      <c r="C2077" s="1" t="n">
        <v>45650</v>
      </c>
      <c r="D2077" t="inlineStr">
        <is>
          <t>GÄVLEBORGS LÄN</t>
        </is>
      </c>
      <c r="E2077" t="inlineStr">
        <is>
          <t>LJUSDAL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2909-2024</t>
        </is>
      </c>
      <c r="B2078" s="1" t="n">
        <v>45315</v>
      </c>
      <c r="C2078" s="1" t="n">
        <v>45650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3193-2024</t>
        </is>
      </c>
      <c r="B2079" s="1" t="n">
        <v>45316</v>
      </c>
      <c r="C2079" s="1" t="n">
        <v>45650</v>
      </c>
      <c r="D2079" t="inlineStr">
        <is>
          <t>GÄVLEBORGS LÄN</t>
        </is>
      </c>
      <c r="E2079" t="inlineStr">
        <is>
          <t>LJUSDAL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3267-2024</t>
        </is>
      </c>
      <c r="B2080" s="1" t="n">
        <v>45317</v>
      </c>
      <c r="C2080" s="1" t="n">
        <v>45650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3287-2024</t>
        </is>
      </c>
      <c r="B2081" s="1" t="n">
        <v>45317</v>
      </c>
      <c r="C2081" s="1" t="n">
        <v>45650</v>
      </c>
      <c r="D2081" t="inlineStr">
        <is>
          <t>GÄVLEBORGS LÄN</t>
        </is>
      </c>
      <c r="E2081" t="inlineStr">
        <is>
          <t>LJUSDAL</t>
        </is>
      </c>
      <c r="F2081" t="inlineStr">
        <is>
          <t>Övriga Aktiebolag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3375-2024</t>
        </is>
      </c>
      <c r="B2082" s="1" t="n">
        <v>45317</v>
      </c>
      <c r="C2082" s="1" t="n">
        <v>45650</v>
      </c>
      <c r="D2082" t="inlineStr">
        <is>
          <t>GÄVLEBORGS LÄN</t>
        </is>
      </c>
      <c r="E2082" t="inlineStr">
        <is>
          <t>LJUSDAL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3442-2024</t>
        </is>
      </c>
      <c r="B2083" s="1" t="n">
        <v>45320</v>
      </c>
      <c r="C2083" s="1" t="n">
        <v>45650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3434-2024</t>
        </is>
      </c>
      <c r="B2084" s="1" t="n">
        <v>45320</v>
      </c>
      <c r="C2084" s="1" t="n">
        <v>45650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3449-2024</t>
        </is>
      </c>
      <c r="B2085" s="1" t="n">
        <v>45320</v>
      </c>
      <c r="C2085" s="1" t="n">
        <v>45650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3470-2024</t>
        </is>
      </c>
      <c r="B2086" s="1" t="n">
        <v>45320</v>
      </c>
      <c r="C2086" s="1" t="n">
        <v>45650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3437-2024</t>
        </is>
      </c>
      <c r="B2087" s="1" t="n">
        <v>45320</v>
      </c>
      <c r="C2087" s="1" t="n">
        <v>45650</v>
      </c>
      <c r="D2087" t="inlineStr">
        <is>
          <t>GÄVLEBORGS LÄN</t>
        </is>
      </c>
      <c r="E2087" t="inlineStr">
        <is>
          <t>LJUSDAL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3508-2024</t>
        </is>
      </c>
      <c r="B2088" s="1" t="n">
        <v>45320</v>
      </c>
      <c r="C2088" s="1" t="n">
        <v>45650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4095-2024</t>
        </is>
      </c>
      <c r="B2089" s="1" t="n">
        <v>45323</v>
      </c>
      <c r="C2089" s="1" t="n">
        <v>45650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4021-2024</t>
        </is>
      </c>
      <c r="B2090" s="1" t="n">
        <v>45323</v>
      </c>
      <c r="C2090" s="1" t="n">
        <v>45650</v>
      </c>
      <c r="D2090" t="inlineStr">
        <is>
          <t>GÄVLEBORGS LÄN</t>
        </is>
      </c>
      <c r="E2090" t="inlineStr">
        <is>
          <t>LJUSDAL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4043-2024</t>
        </is>
      </c>
      <c r="B2091" s="1" t="n">
        <v>45323</v>
      </c>
      <c r="C2091" s="1" t="n">
        <v>45650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4221-2024</t>
        </is>
      </c>
      <c r="B2092" s="1" t="n">
        <v>45324</v>
      </c>
      <c r="C2092" s="1" t="n">
        <v>45650</v>
      </c>
      <c r="D2092" t="inlineStr">
        <is>
          <t>GÄVLEBORGS LÄN</t>
        </is>
      </c>
      <c r="E2092" t="inlineStr">
        <is>
          <t>LJUSDAL</t>
        </is>
      </c>
      <c r="G2092" t="n">
        <v>14.5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4230-2024</t>
        </is>
      </c>
      <c r="B2093" s="1" t="n">
        <v>45324</v>
      </c>
      <c r="C2093" s="1" t="n">
        <v>45650</v>
      </c>
      <c r="D2093" t="inlineStr">
        <is>
          <t>GÄVLEBORGS LÄN</t>
        </is>
      </c>
      <c r="E2093" t="inlineStr">
        <is>
          <t>LJUSDAL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4238-2024</t>
        </is>
      </c>
      <c r="B2094" s="1" t="n">
        <v>45324</v>
      </c>
      <c r="C2094" s="1" t="n">
        <v>45650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4260-2024</t>
        </is>
      </c>
      <c r="B2095" s="1" t="n">
        <v>45324</v>
      </c>
      <c r="C2095" s="1" t="n">
        <v>45650</v>
      </c>
      <c r="D2095" t="inlineStr">
        <is>
          <t>GÄVLEBORGS LÄN</t>
        </is>
      </c>
      <c r="E2095" t="inlineStr">
        <is>
          <t>LJUSDAL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4360-2024</t>
        </is>
      </c>
      <c r="B2096" s="1" t="n">
        <v>45325</v>
      </c>
      <c r="C2096" s="1" t="n">
        <v>45650</v>
      </c>
      <c r="D2096" t="inlineStr">
        <is>
          <t>GÄVLEBORGS LÄN</t>
        </is>
      </c>
      <c r="E2096" t="inlineStr">
        <is>
          <t>LJUSDAL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4420-2024</t>
        </is>
      </c>
      <c r="B2097" s="1" t="n">
        <v>45327</v>
      </c>
      <c r="C2097" s="1" t="n">
        <v>45650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4582-2024</t>
        </is>
      </c>
      <c r="B2098" s="1" t="n">
        <v>45327</v>
      </c>
      <c r="C2098" s="1" t="n">
        <v>45650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4581-2024</t>
        </is>
      </c>
      <c r="B2099" s="1" t="n">
        <v>45327</v>
      </c>
      <c r="C2099" s="1" t="n">
        <v>45650</v>
      </c>
      <c r="D2099" t="inlineStr">
        <is>
          <t>GÄVLEBORGS LÄN</t>
        </is>
      </c>
      <c r="E2099" t="inlineStr">
        <is>
          <t>LJUSDAL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4580-2024</t>
        </is>
      </c>
      <c r="B2100" s="1" t="n">
        <v>45327</v>
      </c>
      <c r="C2100" s="1" t="n">
        <v>45650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4763-2024</t>
        </is>
      </c>
      <c r="B2101" s="1" t="n">
        <v>45328</v>
      </c>
      <c r="C2101" s="1" t="n">
        <v>45650</v>
      </c>
      <c r="D2101" t="inlineStr">
        <is>
          <t>GÄVLEBORGS LÄN</t>
        </is>
      </c>
      <c r="E2101" t="inlineStr">
        <is>
          <t>LJUSDAL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4826-2024</t>
        </is>
      </c>
      <c r="B2102" s="1" t="n">
        <v>45328</v>
      </c>
      <c r="C2102" s="1" t="n">
        <v>45650</v>
      </c>
      <c r="D2102" t="inlineStr">
        <is>
          <t>GÄVLEBORGS LÄN</t>
        </is>
      </c>
      <c r="E2102" t="inlineStr">
        <is>
          <t>LJUSDAL</t>
        </is>
      </c>
      <c r="G2102" t="n">
        <v>7.4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5092-2024</t>
        </is>
      </c>
      <c r="B2103" s="1" t="n">
        <v>45330</v>
      </c>
      <c r="C2103" s="1" t="n">
        <v>45650</v>
      </c>
      <c r="D2103" t="inlineStr">
        <is>
          <t>GÄVLEBORGS LÄN</t>
        </is>
      </c>
      <c r="E2103" t="inlineStr">
        <is>
          <t>LJUSDAL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5090-2024</t>
        </is>
      </c>
      <c r="B2104" s="1" t="n">
        <v>45330</v>
      </c>
      <c r="C2104" s="1" t="n">
        <v>45650</v>
      </c>
      <c r="D2104" t="inlineStr">
        <is>
          <t>GÄVLEBORGS LÄN</t>
        </is>
      </c>
      <c r="E2104" t="inlineStr">
        <is>
          <t>LJUSDAL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5098-2024</t>
        </is>
      </c>
      <c r="B2105" s="1" t="n">
        <v>45330</v>
      </c>
      <c r="C2105" s="1" t="n">
        <v>45650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5225-2024</t>
        </is>
      </c>
      <c r="B2106" s="1" t="n">
        <v>45330</v>
      </c>
      <c r="C2106" s="1" t="n">
        <v>45650</v>
      </c>
      <c r="D2106" t="inlineStr">
        <is>
          <t>GÄVLEBORGS LÄN</t>
        </is>
      </c>
      <c r="E2106" t="inlineStr">
        <is>
          <t>LJUSDAL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5534-2024</t>
        </is>
      </c>
      <c r="B2107" s="1" t="n">
        <v>45334</v>
      </c>
      <c r="C2107" s="1" t="n">
        <v>45650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5535-2024</t>
        </is>
      </c>
      <c r="B2108" s="1" t="n">
        <v>45334</v>
      </c>
      <c r="C2108" s="1" t="n">
        <v>45650</v>
      </c>
      <c r="D2108" t="inlineStr">
        <is>
          <t>GÄVLEBORGS LÄN</t>
        </is>
      </c>
      <c r="E2108" t="inlineStr">
        <is>
          <t>LJUSDAL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5579-2024</t>
        </is>
      </c>
      <c r="B2109" s="1" t="n">
        <v>45334</v>
      </c>
      <c r="C2109" s="1" t="n">
        <v>45650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6074-2024</t>
        </is>
      </c>
      <c r="B2110" s="1" t="n">
        <v>45336</v>
      </c>
      <c r="C2110" s="1" t="n">
        <v>45650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6072-2024</t>
        </is>
      </c>
      <c r="B2111" s="1" t="n">
        <v>45336</v>
      </c>
      <c r="C2111" s="1" t="n">
        <v>45650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6073-2024</t>
        </is>
      </c>
      <c r="B2112" s="1" t="n">
        <v>45336</v>
      </c>
      <c r="C2112" s="1" t="n">
        <v>45650</v>
      </c>
      <c r="D2112" t="inlineStr">
        <is>
          <t>GÄVLEBORGS LÄN</t>
        </is>
      </c>
      <c r="E2112" t="inlineStr">
        <is>
          <t>LJUSDAL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6469-2024</t>
        </is>
      </c>
      <c r="B2113" s="1" t="n">
        <v>45338</v>
      </c>
      <c r="C2113" s="1" t="n">
        <v>45650</v>
      </c>
      <c r="D2113" t="inlineStr">
        <is>
          <t>GÄVLEBORGS LÄN</t>
        </is>
      </c>
      <c r="E2113" t="inlineStr">
        <is>
          <t>LJUSDAL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6729-2024</t>
        </is>
      </c>
      <c r="B2114" s="1" t="n">
        <v>45342</v>
      </c>
      <c r="C2114" s="1" t="n">
        <v>45650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22.5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6724-2024</t>
        </is>
      </c>
      <c r="B2115" s="1" t="n">
        <v>45342</v>
      </c>
      <c r="C2115" s="1" t="n">
        <v>45650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6844-2024</t>
        </is>
      </c>
      <c r="B2116" s="1" t="n">
        <v>45342</v>
      </c>
      <c r="C2116" s="1" t="n">
        <v>45650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6802-2024</t>
        </is>
      </c>
      <c r="B2117" s="1" t="n">
        <v>45342</v>
      </c>
      <c r="C2117" s="1" t="n">
        <v>45650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23.2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7031-2024</t>
        </is>
      </c>
      <c r="B2118" s="1" t="n">
        <v>45343</v>
      </c>
      <c r="C2118" s="1" t="n">
        <v>45650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7348-2024</t>
        </is>
      </c>
      <c r="B2119" s="1" t="n">
        <v>45345</v>
      </c>
      <c r="C2119" s="1" t="n">
        <v>45650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13.4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7386-2024</t>
        </is>
      </c>
      <c r="B2120" s="1" t="n">
        <v>45345</v>
      </c>
      <c r="C2120" s="1" t="n">
        <v>45650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7514-2024</t>
        </is>
      </c>
      <c r="B2121" s="1" t="n">
        <v>45348</v>
      </c>
      <c r="C2121" s="1" t="n">
        <v>45650</v>
      </c>
      <c r="D2121" t="inlineStr">
        <is>
          <t>GÄVLEBORGS LÄN</t>
        </is>
      </c>
      <c r="E2121" t="inlineStr">
        <is>
          <t>LJUSDAL</t>
        </is>
      </c>
      <c r="G2121" t="n">
        <v>8.6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7513-2024</t>
        </is>
      </c>
      <c r="B2122" s="1" t="n">
        <v>45348</v>
      </c>
      <c r="C2122" s="1" t="n">
        <v>45650</v>
      </c>
      <c r="D2122" t="inlineStr">
        <is>
          <t>GÄVLEBORGS LÄN</t>
        </is>
      </c>
      <c r="E2122" t="inlineStr">
        <is>
          <t>LJUSDAL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7603-2024</t>
        </is>
      </c>
      <c r="B2123" s="1" t="n">
        <v>45348</v>
      </c>
      <c r="C2123" s="1" t="n">
        <v>45650</v>
      </c>
      <c r="D2123" t="inlineStr">
        <is>
          <t>GÄVLEBORGS LÄN</t>
        </is>
      </c>
      <c r="E2123" t="inlineStr">
        <is>
          <t>LJUSDAL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7606-2024</t>
        </is>
      </c>
      <c r="B2124" s="1" t="n">
        <v>45348</v>
      </c>
      <c r="C2124" s="1" t="n">
        <v>45650</v>
      </c>
      <c r="D2124" t="inlineStr">
        <is>
          <t>GÄVLEBORGS LÄN</t>
        </is>
      </c>
      <c r="E2124" t="inlineStr">
        <is>
          <t>LJUSDAL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7731-2024</t>
        </is>
      </c>
      <c r="B2125" s="1" t="n">
        <v>45349</v>
      </c>
      <c r="C2125" s="1" t="n">
        <v>45650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7709-2024</t>
        </is>
      </c>
      <c r="B2126" s="1" t="n">
        <v>45349</v>
      </c>
      <c r="C2126" s="1" t="n">
        <v>45650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7724-2024</t>
        </is>
      </c>
      <c r="B2127" s="1" t="n">
        <v>45349</v>
      </c>
      <c r="C2127" s="1" t="n">
        <v>45650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7729-2024</t>
        </is>
      </c>
      <c r="B2128" s="1" t="n">
        <v>45349</v>
      </c>
      <c r="C2128" s="1" t="n">
        <v>45650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7994-2024</t>
        </is>
      </c>
      <c r="B2129" s="1" t="n">
        <v>45350</v>
      </c>
      <c r="C2129" s="1" t="n">
        <v>45650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8142-2024</t>
        </is>
      </c>
      <c r="B2130" s="1" t="n">
        <v>45351</v>
      </c>
      <c r="C2130" s="1" t="n">
        <v>45650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17.1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8061-2024</t>
        </is>
      </c>
      <c r="B2131" s="1" t="n">
        <v>45351</v>
      </c>
      <c r="C2131" s="1" t="n">
        <v>45650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8081-2024</t>
        </is>
      </c>
      <c r="B2132" s="1" t="n">
        <v>45351</v>
      </c>
      <c r="C2132" s="1" t="n">
        <v>45650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8289-2024</t>
        </is>
      </c>
      <c r="B2133" s="1" t="n">
        <v>45352</v>
      </c>
      <c r="C2133" s="1" t="n">
        <v>45650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8335-2024</t>
        </is>
      </c>
      <c r="B2134" s="1" t="n">
        <v>45352</v>
      </c>
      <c r="C2134" s="1" t="n">
        <v>45650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8339-2024</t>
        </is>
      </c>
      <c r="B2135" s="1" t="n">
        <v>45352</v>
      </c>
      <c r="C2135" s="1" t="n">
        <v>45650</v>
      </c>
      <c r="D2135" t="inlineStr">
        <is>
          <t>GÄVLEBORGS LÄN</t>
        </is>
      </c>
      <c r="E2135" t="inlineStr">
        <is>
          <t>LJUSDAL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8384-2024</t>
        </is>
      </c>
      <c r="B2136" s="1" t="n">
        <v>45352</v>
      </c>
      <c r="C2136" s="1" t="n">
        <v>45650</v>
      </c>
      <c r="D2136" t="inlineStr">
        <is>
          <t>GÄVLEBORGS LÄN</t>
        </is>
      </c>
      <c r="E2136" t="inlineStr">
        <is>
          <t>LJUSDAL</t>
        </is>
      </c>
      <c r="G2136" t="n">
        <v>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8667-2024</t>
        </is>
      </c>
      <c r="B2137" s="1" t="n">
        <v>45356</v>
      </c>
      <c r="C2137" s="1" t="n">
        <v>45650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8979-2024</t>
        </is>
      </c>
      <c r="B2138" s="1" t="n">
        <v>45357</v>
      </c>
      <c r="C2138" s="1" t="n">
        <v>45650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9111-2024</t>
        </is>
      </c>
      <c r="B2139" s="1" t="n">
        <v>45358</v>
      </c>
      <c r="C2139" s="1" t="n">
        <v>45650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9220-2024</t>
        </is>
      </c>
      <c r="B2140" s="1" t="n">
        <v>45358</v>
      </c>
      <c r="C2140" s="1" t="n">
        <v>45650</v>
      </c>
      <c r="D2140" t="inlineStr">
        <is>
          <t>GÄVLEBORGS LÄN</t>
        </is>
      </c>
      <c r="E2140" t="inlineStr">
        <is>
          <t>LJUSDAL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9224-2024</t>
        </is>
      </c>
      <c r="B2141" s="1" t="n">
        <v>45358</v>
      </c>
      <c r="C2141" s="1" t="n">
        <v>45650</v>
      </c>
      <c r="D2141" t="inlineStr">
        <is>
          <t>GÄVLEBORGS LÄN</t>
        </is>
      </c>
      <c r="E2141" t="inlineStr">
        <is>
          <t>LJUSDAL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9343-2024</t>
        </is>
      </c>
      <c r="B2142" s="1" t="n">
        <v>45359</v>
      </c>
      <c r="C2142" s="1" t="n">
        <v>45650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SCA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9361-2024</t>
        </is>
      </c>
      <c r="B2143" s="1" t="n">
        <v>45359</v>
      </c>
      <c r="C2143" s="1" t="n">
        <v>45650</v>
      </c>
      <c r="D2143" t="inlineStr">
        <is>
          <t>GÄVLEBORGS LÄN</t>
        </is>
      </c>
      <c r="E2143" t="inlineStr">
        <is>
          <t>LJUSDAL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9359-2024</t>
        </is>
      </c>
      <c r="B2144" s="1" t="n">
        <v>45359</v>
      </c>
      <c r="C2144" s="1" t="n">
        <v>45650</v>
      </c>
      <c r="D2144" t="inlineStr">
        <is>
          <t>GÄVLEBORGS LÄN</t>
        </is>
      </c>
      <c r="E2144" t="inlineStr">
        <is>
          <t>LJUSDAL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9363-2024</t>
        </is>
      </c>
      <c r="B2145" s="1" t="n">
        <v>45359</v>
      </c>
      <c r="C2145" s="1" t="n">
        <v>45650</v>
      </c>
      <c r="D2145" t="inlineStr">
        <is>
          <t>GÄVLEBORGS LÄN</t>
        </is>
      </c>
      <c r="E2145" t="inlineStr">
        <is>
          <t>LJUSDAL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9602-2024</t>
        </is>
      </c>
      <c r="B2146" s="1" t="n">
        <v>45361</v>
      </c>
      <c r="C2146" s="1" t="n">
        <v>45650</v>
      </c>
      <c r="D2146" t="inlineStr">
        <is>
          <t>GÄVLEBORGS LÄN</t>
        </is>
      </c>
      <c r="E2146" t="inlineStr">
        <is>
          <t>LJUSDAL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9603-2024</t>
        </is>
      </c>
      <c r="B2147" s="1" t="n">
        <v>45361</v>
      </c>
      <c r="C2147" s="1" t="n">
        <v>45650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9661-2024</t>
        </is>
      </c>
      <c r="B2148" s="1" t="n">
        <v>45362</v>
      </c>
      <c r="C2148" s="1" t="n">
        <v>45650</v>
      </c>
      <c r="D2148" t="inlineStr">
        <is>
          <t>GÄVLEBORGS LÄN</t>
        </is>
      </c>
      <c r="E2148" t="inlineStr">
        <is>
          <t>LJUSDAL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10105-2024</t>
        </is>
      </c>
      <c r="B2149" s="1" t="n">
        <v>45364</v>
      </c>
      <c r="C2149" s="1" t="n">
        <v>45650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10177-2024</t>
        </is>
      </c>
      <c r="B2150" s="1" t="n">
        <v>45364</v>
      </c>
      <c r="C2150" s="1" t="n">
        <v>45650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10141-2024</t>
        </is>
      </c>
      <c r="B2151" s="1" t="n">
        <v>45364</v>
      </c>
      <c r="C2151" s="1" t="n">
        <v>45650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10207-2024</t>
        </is>
      </c>
      <c r="B2152" s="1" t="n">
        <v>45364</v>
      </c>
      <c r="C2152" s="1" t="n">
        <v>45650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10239-2024</t>
        </is>
      </c>
      <c r="B2153" s="1" t="n">
        <v>45365</v>
      </c>
      <c r="C2153" s="1" t="n">
        <v>45650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7.1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10514-2024</t>
        </is>
      </c>
      <c r="B2154" s="1" t="n">
        <v>45366</v>
      </c>
      <c r="C2154" s="1" t="n">
        <v>45650</v>
      </c>
      <c r="D2154" t="inlineStr">
        <is>
          <t>GÄVLEBORGS LÄN</t>
        </is>
      </c>
      <c r="E2154" t="inlineStr">
        <is>
          <t>LJUSDAL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10978-2024</t>
        </is>
      </c>
      <c r="B2155" s="1" t="n">
        <v>45370</v>
      </c>
      <c r="C2155" s="1" t="n">
        <v>45650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11275-2024</t>
        </is>
      </c>
      <c r="B2156" s="1" t="n">
        <v>45371</v>
      </c>
      <c r="C2156" s="1" t="n">
        <v>45650</v>
      </c>
      <c r="D2156" t="inlineStr">
        <is>
          <t>GÄVLEBORGS LÄN</t>
        </is>
      </c>
      <c r="E2156" t="inlineStr">
        <is>
          <t>LJUSDAL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11316-2024</t>
        </is>
      </c>
      <c r="B2157" s="1" t="n">
        <v>45371</v>
      </c>
      <c r="C2157" s="1" t="n">
        <v>45650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11327-2024</t>
        </is>
      </c>
      <c r="B2158" s="1" t="n">
        <v>45371</v>
      </c>
      <c r="C2158" s="1" t="n">
        <v>45650</v>
      </c>
      <c r="D2158" t="inlineStr">
        <is>
          <t>GÄVLEBORGS LÄN</t>
        </is>
      </c>
      <c r="E2158" t="inlineStr">
        <is>
          <t>LJUSDAL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11383-2024</t>
        </is>
      </c>
      <c r="B2159" s="1" t="n">
        <v>45372</v>
      </c>
      <c r="C2159" s="1" t="n">
        <v>45650</v>
      </c>
      <c r="D2159" t="inlineStr">
        <is>
          <t>GÄVLEBORGS LÄN</t>
        </is>
      </c>
      <c r="E2159" t="inlineStr">
        <is>
          <t>LJUSDAL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11387-2024</t>
        </is>
      </c>
      <c r="B2160" s="1" t="n">
        <v>45372</v>
      </c>
      <c r="C2160" s="1" t="n">
        <v>45650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11465-2024</t>
        </is>
      </c>
      <c r="B2161" s="1" t="n">
        <v>45372</v>
      </c>
      <c r="C2161" s="1" t="n">
        <v>45650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11496-2024</t>
        </is>
      </c>
      <c r="B2162" s="1" t="n">
        <v>45372</v>
      </c>
      <c r="C2162" s="1" t="n">
        <v>45650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11662-2024</t>
        </is>
      </c>
      <c r="B2163" s="1" t="n">
        <v>45373</v>
      </c>
      <c r="C2163" s="1" t="n">
        <v>45650</v>
      </c>
      <c r="D2163" t="inlineStr">
        <is>
          <t>GÄVLEBORGS LÄN</t>
        </is>
      </c>
      <c r="E2163" t="inlineStr">
        <is>
          <t>LJUSDAL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11664-2024</t>
        </is>
      </c>
      <c r="B2164" s="1" t="n">
        <v>45373</v>
      </c>
      <c r="C2164" s="1" t="n">
        <v>45650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11838-2024</t>
        </is>
      </c>
      <c r="B2165" s="1" t="n">
        <v>45376</v>
      </c>
      <c r="C2165" s="1" t="n">
        <v>45650</v>
      </c>
      <c r="D2165" t="inlineStr">
        <is>
          <t>GÄVLEBORGS LÄN</t>
        </is>
      </c>
      <c r="E2165" t="inlineStr">
        <is>
          <t>LJUSDAL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12799-2024</t>
        </is>
      </c>
      <c r="B2166" s="1" t="n">
        <v>45384</v>
      </c>
      <c r="C2166" s="1" t="n">
        <v>45650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12855-2024</t>
        </is>
      </c>
      <c r="B2167" s="1" t="n">
        <v>45385</v>
      </c>
      <c r="C2167" s="1" t="n">
        <v>45650</v>
      </c>
      <c r="D2167" t="inlineStr">
        <is>
          <t>GÄVLEBORGS LÄN</t>
        </is>
      </c>
      <c r="E2167" t="inlineStr">
        <is>
          <t>LJUSDAL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13238-2024</t>
        </is>
      </c>
      <c r="B2168" s="1" t="n">
        <v>45386</v>
      </c>
      <c r="C2168" s="1" t="n">
        <v>45650</v>
      </c>
      <c r="D2168" t="inlineStr">
        <is>
          <t>GÄVLEBORGS LÄN</t>
        </is>
      </c>
      <c r="E2168" t="inlineStr">
        <is>
          <t>LJUSDAL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13337-2024</t>
        </is>
      </c>
      <c r="B2169" s="1" t="n">
        <v>45386</v>
      </c>
      <c r="C2169" s="1" t="n">
        <v>45650</v>
      </c>
      <c r="D2169" t="inlineStr">
        <is>
          <t>GÄVLEBORGS LÄN</t>
        </is>
      </c>
      <c r="E2169" t="inlineStr">
        <is>
          <t>LJUSDAL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13496-2024</t>
        </is>
      </c>
      <c r="B2170" s="1" t="n">
        <v>45387</v>
      </c>
      <c r="C2170" s="1" t="n">
        <v>45650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13406-2024</t>
        </is>
      </c>
      <c r="B2171" s="1" t="n">
        <v>45387</v>
      </c>
      <c r="C2171" s="1" t="n">
        <v>45650</v>
      </c>
      <c r="D2171" t="inlineStr">
        <is>
          <t>GÄVLEBORGS LÄN</t>
        </is>
      </c>
      <c r="E2171" t="inlineStr">
        <is>
          <t>LJUSDAL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13427-2024</t>
        </is>
      </c>
      <c r="B2172" s="1" t="n">
        <v>45387</v>
      </c>
      <c r="C2172" s="1" t="n">
        <v>45650</v>
      </c>
      <c r="D2172" t="inlineStr">
        <is>
          <t>GÄVLEBORGS LÄN</t>
        </is>
      </c>
      <c r="E2172" t="inlineStr">
        <is>
          <t>LJUSDAL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13411-2024</t>
        </is>
      </c>
      <c r="B2173" s="1" t="n">
        <v>45387</v>
      </c>
      <c r="C2173" s="1" t="n">
        <v>45650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13498-2024</t>
        </is>
      </c>
      <c r="B2174" s="1" t="n">
        <v>45387</v>
      </c>
      <c r="C2174" s="1" t="n">
        <v>45650</v>
      </c>
      <c r="D2174" t="inlineStr">
        <is>
          <t>GÄVLEBORGS LÄN</t>
        </is>
      </c>
      <c r="E2174" t="inlineStr">
        <is>
          <t>LJUSDAL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13417-2024</t>
        </is>
      </c>
      <c r="B2175" s="1" t="n">
        <v>45387</v>
      </c>
      <c r="C2175" s="1" t="n">
        <v>45650</v>
      </c>
      <c r="D2175" t="inlineStr">
        <is>
          <t>GÄVLEBORGS LÄN</t>
        </is>
      </c>
      <c r="E2175" t="inlineStr">
        <is>
          <t>LJUSDAL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13829-2024</t>
        </is>
      </c>
      <c r="B2176" s="1" t="n">
        <v>45391</v>
      </c>
      <c r="C2176" s="1" t="n">
        <v>45650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13911-2024</t>
        </is>
      </c>
      <c r="B2177" s="1" t="n">
        <v>45391</v>
      </c>
      <c r="C2177" s="1" t="n">
        <v>45650</v>
      </c>
      <c r="D2177" t="inlineStr">
        <is>
          <t>GÄVLEBORGS LÄN</t>
        </is>
      </c>
      <c r="E2177" t="inlineStr">
        <is>
          <t>LJUSDAL</t>
        </is>
      </c>
      <c r="G2177" t="n">
        <v>18.2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13822-2024</t>
        </is>
      </c>
      <c r="B2178" s="1" t="n">
        <v>45391</v>
      </c>
      <c r="C2178" s="1" t="n">
        <v>45650</v>
      </c>
      <c r="D2178" t="inlineStr">
        <is>
          <t>GÄVLEBORGS LÄN</t>
        </is>
      </c>
      <c r="E2178" t="inlineStr">
        <is>
          <t>LJUSDAL</t>
        </is>
      </c>
      <c r="F2178" t="inlineStr">
        <is>
          <t>Kommuner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13872-2024</t>
        </is>
      </c>
      <c r="B2179" s="1" t="n">
        <v>45391</v>
      </c>
      <c r="C2179" s="1" t="n">
        <v>45650</v>
      </c>
      <c r="D2179" t="inlineStr">
        <is>
          <t>GÄVLEBORGS LÄN</t>
        </is>
      </c>
      <c r="E2179" t="inlineStr">
        <is>
          <t>LJUSDAL</t>
        </is>
      </c>
      <c r="G2179" t="n">
        <v>13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14046-2024</t>
        </is>
      </c>
      <c r="B2180" s="1" t="n">
        <v>45392</v>
      </c>
      <c r="C2180" s="1" t="n">
        <v>45650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14263-2024</t>
        </is>
      </c>
      <c r="B2181" s="1" t="n">
        <v>45393</v>
      </c>
      <c r="C2181" s="1" t="n">
        <v>45650</v>
      </c>
      <c r="D2181" t="inlineStr">
        <is>
          <t>GÄVLEBORGS LÄN</t>
        </is>
      </c>
      <c r="E2181" t="inlineStr">
        <is>
          <t>LJUSDAL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14296-2024</t>
        </is>
      </c>
      <c r="B2182" s="1" t="n">
        <v>45393</v>
      </c>
      <c r="C2182" s="1" t="n">
        <v>45650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14877-2024</t>
        </is>
      </c>
      <c r="B2183" s="1" t="n">
        <v>45398</v>
      </c>
      <c r="C2183" s="1" t="n">
        <v>45650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14880-2024</t>
        </is>
      </c>
      <c r="B2184" s="1" t="n">
        <v>45398</v>
      </c>
      <c r="C2184" s="1" t="n">
        <v>45650</v>
      </c>
      <c r="D2184" t="inlineStr">
        <is>
          <t>GÄVLEBORGS LÄN</t>
        </is>
      </c>
      <c r="E2184" t="inlineStr">
        <is>
          <t>LJUSDAL</t>
        </is>
      </c>
      <c r="F2184" t="inlineStr">
        <is>
          <t>Allmännings- och besparingsskogar</t>
        </is>
      </c>
      <c r="G2184" t="n">
        <v>28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14944-2024</t>
        </is>
      </c>
      <c r="B2185" s="1" t="n">
        <v>45398</v>
      </c>
      <c r="C2185" s="1" t="n">
        <v>45650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15023-2024</t>
        </is>
      </c>
      <c r="B2186" s="1" t="n">
        <v>45399</v>
      </c>
      <c r="C2186" s="1" t="n">
        <v>45650</v>
      </c>
      <c r="D2186" t="inlineStr">
        <is>
          <t>GÄVLEBORGS LÄN</t>
        </is>
      </c>
      <c r="E2186" t="inlineStr">
        <is>
          <t>LJUSDAL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15053-2024</t>
        </is>
      </c>
      <c r="B2187" s="1" t="n">
        <v>45399</v>
      </c>
      <c r="C2187" s="1" t="n">
        <v>45650</v>
      </c>
      <c r="D2187" t="inlineStr">
        <is>
          <t>GÄVLEBORGS LÄN</t>
        </is>
      </c>
      <c r="E2187" t="inlineStr">
        <is>
          <t>LJUSDAL</t>
        </is>
      </c>
      <c r="G2187" t="n">
        <v>11.9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15168-2024</t>
        </is>
      </c>
      <c r="B2188" s="1" t="n">
        <v>45400</v>
      </c>
      <c r="C2188" s="1" t="n">
        <v>45650</v>
      </c>
      <c r="D2188" t="inlineStr">
        <is>
          <t>GÄVLEBORGS LÄN</t>
        </is>
      </c>
      <c r="E2188" t="inlineStr">
        <is>
          <t>LJUSDAL</t>
        </is>
      </c>
      <c r="F2188" t="inlineStr">
        <is>
          <t>Holmen skog AB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15267-2024</t>
        </is>
      </c>
      <c r="B2189" s="1" t="n">
        <v>45400</v>
      </c>
      <c r="C2189" s="1" t="n">
        <v>45650</v>
      </c>
      <c r="D2189" t="inlineStr">
        <is>
          <t>GÄVLEBORGS LÄN</t>
        </is>
      </c>
      <c r="E2189" t="inlineStr">
        <is>
          <t>LJUSDAL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15372-2024</t>
        </is>
      </c>
      <c r="B2190" s="1" t="n">
        <v>45401</v>
      </c>
      <c r="C2190" s="1" t="n">
        <v>45650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15371-2024</t>
        </is>
      </c>
      <c r="B2191" s="1" t="n">
        <v>45401</v>
      </c>
      <c r="C2191" s="1" t="n">
        <v>45650</v>
      </c>
      <c r="D2191" t="inlineStr">
        <is>
          <t>GÄVLEBORGS LÄN</t>
        </is>
      </c>
      <c r="E2191" t="inlineStr">
        <is>
          <t>LJUSDAL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15984-2024</t>
        </is>
      </c>
      <c r="B2192" s="1" t="n">
        <v>45405</v>
      </c>
      <c r="C2192" s="1" t="n">
        <v>45650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16666-2024</t>
        </is>
      </c>
      <c r="B2193" s="1" t="n">
        <v>45408</v>
      </c>
      <c r="C2193" s="1" t="n">
        <v>45650</v>
      </c>
      <c r="D2193" t="inlineStr">
        <is>
          <t>GÄVLEBORGS LÄN</t>
        </is>
      </c>
      <c r="E2193" t="inlineStr">
        <is>
          <t>LJUSDAL</t>
        </is>
      </c>
      <c r="G2193" t="n">
        <v>22.8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17044-2024</t>
        </is>
      </c>
      <c r="B2194" s="1" t="n">
        <v>45412</v>
      </c>
      <c r="C2194" s="1" t="n">
        <v>45650</v>
      </c>
      <c r="D2194" t="inlineStr">
        <is>
          <t>GÄVLEBORGS LÄN</t>
        </is>
      </c>
      <c r="E2194" t="inlineStr">
        <is>
          <t>LJUSDAL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18078-2024</t>
        </is>
      </c>
      <c r="B2195" s="1" t="n">
        <v>45420</v>
      </c>
      <c r="C2195" s="1" t="n">
        <v>45650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18061-2024</t>
        </is>
      </c>
      <c r="B2196" s="1" t="n">
        <v>45420</v>
      </c>
      <c r="C2196" s="1" t="n">
        <v>45650</v>
      </c>
      <c r="D2196" t="inlineStr">
        <is>
          <t>GÄVLEBORGS LÄN</t>
        </is>
      </c>
      <c r="E2196" t="inlineStr">
        <is>
          <t>LJUSDAL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18130-2024</t>
        </is>
      </c>
      <c r="B2197" s="1" t="n">
        <v>45420</v>
      </c>
      <c r="C2197" s="1" t="n">
        <v>45650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18158-2024</t>
        </is>
      </c>
      <c r="B2198" s="1" t="n">
        <v>45420</v>
      </c>
      <c r="C2198" s="1" t="n">
        <v>45650</v>
      </c>
      <c r="D2198" t="inlineStr">
        <is>
          <t>GÄVLEBORGS LÄN</t>
        </is>
      </c>
      <c r="E2198" t="inlineStr">
        <is>
          <t>LJUSDAL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18166-2024</t>
        </is>
      </c>
      <c r="B2199" s="1" t="n">
        <v>45420</v>
      </c>
      <c r="C2199" s="1" t="n">
        <v>45650</v>
      </c>
      <c r="D2199" t="inlineStr">
        <is>
          <t>GÄVLEBORGS LÄN</t>
        </is>
      </c>
      <c r="E2199" t="inlineStr">
        <is>
          <t>LJUSDAL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18169-2024</t>
        </is>
      </c>
      <c r="B2200" s="1" t="n">
        <v>45420</v>
      </c>
      <c r="C2200" s="1" t="n">
        <v>45650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18221-2024</t>
        </is>
      </c>
      <c r="B2201" s="1" t="n">
        <v>45421</v>
      </c>
      <c r="C2201" s="1" t="n">
        <v>45650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18111-2024</t>
        </is>
      </c>
      <c r="B2202" s="1" t="n">
        <v>45420</v>
      </c>
      <c r="C2202" s="1" t="n">
        <v>45650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18250-2024</t>
        </is>
      </c>
      <c r="B2203" s="1" t="n">
        <v>45421</v>
      </c>
      <c r="C2203" s="1" t="n">
        <v>45650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18357-2024</t>
        </is>
      </c>
      <c r="B2204" s="1" t="n">
        <v>45422</v>
      </c>
      <c r="C2204" s="1" t="n">
        <v>45650</v>
      </c>
      <c r="D2204" t="inlineStr">
        <is>
          <t>GÄVLEBORGS LÄN</t>
        </is>
      </c>
      <c r="E2204" t="inlineStr">
        <is>
          <t>LJUSDAL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18297-2024</t>
        </is>
      </c>
      <c r="B2205" s="1" t="n">
        <v>45422</v>
      </c>
      <c r="C2205" s="1" t="n">
        <v>45650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18374-2024</t>
        </is>
      </c>
      <c r="B2206" s="1" t="n">
        <v>45423</v>
      </c>
      <c r="C2206" s="1" t="n">
        <v>45650</v>
      </c>
      <c r="D2206" t="inlineStr">
        <is>
          <t>GÄVLEBORGS LÄN</t>
        </is>
      </c>
      <c r="E2206" t="inlineStr">
        <is>
          <t>LJUSDAL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18375-2024</t>
        </is>
      </c>
      <c r="B2207" s="1" t="n">
        <v>45423</v>
      </c>
      <c r="C2207" s="1" t="n">
        <v>45650</v>
      </c>
      <c r="D2207" t="inlineStr">
        <is>
          <t>GÄVLEBORGS LÄN</t>
        </is>
      </c>
      <c r="E2207" t="inlineStr">
        <is>
          <t>LJUSDAL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18488-2024</t>
        </is>
      </c>
      <c r="B2208" s="1" t="n">
        <v>45425</v>
      </c>
      <c r="C2208" s="1" t="n">
        <v>45650</v>
      </c>
      <c r="D2208" t="inlineStr">
        <is>
          <t>GÄVLEBORGS LÄN</t>
        </is>
      </c>
      <c r="E2208" t="inlineStr">
        <is>
          <t>LJUSDAL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18611-2024</t>
        </is>
      </c>
      <c r="B2209" s="1" t="n">
        <v>45426</v>
      </c>
      <c r="C2209" s="1" t="n">
        <v>45650</v>
      </c>
      <c r="D2209" t="inlineStr">
        <is>
          <t>GÄVLEBORGS LÄN</t>
        </is>
      </c>
      <c r="E2209" t="inlineStr">
        <is>
          <t>LJUSDAL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18576-2024</t>
        </is>
      </c>
      <c r="B2210" s="1" t="n">
        <v>45425</v>
      </c>
      <c r="C2210" s="1" t="n">
        <v>45650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18428-2024</t>
        </is>
      </c>
      <c r="B2211" s="1" t="n">
        <v>45425</v>
      </c>
      <c r="C2211" s="1" t="n">
        <v>45650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18608-2024</t>
        </is>
      </c>
      <c r="B2212" s="1" t="n">
        <v>45426</v>
      </c>
      <c r="C2212" s="1" t="n">
        <v>45650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18446-2024</t>
        </is>
      </c>
      <c r="B2213" s="1" t="n">
        <v>45425</v>
      </c>
      <c r="C2213" s="1" t="n">
        <v>45650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18450-2024</t>
        </is>
      </c>
      <c r="B2214" s="1" t="n">
        <v>45425</v>
      </c>
      <c r="C2214" s="1" t="n">
        <v>45650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18734-2024</t>
        </is>
      </c>
      <c r="B2215" s="1" t="n">
        <v>45426</v>
      </c>
      <c r="C2215" s="1" t="n">
        <v>45650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18733-2024</t>
        </is>
      </c>
      <c r="B2216" s="1" t="n">
        <v>45426</v>
      </c>
      <c r="C2216" s="1" t="n">
        <v>45650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18731-2024</t>
        </is>
      </c>
      <c r="B2217" s="1" t="n">
        <v>45426</v>
      </c>
      <c r="C2217" s="1" t="n">
        <v>45650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18958-2024</t>
        </is>
      </c>
      <c r="B2218" s="1" t="n">
        <v>45427</v>
      </c>
      <c r="C2218" s="1" t="n">
        <v>45650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18934-2024</t>
        </is>
      </c>
      <c r="B2219" s="1" t="n">
        <v>45427</v>
      </c>
      <c r="C2219" s="1" t="n">
        <v>45650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18914-2024</t>
        </is>
      </c>
      <c r="B2220" s="1" t="n">
        <v>45427</v>
      </c>
      <c r="C2220" s="1" t="n">
        <v>45650</v>
      </c>
      <c r="D2220" t="inlineStr">
        <is>
          <t>GÄVLEBORGS LÄN</t>
        </is>
      </c>
      <c r="E2220" t="inlineStr">
        <is>
          <t>LJUSDAL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18960-2024</t>
        </is>
      </c>
      <c r="B2221" s="1" t="n">
        <v>45427</v>
      </c>
      <c r="C2221" s="1" t="n">
        <v>45650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18996-2024</t>
        </is>
      </c>
      <c r="B2222" s="1" t="n">
        <v>45427</v>
      </c>
      <c r="C2222" s="1" t="n">
        <v>45650</v>
      </c>
      <c r="D2222" t="inlineStr">
        <is>
          <t>GÄVLEBORGS LÄN</t>
        </is>
      </c>
      <c r="E2222" t="inlineStr">
        <is>
          <t>LJUSDAL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19190-2024</t>
        </is>
      </c>
      <c r="B2223" s="1" t="n">
        <v>45428</v>
      </c>
      <c r="C2223" s="1" t="n">
        <v>45650</v>
      </c>
      <c r="D2223" t="inlineStr">
        <is>
          <t>GÄVLEBORGS LÄN</t>
        </is>
      </c>
      <c r="E2223" t="inlineStr">
        <is>
          <t>LJUSDAL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19407-2024</t>
        </is>
      </c>
      <c r="B2224" s="1" t="n">
        <v>45429</v>
      </c>
      <c r="C2224" s="1" t="n">
        <v>45650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19641-2024</t>
        </is>
      </c>
      <c r="B2225" s="1" t="n">
        <v>45432</v>
      </c>
      <c r="C2225" s="1" t="n">
        <v>45650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19647-2024</t>
        </is>
      </c>
      <c r="B2226" s="1" t="n">
        <v>45432</v>
      </c>
      <c r="C2226" s="1" t="n">
        <v>45650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19637-2024</t>
        </is>
      </c>
      <c r="B2227" s="1" t="n">
        <v>45432</v>
      </c>
      <c r="C2227" s="1" t="n">
        <v>45650</v>
      </c>
      <c r="D2227" t="inlineStr">
        <is>
          <t>GÄVLEBORGS LÄN</t>
        </is>
      </c>
      <c r="E2227" t="inlineStr">
        <is>
          <t>LJUSDAL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19633-2024</t>
        </is>
      </c>
      <c r="B2228" s="1" t="n">
        <v>45432</v>
      </c>
      <c r="C2228" s="1" t="n">
        <v>45650</v>
      </c>
      <c r="D2228" t="inlineStr">
        <is>
          <t>GÄVLEBORGS LÄN</t>
        </is>
      </c>
      <c r="E2228" t="inlineStr">
        <is>
          <t>LJUSDAL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19646-2024</t>
        </is>
      </c>
      <c r="B2229" s="1" t="n">
        <v>45432</v>
      </c>
      <c r="C2229" s="1" t="n">
        <v>45650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19642-2024</t>
        </is>
      </c>
      <c r="B2230" s="1" t="n">
        <v>45432</v>
      </c>
      <c r="C2230" s="1" t="n">
        <v>45650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19797-2024</t>
        </is>
      </c>
      <c r="B2231" s="1" t="n">
        <v>45433</v>
      </c>
      <c r="C2231" s="1" t="n">
        <v>45650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19813-2024</t>
        </is>
      </c>
      <c r="B2232" s="1" t="n">
        <v>45433</v>
      </c>
      <c r="C2232" s="1" t="n">
        <v>45650</v>
      </c>
      <c r="D2232" t="inlineStr">
        <is>
          <t>GÄVLEBORGS LÄN</t>
        </is>
      </c>
      <c r="E2232" t="inlineStr">
        <is>
          <t>LJUSDAL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19849-2024</t>
        </is>
      </c>
      <c r="B2233" s="1" t="n">
        <v>45433</v>
      </c>
      <c r="C2233" s="1" t="n">
        <v>45650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20026-2024</t>
        </is>
      </c>
      <c r="B2234" s="1" t="n">
        <v>45434</v>
      </c>
      <c r="C2234" s="1" t="n">
        <v>45650</v>
      </c>
      <c r="D2234" t="inlineStr">
        <is>
          <t>GÄVLEBORGS LÄN</t>
        </is>
      </c>
      <c r="E2234" t="inlineStr">
        <is>
          <t>LJUSDAL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20043-2024</t>
        </is>
      </c>
      <c r="B2235" s="1" t="n">
        <v>45434</v>
      </c>
      <c r="C2235" s="1" t="n">
        <v>45650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20031-2024</t>
        </is>
      </c>
      <c r="B2236" s="1" t="n">
        <v>45434</v>
      </c>
      <c r="C2236" s="1" t="n">
        <v>45650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20032-2024</t>
        </is>
      </c>
      <c r="B2237" s="1" t="n">
        <v>45434</v>
      </c>
      <c r="C2237" s="1" t="n">
        <v>45650</v>
      </c>
      <c r="D2237" t="inlineStr">
        <is>
          <t>GÄVLEBORGS LÄN</t>
        </is>
      </c>
      <c r="E2237" t="inlineStr">
        <is>
          <t>LJUSDAL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20218-2024</t>
        </is>
      </c>
      <c r="B2238" s="1" t="n">
        <v>45434</v>
      </c>
      <c r="C2238" s="1" t="n">
        <v>45650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20332-2024</t>
        </is>
      </c>
      <c r="B2239" s="1" t="n">
        <v>45435</v>
      </c>
      <c r="C2239" s="1" t="n">
        <v>45650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20288-2024</t>
        </is>
      </c>
      <c r="B2240" s="1" t="n">
        <v>45435</v>
      </c>
      <c r="C2240" s="1" t="n">
        <v>45650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20317-2024</t>
        </is>
      </c>
      <c r="B2241" s="1" t="n">
        <v>45435</v>
      </c>
      <c r="C2241" s="1" t="n">
        <v>45650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20335-2024</t>
        </is>
      </c>
      <c r="B2242" s="1" t="n">
        <v>45435</v>
      </c>
      <c r="C2242" s="1" t="n">
        <v>45650</v>
      </c>
      <c r="D2242" t="inlineStr">
        <is>
          <t>GÄVLEBORGS LÄN</t>
        </is>
      </c>
      <c r="E2242" t="inlineStr">
        <is>
          <t>LJUSDAL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20339-2024</t>
        </is>
      </c>
      <c r="B2243" s="1" t="n">
        <v>45435</v>
      </c>
      <c r="C2243" s="1" t="n">
        <v>45650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20424-2024</t>
        </is>
      </c>
      <c r="B2244" s="1" t="n">
        <v>45435</v>
      </c>
      <c r="C2244" s="1" t="n">
        <v>45650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20554-2024</t>
        </is>
      </c>
      <c r="B2245" s="1" t="n">
        <v>45436</v>
      </c>
      <c r="C2245" s="1" t="n">
        <v>45650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20548-2024</t>
        </is>
      </c>
      <c r="B2246" s="1" t="n">
        <v>45436</v>
      </c>
      <c r="C2246" s="1" t="n">
        <v>45650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20653-2024</t>
        </is>
      </c>
      <c r="B2247" s="1" t="n">
        <v>45436</v>
      </c>
      <c r="C2247" s="1" t="n">
        <v>45650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20549-2024</t>
        </is>
      </c>
      <c r="B2248" s="1" t="n">
        <v>45436</v>
      </c>
      <c r="C2248" s="1" t="n">
        <v>45650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20555-2024</t>
        </is>
      </c>
      <c r="B2249" s="1" t="n">
        <v>45436</v>
      </c>
      <c r="C2249" s="1" t="n">
        <v>45650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20787-2024</t>
        </is>
      </c>
      <c r="B2250" s="1" t="n">
        <v>45438</v>
      </c>
      <c r="C2250" s="1" t="n">
        <v>45650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21070-2024</t>
        </is>
      </c>
      <c r="B2251" s="1" t="n">
        <v>45439</v>
      </c>
      <c r="C2251" s="1" t="n">
        <v>45650</v>
      </c>
      <c r="D2251" t="inlineStr">
        <is>
          <t>GÄVLEBORGS LÄN</t>
        </is>
      </c>
      <c r="E2251" t="inlineStr">
        <is>
          <t>LJUSDAL</t>
        </is>
      </c>
      <c r="F2251" t="inlineStr">
        <is>
          <t>Övriga Aktiebolag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20897-2024</t>
        </is>
      </c>
      <c r="B2252" s="1" t="n">
        <v>45439</v>
      </c>
      <c r="C2252" s="1" t="n">
        <v>45650</v>
      </c>
      <c r="D2252" t="inlineStr">
        <is>
          <t>GÄVLEBORGS LÄN</t>
        </is>
      </c>
      <c r="E2252" t="inlineStr">
        <is>
          <t>LJUSDAL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20956-2024</t>
        </is>
      </c>
      <c r="B2253" s="1" t="n">
        <v>45439</v>
      </c>
      <c r="C2253" s="1" t="n">
        <v>45650</v>
      </c>
      <c r="D2253" t="inlineStr">
        <is>
          <t>GÄVLEBORGS LÄN</t>
        </is>
      </c>
      <c r="E2253" t="inlineStr">
        <is>
          <t>LJUSDAL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21194-2024</t>
        </is>
      </c>
      <c r="B2254" s="1" t="n">
        <v>45440</v>
      </c>
      <c r="C2254" s="1" t="n">
        <v>45650</v>
      </c>
      <c r="D2254" t="inlineStr">
        <is>
          <t>GÄVLEBORGS LÄN</t>
        </is>
      </c>
      <c r="E2254" t="inlineStr">
        <is>
          <t>LJUSDAL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21346-2024</t>
        </is>
      </c>
      <c r="B2255" s="1" t="n">
        <v>45441</v>
      </c>
      <c r="C2255" s="1" t="n">
        <v>45650</v>
      </c>
      <c r="D2255" t="inlineStr">
        <is>
          <t>GÄVLEBORGS LÄN</t>
        </is>
      </c>
      <c r="E2255" t="inlineStr">
        <is>
          <t>LJUSDAL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21347-2024</t>
        </is>
      </c>
      <c r="B2256" s="1" t="n">
        <v>45441</v>
      </c>
      <c r="C2256" s="1" t="n">
        <v>45650</v>
      </c>
      <c r="D2256" t="inlineStr">
        <is>
          <t>GÄVLEBORGS LÄN</t>
        </is>
      </c>
      <c r="E2256" t="inlineStr">
        <is>
          <t>LJUSDAL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21441-2024</t>
        </is>
      </c>
      <c r="B2257" s="1" t="n">
        <v>45441</v>
      </c>
      <c r="C2257" s="1" t="n">
        <v>45650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21570-2024</t>
        </is>
      </c>
      <c r="B2258" s="1" t="n">
        <v>45441</v>
      </c>
      <c r="C2258" s="1" t="n">
        <v>45650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21563-2024</t>
        </is>
      </c>
      <c r="B2259" s="1" t="n">
        <v>45441</v>
      </c>
      <c r="C2259" s="1" t="n">
        <v>45650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21465-2024</t>
        </is>
      </c>
      <c r="B2260" s="1" t="n">
        <v>45441</v>
      </c>
      <c r="C2260" s="1" t="n">
        <v>45650</v>
      </c>
      <c r="D2260" t="inlineStr">
        <is>
          <t>GÄVLEBORGS LÄN</t>
        </is>
      </c>
      <c r="E2260" t="inlineStr">
        <is>
          <t>LJUSDAL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21709-2024</t>
        </is>
      </c>
      <c r="B2261" s="1" t="n">
        <v>45442</v>
      </c>
      <c r="C2261" s="1" t="n">
        <v>45650</v>
      </c>
      <c r="D2261" t="inlineStr">
        <is>
          <t>GÄVLEBORGS LÄN</t>
        </is>
      </c>
      <c r="E2261" t="inlineStr">
        <is>
          <t>LJUSDAL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21756-2024</t>
        </is>
      </c>
      <c r="B2262" s="1" t="n">
        <v>45442</v>
      </c>
      <c r="C2262" s="1" t="n">
        <v>45650</v>
      </c>
      <c r="D2262" t="inlineStr">
        <is>
          <t>GÄVLEBORGS LÄN</t>
        </is>
      </c>
      <c r="E2262" t="inlineStr">
        <is>
          <t>LJUSDAL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21633-2024</t>
        </is>
      </c>
      <c r="B2263" s="1" t="n">
        <v>45442</v>
      </c>
      <c r="C2263" s="1" t="n">
        <v>45650</v>
      </c>
      <c r="D2263" t="inlineStr">
        <is>
          <t>GÄVLEBORGS LÄN</t>
        </is>
      </c>
      <c r="E2263" t="inlineStr">
        <is>
          <t>LJUSDAL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21637-2024</t>
        </is>
      </c>
      <c r="B2264" s="1" t="n">
        <v>45442</v>
      </c>
      <c r="C2264" s="1" t="n">
        <v>45650</v>
      </c>
      <c r="D2264" t="inlineStr">
        <is>
          <t>GÄVLEBORGS LÄN</t>
        </is>
      </c>
      <c r="E2264" t="inlineStr">
        <is>
          <t>LJUSDAL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22067-2024</t>
        </is>
      </c>
      <c r="B2265" s="1" t="n">
        <v>45443</v>
      </c>
      <c r="C2265" s="1" t="n">
        <v>45650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22065-2024</t>
        </is>
      </c>
      <c r="B2266" s="1" t="n">
        <v>45443</v>
      </c>
      <c r="C2266" s="1" t="n">
        <v>45650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21901-2024</t>
        </is>
      </c>
      <c r="B2267" s="1" t="n">
        <v>45443</v>
      </c>
      <c r="C2267" s="1" t="n">
        <v>45650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22135-2024</t>
        </is>
      </c>
      <c r="B2268" s="1" t="n">
        <v>45444</v>
      </c>
      <c r="C2268" s="1" t="n">
        <v>45650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22241-2024</t>
        </is>
      </c>
      <c r="B2269" s="1" t="n">
        <v>45446</v>
      </c>
      <c r="C2269" s="1" t="n">
        <v>45650</v>
      </c>
      <c r="D2269" t="inlineStr">
        <is>
          <t>GÄVLEBORGS LÄN</t>
        </is>
      </c>
      <c r="E2269" t="inlineStr">
        <is>
          <t>LJUSDAL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22317-2024</t>
        </is>
      </c>
      <c r="B2270" s="1" t="n">
        <v>45446</v>
      </c>
      <c r="C2270" s="1" t="n">
        <v>45650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22250-2024</t>
        </is>
      </c>
      <c r="B2271" s="1" t="n">
        <v>45446</v>
      </c>
      <c r="C2271" s="1" t="n">
        <v>45650</v>
      </c>
      <c r="D2271" t="inlineStr">
        <is>
          <t>GÄVLEBORGS LÄN</t>
        </is>
      </c>
      <c r="E2271" t="inlineStr">
        <is>
          <t>LJUSDAL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22242-2024</t>
        </is>
      </c>
      <c r="B2272" s="1" t="n">
        <v>45446</v>
      </c>
      <c r="C2272" s="1" t="n">
        <v>45650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22168-2024</t>
        </is>
      </c>
      <c r="B2273" s="1" t="n">
        <v>45446</v>
      </c>
      <c r="C2273" s="1" t="n">
        <v>45650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22294-2024</t>
        </is>
      </c>
      <c r="B2274" s="1" t="n">
        <v>45446</v>
      </c>
      <c r="C2274" s="1" t="n">
        <v>45650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22248-2024</t>
        </is>
      </c>
      <c r="B2275" s="1" t="n">
        <v>45446</v>
      </c>
      <c r="C2275" s="1" t="n">
        <v>45650</v>
      </c>
      <c r="D2275" t="inlineStr">
        <is>
          <t>GÄVLEBORGS LÄN</t>
        </is>
      </c>
      <c r="E2275" t="inlineStr">
        <is>
          <t>LJUSDAL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22169-2024</t>
        </is>
      </c>
      <c r="B2276" s="1" t="n">
        <v>45446</v>
      </c>
      <c r="C2276" s="1" t="n">
        <v>45650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22599-2024</t>
        </is>
      </c>
      <c r="B2277" s="1" t="n">
        <v>45447</v>
      </c>
      <c r="C2277" s="1" t="n">
        <v>45650</v>
      </c>
      <c r="D2277" t="inlineStr">
        <is>
          <t>GÄVLEBORGS LÄN</t>
        </is>
      </c>
      <c r="E2277" t="inlineStr">
        <is>
          <t>LJUSDAL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22547-2024</t>
        </is>
      </c>
      <c r="B2278" s="1" t="n">
        <v>45447</v>
      </c>
      <c r="C2278" s="1" t="n">
        <v>45650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22489-2024</t>
        </is>
      </c>
      <c r="B2279" s="1" t="n">
        <v>45447</v>
      </c>
      <c r="C2279" s="1" t="n">
        <v>45650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22610-2024</t>
        </is>
      </c>
      <c r="B2280" s="1" t="n">
        <v>45447</v>
      </c>
      <c r="C2280" s="1" t="n">
        <v>45650</v>
      </c>
      <c r="D2280" t="inlineStr">
        <is>
          <t>GÄVLEBORGS LÄN</t>
        </is>
      </c>
      <c r="E2280" t="inlineStr">
        <is>
          <t>LJUSDAL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22713-2024</t>
        </is>
      </c>
      <c r="B2281" s="1" t="n">
        <v>45448</v>
      </c>
      <c r="C2281" s="1" t="n">
        <v>45650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22716-2024</t>
        </is>
      </c>
      <c r="B2282" s="1" t="n">
        <v>45448</v>
      </c>
      <c r="C2282" s="1" t="n">
        <v>45650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22760-2024</t>
        </is>
      </c>
      <c r="B2283" s="1" t="n">
        <v>45448</v>
      </c>
      <c r="C2283" s="1" t="n">
        <v>45650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22790-2024</t>
        </is>
      </c>
      <c r="B2284" s="1" t="n">
        <v>45448</v>
      </c>
      <c r="C2284" s="1" t="n">
        <v>45650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22724-2024</t>
        </is>
      </c>
      <c r="B2285" s="1" t="n">
        <v>45448</v>
      </c>
      <c r="C2285" s="1" t="n">
        <v>45650</v>
      </c>
      <c r="D2285" t="inlineStr">
        <is>
          <t>GÄVLEBORGS LÄN</t>
        </is>
      </c>
      <c r="E2285" t="inlineStr">
        <is>
          <t>LJUSDAL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22786-2024</t>
        </is>
      </c>
      <c r="B2286" s="1" t="n">
        <v>45448</v>
      </c>
      <c r="C2286" s="1" t="n">
        <v>45650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23139-2024</t>
        </is>
      </c>
      <c r="B2287" s="1" t="n">
        <v>45450</v>
      </c>
      <c r="C2287" s="1" t="n">
        <v>45650</v>
      </c>
      <c r="D2287" t="inlineStr">
        <is>
          <t>GÄVLEBORGS LÄN</t>
        </is>
      </c>
      <c r="E2287" t="inlineStr">
        <is>
          <t>LJUSDAL</t>
        </is>
      </c>
      <c r="F2287" t="inlineStr">
        <is>
          <t>Holmen skog AB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23162-2024</t>
        </is>
      </c>
      <c r="B2288" s="1" t="n">
        <v>45450</v>
      </c>
      <c r="C2288" s="1" t="n">
        <v>45650</v>
      </c>
      <c r="D2288" t="inlineStr">
        <is>
          <t>GÄVLEBORGS LÄN</t>
        </is>
      </c>
      <c r="E2288" t="inlineStr">
        <is>
          <t>LJUSDAL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23161-2024</t>
        </is>
      </c>
      <c r="B2289" s="1" t="n">
        <v>45450</v>
      </c>
      <c r="C2289" s="1" t="n">
        <v>45650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23374-2024</t>
        </is>
      </c>
      <c r="B2290" s="1" t="n">
        <v>45453</v>
      </c>
      <c r="C2290" s="1" t="n">
        <v>45650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23526-2024</t>
        </is>
      </c>
      <c r="B2291" s="1" t="n">
        <v>45454</v>
      </c>
      <c r="C2291" s="1" t="n">
        <v>45650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23394-2024</t>
        </is>
      </c>
      <c r="B2292" s="1" t="n">
        <v>45453</v>
      </c>
      <c r="C2292" s="1" t="n">
        <v>45650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23284-2024</t>
        </is>
      </c>
      <c r="B2293" s="1" t="n">
        <v>45453</v>
      </c>
      <c r="C2293" s="1" t="n">
        <v>45650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23386-2024</t>
        </is>
      </c>
      <c r="B2294" s="1" t="n">
        <v>45453</v>
      </c>
      <c r="C2294" s="1" t="n">
        <v>45650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23519-2024</t>
        </is>
      </c>
      <c r="B2295" s="1" t="n">
        <v>45454</v>
      </c>
      <c r="C2295" s="1" t="n">
        <v>45650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23815-2024</t>
        </is>
      </c>
      <c r="B2296" s="1" t="n">
        <v>45455</v>
      </c>
      <c r="C2296" s="1" t="n">
        <v>45650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23829-2024</t>
        </is>
      </c>
      <c r="B2297" s="1" t="n">
        <v>45455</v>
      </c>
      <c r="C2297" s="1" t="n">
        <v>45650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23825-2024</t>
        </is>
      </c>
      <c r="B2298" s="1" t="n">
        <v>45455</v>
      </c>
      <c r="C2298" s="1" t="n">
        <v>45650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23928-2024</t>
        </is>
      </c>
      <c r="B2299" s="1" t="n">
        <v>45456</v>
      </c>
      <c r="C2299" s="1" t="n">
        <v>45650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24159-2024</t>
        </is>
      </c>
      <c r="B2300" s="1" t="n">
        <v>45456</v>
      </c>
      <c r="C2300" s="1" t="n">
        <v>45650</v>
      </c>
      <c r="D2300" t="inlineStr">
        <is>
          <t>GÄVLEBORGS LÄN</t>
        </is>
      </c>
      <c r="E2300" t="inlineStr">
        <is>
          <t>LJUSDAL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24272-2024</t>
        </is>
      </c>
      <c r="B2301" s="1" t="n">
        <v>45457</v>
      </c>
      <c r="C2301" s="1" t="n">
        <v>45650</v>
      </c>
      <c r="D2301" t="inlineStr">
        <is>
          <t>GÄVLEBORGS LÄN</t>
        </is>
      </c>
      <c r="E2301" t="inlineStr">
        <is>
          <t>LJUSDAL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24271-2024</t>
        </is>
      </c>
      <c r="B2302" s="1" t="n">
        <v>45457</v>
      </c>
      <c r="C2302" s="1" t="n">
        <v>45650</v>
      </c>
      <c r="D2302" t="inlineStr">
        <is>
          <t>GÄVLEBORGS LÄN</t>
        </is>
      </c>
      <c r="E2302" t="inlineStr">
        <is>
          <t>LJUSDAL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24691-2024</t>
        </is>
      </c>
      <c r="B2303" s="1" t="n">
        <v>45460</v>
      </c>
      <c r="C2303" s="1" t="n">
        <v>45650</v>
      </c>
      <c r="D2303" t="inlineStr">
        <is>
          <t>GÄVLEBORGS LÄN</t>
        </is>
      </c>
      <c r="E2303" t="inlineStr">
        <is>
          <t>LJUSDAL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24512-2024</t>
        </is>
      </c>
      <c r="B2304" s="1" t="n">
        <v>45460</v>
      </c>
      <c r="C2304" s="1" t="n">
        <v>45650</v>
      </c>
      <c r="D2304" t="inlineStr">
        <is>
          <t>GÄVLEBORGS LÄN</t>
        </is>
      </c>
      <c r="E2304" t="inlineStr">
        <is>
          <t>LJUSDAL</t>
        </is>
      </c>
      <c r="G2304" t="n">
        <v>13.7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24775-2024</t>
        </is>
      </c>
      <c r="B2305" s="1" t="n">
        <v>45460</v>
      </c>
      <c r="C2305" s="1" t="n">
        <v>45650</v>
      </c>
      <c r="D2305" t="inlineStr">
        <is>
          <t>GÄVLEBORGS LÄN</t>
        </is>
      </c>
      <c r="E2305" t="inlineStr">
        <is>
          <t>LJUSDAL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24667-2024</t>
        </is>
      </c>
      <c r="B2306" s="1" t="n">
        <v>45460</v>
      </c>
      <c r="C2306" s="1" t="n">
        <v>45650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24659-2024</t>
        </is>
      </c>
      <c r="B2307" s="1" t="n">
        <v>45460</v>
      </c>
      <c r="C2307" s="1" t="n">
        <v>45650</v>
      </c>
      <c r="D2307" t="inlineStr">
        <is>
          <t>GÄVLEBORGS LÄN</t>
        </is>
      </c>
      <c r="E2307" t="inlineStr">
        <is>
          <t>LJUSDAL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24655-2024</t>
        </is>
      </c>
      <c r="B2308" s="1" t="n">
        <v>45460</v>
      </c>
      <c r="C2308" s="1" t="n">
        <v>45650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24665-2024</t>
        </is>
      </c>
      <c r="B2309" s="1" t="n">
        <v>45460</v>
      </c>
      <c r="C2309" s="1" t="n">
        <v>45650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24662-2024</t>
        </is>
      </c>
      <c r="B2310" s="1" t="n">
        <v>45460</v>
      </c>
      <c r="C2310" s="1" t="n">
        <v>45650</v>
      </c>
      <c r="D2310" t="inlineStr">
        <is>
          <t>GÄVLEBORGS LÄN</t>
        </is>
      </c>
      <c r="E2310" t="inlineStr">
        <is>
          <t>LJUSDAL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24918-2024</t>
        </is>
      </c>
      <c r="B2311" s="1" t="n">
        <v>45461</v>
      </c>
      <c r="C2311" s="1" t="n">
        <v>45650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24838-2024</t>
        </is>
      </c>
      <c r="B2312" s="1" t="n">
        <v>45461</v>
      </c>
      <c r="C2312" s="1" t="n">
        <v>45650</v>
      </c>
      <c r="D2312" t="inlineStr">
        <is>
          <t>GÄVLEBORGS LÄN</t>
        </is>
      </c>
      <c r="E2312" t="inlineStr">
        <is>
          <t>LJUSDAL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24911-2024</t>
        </is>
      </c>
      <c r="B2313" s="1" t="n">
        <v>45461</v>
      </c>
      <c r="C2313" s="1" t="n">
        <v>45650</v>
      </c>
      <c r="D2313" t="inlineStr">
        <is>
          <t>GÄVLEBORGS LÄN</t>
        </is>
      </c>
      <c r="E2313" t="inlineStr">
        <is>
          <t>LJUSDAL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25208-2024</t>
        </is>
      </c>
      <c r="B2314" s="1" t="n">
        <v>45462</v>
      </c>
      <c r="C2314" s="1" t="n">
        <v>45650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25204-2024</t>
        </is>
      </c>
      <c r="B2315" s="1" t="n">
        <v>45462</v>
      </c>
      <c r="C2315" s="1" t="n">
        <v>45650</v>
      </c>
      <c r="D2315" t="inlineStr">
        <is>
          <t>GÄVLEBORGS LÄN</t>
        </is>
      </c>
      <c r="E2315" t="inlineStr">
        <is>
          <t>LJUSDAL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25093-2024</t>
        </is>
      </c>
      <c r="B2316" s="1" t="n">
        <v>45462</v>
      </c>
      <c r="C2316" s="1" t="n">
        <v>45650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25091-2024</t>
        </is>
      </c>
      <c r="B2317" s="1" t="n">
        <v>45462</v>
      </c>
      <c r="C2317" s="1" t="n">
        <v>45650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25328-2024</t>
        </is>
      </c>
      <c r="B2318" s="1" t="n">
        <v>45462</v>
      </c>
      <c r="C2318" s="1" t="n">
        <v>45650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25199-2024</t>
        </is>
      </c>
      <c r="B2319" s="1" t="n">
        <v>45462</v>
      </c>
      <c r="C2319" s="1" t="n">
        <v>45650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25570-2024</t>
        </is>
      </c>
      <c r="B2320" s="1" t="n">
        <v>45463</v>
      </c>
      <c r="C2320" s="1" t="n">
        <v>45650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25556-2024</t>
        </is>
      </c>
      <c r="B2321" s="1" t="n">
        <v>45463</v>
      </c>
      <c r="C2321" s="1" t="n">
        <v>45650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25461-2024</t>
        </is>
      </c>
      <c r="B2322" s="1" t="n">
        <v>45463</v>
      </c>
      <c r="C2322" s="1" t="n">
        <v>45650</v>
      </c>
      <c r="D2322" t="inlineStr">
        <is>
          <t>GÄVLEBORGS LÄN</t>
        </is>
      </c>
      <c r="E2322" t="inlineStr">
        <is>
          <t>LJUSDAL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25793-2024</t>
        </is>
      </c>
      <c r="B2323" s="1" t="n">
        <v>45467</v>
      </c>
      <c r="C2323" s="1" t="n">
        <v>45650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26485-2024</t>
        </is>
      </c>
      <c r="B2324" s="1" t="n">
        <v>45468</v>
      </c>
      <c r="C2324" s="1" t="n">
        <v>45650</v>
      </c>
      <c r="D2324" t="inlineStr">
        <is>
          <t>GÄVLEBORGS LÄN</t>
        </is>
      </c>
      <c r="E2324" t="inlineStr">
        <is>
          <t>LJUSDAL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26130-2024</t>
        </is>
      </c>
      <c r="B2325" s="1" t="n">
        <v>45468</v>
      </c>
      <c r="C2325" s="1" t="n">
        <v>45650</v>
      </c>
      <c r="D2325" t="inlineStr">
        <is>
          <t>GÄVLEBORGS LÄN</t>
        </is>
      </c>
      <c r="E2325" t="inlineStr">
        <is>
          <t>LJUSDAL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26114-2024</t>
        </is>
      </c>
      <c r="B2326" s="1" t="n">
        <v>45468</v>
      </c>
      <c r="C2326" s="1" t="n">
        <v>45650</v>
      </c>
      <c r="D2326" t="inlineStr">
        <is>
          <t>GÄVLEBORGS LÄN</t>
        </is>
      </c>
      <c r="E2326" t="inlineStr">
        <is>
          <t>LJUSDAL</t>
        </is>
      </c>
      <c r="G2326" t="n">
        <v>22.6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26135-2024</t>
        </is>
      </c>
      <c r="B2327" s="1" t="n">
        <v>45468</v>
      </c>
      <c r="C2327" s="1" t="n">
        <v>45650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26106-2024</t>
        </is>
      </c>
      <c r="B2328" s="1" t="n">
        <v>45468</v>
      </c>
      <c r="C2328" s="1" t="n">
        <v>45650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26078-2024</t>
        </is>
      </c>
      <c r="B2329" s="1" t="n">
        <v>45468</v>
      </c>
      <c r="C2329" s="1" t="n">
        <v>45650</v>
      </c>
      <c r="D2329" t="inlineStr">
        <is>
          <t>GÄVLEBORGS LÄN</t>
        </is>
      </c>
      <c r="E2329" t="inlineStr">
        <is>
          <t>LJUSDAL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26133-2024</t>
        </is>
      </c>
      <c r="B2330" s="1" t="n">
        <v>45468</v>
      </c>
      <c r="C2330" s="1" t="n">
        <v>45650</v>
      </c>
      <c r="D2330" t="inlineStr">
        <is>
          <t>GÄVLEBORGS LÄN</t>
        </is>
      </c>
      <c r="E2330" t="inlineStr">
        <is>
          <t>LJUSDAL</t>
        </is>
      </c>
      <c r="G2330" t="n">
        <v>30.2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26073-2024</t>
        </is>
      </c>
      <c r="B2331" s="1" t="n">
        <v>45468</v>
      </c>
      <c r="C2331" s="1" t="n">
        <v>45650</v>
      </c>
      <c r="D2331" t="inlineStr">
        <is>
          <t>GÄVLEBORGS LÄN</t>
        </is>
      </c>
      <c r="E2331" t="inlineStr">
        <is>
          <t>LJUSDAL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26384-2024</t>
        </is>
      </c>
      <c r="B2332" s="1" t="n">
        <v>45469</v>
      </c>
      <c r="C2332" s="1" t="n">
        <v>45650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26422-2024</t>
        </is>
      </c>
      <c r="B2333" s="1" t="n">
        <v>45469</v>
      </c>
      <c r="C2333" s="1" t="n">
        <v>45650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26631-2024</t>
        </is>
      </c>
      <c r="B2334" s="1" t="n">
        <v>45469</v>
      </c>
      <c r="C2334" s="1" t="n">
        <v>45650</v>
      </c>
      <c r="D2334" t="inlineStr">
        <is>
          <t>GÄVLEBORGS LÄN</t>
        </is>
      </c>
      <c r="E2334" t="inlineStr">
        <is>
          <t>LJUSDAL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26387-2024</t>
        </is>
      </c>
      <c r="B2335" s="1" t="n">
        <v>45469</v>
      </c>
      <c r="C2335" s="1" t="n">
        <v>45650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26633-2024</t>
        </is>
      </c>
      <c r="B2336" s="1" t="n">
        <v>45469</v>
      </c>
      <c r="C2336" s="1" t="n">
        <v>45650</v>
      </c>
      <c r="D2336" t="inlineStr">
        <is>
          <t>GÄVLEBORGS LÄN</t>
        </is>
      </c>
      <c r="E2336" t="inlineStr">
        <is>
          <t>LJUSDAL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26632-2024</t>
        </is>
      </c>
      <c r="B2337" s="1" t="n">
        <v>45469</v>
      </c>
      <c r="C2337" s="1" t="n">
        <v>45650</v>
      </c>
      <c r="D2337" t="inlineStr">
        <is>
          <t>GÄVLEBORGS LÄN</t>
        </is>
      </c>
      <c r="E2337" t="inlineStr">
        <is>
          <t>LJUSDAL</t>
        </is>
      </c>
      <c r="G2337" t="n">
        <v>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26915-2024</t>
        </is>
      </c>
      <c r="B2338" s="1" t="n">
        <v>45470</v>
      </c>
      <c r="C2338" s="1" t="n">
        <v>45650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26874-2024</t>
        </is>
      </c>
      <c r="B2339" s="1" t="n">
        <v>45470</v>
      </c>
      <c r="C2339" s="1" t="n">
        <v>45650</v>
      </c>
      <c r="D2339" t="inlineStr">
        <is>
          <t>GÄVLEBORGS LÄN</t>
        </is>
      </c>
      <c r="E2339" t="inlineStr">
        <is>
          <t>LJUSDAL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26916-2024</t>
        </is>
      </c>
      <c r="B2340" s="1" t="n">
        <v>45470</v>
      </c>
      <c r="C2340" s="1" t="n">
        <v>45650</v>
      </c>
      <c r="D2340" t="inlineStr">
        <is>
          <t>GÄVLEBORGS LÄN</t>
        </is>
      </c>
      <c r="E2340" t="inlineStr">
        <is>
          <t>LJUSDAL</t>
        </is>
      </c>
      <c r="F2340" t="inlineStr">
        <is>
          <t>Naturvårdsverket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26824-2024</t>
        </is>
      </c>
      <c r="B2341" s="1" t="n">
        <v>45470</v>
      </c>
      <c r="C2341" s="1" t="n">
        <v>45650</v>
      </c>
      <c r="D2341" t="inlineStr">
        <is>
          <t>GÄVLEBORGS LÄN</t>
        </is>
      </c>
      <c r="E2341" t="inlineStr">
        <is>
          <t>LJUSDAL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26722-2024</t>
        </is>
      </c>
      <c r="B2342" s="1" t="n">
        <v>45470</v>
      </c>
      <c r="C2342" s="1" t="n">
        <v>45650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26721-2024</t>
        </is>
      </c>
      <c r="B2343" s="1" t="n">
        <v>45470</v>
      </c>
      <c r="C2343" s="1" t="n">
        <v>45650</v>
      </c>
      <c r="D2343" t="inlineStr">
        <is>
          <t>GÄVLEBORGS LÄN</t>
        </is>
      </c>
      <c r="E2343" t="inlineStr">
        <is>
          <t>LJUSDAL</t>
        </is>
      </c>
      <c r="F2343" t="inlineStr">
        <is>
          <t>Bergvik skog väst AB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26681-2024</t>
        </is>
      </c>
      <c r="B2344" s="1" t="n">
        <v>45470</v>
      </c>
      <c r="C2344" s="1" t="n">
        <v>45650</v>
      </c>
      <c r="D2344" t="inlineStr">
        <is>
          <t>GÄVLEBORGS LÄN</t>
        </is>
      </c>
      <c r="E2344" t="inlineStr">
        <is>
          <t>LJUSDAL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26889-2024</t>
        </is>
      </c>
      <c r="B2345" s="1" t="n">
        <v>45470</v>
      </c>
      <c r="C2345" s="1" t="n">
        <v>45650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26849-2024</t>
        </is>
      </c>
      <c r="B2346" s="1" t="n">
        <v>45470</v>
      </c>
      <c r="C2346" s="1" t="n">
        <v>45650</v>
      </c>
      <c r="D2346" t="inlineStr">
        <is>
          <t>GÄVLEBORGS LÄN</t>
        </is>
      </c>
      <c r="E2346" t="inlineStr">
        <is>
          <t>LJUSDAL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27216-2024</t>
        </is>
      </c>
      <c r="B2347" s="1" t="n">
        <v>45471</v>
      </c>
      <c r="C2347" s="1" t="n">
        <v>45650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27220-2024</t>
        </is>
      </c>
      <c r="B2348" s="1" t="n">
        <v>45471</v>
      </c>
      <c r="C2348" s="1" t="n">
        <v>45650</v>
      </c>
      <c r="D2348" t="inlineStr">
        <is>
          <t>GÄVLEBORGS LÄN</t>
        </is>
      </c>
      <c r="E2348" t="inlineStr">
        <is>
          <t>LJUSDAL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27401-2024</t>
        </is>
      </c>
      <c r="B2349" s="1" t="n">
        <v>45474</v>
      </c>
      <c r="C2349" s="1" t="n">
        <v>45650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27450-2024</t>
        </is>
      </c>
      <c r="B2350" s="1" t="n">
        <v>45474</v>
      </c>
      <c r="C2350" s="1" t="n">
        <v>45650</v>
      </c>
      <c r="D2350" t="inlineStr">
        <is>
          <t>GÄVLEBORGS LÄN</t>
        </is>
      </c>
      <c r="E2350" t="inlineStr">
        <is>
          <t>LJUSDAL</t>
        </is>
      </c>
      <c r="G2350" t="n">
        <v>9.9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27723-2024</t>
        </is>
      </c>
      <c r="B2351" s="1" t="n">
        <v>45475</v>
      </c>
      <c r="C2351" s="1" t="n">
        <v>45650</v>
      </c>
      <c r="D2351" t="inlineStr">
        <is>
          <t>GÄVLEBORGS LÄN</t>
        </is>
      </c>
      <c r="E2351" t="inlineStr">
        <is>
          <t>LJUSDAL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27867-2024</t>
        </is>
      </c>
      <c r="B2352" s="1" t="n">
        <v>45475</v>
      </c>
      <c r="C2352" s="1" t="n">
        <v>45650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27847-2024</t>
        </is>
      </c>
      <c r="B2353" s="1" t="n">
        <v>45475</v>
      </c>
      <c r="C2353" s="1" t="n">
        <v>45650</v>
      </c>
      <c r="D2353" t="inlineStr">
        <is>
          <t>GÄVLEBORGS LÄN</t>
        </is>
      </c>
      <c r="E2353" t="inlineStr">
        <is>
          <t>LJUSDAL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28024-2024</t>
        </is>
      </c>
      <c r="B2354" s="1" t="n">
        <v>45476</v>
      </c>
      <c r="C2354" s="1" t="n">
        <v>45650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28000-2024</t>
        </is>
      </c>
      <c r="B2355" s="1" t="n">
        <v>45476</v>
      </c>
      <c r="C2355" s="1" t="n">
        <v>45650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28003-2024</t>
        </is>
      </c>
      <c r="B2356" s="1" t="n">
        <v>45476</v>
      </c>
      <c r="C2356" s="1" t="n">
        <v>45650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28524-2024</t>
        </is>
      </c>
      <c r="B2357" s="1" t="n">
        <v>45478</v>
      </c>
      <c r="C2357" s="1" t="n">
        <v>45650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29075-2024</t>
        </is>
      </c>
      <c r="B2358" s="1" t="n">
        <v>45481</v>
      </c>
      <c r="C2358" s="1" t="n">
        <v>45650</v>
      </c>
      <c r="D2358" t="inlineStr">
        <is>
          <t>GÄVLEBORGS LÄN</t>
        </is>
      </c>
      <c r="E2358" t="inlineStr">
        <is>
          <t>LJUSDAL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29074-2024</t>
        </is>
      </c>
      <c r="B2359" s="1" t="n">
        <v>45481</v>
      </c>
      <c r="C2359" s="1" t="n">
        <v>45650</v>
      </c>
      <c r="D2359" t="inlineStr">
        <is>
          <t>GÄVLEBORGS LÄN</t>
        </is>
      </c>
      <c r="E2359" t="inlineStr">
        <is>
          <t>LJUSDAL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29202-2024</t>
        </is>
      </c>
      <c r="B2360" s="1" t="n">
        <v>45482</v>
      </c>
      <c r="C2360" s="1" t="n">
        <v>45650</v>
      </c>
      <c r="D2360" t="inlineStr">
        <is>
          <t>GÄVLEBORGS LÄN</t>
        </is>
      </c>
      <c r="E2360" t="inlineStr">
        <is>
          <t>LJUSDAL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29128-2024</t>
        </is>
      </c>
      <c r="B2361" s="1" t="n">
        <v>45482</v>
      </c>
      <c r="C2361" s="1" t="n">
        <v>45650</v>
      </c>
      <c r="D2361" t="inlineStr">
        <is>
          <t>GÄVLEBORGS LÄN</t>
        </is>
      </c>
      <c r="E2361" t="inlineStr">
        <is>
          <t>LJUSDAL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29362-2024</t>
        </is>
      </c>
      <c r="B2362" s="1" t="n">
        <v>45483</v>
      </c>
      <c r="C2362" s="1" t="n">
        <v>45650</v>
      </c>
      <c r="D2362" t="inlineStr">
        <is>
          <t>GÄVLEBORGS LÄN</t>
        </is>
      </c>
      <c r="E2362" t="inlineStr">
        <is>
          <t>LJUSDAL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29314-2024</t>
        </is>
      </c>
      <c r="B2363" s="1" t="n">
        <v>45483</v>
      </c>
      <c r="C2363" s="1" t="n">
        <v>45650</v>
      </c>
      <c r="D2363" t="inlineStr">
        <is>
          <t>GÄVLEBORGS LÄN</t>
        </is>
      </c>
      <c r="E2363" t="inlineStr">
        <is>
          <t>LJUSDAL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29363-2024</t>
        </is>
      </c>
      <c r="B2364" s="1" t="n">
        <v>45483</v>
      </c>
      <c r="C2364" s="1" t="n">
        <v>45650</v>
      </c>
      <c r="D2364" t="inlineStr">
        <is>
          <t>GÄVLEBORGS LÄN</t>
        </is>
      </c>
      <c r="E2364" t="inlineStr">
        <is>
          <t>LJUSDAL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29553-2024</t>
        </is>
      </c>
      <c r="B2365" s="1" t="n">
        <v>45484</v>
      </c>
      <c r="C2365" s="1" t="n">
        <v>45650</v>
      </c>
      <c r="D2365" t="inlineStr">
        <is>
          <t>GÄVLEBORGS LÄN</t>
        </is>
      </c>
      <c r="E2365" t="inlineStr">
        <is>
          <t>LJUSDAL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29548-2024</t>
        </is>
      </c>
      <c r="B2366" s="1" t="n">
        <v>45484</v>
      </c>
      <c r="C2366" s="1" t="n">
        <v>45650</v>
      </c>
      <c r="D2366" t="inlineStr">
        <is>
          <t>GÄVLEBORGS LÄN</t>
        </is>
      </c>
      <c r="E2366" t="inlineStr">
        <is>
          <t>LJUSDAL</t>
        </is>
      </c>
      <c r="G2366" t="n">
        <v>7.7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29547-2024</t>
        </is>
      </c>
      <c r="B2367" s="1" t="n">
        <v>45484</v>
      </c>
      <c r="C2367" s="1" t="n">
        <v>45650</v>
      </c>
      <c r="D2367" t="inlineStr">
        <is>
          <t>GÄVLEBORGS LÄN</t>
        </is>
      </c>
      <c r="E2367" t="inlineStr">
        <is>
          <t>LJUSDAL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29562-2024</t>
        </is>
      </c>
      <c r="B2368" s="1" t="n">
        <v>45484</v>
      </c>
      <c r="C2368" s="1" t="n">
        <v>45650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29554-2024</t>
        </is>
      </c>
      <c r="B2369" s="1" t="n">
        <v>45484</v>
      </c>
      <c r="C2369" s="1" t="n">
        <v>45650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29482-2024</t>
        </is>
      </c>
      <c r="B2370" s="1" t="n">
        <v>45484</v>
      </c>
      <c r="C2370" s="1" t="n">
        <v>45650</v>
      </c>
      <c r="D2370" t="inlineStr">
        <is>
          <t>GÄVLEBORGS LÄN</t>
        </is>
      </c>
      <c r="E2370" t="inlineStr">
        <is>
          <t>LJUSDAL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29812-2024</t>
        </is>
      </c>
      <c r="B2371" s="1" t="n">
        <v>45485</v>
      </c>
      <c r="C2371" s="1" t="n">
        <v>45650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29934-2024</t>
        </is>
      </c>
      <c r="B2372" s="1" t="n">
        <v>45488</v>
      </c>
      <c r="C2372" s="1" t="n">
        <v>45650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13.9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30286-2024</t>
        </is>
      </c>
      <c r="B2373" s="1" t="n">
        <v>45490</v>
      </c>
      <c r="C2373" s="1" t="n">
        <v>45650</v>
      </c>
      <c r="D2373" t="inlineStr">
        <is>
          <t>GÄVLEBORGS LÄN</t>
        </is>
      </c>
      <c r="E2373" t="inlineStr">
        <is>
          <t>LJUSDAL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30294-2024</t>
        </is>
      </c>
      <c r="B2374" s="1" t="n">
        <v>45490</v>
      </c>
      <c r="C2374" s="1" t="n">
        <v>45650</v>
      </c>
      <c r="D2374" t="inlineStr">
        <is>
          <t>GÄVLEBORGS LÄN</t>
        </is>
      </c>
      <c r="E2374" t="inlineStr">
        <is>
          <t>LJUSDAL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30213-2024</t>
        </is>
      </c>
      <c r="B2375" s="1" t="n">
        <v>45490</v>
      </c>
      <c r="C2375" s="1" t="n">
        <v>45650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30262-2024</t>
        </is>
      </c>
      <c r="B2376" s="1" t="n">
        <v>45490</v>
      </c>
      <c r="C2376" s="1" t="n">
        <v>45650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30296-2024</t>
        </is>
      </c>
      <c r="B2377" s="1" t="n">
        <v>45490</v>
      </c>
      <c r="C2377" s="1" t="n">
        <v>45650</v>
      </c>
      <c r="D2377" t="inlineStr">
        <is>
          <t>GÄVLEBORGS LÄN</t>
        </is>
      </c>
      <c r="E2377" t="inlineStr">
        <is>
          <t>LJUSDAL</t>
        </is>
      </c>
      <c r="G2377" t="n">
        <v>5.7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30292-2024</t>
        </is>
      </c>
      <c r="B2378" s="1" t="n">
        <v>45490</v>
      </c>
      <c r="C2378" s="1" t="n">
        <v>45650</v>
      </c>
      <c r="D2378" t="inlineStr">
        <is>
          <t>GÄVLEBORGS LÄN</t>
        </is>
      </c>
      <c r="E2378" t="inlineStr">
        <is>
          <t>LJUSDAL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30382-2024</t>
        </is>
      </c>
      <c r="B2379" s="1" t="n">
        <v>45491</v>
      </c>
      <c r="C2379" s="1" t="n">
        <v>45650</v>
      </c>
      <c r="D2379" t="inlineStr">
        <is>
          <t>GÄVLEBORGS LÄN</t>
        </is>
      </c>
      <c r="E2379" t="inlineStr">
        <is>
          <t>LJUSDAL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30562-2024</t>
        </is>
      </c>
      <c r="B2380" s="1" t="n">
        <v>45493</v>
      </c>
      <c r="C2380" s="1" t="n">
        <v>45650</v>
      </c>
      <c r="D2380" t="inlineStr">
        <is>
          <t>GÄVLEBORGS LÄN</t>
        </is>
      </c>
      <c r="E2380" t="inlineStr">
        <is>
          <t>LJUSDAL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30503-2024</t>
        </is>
      </c>
      <c r="B2381" s="1" t="n">
        <v>45492</v>
      </c>
      <c r="C2381" s="1" t="n">
        <v>45650</v>
      </c>
      <c r="D2381" t="inlineStr">
        <is>
          <t>GÄVLEBORGS LÄN</t>
        </is>
      </c>
      <c r="E2381" t="inlineStr">
        <is>
          <t>LJUSDAL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30623-2024</t>
        </is>
      </c>
      <c r="B2382" s="1" t="n">
        <v>45495</v>
      </c>
      <c r="C2382" s="1" t="n">
        <v>45650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20.4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30782-2024</t>
        </is>
      </c>
      <c r="B2383" s="1" t="n">
        <v>45497</v>
      </c>
      <c r="C2383" s="1" t="n">
        <v>45650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30778-2024</t>
        </is>
      </c>
      <c r="B2384" s="1" t="n">
        <v>45497</v>
      </c>
      <c r="C2384" s="1" t="n">
        <v>45650</v>
      </c>
      <c r="D2384" t="inlineStr">
        <is>
          <t>GÄVLEBORGS LÄN</t>
        </is>
      </c>
      <c r="E2384" t="inlineStr">
        <is>
          <t>LJUSDAL</t>
        </is>
      </c>
      <c r="F2384" t="inlineStr">
        <is>
          <t>SCA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30841-2024</t>
        </is>
      </c>
      <c r="B2385" s="1" t="n">
        <v>45497</v>
      </c>
      <c r="C2385" s="1" t="n">
        <v>45650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30818-2024</t>
        </is>
      </c>
      <c r="B2386" s="1" t="n">
        <v>45497</v>
      </c>
      <c r="C2386" s="1" t="n">
        <v>45650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35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31011-2024</t>
        </is>
      </c>
      <c r="B2387" s="1" t="n">
        <v>45499</v>
      </c>
      <c r="C2387" s="1" t="n">
        <v>45650</v>
      </c>
      <c r="D2387" t="inlineStr">
        <is>
          <t>GÄVLEBORGS LÄN</t>
        </is>
      </c>
      <c r="E2387" t="inlineStr">
        <is>
          <t>LJUSDAL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31286-2024</t>
        </is>
      </c>
      <c r="B2388" s="1" t="n">
        <v>45504</v>
      </c>
      <c r="C2388" s="1" t="n">
        <v>45650</v>
      </c>
      <c r="D2388" t="inlineStr">
        <is>
          <t>GÄVLEBORGS LÄN</t>
        </is>
      </c>
      <c r="E2388" t="inlineStr">
        <is>
          <t>LJUSDAL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31319-2024</t>
        </is>
      </c>
      <c r="B2389" s="1" t="n">
        <v>45504</v>
      </c>
      <c r="C2389" s="1" t="n">
        <v>45650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31.4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31287-2024</t>
        </is>
      </c>
      <c r="B2390" s="1" t="n">
        <v>45504</v>
      </c>
      <c r="C2390" s="1" t="n">
        <v>45650</v>
      </c>
      <c r="D2390" t="inlineStr">
        <is>
          <t>GÄVLEBORGS LÄN</t>
        </is>
      </c>
      <c r="E2390" t="inlineStr">
        <is>
          <t>LJUSDAL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31370-2024</t>
        </is>
      </c>
      <c r="B2391" s="1" t="n">
        <v>45505</v>
      </c>
      <c r="C2391" s="1" t="n">
        <v>45650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31415-2024</t>
        </is>
      </c>
      <c r="B2392" s="1" t="n">
        <v>45505</v>
      </c>
      <c r="C2392" s="1" t="n">
        <v>45650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31373-2024</t>
        </is>
      </c>
      <c r="B2393" s="1" t="n">
        <v>45505</v>
      </c>
      <c r="C2393" s="1" t="n">
        <v>45650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31615-2024</t>
        </is>
      </c>
      <c r="B2394" s="1" t="n">
        <v>45506</v>
      </c>
      <c r="C2394" s="1" t="n">
        <v>45650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Sveaskog</t>
        </is>
      </c>
      <c r="G2394" t="n">
        <v>15.8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31627-2024</t>
        </is>
      </c>
      <c r="B2395" s="1" t="n">
        <v>45506</v>
      </c>
      <c r="C2395" s="1" t="n">
        <v>45650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31626-2024</t>
        </is>
      </c>
      <c r="B2396" s="1" t="n">
        <v>45506</v>
      </c>
      <c r="C2396" s="1" t="n">
        <v>45650</v>
      </c>
      <c r="D2396" t="inlineStr">
        <is>
          <t>GÄVLEBORGS LÄN</t>
        </is>
      </c>
      <c r="E2396" t="inlineStr">
        <is>
          <t>LJUSDAL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31673-2024</t>
        </is>
      </c>
      <c r="B2397" s="1" t="n">
        <v>45507</v>
      </c>
      <c r="C2397" s="1" t="n">
        <v>45650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31760-2024</t>
        </is>
      </c>
      <c r="B2398" s="1" t="n">
        <v>45509</v>
      </c>
      <c r="C2398" s="1" t="n">
        <v>45650</v>
      </c>
      <c r="D2398" t="inlineStr">
        <is>
          <t>GÄVLEBORGS LÄN</t>
        </is>
      </c>
      <c r="E2398" t="inlineStr">
        <is>
          <t>LJUSDAL</t>
        </is>
      </c>
      <c r="F2398" t="inlineStr">
        <is>
          <t>Naturvårdsverket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32164-2024</t>
        </is>
      </c>
      <c r="B2399" s="1" t="n">
        <v>45511</v>
      </c>
      <c r="C2399" s="1" t="n">
        <v>45650</v>
      </c>
      <c r="D2399" t="inlineStr">
        <is>
          <t>GÄVLEBORGS LÄN</t>
        </is>
      </c>
      <c r="E2399" t="inlineStr">
        <is>
          <t>LJUSDAL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32249-2024</t>
        </is>
      </c>
      <c r="B2400" s="1" t="n">
        <v>45511</v>
      </c>
      <c r="C2400" s="1" t="n">
        <v>45650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32161-2024</t>
        </is>
      </c>
      <c r="B2401" s="1" t="n">
        <v>45511</v>
      </c>
      <c r="C2401" s="1" t="n">
        <v>45650</v>
      </c>
      <c r="D2401" t="inlineStr">
        <is>
          <t>GÄVLEBORGS LÄN</t>
        </is>
      </c>
      <c r="E2401" t="inlineStr">
        <is>
          <t>LJUSDAL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32357-2024</t>
        </is>
      </c>
      <c r="B2402" s="1" t="n">
        <v>45512</v>
      </c>
      <c r="C2402" s="1" t="n">
        <v>45650</v>
      </c>
      <c r="D2402" t="inlineStr">
        <is>
          <t>GÄVLEBORGS LÄN</t>
        </is>
      </c>
      <c r="E2402" t="inlineStr">
        <is>
          <t>LJUSDAL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32366-2024</t>
        </is>
      </c>
      <c r="B2403" s="1" t="n">
        <v>45512</v>
      </c>
      <c r="C2403" s="1" t="n">
        <v>45650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32355-2024</t>
        </is>
      </c>
      <c r="B2404" s="1" t="n">
        <v>45512</v>
      </c>
      <c r="C2404" s="1" t="n">
        <v>45650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32360-2024</t>
        </is>
      </c>
      <c r="B2405" s="1" t="n">
        <v>45512</v>
      </c>
      <c r="C2405" s="1" t="n">
        <v>45650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32480-2024</t>
        </is>
      </c>
      <c r="B2406" s="1" t="n">
        <v>45513</v>
      </c>
      <c r="C2406" s="1" t="n">
        <v>45650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32579-2024</t>
        </is>
      </c>
      <c r="B2407" s="1" t="n">
        <v>45513</v>
      </c>
      <c r="C2407" s="1" t="n">
        <v>45650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33.7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32743-2024</t>
        </is>
      </c>
      <c r="B2408" s="1" t="n">
        <v>45516</v>
      </c>
      <c r="C2408" s="1" t="n">
        <v>45650</v>
      </c>
      <c r="D2408" t="inlineStr">
        <is>
          <t>GÄVLEBORGS LÄN</t>
        </is>
      </c>
      <c r="E2408" t="inlineStr">
        <is>
          <t>LJUSDAL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33052-2024</t>
        </is>
      </c>
      <c r="B2409" s="1" t="n">
        <v>45517</v>
      </c>
      <c r="C2409" s="1" t="n">
        <v>45650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33120-2024</t>
        </is>
      </c>
      <c r="B2410" s="1" t="n">
        <v>45517</v>
      </c>
      <c r="C2410" s="1" t="n">
        <v>45650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33298-2024</t>
        </is>
      </c>
      <c r="B2411" s="1" t="n">
        <v>45519</v>
      </c>
      <c r="C2411" s="1" t="n">
        <v>45650</v>
      </c>
      <c r="D2411" t="inlineStr">
        <is>
          <t>GÄVLEBORGS LÄN</t>
        </is>
      </c>
      <c r="E2411" t="inlineStr">
        <is>
          <t>LJUSDAL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33199-2024</t>
        </is>
      </c>
      <c r="B2412" s="1" t="n">
        <v>45518</v>
      </c>
      <c r="C2412" s="1" t="n">
        <v>45650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33297-2024</t>
        </is>
      </c>
      <c r="B2413" s="1" t="n">
        <v>45519</v>
      </c>
      <c r="C2413" s="1" t="n">
        <v>45650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33131-2024</t>
        </is>
      </c>
      <c r="B2414" s="1" t="n">
        <v>45518</v>
      </c>
      <c r="C2414" s="1" t="n">
        <v>45650</v>
      </c>
      <c r="D2414" t="inlineStr">
        <is>
          <t>GÄVLEBORGS LÄN</t>
        </is>
      </c>
      <c r="E2414" t="inlineStr">
        <is>
          <t>LJUSDAL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33389-2024</t>
        </is>
      </c>
      <c r="B2415" s="1" t="n">
        <v>45519</v>
      </c>
      <c r="C2415" s="1" t="n">
        <v>45650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33354-2024</t>
        </is>
      </c>
      <c r="B2416" s="1" t="n">
        <v>45519</v>
      </c>
      <c r="C2416" s="1" t="n">
        <v>45650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33386-2024</t>
        </is>
      </c>
      <c r="B2417" s="1" t="n">
        <v>45519</v>
      </c>
      <c r="C2417" s="1" t="n">
        <v>45650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33512-2024</t>
        </is>
      </c>
      <c r="B2418" s="1" t="n">
        <v>45519</v>
      </c>
      <c r="C2418" s="1" t="n">
        <v>45650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33512-2024 karta knärot.png", "A 33512-2024")</f>
        <v/>
      </c>
      <c r="V2418">
        <f>HYPERLINK("https://klasma.github.io/Logging_2161/klagomål/A 33512-2024 FSC-klagomål.docx", "A 33512-2024")</f>
        <v/>
      </c>
      <c r="W2418">
        <f>HYPERLINK("https://klasma.github.io/Logging_2161/klagomålsmail/A 33512-2024 FSC-klagomål mail.docx", "A 33512-2024")</f>
        <v/>
      </c>
      <c r="X2418">
        <f>HYPERLINK("https://klasma.github.io/Logging_2161/tillsyn/A 33512-2024 tillsynsbegäran.docx", "A 33512-2024")</f>
        <v/>
      </c>
      <c r="Y2418">
        <f>HYPERLINK("https://klasma.github.io/Logging_2161/tillsynsmail/A 33512-2024 tillsynsbegäran mail.docx", "A 33512-2024")</f>
        <v/>
      </c>
    </row>
    <row r="2419" ht="15" customHeight="1">
      <c r="A2419" t="inlineStr">
        <is>
          <t>A 33347-2024</t>
        </is>
      </c>
      <c r="B2419" s="1" t="n">
        <v>45519</v>
      </c>
      <c r="C2419" s="1" t="n">
        <v>45650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33359-2024</t>
        </is>
      </c>
      <c r="B2420" s="1" t="n">
        <v>45519</v>
      </c>
      <c r="C2420" s="1" t="n">
        <v>45650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33363-2024</t>
        </is>
      </c>
      <c r="B2421" s="1" t="n">
        <v>45519</v>
      </c>
      <c r="C2421" s="1" t="n">
        <v>45650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33420-2024</t>
        </is>
      </c>
      <c r="B2422" s="1" t="n">
        <v>45519</v>
      </c>
      <c r="C2422" s="1" t="n">
        <v>45650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33654-2024</t>
        </is>
      </c>
      <c r="B2423" s="1" t="n">
        <v>45520</v>
      </c>
      <c r="C2423" s="1" t="n">
        <v>45650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33949-2024</t>
        </is>
      </c>
      <c r="B2424" s="1" t="n">
        <v>45523</v>
      </c>
      <c r="C2424" s="1" t="n">
        <v>45650</v>
      </c>
      <c r="D2424" t="inlineStr">
        <is>
          <t>GÄVLEBORGS LÄN</t>
        </is>
      </c>
      <c r="E2424" t="inlineStr">
        <is>
          <t>LJUSDAL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33947-2024</t>
        </is>
      </c>
      <c r="B2425" s="1" t="n">
        <v>45523</v>
      </c>
      <c r="C2425" s="1" t="n">
        <v>45650</v>
      </c>
      <c r="D2425" t="inlineStr">
        <is>
          <t>GÄVLEBORGS LÄN</t>
        </is>
      </c>
      <c r="E2425" t="inlineStr">
        <is>
          <t>LJUSDAL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34032-2024</t>
        </is>
      </c>
      <c r="B2426" s="1" t="n">
        <v>45523</v>
      </c>
      <c r="C2426" s="1" t="n">
        <v>45650</v>
      </c>
      <c r="D2426" t="inlineStr">
        <is>
          <t>GÄVLEBORGS LÄN</t>
        </is>
      </c>
      <c r="E2426" t="inlineStr">
        <is>
          <t>LJUSDAL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34084-2024</t>
        </is>
      </c>
      <c r="B2427" s="1" t="n">
        <v>45523</v>
      </c>
      <c r="C2427" s="1" t="n">
        <v>45650</v>
      </c>
      <c r="D2427" t="inlineStr">
        <is>
          <t>GÄVLEBORGS LÄN</t>
        </is>
      </c>
      <c r="E2427" t="inlineStr">
        <is>
          <t>LJUSDAL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34229-2024</t>
        </is>
      </c>
      <c r="B2428" s="1" t="n">
        <v>45524</v>
      </c>
      <c r="C2428" s="1" t="n">
        <v>45650</v>
      </c>
      <c r="D2428" t="inlineStr">
        <is>
          <t>GÄVLEBORGS LÄN</t>
        </is>
      </c>
      <c r="E2428" t="inlineStr">
        <is>
          <t>LJUSDAL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34265-2024</t>
        </is>
      </c>
      <c r="B2429" s="1" t="n">
        <v>45524</v>
      </c>
      <c r="C2429" s="1" t="n">
        <v>45650</v>
      </c>
      <c r="D2429" t="inlineStr">
        <is>
          <t>GÄVLEBORGS LÄN</t>
        </is>
      </c>
      <c r="E2429" t="inlineStr">
        <is>
          <t>LJUSDAL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34294-2024</t>
        </is>
      </c>
      <c r="B2430" s="1" t="n">
        <v>45524</v>
      </c>
      <c r="C2430" s="1" t="n">
        <v>45650</v>
      </c>
      <c r="D2430" t="inlineStr">
        <is>
          <t>GÄVLEBORGS LÄN</t>
        </is>
      </c>
      <c r="E2430" t="inlineStr">
        <is>
          <t>LJUSDAL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34165-2024</t>
        </is>
      </c>
      <c r="B2431" s="1" t="n">
        <v>45524</v>
      </c>
      <c r="C2431" s="1" t="n">
        <v>45650</v>
      </c>
      <c r="D2431" t="inlineStr">
        <is>
          <t>GÄVLEBORGS LÄN</t>
        </is>
      </c>
      <c r="E2431" t="inlineStr">
        <is>
          <t>LJUSDAL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34231-2024</t>
        </is>
      </c>
      <c r="B2432" s="1" t="n">
        <v>45524</v>
      </c>
      <c r="C2432" s="1" t="n">
        <v>45650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11.2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34230-2024</t>
        </is>
      </c>
      <c r="B2433" s="1" t="n">
        <v>45524</v>
      </c>
      <c r="C2433" s="1" t="n">
        <v>45650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34234-2024</t>
        </is>
      </c>
      <c r="B2434" s="1" t="n">
        <v>45524</v>
      </c>
      <c r="C2434" s="1" t="n">
        <v>45650</v>
      </c>
      <c r="D2434" t="inlineStr">
        <is>
          <t>GÄVLEBORGS LÄN</t>
        </is>
      </c>
      <c r="E2434" t="inlineStr">
        <is>
          <t>LJUSDAL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34382-2024</t>
        </is>
      </c>
      <c r="B2435" s="1" t="n">
        <v>45525</v>
      </c>
      <c r="C2435" s="1" t="n">
        <v>45650</v>
      </c>
      <c r="D2435" t="inlineStr">
        <is>
          <t>GÄVLEBORGS LÄN</t>
        </is>
      </c>
      <c r="E2435" t="inlineStr">
        <is>
          <t>LJUSDAL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34338-2024</t>
        </is>
      </c>
      <c r="B2436" s="1" t="n">
        <v>45525</v>
      </c>
      <c r="C2436" s="1" t="n">
        <v>45650</v>
      </c>
      <c r="D2436" t="inlineStr">
        <is>
          <t>GÄVLEBORGS LÄN</t>
        </is>
      </c>
      <c r="E2436" t="inlineStr">
        <is>
          <t>LJUSDAL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34672-2024</t>
        </is>
      </c>
      <c r="B2437" s="1" t="n">
        <v>45526</v>
      </c>
      <c r="C2437" s="1" t="n">
        <v>45650</v>
      </c>
      <c r="D2437" t="inlineStr">
        <is>
          <t>GÄVLEBORGS LÄN</t>
        </is>
      </c>
      <c r="E2437" t="inlineStr">
        <is>
          <t>LJUSDAL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34677-2024</t>
        </is>
      </c>
      <c r="B2438" s="1" t="n">
        <v>45526</v>
      </c>
      <c r="C2438" s="1" t="n">
        <v>45650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34787-2024</t>
        </is>
      </c>
      <c r="B2439" s="1" t="n">
        <v>45526</v>
      </c>
      <c r="C2439" s="1" t="n">
        <v>45650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34617-2024</t>
        </is>
      </c>
      <c r="B2440" s="1" t="n">
        <v>45526</v>
      </c>
      <c r="C2440" s="1" t="n">
        <v>45650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34753-2024</t>
        </is>
      </c>
      <c r="B2441" s="1" t="n">
        <v>45526</v>
      </c>
      <c r="C2441" s="1" t="n">
        <v>45650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  <c r="U2441">
        <f>HYPERLINK("https://klasma.github.io/Logging_2161/knärot/A 34753-2024 karta knärot.png", "A 34753-2024")</f>
        <v/>
      </c>
      <c r="V2441">
        <f>HYPERLINK("https://klasma.github.io/Logging_2161/klagomål/A 34753-2024 FSC-klagomål.docx", "A 34753-2024")</f>
        <v/>
      </c>
      <c r="W2441">
        <f>HYPERLINK("https://klasma.github.io/Logging_2161/klagomålsmail/A 34753-2024 FSC-klagomål mail.docx", "A 34753-2024")</f>
        <v/>
      </c>
      <c r="X2441">
        <f>HYPERLINK("https://klasma.github.io/Logging_2161/tillsyn/A 34753-2024 tillsynsbegäran.docx", "A 34753-2024")</f>
        <v/>
      </c>
      <c r="Y2441">
        <f>HYPERLINK("https://klasma.github.io/Logging_2161/tillsynsmail/A 34753-2024 tillsynsbegäran mail.docx", "A 34753-2024")</f>
        <v/>
      </c>
    </row>
    <row r="2442" ht="15" customHeight="1">
      <c r="A2442" t="inlineStr">
        <is>
          <t>A 34785-2024</t>
        </is>
      </c>
      <c r="B2442" s="1" t="n">
        <v>45526</v>
      </c>
      <c r="C2442" s="1" t="n">
        <v>45650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34682-2024</t>
        </is>
      </c>
      <c r="B2443" s="1" t="n">
        <v>45526</v>
      </c>
      <c r="C2443" s="1" t="n">
        <v>45650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35031-2024</t>
        </is>
      </c>
      <c r="B2444" s="1" t="n">
        <v>45527</v>
      </c>
      <c r="C2444" s="1" t="n">
        <v>45650</v>
      </c>
      <c r="D2444" t="inlineStr">
        <is>
          <t>GÄVLEBORGS LÄN</t>
        </is>
      </c>
      <c r="E2444" t="inlineStr">
        <is>
          <t>LJUSDAL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35024-2024</t>
        </is>
      </c>
      <c r="B2445" s="1" t="n">
        <v>45527</v>
      </c>
      <c r="C2445" s="1" t="n">
        <v>45650</v>
      </c>
      <c r="D2445" t="inlineStr">
        <is>
          <t>GÄVLEBORGS LÄN</t>
        </is>
      </c>
      <c r="E2445" t="inlineStr">
        <is>
          <t>LJUSDAL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34986-2024</t>
        </is>
      </c>
      <c r="B2446" s="1" t="n">
        <v>45527</v>
      </c>
      <c r="C2446" s="1" t="n">
        <v>45650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35022-2024</t>
        </is>
      </c>
      <c r="B2447" s="1" t="n">
        <v>45527</v>
      </c>
      <c r="C2447" s="1" t="n">
        <v>45650</v>
      </c>
      <c r="D2447" t="inlineStr">
        <is>
          <t>GÄVLEBORGS LÄN</t>
        </is>
      </c>
      <c r="E2447" t="inlineStr">
        <is>
          <t>LJUSDAL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34964-2024</t>
        </is>
      </c>
      <c r="B2448" s="1" t="n">
        <v>45527</v>
      </c>
      <c r="C2448" s="1" t="n">
        <v>45650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34972-2024</t>
        </is>
      </c>
      <c r="B2449" s="1" t="n">
        <v>45527</v>
      </c>
      <c r="C2449" s="1" t="n">
        <v>45650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34989-2024</t>
        </is>
      </c>
      <c r="B2450" s="1" t="n">
        <v>45527</v>
      </c>
      <c r="C2450" s="1" t="n">
        <v>45650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35029-2024</t>
        </is>
      </c>
      <c r="B2451" s="1" t="n">
        <v>45527</v>
      </c>
      <c r="C2451" s="1" t="n">
        <v>45650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34919-2024</t>
        </is>
      </c>
      <c r="B2452" s="1" t="n">
        <v>45527</v>
      </c>
      <c r="C2452" s="1" t="n">
        <v>45650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34847-2024</t>
        </is>
      </c>
      <c r="B2453" s="1" t="n">
        <v>45527</v>
      </c>
      <c r="C2453" s="1" t="n">
        <v>45650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35122-2024</t>
        </is>
      </c>
      <c r="B2454" s="1" t="n">
        <v>45530</v>
      </c>
      <c r="C2454" s="1" t="n">
        <v>45650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35364-2024</t>
        </is>
      </c>
      <c r="B2455" s="1" t="n">
        <v>45531</v>
      </c>
      <c r="C2455" s="1" t="n">
        <v>45650</v>
      </c>
      <c r="D2455" t="inlineStr">
        <is>
          <t>GÄVLEBORGS LÄN</t>
        </is>
      </c>
      <c r="E2455" t="inlineStr">
        <is>
          <t>LJUSDAL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35465-2024</t>
        </is>
      </c>
      <c r="B2456" s="1" t="n">
        <v>45531</v>
      </c>
      <c r="C2456" s="1" t="n">
        <v>45650</v>
      </c>
      <c r="D2456" t="inlineStr">
        <is>
          <t>GÄVLEBORGS LÄN</t>
        </is>
      </c>
      <c r="E2456" t="inlineStr">
        <is>
          <t>LJUSDAL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35789-2024</t>
        </is>
      </c>
      <c r="B2457" s="1" t="n">
        <v>45532</v>
      </c>
      <c r="C2457" s="1" t="n">
        <v>45650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36059-2024</t>
        </is>
      </c>
      <c r="B2458" s="1" t="n">
        <v>45533</v>
      </c>
      <c r="C2458" s="1" t="n">
        <v>45650</v>
      </c>
      <c r="D2458" t="inlineStr">
        <is>
          <t>GÄVLEBORGS LÄN</t>
        </is>
      </c>
      <c r="E2458" t="inlineStr">
        <is>
          <t>LJUSDAL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36071-2024</t>
        </is>
      </c>
      <c r="B2459" s="1" t="n">
        <v>45533</v>
      </c>
      <c r="C2459" s="1" t="n">
        <v>45650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9.199999999999999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36033-2024</t>
        </is>
      </c>
      <c r="B2460" s="1" t="n">
        <v>45533</v>
      </c>
      <c r="C2460" s="1" t="n">
        <v>45650</v>
      </c>
      <c r="D2460" t="inlineStr">
        <is>
          <t>GÄVLEBORGS LÄN</t>
        </is>
      </c>
      <c r="E2460" t="inlineStr">
        <is>
          <t>LJUSDAL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36061-2024</t>
        </is>
      </c>
      <c r="B2461" s="1" t="n">
        <v>45533</v>
      </c>
      <c r="C2461" s="1" t="n">
        <v>45650</v>
      </c>
      <c r="D2461" t="inlineStr">
        <is>
          <t>GÄVLEBORGS LÄN</t>
        </is>
      </c>
      <c r="E2461" t="inlineStr">
        <is>
          <t>LJUSDAL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36241-2024</t>
        </is>
      </c>
      <c r="B2462" s="1" t="n">
        <v>45534</v>
      </c>
      <c r="C2462" s="1" t="n">
        <v>45650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36182-2024</t>
        </is>
      </c>
      <c r="B2463" s="1" t="n">
        <v>45534</v>
      </c>
      <c r="C2463" s="1" t="n">
        <v>45650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36446-2024</t>
        </is>
      </c>
      <c r="B2464" s="1" t="n">
        <v>45537</v>
      </c>
      <c r="C2464" s="1" t="n">
        <v>45650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36447-2024</t>
        </is>
      </c>
      <c r="B2465" s="1" t="n">
        <v>45537</v>
      </c>
      <c r="C2465" s="1" t="n">
        <v>45650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36593-2024</t>
        </is>
      </c>
      <c r="B2466" s="1" t="n">
        <v>45537</v>
      </c>
      <c r="C2466" s="1" t="n">
        <v>45650</v>
      </c>
      <c r="D2466" t="inlineStr">
        <is>
          <t>GÄVLEBORGS LÄN</t>
        </is>
      </c>
      <c r="E2466" t="inlineStr">
        <is>
          <t>LJUSDAL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36658-2024</t>
        </is>
      </c>
      <c r="B2467" s="1" t="n">
        <v>45537</v>
      </c>
      <c r="C2467" s="1" t="n">
        <v>45650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36920-2024</t>
        </is>
      </c>
      <c r="B2468" s="1" t="n">
        <v>45538</v>
      </c>
      <c r="C2468" s="1" t="n">
        <v>45650</v>
      </c>
      <c r="D2468" t="inlineStr">
        <is>
          <t>GÄVLEBORGS LÄN</t>
        </is>
      </c>
      <c r="E2468" t="inlineStr">
        <is>
          <t>LJUSDAL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37088-2024</t>
        </is>
      </c>
      <c r="B2469" s="1" t="n">
        <v>45539</v>
      </c>
      <c r="C2469" s="1" t="n">
        <v>45650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37414-2024</t>
        </is>
      </c>
      <c r="B2470" s="1" t="n">
        <v>45540</v>
      </c>
      <c r="C2470" s="1" t="n">
        <v>45650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37560-2024</t>
        </is>
      </c>
      <c r="B2471" s="1" t="n">
        <v>45541</v>
      </c>
      <c r="C2471" s="1" t="n">
        <v>45650</v>
      </c>
      <c r="D2471" t="inlineStr">
        <is>
          <t>GÄVLEBORGS LÄN</t>
        </is>
      </c>
      <c r="E2471" t="inlineStr">
        <is>
          <t>LJUSDAL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37764-2024</t>
        </is>
      </c>
      <c r="B2472" s="1" t="n">
        <v>45541</v>
      </c>
      <c r="C2472" s="1" t="n">
        <v>45650</v>
      </c>
      <c r="D2472" t="inlineStr">
        <is>
          <t>GÄVLEBORGS LÄN</t>
        </is>
      </c>
      <c r="E2472" t="inlineStr">
        <is>
          <t>LJUSDAL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37763-2024</t>
        </is>
      </c>
      <c r="B2473" s="1" t="n">
        <v>45541</v>
      </c>
      <c r="C2473" s="1" t="n">
        <v>45650</v>
      </c>
      <c r="D2473" t="inlineStr">
        <is>
          <t>GÄVLEBORGS LÄN</t>
        </is>
      </c>
      <c r="E2473" t="inlineStr">
        <is>
          <t>LJUSDAL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37767-2024</t>
        </is>
      </c>
      <c r="B2474" s="1" t="n">
        <v>45541</v>
      </c>
      <c r="C2474" s="1" t="n">
        <v>45650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37758-2024</t>
        </is>
      </c>
      <c r="B2475" s="1" t="n">
        <v>45541</v>
      </c>
      <c r="C2475" s="1" t="n">
        <v>45650</v>
      </c>
      <c r="D2475" t="inlineStr">
        <is>
          <t>GÄVLEBORGS LÄN</t>
        </is>
      </c>
      <c r="E2475" t="inlineStr">
        <is>
          <t>LJUSDAL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38224-2024</t>
        </is>
      </c>
      <c r="B2476" s="1" t="n">
        <v>45545</v>
      </c>
      <c r="C2476" s="1" t="n">
        <v>45650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38221-2024</t>
        </is>
      </c>
      <c r="B2477" s="1" t="n">
        <v>45545</v>
      </c>
      <c r="C2477" s="1" t="n">
        <v>45650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38218-2024</t>
        </is>
      </c>
      <c r="B2478" s="1" t="n">
        <v>45545</v>
      </c>
      <c r="C2478" s="1" t="n">
        <v>45650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38232-2024</t>
        </is>
      </c>
      <c r="B2479" s="1" t="n">
        <v>45545</v>
      </c>
      <c r="C2479" s="1" t="n">
        <v>45650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38672-2024</t>
        </is>
      </c>
      <c r="B2480" s="1" t="n">
        <v>45547</v>
      </c>
      <c r="C2480" s="1" t="n">
        <v>45650</v>
      </c>
      <c r="D2480" t="inlineStr">
        <is>
          <t>GÄVLEBORGS LÄN</t>
        </is>
      </c>
      <c r="E2480" t="inlineStr">
        <is>
          <t>LJUSDAL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38675-2024</t>
        </is>
      </c>
      <c r="B2481" s="1" t="n">
        <v>45547</v>
      </c>
      <c r="C2481" s="1" t="n">
        <v>45650</v>
      </c>
      <c r="D2481" t="inlineStr">
        <is>
          <t>GÄVLEBORGS LÄN</t>
        </is>
      </c>
      <c r="E2481" t="inlineStr">
        <is>
          <t>LJUSDAL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38814-2024</t>
        </is>
      </c>
      <c r="B2482" s="1" t="n">
        <v>45547</v>
      </c>
      <c r="C2482" s="1" t="n">
        <v>45650</v>
      </c>
      <c r="D2482" t="inlineStr">
        <is>
          <t>GÄVLEBORGS LÄN</t>
        </is>
      </c>
      <c r="E2482" t="inlineStr">
        <is>
          <t>LJUSDAL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38805-2024</t>
        </is>
      </c>
      <c r="B2483" s="1" t="n">
        <v>45547</v>
      </c>
      <c r="C2483" s="1" t="n">
        <v>45650</v>
      </c>
      <c r="D2483" t="inlineStr">
        <is>
          <t>GÄVLEBORGS LÄN</t>
        </is>
      </c>
      <c r="E2483" t="inlineStr">
        <is>
          <t>LJUSDAL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38870-2024</t>
        </is>
      </c>
      <c r="B2484" s="1" t="n">
        <v>45547</v>
      </c>
      <c r="C2484" s="1" t="n">
        <v>45650</v>
      </c>
      <c r="D2484" t="inlineStr">
        <is>
          <t>GÄVLEBORGS LÄN</t>
        </is>
      </c>
      <c r="E2484" t="inlineStr">
        <is>
          <t>LJUSDAL</t>
        </is>
      </c>
      <c r="G2484" t="n">
        <v>34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38804-2024</t>
        </is>
      </c>
      <c r="B2485" s="1" t="n">
        <v>45547</v>
      </c>
      <c r="C2485" s="1" t="n">
        <v>45650</v>
      </c>
      <c r="D2485" t="inlineStr">
        <is>
          <t>GÄVLEBORGS LÄN</t>
        </is>
      </c>
      <c r="E2485" t="inlineStr">
        <is>
          <t>LJUSDAL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39029-2024</t>
        </is>
      </c>
      <c r="B2486" s="1" t="n">
        <v>45548</v>
      </c>
      <c r="C2486" s="1" t="n">
        <v>45650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39012-2024</t>
        </is>
      </c>
      <c r="B2487" s="1" t="n">
        <v>45548</v>
      </c>
      <c r="C2487" s="1" t="n">
        <v>45650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39457-2024</t>
        </is>
      </c>
      <c r="B2488" s="1" t="n">
        <v>45551</v>
      </c>
      <c r="C2488" s="1" t="n">
        <v>45650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39417-2024</t>
        </is>
      </c>
      <c r="B2489" s="1" t="n">
        <v>45551</v>
      </c>
      <c r="C2489" s="1" t="n">
        <v>45650</v>
      </c>
      <c r="D2489" t="inlineStr">
        <is>
          <t>GÄVLEBORGS LÄN</t>
        </is>
      </c>
      <c r="E2489" t="inlineStr">
        <is>
          <t>LJUSDAL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39418-2024</t>
        </is>
      </c>
      <c r="B2490" s="1" t="n">
        <v>45551</v>
      </c>
      <c r="C2490" s="1" t="n">
        <v>45650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39463-2024</t>
        </is>
      </c>
      <c r="B2491" s="1" t="n">
        <v>45551</v>
      </c>
      <c r="C2491" s="1" t="n">
        <v>45650</v>
      </c>
      <c r="D2491" t="inlineStr">
        <is>
          <t>GÄVLEBORGS LÄN</t>
        </is>
      </c>
      <c r="E2491" t="inlineStr">
        <is>
          <t>LJUSDAL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39597-2024</t>
        </is>
      </c>
      <c r="B2492" s="1" t="n">
        <v>45552</v>
      </c>
      <c r="C2492" s="1" t="n">
        <v>45650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39665-2024</t>
        </is>
      </c>
      <c r="B2493" s="1" t="n">
        <v>45552</v>
      </c>
      <c r="C2493" s="1" t="n">
        <v>45650</v>
      </c>
      <c r="D2493" t="inlineStr">
        <is>
          <t>GÄVLEBORGS LÄN</t>
        </is>
      </c>
      <c r="E2493" t="inlineStr">
        <is>
          <t>LJUSDAL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39657-2024</t>
        </is>
      </c>
      <c r="B2494" s="1" t="n">
        <v>45552</v>
      </c>
      <c r="C2494" s="1" t="n">
        <v>45650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39917-2024</t>
        </is>
      </c>
      <c r="B2495" s="1" t="n">
        <v>45553</v>
      </c>
      <c r="C2495" s="1" t="n">
        <v>45650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39927-2024</t>
        </is>
      </c>
      <c r="B2496" s="1" t="n">
        <v>45553</v>
      </c>
      <c r="C2496" s="1" t="n">
        <v>45650</v>
      </c>
      <c r="D2496" t="inlineStr">
        <is>
          <t>GÄVLEBORGS LÄN</t>
        </is>
      </c>
      <c r="E2496" t="inlineStr">
        <is>
          <t>LJUSDAL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39947-2024</t>
        </is>
      </c>
      <c r="B2497" s="1" t="n">
        <v>45553</v>
      </c>
      <c r="C2497" s="1" t="n">
        <v>45650</v>
      </c>
      <c r="D2497" t="inlineStr">
        <is>
          <t>GÄVLEBORGS LÄN</t>
        </is>
      </c>
      <c r="E2497" t="inlineStr">
        <is>
          <t>LJUSDAL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40048-2024</t>
        </is>
      </c>
      <c r="B2498" s="1" t="n">
        <v>45553</v>
      </c>
      <c r="C2498" s="1" t="n">
        <v>45650</v>
      </c>
      <c r="D2498" t="inlineStr">
        <is>
          <t>GÄVLEBORGS LÄN</t>
        </is>
      </c>
      <c r="E2498" t="inlineStr">
        <is>
          <t>LJUSDAL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39928-2024</t>
        </is>
      </c>
      <c r="B2499" s="1" t="n">
        <v>45553</v>
      </c>
      <c r="C2499" s="1" t="n">
        <v>45650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40098-2024</t>
        </is>
      </c>
      <c r="B2500" s="1" t="n">
        <v>45554</v>
      </c>
      <c r="C2500" s="1" t="n">
        <v>45650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40106-2024</t>
        </is>
      </c>
      <c r="B2501" s="1" t="n">
        <v>45554</v>
      </c>
      <c r="C2501" s="1" t="n">
        <v>45650</v>
      </c>
      <c r="D2501" t="inlineStr">
        <is>
          <t>GÄVLEBORGS LÄN</t>
        </is>
      </c>
      <c r="E2501" t="inlineStr">
        <is>
          <t>LJUSDAL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40318-2024</t>
        </is>
      </c>
      <c r="B2502" s="1" t="n">
        <v>45554</v>
      </c>
      <c r="C2502" s="1" t="n">
        <v>45650</v>
      </c>
      <c r="D2502" t="inlineStr">
        <is>
          <t>GÄVLEBORGS LÄN</t>
        </is>
      </c>
      <c r="E2502" t="inlineStr">
        <is>
          <t>LJUSDAL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40907-2024</t>
        </is>
      </c>
      <c r="B2503" s="1" t="n">
        <v>45558</v>
      </c>
      <c r="C2503" s="1" t="n">
        <v>45650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40979-2024</t>
        </is>
      </c>
      <c r="B2504" s="1" t="n">
        <v>45558</v>
      </c>
      <c r="C2504" s="1" t="n">
        <v>45650</v>
      </c>
      <c r="D2504" t="inlineStr">
        <is>
          <t>GÄVLEBORGS LÄN</t>
        </is>
      </c>
      <c r="E2504" t="inlineStr">
        <is>
          <t>LJUSDAL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41094-2024</t>
        </is>
      </c>
      <c r="B2505" s="1" t="n">
        <v>45559</v>
      </c>
      <c r="C2505" s="1" t="n">
        <v>45650</v>
      </c>
      <c r="D2505" t="inlineStr">
        <is>
          <t>GÄVLEBORGS LÄN</t>
        </is>
      </c>
      <c r="E2505" t="inlineStr">
        <is>
          <t>LJUSDAL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41194-2024</t>
        </is>
      </c>
      <c r="B2506" s="1" t="n">
        <v>45559</v>
      </c>
      <c r="C2506" s="1" t="n">
        <v>45650</v>
      </c>
      <c r="D2506" t="inlineStr">
        <is>
          <t>GÄVLEBORGS LÄN</t>
        </is>
      </c>
      <c r="E2506" t="inlineStr">
        <is>
          <t>LJUSDAL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41167-2024</t>
        </is>
      </c>
      <c r="B2507" s="1" t="n">
        <v>45559</v>
      </c>
      <c r="C2507" s="1" t="n">
        <v>45650</v>
      </c>
      <c r="D2507" t="inlineStr">
        <is>
          <t>GÄVLEBORGS LÄN</t>
        </is>
      </c>
      <c r="E2507" t="inlineStr">
        <is>
          <t>LJUSDAL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41385-2024</t>
        </is>
      </c>
      <c r="B2508" s="1" t="n">
        <v>45560</v>
      </c>
      <c r="C2508" s="1" t="n">
        <v>45650</v>
      </c>
      <c r="D2508" t="inlineStr">
        <is>
          <t>GÄVLEBORGS LÄN</t>
        </is>
      </c>
      <c r="E2508" t="inlineStr">
        <is>
          <t>LJUSDAL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41731-2024</t>
        </is>
      </c>
      <c r="B2509" s="1" t="n">
        <v>45560</v>
      </c>
      <c r="C2509" s="1" t="n">
        <v>45650</v>
      </c>
      <c r="D2509" t="inlineStr">
        <is>
          <t>GÄVLEBORGS LÄN</t>
        </is>
      </c>
      <c r="E2509" t="inlineStr">
        <is>
          <t>LJUSDAL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41559-2024</t>
        </is>
      </c>
      <c r="B2510" s="1" t="n">
        <v>45560</v>
      </c>
      <c r="C2510" s="1" t="n">
        <v>45650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41730-2024</t>
        </is>
      </c>
      <c r="B2511" s="1" t="n">
        <v>45560</v>
      </c>
      <c r="C2511" s="1" t="n">
        <v>45650</v>
      </c>
      <c r="D2511" t="inlineStr">
        <is>
          <t>GÄVLEBORGS LÄN</t>
        </is>
      </c>
      <c r="E2511" t="inlineStr">
        <is>
          <t>LJUSDAL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41803-2024</t>
        </is>
      </c>
      <c r="B2512" s="1" t="n">
        <v>45561</v>
      </c>
      <c r="C2512" s="1" t="n">
        <v>45650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41922-2024</t>
        </is>
      </c>
      <c r="B2513" s="1" t="n">
        <v>45561</v>
      </c>
      <c r="C2513" s="1" t="n">
        <v>45650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41879-2024</t>
        </is>
      </c>
      <c r="B2514" s="1" t="n">
        <v>45561</v>
      </c>
      <c r="C2514" s="1" t="n">
        <v>45650</v>
      </c>
      <c r="D2514" t="inlineStr">
        <is>
          <t>GÄVLEBORGS LÄN</t>
        </is>
      </c>
      <c r="E2514" t="inlineStr">
        <is>
          <t>LJUSDAL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41985-2024</t>
        </is>
      </c>
      <c r="B2515" s="1" t="n">
        <v>45561</v>
      </c>
      <c r="C2515" s="1" t="n">
        <v>45650</v>
      </c>
      <c r="D2515" t="inlineStr">
        <is>
          <t>GÄVLEBORGS LÄN</t>
        </is>
      </c>
      <c r="E2515" t="inlineStr">
        <is>
          <t>LJUSDAL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41994-2024</t>
        </is>
      </c>
      <c r="B2516" s="1" t="n">
        <v>45561</v>
      </c>
      <c r="C2516" s="1" t="n">
        <v>45650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41801-2024</t>
        </is>
      </c>
      <c r="B2517" s="1" t="n">
        <v>45561</v>
      </c>
      <c r="C2517" s="1" t="n">
        <v>45650</v>
      </c>
      <c r="D2517" t="inlineStr">
        <is>
          <t>GÄVLEBORGS LÄN</t>
        </is>
      </c>
      <c r="E2517" t="inlineStr">
        <is>
          <t>LJUSDAL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41882-2024</t>
        </is>
      </c>
      <c r="B2518" s="1" t="n">
        <v>45561</v>
      </c>
      <c r="C2518" s="1" t="n">
        <v>45650</v>
      </c>
      <c r="D2518" t="inlineStr">
        <is>
          <t>GÄVLEBORGS LÄN</t>
        </is>
      </c>
      <c r="E2518" t="inlineStr">
        <is>
          <t>LJUSDAL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42152-2024</t>
        </is>
      </c>
      <c r="B2519" s="1" t="n">
        <v>45562</v>
      </c>
      <c r="C2519" s="1" t="n">
        <v>45650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SCA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42153-2024</t>
        </is>
      </c>
      <c r="B2520" s="1" t="n">
        <v>45562</v>
      </c>
      <c r="C2520" s="1" t="n">
        <v>45650</v>
      </c>
      <c r="D2520" t="inlineStr">
        <is>
          <t>GÄVLEBORGS LÄN</t>
        </is>
      </c>
      <c r="E2520" t="inlineStr">
        <is>
          <t>LJUSDAL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42082-2024</t>
        </is>
      </c>
      <c r="B2521" s="1" t="n">
        <v>45562</v>
      </c>
      <c r="C2521" s="1" t="n">
        <v>45650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42158-2024</t>
        </is>
      </c>
      <c r="B2522" s="1" t="n">
        <v>45562</v>
      </c>
      <c r="C2522" s="1" t="n">
        <v>45650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42263-2024</t>
        </is>
      </c>
      <c r="B2523" s="1" t="n">
        <v>45562</v>
      </c>
      <c r="C2523" s="1" t="n">
        <v>45650</v>
      </c>
      <c r="D2523" t="inlineStr">
        <is>
          <t>GÄVLEBORGS LÄN</t>
        </is>
      </c>
      <c r="E2523" t="inlineStr">
        <is>
          <t>LJUSDAL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42095-2024</t>
        </is>
      </c>
      <c r="B2524" s="1" t="n">
        <v>45562</v>
      </c>
      <c r="C2524" s="1" t="n">
        <v>45650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42164-2024</t>
        </is>
      </c>
      <c r="B2525" s="1" t="n">
        <v>45562</v>
      </c>
      <c r="C2525" s="1" t="n">
        <v>45650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42540-2024</t>
        </is>
      </c>
      <c r="B2526" s="1" t="n">
        <v>45565</v>
      </c>
      <c r="C2526" s="1" t="n">
        <v>45650</v>
      </c>
      <c r="D2526" t="inlineStr">
        <is>
          <t>GÄVLEBORGS LÄN</t>
        </is>
      </c>
      <c r="E2526" t="inlineStr">
        <is>
          <t>LJUSDAL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42392-2024</t>
        </is>
      </c>
      <c r="B2527" s="1" t="n">
        <v>45565</v>
      </c>
      <c r="C2527" s="1" t="n">
        <v>45650</v>
      </c>
      <c r="D2527" t="inlineStr">
        <is>
          <t>GÄVLEBORGS LÄN</t>
        </is>
      </c>
      <c r="E2527" t="inlineStr">
        <is>
          <t>LJUSDAL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42537-2024</t>
        </is>
      </c>
      <c r="B2528" s="1" t="n">
        <v>45565</v>
      </c>
      <c r="C2528" s="1" t="n">
        <v>45650</v>
      </c>
      <c r="D2528" t="inlineStr">
        <is>
          <t>GÄVLEBORGS LÄN</t>
        </is>
      </c>
      <c r="E2528" t="inlineStr">
        <is>
          <t>LJUSDAL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42417-2024</t>
        </is>
      </c>
      <c r="B2529" s="1" t="n">
        <v>45565</v>
      </c>
      <c r="C2529" s="1" t="n">
        <v>45650</v>
      </c>
      <c r="D2529" t="inlineStr">
        <is>
          <t>GÄVLEBORGS LÄN</t>
        </is>
      </c>
      <c r="E2529" t="inlineStr">
        <is>
          <t>LJUSDAL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42712-2024</t>
        </is>
      </c>
      <c r="B2530" s="1" t="n">
        <v>45566</v>
      </c>
      <c r="C2530" s="1" t="n">
        <v>45650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42703-2024</t>
        </is>
      </c>
      <c r="B2531" s="1" t="n">
        <v>45566</v>
      </c>
      <c r="C2531" s="1" t="n">
        <v>45650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42726-2024</t>
        </is>
      </c>
      <c r="B2532" s="1" t="n">
        <v>45566</v>
      </c>
      <c r="C2532" s="1" t="n">
        <v>45650</v>
      </c>
      <c r="D2532" t="inlineStr">
        <is>
          <t>GÄVLEBORGS LÄN</t>
        </is>
      </c>
      <c r="E2532" t="inlineStr">
        <is>
          <t>LJUSDAL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42720-2024</t>
        </is>
      </c>
      <c r="B2533" s="1" t="n">
        <v>45566</v>
      </c>
      <c r="C2533" s="1" t="n">
        <v>45650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43179-2024</t>
        </is>
      </c>
      <c r="B2534" s="1" t="n">
        <v>45567</v>
      </c>
      <c r="C2534" s="1" t="n">
        <v>45650</v>
      </c>
      <c r="D2534" t="inlineStr">
        <is>
          <t>GÄVLEBORGS LÄN</t>
        </is>
      </c>
      <c r="E2534" t="inlineStr">
        <is>
          <t>LJUSDAL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43151-2024</t>
        </is>
      </c>
      <c r="B2535" s="1" t="n">
        <v>45567</v>
      </c>
      <c r="C2535" s="1" t="n">
        <v>45650</v>
      </c>
      <c r="D2535" t="inlineStr">
        <is>
          <t>GÄVLEBORGS LÄN</t>
        </is>
      </c>
      <c r="E2535" t="inlineStr">
        <is>
          <t>LJUSDAL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42997-2024</t>
        </is>
      </c>
      <c r="B2536" s="1" t="n">
        <v>45567</v>
      </c>
      <c r="C2536" s="1" t="n">
        <v>45650</v>
      </c>
      <c r="D2536" t="inlineStr">
        <is>
          <t>GÄVLEBORGS LÄN</t>
        </is>
      </c>
      <c r="E2536" t="inlineStr">
        <is>
          <t>LJUSDAL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43189-2024</t>
        </is>
      </c>
      <c r="B2537" s="1" t="n">
        <v>45567</v>
      </c>
      <c r="C2537" s="1" t="n">
        <v>45650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43180-2024</t>
        </is>
      </c>
      <c r="B2538" s="1" t="n">
        <v>45567</v>
      </c>
      <c r="C2538" s="1" t="n">
        <v>45650</v>
      </c>
      <c r="D2538" t="inlineStr">
        <is>
          <t>GÄVLEBORGS LÄN</t>
        </is>
      </c>
      <c r="E2538" t="inlineStr">
        <is>
          <t>LJUSDAL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43668-2024</t>
        </is>
      </c>
      <c r="B2539" s="1" t="n">
        <v>45569</v>
      </c>
      <c r="C2539" s="1" t="n">
        <v>45650</v>
      </c>
      <c r="D2539" t="inlineStr">
        <is>
          <t>GÄVLEBORGS LÄN</t>
        </is>
      </c>
      <c r="E2539" t="inlineStr">
        <is>
          <t>LJUSDAL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43580-2024</t>
        </is>
      </c>
      <c r="B2540" s="1" t="n">
        <v>45569</v>
      </c>
      <c r="C2540" s="1" t="n">
        <v>45650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43562-2024</t>
        </is>
      </c>
      <c r="B2541" s="1" t="n">
        <v>45569</v>
      </c>
      <c r="C2541" s="1" t="n">
        <v>45650</v>
      </c>
      <c r="D2541" t="inlineStr">
        <is>
          <t>GÄVLEBORGS LÄN</t>
        </is>
      </c>
      <c r="E2541" t="inlineStr">
        <is>
          <t>LJUSDAL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43499-2024</t>
        </is>
      </c>
      <c r="B2542" s="1" t="n">
        <v>45569</v>
      </c>
      <c r="C2542" s="1" t="n">
        <v>45650</v>
      </c>
      <c r="D2542" t="inlineStr">
        <is>
          <t>GÄVLEBORGS LÄN</t>
        </is>
      </c>
      <c r="E2542" t="inlineStr">
        <is>
          <t>LJUSDAL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43695-2024</t>
        </is>
      </c>
      <c r="B2543" s="1" t="n">
        <v>45569</v>
      </c>
      <c r="C2543" s="1" t="n">
        <v>45650</v>
      </c>
      <c r="D2543" t="inlineStr">
        <is>
          <t>GÄVLEBORGS LÄN</t>
        </is>
      </c>
      <c r="E2543" t="inlineStr">
        <is>
          <t>LJUSDAL</t>
        </is>
      </c>
      <c r="G2543" t="n">
        <v>14.7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43983-2024</t>
        </is>
      </c>
      <c r="B2544" s="1" t="n">
        <v>45572</v>
      </c>
      <c r="C2544" s="1" t="n">
        <v>45650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44092-2024</t>
        </is>
      </c>
      <c r="B2545" s="1" t="n">
        <v>45572</v>
      </c>
      <c r="C2545" s="1" t="n">
        <v>45650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44633-2024</t>
        </is>
      </c>
      <c r="B2546" s="1" t="n">
        <v>45574</v>
      </c>
      <c r="C2546" s="1" t="n">
        <v>45650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SCA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44695-2024</t>
        </is>
      </c>
      <c r="B2547" s="1" t="n">
        <v>45574</v>
      </c>
      <c r="C2547" s="1" t="n">
        <v>45650</v>
      </c>
      <c r="D2547" t="inlineStr">
        <is>
          <t>GÄVLEBORGS LÄN</t>
        </is>
      </c>
      <c r="E2547" t="inlineStr">
        <is>
          <t>LJUSDAL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44856-2024</t>
        </is>
      </c>
      <c r="B2548" s="1" t="n">
        <v>45575</v>
      </c>
      <c r="C2548" s="1" t="n">
        <v>45650</v>
      </c>
      <c r="D2548" t="inlineStr">
        <is>
          <t>GÄVLEBORGS LÄN</t>
        </is>
      </c>
      <c r="E2548" t="inlineStr">
        <is>
          <t>LJUSDAL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45241-2024</t>
        </is>
      </c>
      <c r="B2549" s="1" t="n">
        <v>45576</v>
      </c>
      <c r="C2549" s="1" t="n">
        <v>45650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Sveaskog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45446-2024</t>
        </is>
      </c>
      <c r="B2550" s="1" t="n">
        <v>45576</v>
      </c>
      <c r="C2550" s="1" t="n">
        <v>45650</v>
      </c>
      <c r="D2550" t="inlineStr">
        <is>
          <t>GÄVLEBORGS LÄN</t>
        </is>
      </c>
      <c r="E2550" t="inlineStr">
        <is>
          <t>LJUSDAL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45509-2024</t>
        </is>
      </c>
      <c r="B2551" s="1" t="n">
        <v>45578</v>
      </c>
      <c r="C2551" s="1" t="n">
        <v>45650</v>
      </c>
      <c r="D2551" t="inlineStr">
        <is>
          <t>GÄVLEBORGS LÄN</t>
        </is>
      </c>
      <c r="E2551" t="inlineStr">
        <is>
          <t>LJUSDAL</t>
        </is>
      </c>
      <c r="F2551" t="inlineStr">
        <is>
          <t>Naturvårdsverket</t>
        </is>
      </c>
      <c r="G2551" t="n">
        <v>11.9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45768-2024</t>
        </is>
      </c>
      <c r="B2552" s="1" t="n">
        <v>45579</v>
      </c>
      <c r="C2552" s="1" t="n">
        <v>45650</v>
      </c>
      <c r="D2552" t="inlineStr">
        <is>
          <t>GÄVLEBORGS LÄN</t>
        </is>
      </c>
      <c r="E2552" t="inlineStr">
        <is>
          <t>LJUSDAL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45694-2024</t>
        </is>
      </c>
      <c r="B2553" s="1" t="n">
        <v>45579</v>
      </c>
      <c r="C2553" s="1" t="n">
        <v>45650</v>
      </c>
      <c r="D2553" t="inlineStr">
        <is>
          <t>GÄVLEBORGS LÄN</t>
        </is>
      </c>
      <c r="E2553" t="inlineStr">
        <is>
          <t>LJUSDAL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45696-2024</t>
        </is>
      </c>
      <c r="B2554" s="1" t="n">
        <v>45579</v>
      </c>
      <c r="C2554" s="1" t="n">
        <v>45650</v>
      </c>
      <c r="D2554" t="inlineStr">
        <is>
          <t>GÄVLEBORGS LÄN</t>
        </is>
      </c>
      <c r="E2554" t="inlineStr">
        <is>
          <t>LJUSDAL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45864-2024</t>
        </is>
      </c>
      <c r="B2555" s="1" t="n">
        <v>45580</v>
      </c>
      <c r="C2555" s="1" t="n">
        <v>45650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45912-2024</t>
        </is>
      </c>
      <c r="B2556" s="1" t="n">
        <v>45580</v>
      </c>
      <c r="C2556" s="1" t="n">
        <v>45650</v>
      </c>
      <c r="D2556" t="inlineStr">
        <is>
          <t>GÄVLEBORGS LÄN</t>
        </is>
      </c>
      <c r="E2556" t="inlineStr">
        <is>
          <t>LJUSDAL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45930-2024</t>
        </is>
      </c>
      <c r="B2557" s="1" t="n">
        <v>45580</v>
      </c>
      <c r="C2557" s="1" t="n">
        <v>45650</v>
      </c>
      <c r="D2557" t="inlineStr">
        <is>
          <t>GÄVLEBORGS LÄN</t>
        </is>
      </c>
      <c r="E2557" t="inlineStr">
        <is>
          <t>LJUSDAL</t>
        </is>
      </c>
      <c r="G2557" t="n">
        <v>9.300000000000001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46075-2024</t>
        </is>
      </c>
      <c r="B2558" s="1" t="n">
        <v>45581</v>
      </c>
      <c r="C2558" s="1" t="n">
        <v>45650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46080-2024</t>
        </is>
      </c>
      <c r="B2559" s="1" t="n">
        <v>45581</v>
      </c>
      <c r="C2559" s="1" t="n">
        <v>45650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46206-2024</t>
        </is>
      </c>
      <c r="B2560" s="1" t="n">
        <v>45581</v>
      </c>
      <c r="C2560" s="1" t="n">
        <v>45650</v>
      </c>
      <c r="D2560" t="inlineStr">
        <is>
          <t>GÄVLEBORGS LÄN</t>
        </is>
      </c>
      <c r="E2560" t="inlineStr">
        <is>
          <t>LJUSDAL</t>
        </is>
      </c>
      <c r="F2560" t="inlineStr">
        <is>
          <t>Sveaskog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46078-2024</t>
        </is>
      </c>
      <c r="B2561" s="1" t="n">
        <v>45581</v>
      </c>
      <c r="C2561" s="1" t="n">
        <v>45650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46516-2024</t>
        </is>
      </c>
      <c r="B2562" s="1" t="n">
        <v>45582</v>
      </c>
      <c r="C2562" s="1" t="n">
        <v>45650</v>
      </c>
      <c r="D2562" t="inlineStr">
        <is>
          <t>GÄVLEBORGS LÄN</t>
        </is>
      </c>
      <c r="E2562" t="inlineStr">
        <is>
          <t>LJUSDAL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46502-2024</t>
        </is>
      </c>
      <c r="B2563" s="1" t="n">
        <v>45582</v>
      </c>
      <c r="C2563" s="1" t="n">
        <v>45650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46407-2024</t>
        </is>
      </c>
      <c r="B2564" s="1" t="n">
        <v>45582</v>
      </c>
      <c r="C2564" s="1" t="n">
        <v>45650</v>
      </c>
      <c r="D2564" t="inlineStr">
        <is>
          <t>GÄVLEBORGS LÄN</t>
        </is>
      </c>
      <c r="E2564" t="inlineStr">
        <is>
          <t>LJUSDAL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46537-2024</t>
        </is>
      </c>
      <c r="B2565" s="1" t="n">
        <v>45582</v>
      </c>
      <c r="C2565" s="1" t="n">
        <v>45650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47210-2024</t>
        </is>
      </c>
      <c r="B2566" s="1" t="n">
        <v>45586</v>
      </c>
      <c r="C2566" s="1" t="n">
        <v>45650</v>
      </c>
      <c r="D2566" t="inlineStr">
        <is>
          <t>GÄVLEBORGS LÄN</t>
        </is>
      </c>
      <c r="E2566" t="inlineStr">
        <is>
          <t>LJUSDAL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47552-2024</t>
        </is>
      </c>
      <c r="B2567" s="1" t="n">
        <v>45587</v>
      </c>
      <c r="C2567" s="1" t="n">
        <v>45650</v>
      </c>
      <c r="D2567" t="inlineStr">
        <is>
          <t>GÄVLEBORGS LÄN</t>
        </is>
      </c>
      <c r="E2567" t="inlineStr">
        <is>
          <t>LJUSDAL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47388-2024</t>
        </is>
      </c>
      <c r="B2568" s="1" t="n">
        <v>45587</v>
      </c>
      <c r="C2568" s="1" t="n">
        <v>45650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47403-2024</t>
        </is>
      </c>
      <c r="B2569" s="1" t="n">
        <v>45587</v>
      </c>
      <c r="C2569" s="1" t="n">
        <v>45650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47320-2024</t>
        </is>
      </c>
      <c r="B2570" s="1" t="n">
        <v>45587</v>
      </c>
      <c r="C2570" s="1" t="n">
        <v>45650</v>
      </c>
      <c r="D2570" t="inlineStr">
        <is>
          <t>GÄVLEBORGS LÄN</t>
        </is>
      </c>
      <c r="E2570" t="inlineStr">
        <is>
          <t>LJUSDAL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47307-2024</t>
        </is>
      </c>
      <c r="B2571" s="1" t="n">
        <v>45587</v>
      </c>
      <c r="C2571" s="1" t="n">
        <v>45650</v>
      </c>
      <c r="D2571" t="inlineStr">
        <is>
          <t>GÄVLEBORGS LÄN</t>
        </is>
      </c>
      <c r="E2571" t="inlineStr">
        <is>
          <t>LJUSDAL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47455-2024</t>
        </is>
      </c>
      <c r="B2572" s="1" t="n">
        <v>45587</v>
      </c>
      <c r="C2572" s="1" t="n">
        <v>45650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47580-2024</t>
        </is>
      </c>
      <c r="B2573" s="1" t="n">
        <v>45587</v>
      </c>
      <c r="C2573" s="1" t="n">
        <v>45650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47397-2024</t>
        </is>
      </c>
      <c r="B2574" s="1" t="n">
        <v>45587</v>
      </c>
      <c r="C2574" s="1" t="n">
        <v>45650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47291-2024</t>
        </is>
      </c>
      <c r="B2575" s="1" t="n">
        <v>45587</v>
      </c>
      <c r="C2575" s="1" t="n">
        <v>45650</v>
      </c>
      <c r="D2575" t="inlineStr">
        <is>
          <t>GÄVLEBORGS LÄN</t>
        </is>
      </c>
      <c r="E2575" t="inlineStr">
        <is>
          <t>LJUSDAL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47712-2024</t>
        </is>
      </c>
      <c r="B2576" s="1" t="n">
        <v>45588</v>
      </c>
      <c r="C2576" s="1" t="n">
        <v>45650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47737-2024</t>
        </is>
      </c>
      <c r="B2577" s="1" t="n">
        <v>45588</v>
      </c>
      <c r="C2577" s="1" t="n">
        <v>45650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47649-2024</t>
        </is>
      </c>
      <c r="B2578" s="1" t="n">
        <v>45588</v>
      </c>
      <c r="C2578" s="1" t="n">
        <v>45650</v>
      </c>
      <c r="D2578" t="inlineStr">
        <is>
          <t>GÄVLEBORGS LÄN</t>
        </is>
      </c>
      <c r="E2578" t="inlineStr">
        <is>
          <t>LJUSDAL</t>
        </is>
      </c>
      <c r="G2578" t="n">
        <v>6.6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47693-2024</t>
        </is>
      </c>
      <c r="B2579" s="1" t="n">
        <v>45588</v>
      </c>
      <c r="C2579" s="1" t="n">
        <v>45650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47878-2024</t>
        </is>
      </c>
      <c r="B2580" s="1" t="n">
        <v>45588</v>
      </c>
      <c r="C2580" s="1" t="n">
        <v>45650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47876-2024</t>
        </is>
      </c>
      <c r="B2581" s="1" t="n">
        <v>45588</v>
      </c>
      <c r="C2581" s="1" t="n">
        <v>45650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47875-2024</t>
        </is>
      </c>
      <c r="B2582" s="1" t="n">
        <v>45588</v>
      </c>
      <c r="C2582" s="1" t="n">
        <v>45650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47873-2024</t>
        </is>
      </c>
      <c r="B2583" s="1" t="n">
        <v>45588</v>
      </c>
      <c r="C2583" s="1" t="n">
        <v>45650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48149-2024</t>
        </is>
      </c>
      <c r="B2584" s="1" t="n">
        <v>45589</v>
      </c>
      <c r="C2584" s="1" t="n">
        <v>45650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47954-2024</t>
        </is>
      </c>
      <c r="B2585" s="1" t="n">
        <v>45589</v>
      </c>
      <c r="C2585" s="1" t="n">
        <v>45650</v>
      </c>
      <c r="D2585" t="inlineStr">
        <is>
          <t>GÄVLEBORGS LÄN</t>
        </is>
      </c>
      <c r="E2585" t="inlineStr">
        <is>
          <t>LJUSDAL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48085-2024</t>
        </is>
      </c>
      <c r="B2586" s="1" t="n">
        <v>45589</v>
      </c>
      <c r="C2586" s="1" t="n">
        <v>45650</v>
      </c>
      <c r="D2586" t="inlineStr">
        <is>
          <t>GÄVLEBORGS LÄN</t>
        </is>
      </c>
      <c r="E2586" t="inlineStr">
        <is>
          <t>LJUSDAL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47940-2024</t>
        </is>
      </c>
      <c r="B2587" s="1" t="n">
        <v>45589</v>
      </c>
      <c r="C2587" s="1" t="n">
        <v>45650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48148-2024</t>
        </is>
      </c>
      <c r="B2588" s="1" t="n">
        <v>45589</v>
      </c>
      <c r="C2588" s="1" t="n">
        <v>45650</v>
      </c>
      <c r="D2588" t="inlineStr">
        <is>
          <t>GÄVLEBORGS LÄN</t>
        </is>
      </c>
      <c r="E2588" t="inlineStr">
        <is>
          <t>LJUSDAL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48283-2024</t>
        </is>
      </c>
      <c r="B2589" s="1" t="n">
        <v>45590</v>
      </c>
      <c r="C2589" s="1" t="n">
        <v>45650</v>
      </c>
      <c r="D2589" t="inlineStr">
        <is>
          <t>GÄVLEBORGS LÄN</t>
        </is>
      </c>
      <c r="E2589" t="inlineStr">
        <is>
          <t>LJUSDAL</t>
        </is>
      </c>
      <c r="G2589" t="n">
        <v>8.800000000000001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48413-2024</t>
        </is>
      </c>
      <c r="B2590" s="1" t="n">
        <v>45590</v>
      </c>
      <c r="C2590" s="1" t="n">
        <v>45650</v>
      </c>
      <c r="D2590" t="inlineStr">
        <is>
          <t>GÄVLEBORGS LÄN</t>
        </is>
      </c>
      <c r="E2590" t="inlineStr">
        <is>
          <t>LJUSDAL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48580-2024</t>
        </is>
      </c>
      <c r="B2591" s="1" t="n">
        <v>45593</v>
      </c>
      <c r="C2591" s="1" t="n">
        <v>45650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48680-2024</t>
        </is>
      </c>
      <c r="B2592" s="1" t="n">
        <v>45593</v>
      </c>
      <c r="C2592" s="1" t="n">
        <v>45650</v>
      </c>
      <c r="D2592" t="inlineStr">
        <is>
          <t>GÄVLEBORGS LÄN</t>
        </is>
      </c>
      <c r="E2592" t="inlineStr">
        <is>
          <t>LJUSDAL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48718-2024</t>
        </is>
      </c>
      <c r="B2593" s="1" t="n">
        <v>45593</v>
      </c>
      <c r="C2593" s="1" t="n">
        <v>45650</v>
      </c>
      <c r="D2593" t="inlineStr">
        <is>
          <t>GÄVLEBORGS LÄN</t>
        </is>
      </c>
      <c r="E2593" t="inlineStr">
        <is>
          <t>LJUSDAL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48848-2024</t>
        </is>
      </c>
      <c r="B2594" s="1" t="n">
        <v>45593</v>
      </c>
      <c r="C2594" s="1" t="n">
        <v>45650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48847-2024</t>
        </is>
      </c>
      <c r="B2595" s="1" t="n">
        <v>45593</v>
      </c>
      <c r="C2595" s="1" t="n">
        <v>45650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48555-2024</t>
        </is>
      </c>
      <c r="B2596" s="1" t="n">
        <v>45593</v>
      </c>
      <c r="C2596" s="1" t="n">
        <v>45650</v>
      </c>
      <c r="D2596" t="inlineStr">
        <is>
          <t>GÄVLEBORGS LÄN</t>
        </is>
      </c>
      <c r="E2596" t="inlineStr">
        <is>
          <t>LJUSDAL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48931-2024</t>
        </is>
      </c>
      <c r="B2597" s="1" t="n">
        <v>45594</v>
      </c>
      <c r="C2597" s="1" t="n">
        <v>45650</v>
      </c>
      <c r="D2597" t="inlineStr">
        <is>
          <t>GÄVLEBORGS LÄN</t>
        </is>
      </c>
      <c r="E2597" t="inlineStr">
        <is>
          <t>LJUSDAL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49210-2024</t>
        </is>
      </c>
      <c r="B2598" s="1" t="n">
        <v>45595</v>
      </c>
      <c r="C2598" s="1" t="n">
        <v>45650</v>
      </c>
      <c r="D2598" t="inlineStr">
        <is>
          <t>GÄVLEBORGS LÄN</t>
        </is>
      </c>
      <c r="E2598" t="inlineStr">
        <is>
          <t>LJUSDAL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49280-2024</t>
        </is>
      </c>
      <c r="B2599" s="1" t="n">
        <v>45595</v>
      </c>
      <c r="C2599" s="1" t="n">
        <v>45650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49381-2024</t>
        </is>
      </c>
      <c r="B2600" s="1" t="n">
        <v>45595</v>
      </c>
      <c r="C2600" s="1" t="n">
        <v>45650</v>
      </c>
      <c r="D2600" t="inlineStr">
        <is>
          <t>GÄVLEBORGS LÄN</t>
        </is>
      </c>
      <c r="E2600" t="inlineStr">
        <is>
          <t>LJUSDAL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49327-2024</t>
        </is>
      </c>
      <c r="B2601" s="1" t="n">
        <v>45595</v>
      </c>
      <c r="C2601" s="1" t="n">
        <v>45650</v>
      </c>
      <c r="D2601" t="inlineStr">
        <is>
          <t>GÄVLEBORGS LÄN</t>
        </is>
      </c>
      <c r="E2601" t="inlineStr">
        <is>
          <t>LJUSDAL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49458-2024</t>
        </is>
      </c>
      <c r="B2602" s="1" t="n">
        <v>45596</v>
      </c>
      <c r="C2602" s="1" t="n">
        <v>45650</v>
      </c>
      <c r="D2602" t="inlineStr">
        <is>
          <t>GÄVLEBORGS LÄN</t>
        </is>
      </c>
      <c r="E2602" t="inlineStr">
        <is>
          <t>LJUSDAL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49539-2024</t>
        </is>
      </c>
      <c r="B2603" s="1" t="n">
        <v>45596</v>
      </c>
      <c r="C2603" s="1" t="n">
        <v>45650</v>
      </c>
      <c r="D2603" t="inlineStr">
        <is>
          <t>GÄVLEBORGS LÄN</t>
        </is>
      </c>
      <c r="E2603" t="inlineStr">
        <is>
          <t>LJUSDAL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49837-2024</t>
        </is>
      </c>
      <c r="B2604" s="1" t="n">
        <v>45597</v>
      </c>
      <c r="C2604" s="1" t="n">
        <v>45650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16.3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49957-2024</t>
        </is>
      </c>
      <c r="B2605" s="1" t="n">
        <v>45597</v>
      </c>
      <c r="C2605" s="1" t="n">
        <v>45650</v>
      </c>
      <c r="D2605" t="inlineStr">
        <is>
          <t>GÄVLEBORGS LÄN</t>
        </is>
      </c>
      <c r="E2605" t="inlineStr">
        <is>
          <t>LJUSDAL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49956-2024</t>
        </is>
      </c>
      <c r="B2606" s="1" t="n">
        <v>45597</v>
      </c>
      <c r="C2606" s="1" t="n">
        <v>45650</v>
      </c>
      <c r="D2606" t="inlineStr">
        <is>
          <t>GÄVLEBORGS LÄN</t>
        </is>
      </c>
      <c r="E2606" t="inlineStr">
        <is>
          <t>LJUSDAL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50267-2024</t>
        </is>
      </c>
      <c r="B2607" s="1" t="n">
        <v>45600</v>
      </c>
      <c r="C2607" s="1" t="n">
        <v>45650</v>
      </c>
      <c r="D2607" t="inlineStr">
        <is>
          <t>GÄVLEBORGS LÄN</t>
        </is>
      </c>
      <c r="E2607" t="inlineStr">
        <is>
          <t>LJUSDAL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45650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45650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50272-2024</t>
        </is>
      </c>
      <c r="B2610" s="1" t="n">
        <v>45600</v>
      </c>
      <c r="C2610" s="1" t="n">
        <v>45650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20.7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50158-2024</t>
        </is>
      </c>
      <c r="B2611" s="1" t="n">
        <v>45600</v>
      </c>
      <c r="C2611" s="1" t="n">
        <v>45650</v>
      </c>
      <c r="D2611" t="inlineStr">
        <is>
          <t>GÄVLEBORGS LÄN</t>
        </is>
      </c>
      <c r="E2611" t="inlineStr">
        <is>
          <t>LJUSDAL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50229-2024</t>
        </is>
      </c>
      <c r="B2612" s="1" t="n">
        <v>45600</v>
      </c>
      <c r="C2612" s="1" t="n">
        <v>45650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50613-2024</t>
        </is>
      </c>
      <c r="B2613" s="1" t="n">
        <v>45601</v>
      </c>
      <c r="C2613" s="1" t="n">
        <v>45650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45650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50712-2024</t>
        </is>
      </c>
      <c r="B2615" s="1" t="n">
        <v>45602</v>
      </c>
      <c r="C2615" s="1" t="n">
        <v>45650</v>
      </c>
      <c r="D2615" t="inlineStr">
        <is>
          <t>GÄVLEBORGS LÄN</t>
        </is>
      </c>
      <c r="E2615" t="inlineStr">
        <is>
          <t>LJUSDAL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50818-2024</t>
        </is>
      </c>
      <c r="B2616" s="1" t="n">
        <v>45602</v>
      </c>
      <c r="C2616" s="1" t="n">
        <v>45650</v>
      </c>
      <c r="D2616" t="inlineStr">
        <is>
          <t>GÄVLEBORGS LÄN</t>
        </is>
      </c>
      <c r="E2616" t="inlineStr">
        <is>
          <t>LJUSDAL</t>
        </is>
      </c>
      <c r="F2616" t="inlineStr">
        <is>
          <t>Kommuner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50830-2024</t>
        </is>
      </c>
      <c r="B2617" s="1" t="n">
        <v>45602</v>
      </c>
      <c r="C2617" s="1" t="n">
        <v>45650</v>
      </c>
      <c r="D2617" t="inlineStr">
        <is>
          <t>GÄVLEBORGS LÄN</t>
        </is>
      </c>
      <c r="E2617" t="inlineStr">
        <is>
          <t>LJUSDAL</t>
        </is>
      </c>
      <c r="F2617" t="inlineStr">
        <is>
          <t>Holmen skog AB</t>
        </is>
      </c>
      <c r="G2617" t="n">
        <v>16.9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50980-2024</t>
        </is>
      </c>
      <c r="B2618" s="1" t="n">
        <v>45603</v>
      </c>
      <c r="C2618" s="1" t="n">
        <v>45650</v>
      </c>
      <c r="D2618" t="inlineStr">
        <is>
          <t>GÄVLEBORGS LÄN</t>
        </is>
      </c>
      <c r="E2618" t="inlineStr">
        <is>
          <t>LJUSDAL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45650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50973-2024</t>
        </is>
      </c>
      <c r="B2620" s="1" t="n">
        <v>45603</v>
      </c>
      <c r="C2620" s="1" t="n">
        <v>45650</v>
      </c>
      <c r="D2620" t="inlineStr">
        <is>
          <t>GÄVLEBORGS LÄN</t>
        </is>
      </c>
      <c r="E2620" t="inlineStr">
        <is>
          <t>LJUSDAL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51247-2024</t>
        </is>
      </c>
      <c r="B2621" s="1" t="n">
        <v>45603</v>
      </c>
      <c r="C2621" s="1" t="n">
        <v>45650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51236-2024</t>
        </is>
      </c>
      <c r="B2622" s="1" t="n">
        <v>45603</v>
      </c>
      <c r="C2622" s="1" t="n">
        <v>45650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HYPERLINK("https://klasma.github.io/Logging_2161/knärot/A 51236-2024 karta knärot.png", "A 51236-2024")</f>
        <v/>
      </c>
      <c r="V2622">
        <f>HYPERLINK("https://klasma.github.io/Logging_2161/klagomål/A 51236-2024 FSC-klagomål.docx", "A 51236-2024")</f>
        <v/>
      </c>
      <c r="W2622">
        <f>HYPERLINK("https://klasma.github.io/Logging_2161/klagomålsmail/A 51236-2024 FSC-klagomål mail.docx", "A 51236-2024")</f>
        <v/>
      </c>
      <c r="X2622">
        <f>HYPERLINK("https://klasma.github.io/Logging_2161/tillsyn/A 51236-2024 tillsynsbegäran.docx", "A 51236-2024")</f>
        <v/>
      </c>
      <c r="Y2622">
        <f>HYPERLINK("https://klasma.github.io/Logging_2161/tillsynsmail/A 51236-2024 tillsynsbegäran mail.docx", "A 51236-2024")</f>
        <v/>
      </c>
    </row>
    <row r="2623" ht="15" customHeight="1">
      <c r="A2623" t="inlineStr">
        <is>
          <t>A 51109-2024</t>
        </is>
      </c>
      <c r="B2623" s="1" t="n">
        <v>45603</v>
      </c>
      <c r="C2623" s="1" t="n">
        <v>45650</v>
      </c>
      <c r="D2623" t="inlineStr">
        <is>
          <t>GÄVLEBORGS LÄN</t>
        </is>
      </c>
      <c r="E2623" t="inlineStr">
        <is>
          <t>LJUSDAL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51427-2024</t>
        </is>
      </c>
      <c r="B2624" s="1" t="n">
        <v>45604</v>
      </c>
      <c r="C2624" s="1" t="n">
        <v>45650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51599-2024</t>
        </is>
      </c>
      <c r="B2625" s="1" t="n">
        <v>45604</v>
      </c>
      <c r="C2625" s="1" t="n">
        <v>45650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51364-2024</t>
        </is>
      </c>
      <c r="B2626" s="1" t="n">
        <v>45604</v>
      </c>
      <c r="C2626" s="1" t="n">
        <v>45650</v>
      </c>
      <c r="D2626" t="inlineStr">
        <is>
          <t>GÄVLEBORGS LÄN</t>
        </is>
      </c>
      <c r="E2626" t="inlineStr">
        <is>
          <t>LJUSDAL</t>
        </is>
      </c>
      <c r="G2626" t="n">
        <v>10.7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51637-2024</t>
        </is>
      </c>
      <c r="B2627" s="1" t="n">
        <v>45605</v>
      </c>
      <c r="C2627" s="1" t="n">
        <v>45650</v>
      </c>
      <c r="D2627" t="inlineStr">
        <is>
          <t>GÄVLEBORGS LÄN</t>
        </is>
      </c>
      <c r="E2627" t="inlineStr">
        <is>
          <t>LJUSDAL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45650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45650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45650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45650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45650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45650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51869-2024</t>
        </is>
      </c>
      <c r="B2634" s="1" t="n">
        <v>45607</v>
      </c>
      <c r="C2634" s="1" t="n">
        <v>45650</v>
      </c>
      <c r="D2634" t="inlineStr">
        <is>
          <t>GÄVLEBORGS LÄN</t>
        </is>
      </c>
      <c r="E2634" t="inlineStr">
        <is>
          <t>LJUSDAL</t>
        </is>
      </c>
      <c r="F2634" t="inlineStr">
        <is>
          <t>Naturvårdsverket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51719-2024</t>
        </is>
      </c>
      <c r="B2635" s="1" t="n">
        <v>45607</v>
      </c>
      <c r="C2635" s="1" t="n">
        <v>45650</v>
      </c>
      <c r="D2635" t="inlineStr">
        <is>
          <t>GÄVLEBORGS LÄN</t>
        </is>
      </c>
      <c r="E2635" t="inlineStr">
        <is>
          <t>LJUSDAL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51714-2024</t>
        </is>
      </c>
      <c r="B2636" s="1" t="n">
        <v>45607</v>
      </c>
      <c r="C2636" s="1" t="n">
        <v>45650</v>
      </c>
      <c r="D2636" t="inlineStr">
        <is>
          <t>GÄVLEBORGS LÄN</t>
        </is>
      </c>
      <c r="E2636" t="inlineStr">
        <is>
          <t>LJUSDAL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45650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52099-2024</t>
        </is>
      </c>
      <c r="B2638" s="1" t="n">
        <v>45608</v>
      </c>
      <c r="C2638" s="1" t="n">
        <v>45650</v>
      </c>
      <c r="D2638" t="inlineStr">
        <is>
          <t>GÄVLEBORGS LÄN</t>
        </is>
      </c>
      <c r="E2638" t="inlineStr">
        <is>
          <t>LJUSDAL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45650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52365-2024</t>
        </is>
      </c>
      <c r="B2640" s="1" t="n">
        <v>45609</v>
      </c>
      <c r="C2640" s="1" t="n">
        <v>45650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45650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52722-2024</t>
        </is>
      </c>
      <c r="B2642" s="1" t="n">
        <v>45610</v>
      </c>
      <c r="C2642" s="1" t="n">
        <v>45650</v>
      </c>
      <c r="D2642" t="inlineStr">
        <is>
          <t>GÄVLEBORGS LÄN</t>
        </is>
      </c>
      <c r="E2642" t="inlineStr">
        <is>
          <t>LJUSDAL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52917-2024</t>
        </is>
      </c>
      <c r="B2643" s="1" t="n">
        <v>45610</v>
      </c>
      <c r="C2643" s="1" t="n">
        <v>45650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52921-2024</t>
        </is>
      </c>
      <c r="B2644" s="1" t="n">
        <v>45610</v>
      </c>
      <c r="C2644" s="1" t="n">
        <v>45650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52783-2024</t>
        </is>
      </c>
      <c r="B2645" s="1" t="n">
        <v>45610</v>
      </c>
      <c r="C2645" s="1" t="n">
        <v>45650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SCA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52787-2024</t>
        </is>
      </c>
      <c r="B2646" s="1" t="n">
        <v>45610</v>
      </c>
      <c r="C2646" s="1" t="n">
        <v>45650</v>
      </c>
      <c r="D2646" t="inlineStr">
        <is>
          <t>GÄVLEBORGS LÄN</t>
        </is>
      </c>
      <c r="E2646" t="inlineStr">
        <is>
          <t>LJUSDAL</t>
        </is>
      </c>
      <c r="F2646" t="inlineStr">
        <is>
          <t>SCA</t>
        </is>
      </c>
      <c r="G2646" t="n">
        <v>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52915-2024</t>
        </is>
      </c>
      <c r="B2647" s="1" t="n">
        <v>45610</v>
      </c>
      <c r="C2647" s="1" t="n">
        <v>45650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52919-2024</t>
        </is>
      </c>
      <c r="B2648" s="1" t="n">
        <v>45610</v>
      </c>
      <c r="C2648" s="1" t="n">
        <v>45650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53192-2024</t>
        </is>
      </c>
      <c r="B2649" s="1" t="n">
        <v>45611</v>
      </c>
      <c r="C2649" s="1" t="n">
        <v>45650</v>
      </c>
      <c r="D2649" t="inlineStr">
        <is>
          <t>GÄVLEBORGS LÄN</t>
        </is>
      </c>
      <c r="E2649" t="inlineStr">
        <is>
          <t>LJUSDAL</t>
        </is>
      </c>
      <c r="G2649" t="n">
        <v>11.3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53153-2024</t>
        </is>
      </c>
      <c r="B2650" s="1" t="n">
        <v>45611</v>
      </c>
      <c r="C2650" s="1" t="n">
        <v>45650</v>
      </c>
      <c r="D2650" t="inlineStr">
        <is>
          <t>GÄVLEBORGS LÄN</t>
        </is>
      </c>
      <c r="E2650" t="inlineStr">
        <is>
          <t>LJUSDAL</t>
        </is>
      </c>
      <c r="G2650" t="n">
        <v>8.199999999999999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52971-2024</t>
        </is>
      </c>
      <c r="B2651" s="1" t="n">
        <v>45611</v>
      </c>
      <c r="C2651" s="1" t="n">
        <v>45650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52967-2024</t>
        </is>
      </c>
      <c r="B2652" s="1" t="n">
        <v>45611</v>
      </c>
      <c r="C2652" s="1" t="n">
        <v>45650</v>
      </c>
      <c r="D2652" t="inlineStr">
        <is>
          <t>GÄVLEBORGS LÄN</t>
        </is>
      </c>
      <c r="E2652" t="inlineStr">
        <is>
          <t>LJUSDAL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45650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52970-2024</t>
        </is>
      </c>
      <c r="B2654" s="1" t="n">
        <v>45611</v>
      </c>
      <c r="C2654" s="1" t="n">
        <v>45650</v>
      </c>
      <c r="D2654" t="inlineStr">
        <is>
          <t>GÄVLEBORGS LÄN</t>
        </is>
      </c>
      <c r="E2654" t="inlineStr">
        <is>
          <t>LJUSDAL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45650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53001-2024</t>
        </is>
      </c>
      <c r="B2656" s="1" t="n">
        <v>45611</v>
      </c>
      <c r="C2656" s="1" t="n">
        <v>45650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52981-2024</t>
        </is>
      </c>
      <c r="B2657" s="1" t="n">
        <v>45611</v>
      </c>
      <c r="C2657" s="1" t="n">
        <v>45650</v>
      </c>
      <c r="D2657" t="inlineStr">
        <is>
          <t>GÄVLEBORGS LÄN</t>
        </is>
      </c>
      <c r="E2657" t="inlineStr">
        <is>
          <t>LJUSDAL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52973-2024</t>
        </is>
      </c>
      <c r="B2658" s="1" t="n">
        <v>45611</v>
      </c>
      <c r="C2658" s="1" t="n">
        <v>45650</v>
      </c>
      <c r="D2658" t="inlineStr">
        <is>
          <t>GÄVLEBORGS LÄN</t>
        </is>
      </c>
      <c r="E2658" t="inlineStr">
        <is>
          <t>LJUSDAL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53205-2024</t>
        </is>
      </c>
      <c r="B2659" s="1" t="n">
        <v>45612</v>
      </c>
      <c r="C2659" s="1" t="n">
        <v>45650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53508-2024</t>
        </is>
      </c>
      <c r="B2660" s="1" t="n">
        <v>45614</v>
      </c>
      <c r="C2660" s="1" t="n">
        <v>45650</v>
      </c>
      <c r="D2660" t="inlineStr">
        <is>
          <t>GÄVLEBORGS LÄN</t>
        </is>
      </c>
      <c r="E2660" t="inlineStr">
        <is>
          <t>LJUSDAL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53410-2024</t>
        </is>
      </c>
      <c r="B2661" s="1" t="n">
        <v>45614</v>
      </c>
      <c r="C2661" s="1" t="n">
        <v>45650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53450-2024</t>
        </is>
      </c>
      <c r="B2662" s="1" t="n">
        <v>45614</v>
      </c>
      <c r="C2662" s="1" t="n">
        <v>45650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53804-2024</t>
        </is>
      </c>
      <c r="B2663" s="1" t="n">
        <v>45615</v>
      </c>
      <c r="C2663" s="1" t="n">
        <v>45650</v>
      </c>
      <c r="D2663" t="inlineStr">
        <is>
          <t>GÄVLEBORGS LÄN</t>
        </is>
      </c>
      <c r="E2663" t="inlineStr">
        <is>
          <t>LJUSDAL</t>
        </is>
      </c>
      <c r="G2663" t="n">
        <v>34.2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53837-2024</t>
        </is>
      </c>
      <c r="B2664" s="1" t="n">
        <v>45615</v>
      </c>
      <c r="C2664" s="1" t="n">
        <v>45650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53751-2024</t>
        </is>
      </c>
      <c r="B2665" s="1" t="n">
        <v>45615</v>
      </c>
      <c r="C2665" s="1" t="n">
        <v>45650</v>
      </c>
      <c r="D2665" t="inlineStr">
        <is>
          <t>GÄVLEBORGS LÄN</t>
        </is>
      </c>
      <c r="E2665" t="inlineStr">
        <is>
          <t>LJUSDAL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54350-2024</t>
        </is>
      </c>
      <c r="B2666" s="1" t="n">
        <v>45617</v>
      </c>
      <c r="C2666" s="1" t="n">
        <v>45650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45650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54897-2024</t>
        </is>
      </c>
      <c r="B2668" s="1" t="n">
        <v>45618</v>
      </c>
      <c r="C2668" s="1" t="n">
        <v>45650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54906-2024</t>
        </is>
      </c>
      <c r="B2669" s="1" t="n">
        <v>45618</v>
      </c>
      <c r="C2669" s="1" t="n">
        <v>45650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54918-2024</t>
        </is>
      </c>
      <c r="B2670" s="1" t="n">
        <v>45618</v>
      </c>
      <c r="C2670" s="1" t="n">
        <v>45650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54926-2024</t>
        </is>
      </c>
      <c r="B2671" s="1" t="n">
        <v>45618</v>
      </c>
      <c r="C2671" s="1" t="n">
        <v>45650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55291-2024</t>
        </is>
      </c>
      <c r="B2672" s="1" t="n">
        <v>45621</v>
      </c>
      <c r="C2672" s="1" t="n">
        <v>45650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Sveaskog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55320-2024</t>
        </is>
      </c>
      <c r="B2673" s="1" t="n">
        <v>45621</v>
      </c>
      <c r="C2673" s="1" t="n">
        <v>45650</v>
      </c>
      <c r="D2673" t="inlineStr">
        <is>
          <t>GÄVLEBORGS LÄN</t>
        </is>
      </c>
      <c r="E2673" t="inlineStr">
        <is>
          <t>LJUSDAL</t>
        </is>
      </c>
      <c r="G2673" t="n">
        <v>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55324-2024</t>
        </is>
      </c>
      <c r="B2674" s="1" t="n">
        <v>45621</v>
      </c>
      <c r="C2674" s="1" t="n">
        <v>45650</v>
      </c>
      <c r="D2674" t="inlineStr">
        <is>
          <t>GÄVLEBORGS LÄN</t>
        </is>
      </c>
      <c r="E2674" t="inlineStr">
        <is>
          <t>LJUSDAL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55687-2024</t>
        </is>
      </c>
      <c r="B2675" s="1" t="n">
        <v>45622</v>
      </c>
      <c r="C2675" s="1" t="n">
        <v>45650</v>
      </c>
      <c r="D2675" t="inlineStr">
        <is>
          <t>GÄVLEBORGS LÄN</t>
        </is>
      </c>
      <c r="E2675" t="inlineStr">
        <is>
          <t>LJUSDAL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45650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45650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55676-2024</t>
        </is>
      </c>
      <c r="B2678" s="1" t="n">
        <v>45622</v>
      </c>
      <c r="C2678" s="1" t="n">
        <v>45650</v>
      </c>
      <c r="D2678" t="inlineStr">
        <is>
          <t>GÄVLEBORGS LÄN</t>
        </is>
      </c>
      <c r="E2678" t="inlineStr">
        <is>
          <t>LJUSDAL</t>
        </is>
      </c>
      <c r="G2678" t="n">
        <v>11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55983-2024</t>
        </is>
      </c>
      <c r="B2679" s="1" t="n">
        <v>45623</v>
      </c>
      <c r="C2679" s="1" t="n">
        <v>45650</v>
      </c>
      <c r="D2679" t="inlineStr">
        <is>
          <t>GÄVLEBORGS LÄN</t>
        </is>
      </c>
      <c r="E2679" t="inlineStr">
        <is>
          <t>LJUSDAL</t>
        </is>
      </c>
      <c r="F2679" t="inlineStr">
        <is>
          <t>Holmen skog AB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56008-2024</t>
        </is>
      </c>
      <c r="B2680" s="1" t="n">
        <v>45623</v>
      </c>
      <c r="C2680" s="1" t="n">
        <v>45650</v>
      </c>
      <c r="D2680" t="inlineStr">
        <is>
          <t>GÄVLEBORGS LÄN</t>
        </is>
      </c>
      <c r="E2680" t="inlineStr">
        <is>
          <t>LJUSDAL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45650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56035-2024</t>
        </is>
      </c>
      <c r="B2682" s="1" t="n">
        <v>45624</v>
      </c>
      <c r="C2682" s="1" t="n">
        <v>45650</v>
      </c>
      <c r="D2682" t="inlineStr">
        <is>
          <t>GÄVLEBORGS LÄN</t>
        </is>
      </c>
      <c r="E2682" t="inlineStr">
        <is>
          <t>LJUSDAL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56082-2024</t>
        </is>
      </c>
      <c r="B2683" s="1" t="n">
        <v>45624</v>
      </c>
      <c r="C2683" s="1" t="n">
        <v>45650</v>
      </c>
      <c r="D2683" t="inlineStr">
        <is>
          <t>GÄVLEBORGS LÄN</t>
        </is>
      </c>
      <c r="E2683" t="inlineStr">
        <is>
          <t>LJUSDAL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56158-2024</t>
        </is>
      </c>
      <c r="B2684" s="1" t="n">
        <v>45624</v>
      </c>
      <c r="C2684" s="1" t="n">
        <v>45650</v>
      </c>
      <c r="D2684" t="inlineStr">
        <is>
          <t>GÄVLEBORGS LÄN</t>
        </is>
      </c>
      <c r="E2684" t="inlineStr">
        <is>
          <t>LJUSDAL</t>
        </is>
      </c>
      <c r="G2684" t="n">
        <v>7.5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56075-2024</t>
        </is>
      </c>
      <c r="B2685" s="1" t="n">
        <v>45624</v>
      </c>
      <c r="C2685" s="1" t="n">
        <v>45650</v>
      </c>
      <c r="D2685" t="inlineStr">
        <is>
          <t>GÄVLEBORGS LÄN</t>
        </is>
      </c>
      <c r="E2685" t="inlineStr">
        <is>
          <t>LJUSDAL</t>
        </is>
      </c>
      <c r="F2685" t="inlineStr">
        <is>
          <t>SCA</t>
        </is>
      </c>
      <c r="G2685" t="n">
        <v>9.1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56264-2024</t>
        </is>
      </c>
      <c r="B2686" s="1" t="n">
        <v>45624</v>
      </c>
      <c r="C2686" s="1" t="n">
        <v>45650</v>
      </c>
      <c r="D2686" t="inlineStr">
        <is>
          <t>GÄVLEBORGS LÄN</t>
        </is>
      </c>
      <c r="E2686" t="inlineStr">
        <is>
          <t>LJUSDAL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56272-2024</t>
        </is>
      </c>
      <c r="B2687" s="1" t="n">
        <v>45624</v>
      </c>
      <c r="C2687" s="1" t="n">
        <v>45650</v>
      </c>
      <c r="D2687" t="inlineStr">
        <is>
          <t>GÄVLEBORGS LÄN</t>
        </is>
      </c>
      <c r="E2687" t="inlineStr">
        <is>
          <t>LJUSDAL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56355-2024</t>
        </is>
      </c>
      <c r="B2688" s="1" t="n">
        <v>45624</v>
      </c>
      <c r="C2688" s="1" t="n">
        <v>45650</v>
      </c>
      <c r="D2688" t="inlineStr">
        <is>
          <t>GÄVLEBORGS LÄN</t>
        </is>
      </c>
      <c r="E2688" t="inlineStr">
        <is>
          <t>LJUSDAL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56267-2024</t>
        </is>
      </c>
      <c r="B2689" s="1" t="n">
        <v>45624</v>
      </c>
      <c r="C2689" s="1" t="n">
        <v>45650</v>
      </c>
      <c r="D2689" t="inlineStr">
        <is>
          <t>GÄVLEBORGS LÄN</t>
        </is>
      </c>
      <c r="E2689" t="inlineStr">
        <is>
          <t>LJUSDAL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45650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56380-2024</t>
        </is>
      </c>
      <c r="B2691" s="1" t="n">
        <v>45625</v>
      </c>
      <c r="C2691" s="1" t="n">
        <v>45650</v>
      </c>
      <c r="D2691" t="inlineStr">
        <is>
          <t>GÄVLEBORGS LÄN</t>
        </is>
      </c>
      <c r="E2691" t="inlineStr">
        <is>
          <t>LJUSDAL</t>
        </is>
      </c>
      <c r="F2691" t="inlineStr">
        <is>
          <t>Holmen skog AB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56616-2024</t>
        </is>
      </c>
      <c r="B2692" s="1" t="n">
        <v>45625</v>
      </c>
      <c r="C2692" s="1" t="n">
        <v>45650</v>
      </c>
      <c r="D2692" t="inlineStr">
        <is>
          <t>GÄVLEBORGS LÄN</t>
        </is>
      </c>
      <c r="E2692" t="inlineStr">
        <is>
          <t>LJUSDAL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56666-2024</t>
        </is>
      </c>
      <c r="B2693" s="1" t="n">
        <v>45626</v>
      </c>
      <c r="C2693" s="1" t="n">
        <v>45650</v>
      </c>
      <c r="D2693" t="inlineStr">
        <is>
          <t>GÄVLEBORGS LÄN</t>
        </is>
      </c>
      <c r="E2693" t="inlineStr">
        <is>
          <t>LJUSDAL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57072-2024</t>
        </is>
      </c>
      <c r="B2694" s="1" t="n">
        <v>45629</v>
      </c>
      <c r="C2694" s="1" t="n">
        <v>45650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SCA</t>
        </is>
      </c>
      <c r="G2694" t="n">
        <v>5.3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57091-2024</t>
        </is>
      </c>
      <c r="B2695" s="1" t="n">
        <v>45629</v>
      </c>
      <c r="C2695" s="1" t="n">
        <v>45650</v>
      </c>
      <c r="D2695" t="inlineStr">
        <is>
          <t>GÄVLEBORGS LÄN</t>
        </is>
      </c>
      <c r="E2695" t="inlineStr">
        <is>
          <t>LJUSDAL</t>
        </is>
      </c>
      <c r="F2695" t="inlineStr">
        <is>
          <t>SCA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57106-2024</t>
        </is>
      </c>
      <c r="B2696" s="1" t="n">
        <v>45629</v>
      </c>
      <c r="C2696" s="1" t="n">
        <v>45650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6.8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57113-2024</t>
        </is>
      </c>
      <c r="B2697" s="1" t="n">
        <v>45629</v>
      </c>
      <c r="C2697" s="1" t="n">
        <v>45650</v>
      </c>
      <c r="D2697" t="inlineStr">
        <is>
          <t>GÄVLEBORGS LÄN</t>
        </is>
      </c>
      <c r="E2697" t="inlineStr">
        <is>
          <t>LJUSDAL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57356-2024</t>
        </is>
      </c>
      <c r="B2698" s="1" t="n">
        <v>45629</v>
      </c>
      <c r="C2698" s="1" t="n">
        <v>45650</v>
      </c>
      <c r="D2698" t="inlineStr">
        <is>
          <t>GÄVLEBORGS LÄN</t>
        </is>
      </c>
      <c r="E2698" t="inlineStr">
        <is>
          <t>LJUSDAL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57164-2024</t>
        </is>
      </c>
      <c r="B2699" s="1" t="n">
        <v>45629</v>
      </c>
      <c r="C2699" s="1" t="n">
        <v>45650</v>
      </c>
      <c r="D2699" t="inlineStr">
        <is>
          <t>GÄVLEBORGS LÄN</t>
        </is>
      </c>
      <c r="E2699" t="inlineStr">
        <is>
          <t>LJUSDAL</t>
        </is>
      </c>
      <c r="F2699" t="inlineStr">
        <is>
          <t>Naturvårdsverket</t>
        </is>
      </c>
      <c r="G2699" t="n">
        <v>18.5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57193-2024</t>
        </is>
      </c>
      <c r="B2700" s="1" t="n">
        <v>45629</v>
      </c>
      <c r="C2700" s="1" t="n">
        <v>45650</v>
      </c>
      <c r="D2700" t="inlineStr">
        <is>
          <t>GÄVLEBORGS LÄN</t>
        </is>
      </c>
      <c r="E2700" t="inlineStr">
        <is>
          <t>LJUSDAL</t>
        </is>
      </c>
      <c r="F2700" t="inlineStr">
        <is>
          <t>Naturvårdsverket</t>
        </is>
      </c>
      <c r="G2700" t="n">
        <v>6.4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57189-2024</t>
        </is>
      </c>
      <c r="B2701" s="1" t="n">
        <v>45629</v>
      </c>
      <c r="C2701" s="1" t="n">
        <v>45650</v>
      </c>
      <c r="D2701" t="inlineStr">
        <is>
          <t>GÄVLEBORGS LÄN</t>
        </is>
      </c>
      <c r="E2701" t="inlineStr">
        <is>
          <t>LJUSDAL</t>
        </is>
      </c>
      <c r="F2701" t="inlineStr">
        <is>
          <t>Holmen skog AB</t>
        </is>
      </c>
      <c r="G2701" t="n">
        <v>0.3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57315-2024</t>
        </is>
      </c>
      <c r="B2702" s="1" t="n">
        <v>45629</v>
      </c>
      <c r="C2702" s="1" t="n">
        <v>45650</v>
      </c>
      <c r="D2702" t="inlineStr">
        <is>
          <t>GÄVLEBORGS LÄN</t>
        </is>
      </c>
      <c r="E2702" t="inlineStr">
        <is>
          <t>LJUSDAL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57664-2024</t>
        </is>
      </c>
      <c r="B2703" s="1" t="n">
        <v>45630</v>
      </c>
      <c r="C2703" s="1" t="n">
        <v>45650</v>
      </c>
      <c r="D2703" t="inlineStr">
        <is>
          <t>GÄVLEBORGS LÄN</t>
        </is>
      </c>
      <c r="E2703" t="inlineStr">
        <is>
          <t>LJUSDAL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57758-2024</t>
        </is>
      </c>
      <c r="B2704" s="1" t="n">
        <v>45630</v>
      </c>
      <c r="C2704" s="1" t="n">
        <v>45650</v>
      </c>
      <c r="D2704" t="inlineStr">
        <is>
          <t>GÄVLEBORGS LÄN</t>
        </is>
      </c>
      <c r="E2704" t="inlineStr">
        <is>
          <t>LJUSDAL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45650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57784-2024</t>
        </is>
      </c>
      <c r="B2706" s="1" t="n">
        <v>45631</v>
      </c>
      <c r="C2706" s="1" t="n">
        <v>45650</v>
      </c>
      <c r="D2706" t="inlineStr">
        <is>
          <t>GÄVLEBORGS LÄN</t>
        </is>
      </c>
      <c r="E2706" t="inlineStr">
        <is>
          <t>LJUSDAL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57886-2024</t>
        </is>
      </c>
      <c r="B2707" s="1" t="n">
        <v>45631</v>
      </c>
      <c r="C2707" s="1" t="n">
        <v>45650</v>
      </c>
      <c r="D2707" t="inlineStr">
        <is>
          <t>GÄVLEBORGS LÄN</t>
        </is>
      </c>
      <c r="E2707" t="inlineStr">
        <is>
          <t>LJUSDAL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58053-2024</t>
        </is>
      </c>
      <c r="B2708" s="1" t="n">
        <v>45631</v>
      </c>
      <c r="C2708" s="1" t="n">
        <v>45650</v>
      </c>
      <c r="D2708" t="inlineStr">
        <is>
          <t>GÄVLEBORGS LÄN</t>
        </is>
      </c>
      <c r="E2708" t="inlineStr">
        <is>
          <t>LJUSDAL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58168-2024</t>
        </is>
      </c>
      <c r="B2709" s="1" t="n">
        <v>45632</v>
      </c>
      <c r="C2709" s="1" t="n">
        <v>45650</v>
      </c>
      <c r="D2709" t="inlineStr">
        <is>
          <t>GÄVLEBORGS LÄN</t>
        </is>
      </c>
      <c r="E2709" t="inlineStr">
        <is>
          <t>LJUSDAL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45650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58173-2024</t>
        </is>
      </c>
      <c r="B2711" s="1" t="n">
        <v>45632</v>
      </c>
      <c r="C2711" s="1" t="n">
        <v>45650</v>
      </c>
      <c r="D2711" t="inlineStr">
        <is>
          <t>GÄVLEBORGS LÄN</t>
        </is>
      </c>
      <c r="E2711" t="inlineStr">
        <is>
          <t>LJUSDAL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58320-2024</t>
        </is>
      </c>
      <c r="B2712" s="1" t="n">
        <v>45632</v>
      </c>
      <c r="C2712" s="1" t="n">
        <v>45650</v>
      </c>
      <c r="D2712" t="inlineStr">
        <is>
          <t>GÄVLEBORGS LÄN</t>
        </is>
      </c>
      <c r="E2712" t="inlineStr">
        <is>
          <t>LJUSDAL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58372-2024</t>
        </is>
      </c>
      <c r="B2713" s="1" t="n">
        <v>45632</v>
      </c>
      <c r="C2713" s="1" t="n">
        <v>45650</v>
      </c>
      <c r="D2713" t="inlineStr">
        <is>
          <t>GÄVLEBORGS LÄN</t>
        </is>
      </c>
      <c r="E2713" t="inlineStr">
        <is>
          <t>LJUSDAL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58604-2024</t>
        </is>
      </c>
      <c r="B2714" s="1" t="n">
        <v>45632</v>
      </c>
      <c r="C2714" s="1" t="n">
        <v>45650</v>
      </c>
      <c r="D2714" t="inlineStr">
        <is>
          <t>GÄVLEBORGS LÄN</t>
        </is>
      </c>
      <c r="E2714" t="inlineStr">
        <is>
          <t>LJUSDAL</t>
        </is>
      </c>
      <c r="G2714" t="n">
        <v>5.6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58599-2024</t>
        </is>
      </c>
      <c r="B2715" s="1" t="n">
        <v>45635</v>
      </c>
      <c r="C2715" s="1" t="n">
        <v>45650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58718-2024</t>
        </is>
      </c>
      <c r="B2716" s="1" t="n">
        <v>45635</v>
      </c>
      <c r="C2716" s="1" t="n">
        <v>45650</v>
      </c>
      <c r="D2716" t="inlineStr">
        <is>
          <t>GÄVLEBORGS LÄN</t>
        </is>
      </c>
      <c r="E2716" t="inlineStr">
        <is>
          <t>LJUSDAL</t>
        </is>
      </c>
      <c r="G2716" t="n">
        <v>6.4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58598-2024</t>
        </is>
      </c>
      <c r="B2717" s="1" t="n">
        <v>45635</v>
      </c>
      <c r="C2717" s="1" t="n">
        <v>45650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58602-2024</t>
        </is>
      </c>
      <c r="B2718" s="1" t="n">
        <v>45635</v>
      </c>
      <c r="C2718" s="1" t="n">
        <v>45650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58802-2024</t>
        </is>
      </c>
      <c r="B2719" s="1" t="n">
        <v>45636</v>
      </c>
      <c r="C2719" s="1" t="n">
        <v>45650</v>
      </c>
      <c r="D2719" t="inlineStr">
        <is>
          <t>GÄVLEBORGS LÄN</t>
        </is>
      </c>
      <c r="E2719" t="inlineStr">
        <is>
          <t>LJUSDAL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45650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58900-2024</t>
        </is>
      </c>
      <c r="B2721" s="1" t="n">
        <v>45636</v>
      </c>
      <c r="C2721" s="1" t="n">
        <v>45650</v>
      </c>
      <c r="D2721" t="inlineStr">
        <is>
          <t>GÄVLEBORGS LÄN</t>
        </is>
      </c>
      <c r="E2721" t="inlineStr">
        <is>
          <t>LJUSDAL</t>
        </is>
      </c>
      <c r="G2721" t="n">
        <v>9.9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59251-2024</t>
        </is>
      </c>
      <c r="B2722" s="1" t="n">
        <v>45637</v>
      </c>
      <c r="C2722" s="1" t="n">
        <v>45650</v>
      </c>
      <c r="D2722" t="inlineStr">
        <is>
          <t>GÄVLEBORGS LÄN</t>
        </is>
      </c>
      <c r="E2722" t="inlineStr">
        <is>
          <t>LJUSDAL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59252-2024</t>
        </is>
      </c>
      <c r="B2723" s="1" t="n">
        <v>45637</v>
      </c>
      <c r="C2723" s="1" t="n">
        <v>45650</v>
      </c>
      <c r="D2723" t="inlineStr">
        <is>
          <t>GÄVLEBORGS LÄN</t>
        </is>
      </c>
      <c r="E2723" t="inlineStr">
        <is>
          <t>LJUSDAL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60197-2024</t>
        </is>
      </c>
      <c r="B2724" s="1" t="n">
        <v>45642</v>
      </c>
      <c r="C2724" s="1" t="n">
        <v>45650</v>
      </c>
      <c r="D2724" t="inlineStr">
        <is>
          <t>GÄVLEBORGS LÄN</t>
        </is>
      </c>
      <c r="E2724" t="inlineStr">
        <is>
          <t>LJUSDAL</t>
        </is>
      </c>
      <c r="G2724" t="n">
        <v>4.9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60288-2024</t>
        </is>
      </c>
      <c r="B2725" s="1" t="n">
        <v>45643</v>
      </c>
      <c r="C2725" s="1" t="n">
        <v>45650</v>
      </c>
      <c r="D2725" t="inlineStr">
        <is>
          <t>GÄVLEBORGS LÄN</t>
        </is>
      </c>
      <c r="E2725" t="inlineStr">
        <is>
          <t>LJUSDAL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60257-2024</t>
        </is>
      </c>
      <c r="B2726" s="1" t="n">
        <v>45642</v>
      </c>
      <c r="C2726" s="1" t="n">
        <v>45650</v>
      </c>
      <c r="D2726" t="inlineStr">
        <is>
          <t>GÄVLEBORGS LÄN</t>
        </is>
      </c>
      <c r="E2726" t="inlineStr">
        <is>
          <t>LJUSDAL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45650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45650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60464-2024</t>
        </is>
      </c>
      <c r="B2729" s="1" t="n">
        <v>45643</v>
      </c>
      <c r="C2729" s="1" t="n">
        <v>45650</v>
      </c>
      <c r="D2729" t="inlineStr">
        <is>
          <t>GÄVLEBORGS LÄN</t>
        </is>
      </c>
      <c r="E2729" t="inlineStr">
        <is>
          <t>LJUSDAL</t>
        </is>
      </c>
      <c r="G2729" t="n">
        <v>4.8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60793-2024</t>
        </is>
      </c>
      <c r="B2730" s="1" t="n">
        <v>45644</v>
      </c>
      <c r="C2730" s="1" t="n">
        <v>45650</v>
      </c>
      <c r="D2730" t="inlineStr">
        <is>
          <t>GÄVLEBORGS LÄN</t>
        </is>
      </c>
      <c r="E2730" t="inlineStr">
        <is>
          <t>LJUSDAL</t>
        </is>
      </c>
      <c r="G2730" t="n">
        <v>19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60833-2024</t>
        </is>
      </c>
      <c r="B2731" s="1" t="n">
        <v>45644</v>
      </c>
      <c r="C2731" s="1" t="n">
        <v>45650</v>
      </c>
      <c r="D2731" t="inlineStr">
        <is>
          <t>GÄVLEBORGS LÄN</t>
        </is>
      </c>
      <c r="E2731" t="inlineStr">
        <is>
          <t>LJUSDAL</t>
        </is>
      </c>
      <c r="G2731" t="n">
        <v>11.7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45650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60896-2024</t>
        </is>
      </c>
      <c r="B2733" s="1" t="n">
        <v>45645</v>
      </c>
      <c r="C2733" s="1" t="n">
        <v>45650</v>
      </c>
      <c r="D2733" t="inlineStr">
        <is>
          <t>GÄVLEBORGS LÄN</t>
        </is>
      </c>
      <c r="E2733" t="inlineStr">
        <is>
          <t>LJUSDAL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60914-2024</t>
        </is>
      </c>
      <c r="B2734" s="1" t="n">
        <v>45645</v>
      </c>
      <c r="C2734" s="1" t="n">
        <v>45650</v>
      </c>
      <c r="D2734" t="inlineStr">
        <is>
          <t>GÄVLEBORGS LÄN</t>
        </is>
      </c>
      <c r="E2734" t="inlineStr">
        <is>
          <t>LJUSDAL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61091-2024</t>
        </is>
      </c>
      <c r="B2735" s="1" t="n">
        <v>45645</v>
      </c>
      <c r="C2735" s="1" t="n">
        <v>45650</v>
      </c>
      <c r="D2735" t="inlineStr">
        <is>
          <t>GÄVLEBORGS LÄN</t>
        </is>
      </c>
      <c r="E2735" t="inlineStr">
        <is>
          <t>LJUSDAL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61189-2024</t>
        </is>
      </c>
      <c r="B2736" s="1" t="n">
        <v>45645</v>
      </c>
      <c r="C2736" s="1" t="n">
        <v>45650</v>
      </c>
      <c r="D2736" t="inlineStr">
        <is>
          <t>GÄVLEBORGS LÄN</t>
        </is>
      </c>
      <c r="E2736" t="inlineStr">
        <is>
          <t>LJUSDAL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61474-2024</t>
        </is>
      </c>
      <c r="B2737" s="1" t="n">
        <v>45646</v>
      </c>
      <c r="C2737" s="1" t="n">
        <v>45650</v>
      </c>
      <c r="D2737" t="inlineStr">
        <is>
          <t>GÄVLEBORGS LÄN</t>
        </is>
      </c>
      <c r="E2737" t="inlineStr">
        <is>
          <t>LJUSDAL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45650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>
      <c r="A2739" t="inlineStr">
        <is>
          <t>A 61420-2024</t>
        </is>
      </c>
      <c r="B2739" s="1" t="n">
        <v>45646</v>
      </c>
      <c r="C2739" s="1" t="n">
        <v>45650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2024-12-24T15:36:20Z</dcterms:created>
  <dcterms:modified xmlns:dcterms="http://purl.org/dc/terms/" xmlns:xsi="http://www.w3.org/2001/XMLSchema-instance" xsi:type="dcterms:W3CDTF">2024-12-24T15:36:23Z</dcterms:modified>
</cp:coreProperties>
</file>