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46076</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46076</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46076</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46076</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46076</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46076</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46076</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46076</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46076</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46076</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46076</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46076</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46076</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46076</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46076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46076</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46076</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46076</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46076</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46076</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46076</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46076</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46076</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46076</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46076</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46076</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46076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46076</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46076</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46076</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46076</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46076</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46076</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46076</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46076</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21134-2024</t>
        </is>
      </c>
      <c r="B46" s="1" t="n">
        <v>45440</v>
      </c>
      <c r="C46" s="1" t="n">
        <v>46076</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55957-2025</t>
        </is>
      </c>
      <c r="B47" s="1" t="n">
        <v>45973.47646990741</v>
      </c>
      <c r="C47" s="1" t="n">
        <v>46076</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51222-2023</t>
        </is>
      </c>
      <c r="B48" s="1" t="n">
        <v>45219.45547453704</v>
      </c>
      <c r="C48" s="1" t="n">
        <v>46076</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46076</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28859-2025</t>
        </is>
      </c>
      <c r="B50" s="1" t="n">
        <v>45820</v>
      </c>
      <c r="C50" s="1" t="n">
        <v>46076</v>
      </c>
      <c r="D50" t="inlineStr">
        <is>
          <t>GÄVLEBORGS LÄN</t>
        </is>
      </c>
      <c r="E50" t="inlineStr">
        <is>
          <t>LJUSDAL</t>
        </is>
      </c>
      <c r="F50" t="inlineStr">
        <is>
          <t>Bergvik skog väst AB</t>
        </is>
      </c>
      <c r="G50" t="n">
        <v>10.2</v>
      </c>
      <c r="H50" t="n">
        <v>4</v>
      </c>
      <c r="I50" t="n">
        <v>0</v>
      </c>
      <c r="J50" t="n">
        <v>4</v>
      </c>
      <c r="K50" t="n">
        <v>0</v>
      </c>
      <c r="L50" t="n">
        <v>0</v>
      </c>
      <c r="M50" t="n">
        <v>0</v>
      </c>
      <c r="N50" t="n">
        <v>0</v>
      </c>
      <c r="O50" t="n">
        <v>4</v>
      </c>
      <c r="P50" t="n">
        <v>0</v>
      </c>
      <c r="Q50" t="n">
        <v>6</v>
      </c>
      <c r="R50" s="2" t="inlineStr">
        <is>
          <t>Garnlav
Lunglav
Talltita
Tretåig hackspett
Kungsfågel
Tjäder</t>
        </is>
      </c>
      <c r="S50">
        <f>HYPERLINK("https://klasma.github.io/Logging_2161/artfynd/A 28859-2025 artfynd.xlsx", "A 28859-2025")</f>
        <v/>
      </c>
      <c r="T50">
        <f>HYPERLINK("https://klasma.github.io/Logging_2161/kartor/A 28859-2025 karta.png", "A 28859-2025")</f>
        <v/>
      </c>
      <c r="V50">
        <f>HYPERLINK("https://klasma.github.io/Logging_2161/klagomål/A 28859-2025 FSC-klagomål.docx", "A 28859-2025")</f>
        <v/>
      </c>
      <c r="W50">
        <f>HYPERLINK("https://klasma.github.io/Logging_2161/klagomålsmail/A 28859-2025 FSC-klagomål mail.docx", "A 28859-2025")</f>
        <v/>
      </c>
      <c r="X50">
        <f>HYPERLINK("https://klasma.github.io/Logging_2161/tillsyn/A 28859-2025 tillsynsbegäran.docx", "A 28859-2025")</f>
        <v/>
      </c>
      <c r="Y50">
        <f>HYPERLINK("https://klasma.github.io/Logging_2161/tillsynsmail/A 28859-2025 tillsynsbegäran mail.docx", "A 28859-2025")</f>
        <v/>
      </c>
      <c r="Z50">
        <f>HYPERLINK("https://klasma.github.io/Logging_2161/fåglar/A 28859-2025 prioriterade fågelarter.docx", "A 28859-2025")</f>
        <v/>
      </c>
    </row>
    <row r="51" ht="15" customHeight="1">
      <c r="A51" t="inlineStr">
        <is>
          <t>A 31182-2025</t>
        </is>
      </c>
      <c r="B51" s="1" t="n">
        <v>45832.67755787037</v>
      </c>
      <c r="C51" s="1" t="n">
        <v>46076</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32574-2025</t>
        </is>
      </c>
      <c r="B52" s="1" t="n">
        <v>45838.58512731481</v>
      </c>
      <c r="C52" s="1" t="n">
        <v>46076</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46076</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44198-2025</t>
        </is>
      </c>
      <c r="B54" s="1" t="n">
        <v>45915.62078703703</v>
      </c>
      <c r="C54" s="1" t="n">
        <v>46076</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46076</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34286-2025</t>
        </is>
      </c>
      <c r="B56" s="1" t="n">
        <v>45846</v>
      </c>
      <c r="C56" s="1" t="n">
        <v>46076</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46076</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46076</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45388-2024</t>
        </is>
      </c>
      <c r="B59" s="1" t="n">
        <v>45576.54619212963</v>
      </c>
      <c r="C59" s="1" t="n">
        <v>46076</v>
      </c>
      <c r="D59" t="inlineStr">
        <is>
          <t>GÄVLEBORGS LÄN</t>
        </is>
      </c>
      <c r="E59" t="inlineStr">
        <is>
          <t>LJUSDAL</t>
        </is>
      </c>
      <c r="F59" t="inlineStr">
        <is>
          <t>Sveaskog</t>
        </is>
      </c>
      <c r="G59" t="n">
        <v>13.2</v>
      </c>
      <c r="H59" t="n">
        <v>1</v>
      </c>
      <c r="I59" t="n">
        <v>3</v>
      </c>
      <c r="J59" t="n">
        <v>3</v>
      </c>
      <c r="K59" t="n">
        <v>0</v>
      </c>
      <c r="L59" t="n">
        <v>0</v>
      </c>
      <c r="M59" t="n">
        <v>0</v>
      </c>
      <c r="N59" t="n">
        <v>0</v>
      </c>
      <c r="O59" t="n">
        <v>3</v>
      </c>
      <c r="P59" t="n">
        <v>0</v>
      </c>
      <c r="Q59" t="n">
        <v>6</v>
      </c>
      <c r="R59" s="2" t="inlineStr">
        <is>
          <t>Garnlav
Talltita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c r="Z59">
        <f>HYPERLINK("https://klasma.github.io/Logging_2161/fåglar/A 45388-2024 prioriterade fågelarter.docx", "A 45388-2024")</f>
        <v/>
      </c>
    </row>
    <row r="60" ht="15" customHeight="1">
      <c r="A60" t="inlineStr">
        <is>
          <t>A 32783-2022</t>
        </is>
      </c>
      <c r="B60" s="1" t="n">
        <v>44784</v>
      </c>
      <c r="C60" s="1" t="n">
        <v>46076</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46076</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46076</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46076</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46076</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46076</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28531-2025</t>
        </is>
      </c>
      <c r="B66" s="1" t="n">
        <v>45819.49947916667</v>
      </c>
      <c r="C66" s="1" t="n">
        <v>46076</v>
      </c>
      <c r="D66" t="inlineStr">
        <is>
          <t>GÄVLEBORGS LÄN</t>
        </is>
      </c>
      <c r="E66" t="inlineStr">
        <is>
          <t>LJUSDAL</t>
        </is>
      </c>
      <c r="F66" t="inlineStr">
        <is>
          <t>Allmännings- och besparingsskogar</t>
        </is>
      </c>
      <c r="G66" t="n">
        <v>1.2</v>
      </c>
      <c r="H66" t="n">
        <v>1</v>
      </c>
      <c r="I66" t="n">
        <v>1</v>
      </c>
      <c r="J66" t="n">
        <v>4</v>
      </c>
      <c r="K66" t="n">
        <v>0</v>
      </c>
      <c r="L66" t="n">
        <v>0</v>
      </c>
      <c r="M66" t="n">
        <v>0</v>
      </c>
      <c r="N66" t="n">
        <v>0</v>
      </c>
      <c r="O66" t="n">
        <v>4</v>
      </c>
      <c r="P66" t="n">
        <v>0</v>
      </c>
      <c r="Q66" t="n">
        <v>5</v>
      </c>
      <c r="R66" s="2" t="inlineStr">
        <is>
          <t>Garnlav
Kolflarnlav
Mörk kolflarnlav
Vedskivlav
Plattlummer</t>
        </is>
      </c>
      <c r="S66">
        <f>HYPERLINK("https://klasma.github.io/Logging_2161/artfynd/A 28531-2025 artfynd.xlsx", "A 28531-2025")</f>
        <v/>
      </c>
      <c r="T66">
        <f>HYPERLINK("https://klasma.github.io/Logging_2161/kartor/A 28531-2025 karta.png", "A 28531-2025")</f>
        <v/>
      </c>
      <c r="V66">
        <f>HYPERLINK("https://klasma.github.io/Logging_2161/klagomål/A 28531-2025 FSC-klagomål.docx", "A 28531-2025")</f>
        <v/>
      </c>
      <c r="W66">
        <f>HYPERLINK("https://klasma.github.io/Logging_2161/klagomålsmail/A 28531-2025 FSC-klagomål mail.docx", "A 28531-2025")</f>
        <v/>
      </c>
      <c r="X66">
        <f>HYPERLINK("https://klasma.github.io/Logging_2161/tillsyn/A 28531-2025 tillsynsbegäran.docx", "A 28531-2025")</f>
        <v/>
      </c>
      <c r="Y66">
        <f>HYPERLINK("https://klasma.github.io/Logging_2161/tillsynsmail/A 28531-2025 tillsynsbegäran mail.docx", "A 28531-2025")</f>
        <v/>
      </c>
    </row>
    <row r="67" ht="15" customHeight="1">
      <c r="A67" t="inlineStr">
        <is>
          <t>A 39028-2025</t>
        </is>
      </c>
      <c r="B67" s="1" t="n">
        <v>45888.40666666667</v>
      </c>
      <c r="C67" s="1" t="n">
        <v>46076</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46076</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32536-2025</t>
        </is>
      </c>
      <c r="B69" s="1" t="n">
        <v>45838.49390046296</v>
      </c>
      <c r="C69" s="1" t="n">
        <v>46076</v>
      </c>
      <c r="D69" t="inlineStr">
        <is>
          <t>GÄVLEBORGS LÄN</t>
        </is>
      </c>
      <c r="E69" t="inlineStr">
        <is>
          <t>LJUSDAL</t>
        </is>
      </c>
      <c r="F69" t="inlineStr">
        <is>
          <t>Sveaskog</t>
        </is>
      </c>
      <c r="G69" t="n">
        <v>4.6</v>
      </c>
      <c r="H69" t="n">
        <v>0</v>
      </c>
      <c r="I69" t="n">
        <v>0</v>
      </c>
      <c r="J69" t="n">
        <v>5</v>
      </c>
      <c r="K69" t="n">
        <v>0</v>
      </c>
      <c r="L69" t="n">
        <v>0</v>
      </c>
      <c r="M69" t="n">
        <v>0</v>
      </c>
      <c r="N69" t="n">
        <v>0</v>
      </c>
      <c r="O69" t="n">
        <v>5</v>
      </c>
      <c r="P69" t="n">
        <v>0</v>
      </c>
      <c r="Q69" t="n">
        <v>5</v>
      </c>
      <c r="R69" s="2" t="inlineStr">
        <is>
          <t>Garnlav
Kolflarnlav
Lunglav
Skrovellav
Vedflamlav</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42179-2025</t>
        </is>
      </c>
      <c r="B70" s="1" t="n">
        <v>45904.45008101852</v>
      </c>
      <c r="C70" s="1" t="n">
        <v>46076</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44448-2025</t>
        </is>
      </c>
      <c r="B71" s="1" t="n">
        <v>45916.59887731481</v>
      </c>
      <c r="C71" s="1" t="n">
        <v>46076</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35626-2025</t>
        </is>
      </c>
      <c r="B72" s="1" t="n">
        <v>45859.43328703703</v>
      </c>
      <c r="C72" s="1" t="n">
        <v>46076</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62566-2025</t>
        </is>
      </c>
      <c r="B73" s="1" t="n">
        <v>46007.69851851852</v>
      </c>
      <c r="C73" s="1" t="n">
        <v>46076</v>
      </c>
      <c r="D73" t="inlineStr">
        <is>
          <t>GÄVLEBORGS LÄN</t>
        </is>
      </c>
      <c r="E73" t="inlineStr">
        <is>
          <t>LJUSDAL</t>
        </is>
      </c>
      <c r="G73" t="n">
        <v>4</v>
      </c>
      <c r="H73" t="n">
        <v>3</v>
      </c>
      <c r="I73" t="n">
        <v>2</v>
      </c>
      <c r="J73" t="n">
        <v>1</v>
      </c>
      <c r="K73" t="n">
        <v>1</v>
      </c>
      <c r="L73" t="n">
        <v>0</v>
      </c>
      <c r="M73" t="n">
        <v>0</v>
      </c>
      <c r="N73" t="n">
        <v>0</v>
      </c>
      <c r="O73" t="n">
        <v>2</v>
      </c>
      <c r="P73" t="n">
        <v>1</v>
      </c>
      <c r="Q73" t="n">
        <v>5</v>
      </c>
      <c r="R73" s="2" t="inlineStr">
        <is>
          <t>Knärot
Tallticka
Nästlav
Plattlummer
Tjäder</t>
        </is>
      </c>
      <c r="S73">
        <f>HYPERLINK("https://klasma.github.io/Logging_2161/artfynd/A 62566-2025 artfynd.xlsx", "A 62566-2025")</f>
        <v/>
      </c>
      <c r="T73">
        <f>HYPERLINK("https://klasma.github.io/Logging_2161/kartor/A 62566-2025 karta.png", "A 62566-2025")</f>
        <v/>
      </c>
      <c r="U73">
        <f>HYPERLINK("https://klasma.github.io/Logging_2161/knärot/A 62566-2025 karta knärot.png", "A 62566-2025")</f>
        <v/>
      </c>
      <c r="V73">
        <f>HYPERLINK("https://klasma.github.io/Logging_2161/klagomål/A 62566-2025 FSC-klagomål.docx", "A 62566-2025")</f>
        <v/>
      </c>
      <c r="W73">
        <f>HYPERLINK("https://klasma.github.io/Logging_2161/klagomålsmail/A 62566-2025 FSC-klagomål mail.docx", "A 62566-2025")</f>
        <v/>
      </c>
      <c r="X73">
        <f>HYPERLINK("https://klasma.github.io/Logging_2161/tillsyn/A 62566-2025 tillsynsbegäran.docx", "A 62566-2025")</f>
        <v/>
      </c>
      <c r="Y73">
        <f>HYPERLINK("https://klasma.github.io/Logging_2161/tillsynsmail/A 62566-2025 tillsynsbegäran mail.docx", "A 62566-2025")</f>
        <v/>
      </c>
      <c r="Z73">
        <f>HYPERLINK("https://klasma.github.io/Logging_2161/fåglar/A 62566-2025 prioriterade fågelarter.docx", "A 62566-2025")</f>
        <v/>
      </c>
    </row>
    <row r="74" ht="15" customHeight="1">
      <c r="A74" t="inlineStr">
        <is>
          <t>A 21038-2025</t>
        </is>
      </c>
      <c r="B74" s="1" t="n">
        <v>45777.53201388889</v>
      </c>
      <c r="C74" s="1" t="n">
        <v>46076</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24824-2025</t>
        </is>
      </c>
      <c r="B75" s="1" t="n">
        <v>45799.45572916666</v>
      </c>
      <c r="C75" s="1" t="n">
        <v>46076</v>
      </c>
      <c r="D75" t="inlineStr">
        <is>
          <t>GÄVLEBORGS LÄN</t>
        </is>
      </c>
      <c r="E75" t="inlineStr">
        <is>
          <t>LJUSDAL</t>
        </is>
      </c>
      <c r="F75" t="inlineStr">
        <is>
          <t>Sveaskog</t>
        </is>
      </c>
      <c r="G75" t="n">
        <v>7</v>
      </c>
      <c r="H75" t="n">
        <v>2</v>
      </c>
      <c r="I75" t="n">
        <v>1</v>
      </c>
      <c r="J75" t="n">
        <v>3</v>
      </c>
      <c r="K75" t="n">
        <v>1</v>
      </c>
      <c r="L75" t="n">
        <v>0</v>
      </c>
      <c r="M75" t="n">
        <v>0</v>
      </c>
      <c r="N75" t="n">
        <v>0</v>
      </c>
      <c r="O75" t="n">
        <v>4</v>
      </c>
      <c r="P75" t="n">
        <v>1</v>
      </c>
      <c r="Q75" t="n">
        <v>5</v>
      </c>
      <c r="R75" s="2" t="inlineStr">
        <is>
          <t>Knärot
Garnlav
Lunglav
Skrovellav
Plattlummer</t>
        </is>
      </c>
      <c r="S75">
        <f>HYPERLINK("https://klasma.github.io/Logging_2161/artfynd/A 24824-2025 artfynd.xlsx", "A 24824-2025")</f>
        <v/>
      </c>
      <c r="T75">
        <f>HYPERLINK("https://klasma.github.io/Logging_2161/kartor/A 24824-2025 karta.png", "A 24824-2025")</f>
        <v/>
      </c>
      <c r="U75">
        <f>HYPERLINK("https://klasma.github.io/Logging_2161/knärot/A 24824-2025 karta knärot.png", "A 24824-2025")</f>
        <v/>
      </c>
      <c r="V75">
        <f>HYPERLINK("https://klasma.github.io/Logging_2161/klagomål/A 24824-2025 FSC-klagomål.docx", "A 24824-2025")</f>
        <v/>
      </c>
      <c r="W75">
        <f>HYPERLINK("https://klasma.github.io/Logging_2161/klagomålsmail/A 24824-2025 FSC-klagomål mail.docx", "A 24824-2025")</f>
        <v/>
      </c>
      <c r="X75">
        <f>HYPERLINK("https://klasma.github.io/Logging_2161/tillsyn/A 24824-2025 tillsynsbegäran.docx", "A 24824-2025")</f>
        <v/>
      </c>
      <c r="Y75">
        <f>HYPERLINK("https://klasma.github.io/Logging_2161/tillsynsmail/A 24824-2025 tillsynsbegäran mail.docx", "A 24824-2025")</f>
        <v/>
      </c>
    </row>
    <row r="76" ht="15" customHeight="1">
      <c r="A76" t="inlineStr">
        <is>
          <t>A 26085-2025</t>
        </is>
      </c>
      <c r="B76" s="1" t="n">
        <v>45805.34453703704</v>
      </c>
      <c r="C76" s="1" t="n">
        <v>46076</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46076</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48181-2021</t>
        </is>
      </c>
      <c r="B78" s="1" t="n">
        <v>44449</v>
      </c>
      <c r="C78" s="1" t="n">
        <v>46076</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46076</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46076</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28857-2025</t>
        </is>
      </c>
      <c r="B81" s="1" t="n">
        <v>45820</v>
      </c>
      <c r="C81" s="1" t="n">
        <v>46076</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23393-2024</t>
        </is>
      </c>
      <c r="B82" s="1" t="n">
        <v>45453</v>
      </c>
      <c r="C82" s="1" t="n">
        <v>46076</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40791-2025</t>
        </is>
      </c>
      <c r="B83" s="1" t="n">
        <v>45897.4484375</v>
      </c>
      <c r="C83" s="1" t="n">
        <v>46076</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42022-2025</t>
        </is>
      </c>
      <c r="B84" s="1" t="n">
        <v>45903.59134259259</v>
      </c>
      <c r="C84" s="1" t="n">
        <v>46076</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46076</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46076</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34231-2024</t>
        </is>
      </c>
      <c r="B87" s="1" t="n">
        <v>45524.56362268519</v>
      </c>
      <c r="C87" s="1" t="n">
        <v>46076</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43829-2025</t>
        </is>
      </c>
      <c r="B88" s="1" t="n">
        <v>45912.62876157407</v>
      </c>
      <c r="C88" s="1" t="n">
        <v>46076</v>
      </c>
      <c r="D88" t="inlineStr">
        <is>
          <t>GÄVLEBORGS LÄN</t>
        </is>
      </c>
      <c r="E88" t="inlineStr">
        <is>
          <t>LJUSDAL</t>
        </is>
      </c>
      <c r="F88" t="inlineStr">
        <is>
          <t>Sveaskog</t>
        </is>
      </c>
      <c r="G88" t="n">
        <v>13</v>
      </c>
      <c r="H88" t="n">
        <v>2</v>
      </c>
      <c r="I88" t="n">
        <v>1</v>
      </c>
      <c r="J88" t="n">
        <v>2</v>
      </c>
      <c r="K88" t="n">
        <v>1</v>
      </c>
      <c r="L88" t="n">
        <v>0</v>
      </c>
      <c r="M88" t="n">
        <v>0</v>
      </c>
      <c r="N88" t="n">
        <v>0</v>
      </c>
      <c r="O88" t="n">
        <v>3</v>
      </c>
      <c r="P88" t="n">
        <v>1</v>
      </c>
      <c r="Q88" t="n">
        <v>4</v>
      </c>
      <c r="R88" s="2" t="inlineStr">
        <is>
          <t>Knärot
Garnlav
Violettgrå tagellav
Plattlummer</t>
        </is>
      </c>
      <c r="S88">
        <f>HYPERLINK("https://klasma.github.io/Logging_2161/artfynd/A 43829-2025 artfynd.xlsx", "A 43829-2025")</f>
        <v/>
      </c>
      <c r="T88">
        <f>HYPERLINK("https://klasma.github.io/Logging_2161/kartor/A 43829-2025 karta.png", "A 43829-2025")</f>
        <v/>
      </c>
      <c r="U88">
        <f>HYPERLINK("https://klasma.github.io/Logging_2161/knärot/A 43829-2025 karta knärot.png", "A 43829-2025")</f>
        <v/>
      </c>
      <c r="V88">
        <f>HYPERLINK("https://klasma.github.io/Logging_2161/klagomål/A 43829-2025 FSC-klagomål.docx", "A 43829-2025")</f>
        <v/>
      </c>
      <c r="W88">
        <f>HYPERLINK("https://klasma.github.io/Logging_2161/klagomålsmail/A 43829-2025 FSC-klagomål mail.docx", "A 43829-2025")</f>
        <v/>
      </c>
      <c r="X88">
        <f>HYPERLINK("https://klasma.github.io/Logging_2161/tillsyn/A 43829-2025 tillsynsbegäran.docx", "A 43829-2025")</f>
        <v/>
      </c>
      <c r="Y88">
        <f>HYPERLINK("https://klasma.github.io/Logging_2161/tillsynsmail/A 43829-2025 tillsynsbegäran mail.docx", "A 43829-2025")</f>
        <v/>
      </c>
    </row>
    <row r="89" ht="15" customHeight="1">
      <c r="A89" t="inlineStr">
        <is>
          <t>A 36150-2025</t>
        </is>
      </c>
      <c r="B89" s="1" t="n">
        <v>45867.29993055556</v>
      </c>
      <c r="C89" s="1" t="n">
        <v>46076</v>
      </c>
      <c r="D89" t="inlineStr">
        <is>
          <t>GÄVLEBORGS LÄN</t>
        </is>
      </c>
      <c r="E89" t="inlineStr">
        <is>
          <t>LJUSDAL</t>
        </is>
      </c>
      <c r="F89" t="inlineStr">
        <is>
          <t>Bergvik skog väst AB</t>
        </is>
      </c>
      <c r="G89" t="n">
        <v>6.1</v>
      </c>
      <c r="H89" t="n">
        <v>1</v>
      </c>
      <c r="I89" t="n">
        <v>0</v>
      </c>
      <c r="J89" t="n">
        <v>4</v>
      </c>
      <c r="K89" t="n">
        <v>0</v>
      </c>
      <c r="L89" t="n">
        <v>0</v>
      </c>
      <c r="M89" t="n">
        <v>0</v>
      </c>
      <c r="N89" t="n">
        <v>0</v>
      </c>
      <c r="O89" t="n">
        <v>4</v>
      </c>
      <c r="P89" t="n">
        <v>0</v>
      </c>
      <c r="Q89" t="n">
        <v>4</v>
      </c>
      <c r="R89" s="2" t="inlineStr">
        <is>
          <t>Garnlav
Lunglav
Skrovellav
Tretåig hackspett</t>
        </is>
      </c>
      <c r="S89">
        <f>HYPERLINK("https://klasma.github.io/Logging_2161/artfynd/A 36150-2025 artfynd.xlsx", "A 36150-2025")</f>
        <v/>
      </c>
      <c r="T89">
        <f>HYPERLINK("https://klasma.github.io/Logging_2161/kartor/A 36150-2025 karta.png", "A 36150-2025")</f>
        <v/>
      </c>
      <c r="V89">
        <f>HYPERLINK("https://klasma.github.io/Logging_2161/klagomål/A 36150-2025 FSC-klagomål.docx", "A 36150-2025")</f>
        <v/>
      </c>
      <c r="W89">
        <f>HYPERLINK("https://klasma.github.io/Logging_2161/klagomålsmail/A 36150-2025 FSC-klagomål mail.docx", "A 36150-2025")</f>
        <v/>
      </c>
      <c r="X89">
        <f>HYPERLINK("https://klasma.github.io/Logging_2161/tillsyn/A 36150-2025 tillsynsbegäran.docx", "A 36150-2025")</f>
        <v/>
      </c>
      <c r="Y89">
        <f>HYPERLINK("https://klasma.github.io/Logging_2161/tillsynsmail/A 36150-2025 tillsynsbegäran mail.docx", "A 36150-2025")</f>
        <v/>
      </c>
      <c r="Z89">
        <f>HYPERLINK("https://klasma.github.io/Logging_2161/fåglar/A 36150-2025 prioriterade fågelarter.docx", "A 36150-2025")</f>
        <v/>
      </c>
    </row>
    <row r="90" ht="15" customHeight="1">
      <c r="A90" t="inlineStr">
        <is>
          <t>A 36697-2025</t>
        </is>
      </c>
      <c r="B90" s="1" t="n">
        <v>45873.44015046296</v>
      </c>
      <c r="C90" s="1" t="n">
        <v>46076</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37833-2025</t>
        </is>
      </c>
      <c r="B91" s="1" t="n">
        <v>45881.42224537037</v>
      </c>
      <c r="C91" s="1" t="n">
        <v>46076</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56800-2023</t>
        </is>
      </c>
      <c r="B92" s="1" t="n">
        <v>45244</v>
      </c>
      <c r="C92" s="1" t="n">
        <v>46076</v>
      </c>
      <c r="D92" t="inlineStr">
        <is>
          <t>GÄVLEBORGS LÄN</t>
        </is>
      </c>
      <c r="E92" t="inlineStr">
        <is>
          <t>LJUSDAL</t>
        </is>
      </c>
      <c r="F92" t="inlineStr">
        <is>
          <t>Sveaskog</t>
        </is>
      </c>
      <c r="G92" t="n">
        <v>7.3</v>
      </c>
      <c r="H92" t="n">
        <v>0</v>
      </c>
      <c r="I92" t="n">
        <v>1</v>
      </c>
      <c r="J92" t="n">
        <v>2</v>
      </c>
      <c r="K92" t="n">
        <v>1</v>
      </c>
      <c r="L92" t="n">
        <v>0</v>
      </c>
      <c r="M92" t="n">
        <v>0</v>
      </c>
      <c r="N92" t="n">
        <v>0</v>
      </c>
      <c r="O92" t="n">
        <v>3</v>
      </c>
      <c r="P92" t="n">
        <v>1</v>
      </c>
      <c r="Q92" t="n">
        <v>4</v>
      </c>
      <c r="R92" s="2" t="inlineStr">
        <is>
          <t>Gräddporing
Gränsticka
Lunglav
Trådticka</t>
        </is>
      </c>
      <c r="S92">
        <f>HYPERLINK("https://klasma.github.io/Logging_2161/artfynd/A 56800-2023 artfynd.xlsx", "A 56800-2023")</f>
        <v/>
      </c>
      <c r="T92">
        <f>HYPERLINK("https://klasma.github.io/Logging_2161/kartor/A 56800-2023 karta.png", "A 56800-2023")</f>
        <v/>
      </c>
      <c r="V92">
        <f>HYPERLINK("https://klasma.github.io/Logging_2161/klagomål/A 56800-2023 FSC-klagomål.docx", "A 56800-2023")</f>
        <v/>
      </c>
      <c r="W92">
        <f>HYPERLINK("https://klasma.github.io/Logging_2161/klagomålsmail/A 56800-2023 FSC-klagomål mail.docx", "A 56800-2023")</f>
        <v/>
      </c>
      <c r="X92">
        <f>HYPERLINK("https://klasma.github.io/Logging_2161/tillsyn/A 56800-2023 tillsynsbegäran.docx", "A 56800-2023")</f>
        <v/>
      </c>
      <c r="Y92">
        <f>HYPERLINK("https://klasma.github.io/Logging_2161/tillsynsmail/A 56800-2023 tillsynsbegäran mail.docx", "A 56800-2023")</f>
        <v/>
      </c>
    </row>
    <row r="93" ht="15" customHeight="1">
      <c r="A93" t="inlineStr">
        <is>
          <t>A 30608-2023</t>
        </is>
      </c>
      <c r="B93" s="1" t="n">
        <v>45112.39802083333</v>
      </c>
      <c r="C93" s="1" t="n">
        <v>46076</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48925-2025</t>
        </is>
      </c>
      <c r="B94" s="1" t="n">
        <v>45937.50599537037</v>
      </c>
      <c r="C94" s="1" t="n">
        <v>46076</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46076</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38591-2025</t>
        </is>
      </c>
      <c r="B96" s="1" t="n">
        <v>45884.48002314815</v>
      </c>
      <c r="C96" s="1" t="n">
        <v>46076</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53654-2025</t>
        </is>
      </c>
      <c r="B97" s="1" t="n">
        <v>45960.53219907408</v>
      </c>
      <c r="C97" s="1" t="n">
        <v>46076</v>
      </c>
      <c r="D97" t="inlineStr">
        <is>
          <t>GÄVLEBORGS LÄN</t>
        </is>
      </c>
      <c r="E97" t="inlineStr">
        <is>
          <t>LJUSDAL</t>
        </is>
      </c>
      <c r="F97" t="inlineStr">
        <is>
          <t>Bergvik skog väst AB</t>
        </is>
      </c>
      <c r="G97" t="n">
        <v>12.9</v>
      </c>
      <c r="H97" t="n">
        <v>3</v>
      </c>
      <c r="I97" t="n">
        <v>0</v>
      </c>
      <c r="J97" t="n">
        <v>2</v>
      </c>
      <c r="K97" t="n">
        <v>0</v>
      </c>
      <c r="L97" t="n">
        <v>0</v>
      </c>
      <c r="M97" t="n">
        <v>0</v>
      </c>
      <c r="N97" t="n">
        <v>0</v>
      </c>
      <c r="O97" t="n">
        <v>2</v>
      </c>
      <c r="P97" t="n">
        <v>0</v>
      </c>
      <c r="Q97" t="n">
        <v>4</v>
      </c>
      <c r="R97" s="2" t="inlineStr">
        <is>
          <t>Mörk kolflarnlav
Varglav
Orre
Fläcknycklar</t>
        </is>
      </c>
      <c r="S97">
        <f>HYPERLINK("https://klasma.github.io/Logging_2161/artfynd/A 53654-2025 artfynd.xlsx", "A 53654-2025")</f>
        <v/>
      </c>
      <c r="T97">
        <f>HYPERLINK("https://klasma.github.io/Logging_2161/kartor/A 53654-2025 karta.png", "A 53654-2025")</f>
        <v/>
      </c>
      <c r="V97">
        <f>HYPERLINK("https://klasma.github.io/Logging_2161/klagomål/A 53654-2025 FSC-klagomål.docx", "A 53654-2025")</f>
        <v/>
      </c>
      <c r="W97">
        <f>HYPERLINK("https://klasma.github.io/Logging_2161/klagomålsmail/A 53654-2025 FSC-klagomål mail.docx", "A 53654-2025")</f>
        <v/>
      </c>
      <c r="X97">
        <f>HYPERLINK("https://klasma.github.io/Logging_2161/tillsyn/A 53654-2025 tillsynsbegäran.docx", "A 53654-2025")</f>
        <v/>
      </c>
      <c r="Y97">
        <f>HYPERLINK("https://klasma.github.io/Logging_2161/tillsynsmail/A 53654-2025 tillsynsbegäran mail.docx", "A 53654-2025")</f>
        <v/>
      </c>
      <c r="Z97">
        <f>HYPERLINK("https://klasma.github.io/Logging_2161/fåglar/A 53654-2025 prioriterade fågelarter.docx", "A 53654-2025")</f>
        <v/>
      </c>
    </row>
    <row r="98" ht="15" customHeight="1">
      <c r="A98" t="inlineStr">
        <is>
          <t>A 49982-2025</t>
        </is>
      </c>
      <c r="B98" s="1" t="n">
        <v>45942</v>
      </c>
      <c r="C98" s="1" t="n">
        <v>46076</v>
      </c>
      <c r="D98" t="inlineStr">
        <is>
          <t>GÄVLEBORGS LÄN</t>
        </is>
      </c>
      <c r="E98" t="inlineStr">
        <is>
          <t>LJUSDAL</t>
        </is>
      </c>
      <c r="G98" t="n">
        <v>3.6</v>
      </c>
      <c r="H98" t="n">
        <v>1</v>
      </c>
      <c r="I98" t="n">
        <v>2</v>
      </c>
      <c r="J98" t="n">
        <v>1</v>
      </c>
      <c r="K98" t="n">
        <v>1</v>
      </c>
      <c r="L98" t="n">
        <v>0</v>
      </c>
      <c r="M98" t="n">
        <v>0</v>
      </c>
      <c r="N98" t="n">
        <v>0</v>
      </c>
      <c r="O98" t="n">
        <v>2</v>
      </c>
      <c r="P98" t="n">
        <v>1</v>
      </c>
      <c r="Q98" t="n">
        <v>4</v>
      </c>
      <c r="R98" s="2" t="inlineStr">
        <is>
          <t>Knärot
Svart taggsvamp
Dropptaggsvamp
Rödgul trumpetsvamp</t>
        </is>
      </c>
      <c r="S98">
        <f>HYPERLINK("https://klasma.github.io/Logging_2161/artfynd/A 49982-2025 artfynd.xlsx", "A 49982-2025")</f>
        <v/>
      </c>
      <c r="T98">
        <f>HYPERLINK("https://klasma.github.io/Logging_2161/kartor/A 49982-2025 karta.png", "A 49982-2025")</f>
        <v/>
      </c>
      <c r="U98">
        <f>HYPERLINK("https://klasma.github.io/Logging_2161/knärot/A 49982-2025 karta knärot.png", "A 49982-2025")</f>
        <v/>
      </c>
      <c r="V98">
        <f>HYPERLINK("https://klasma.github.io/Logging_2161/klagomål/A 49982-2025 FSC-klagomål.docx", "A 49982-2025")</f>
        <v/>
      </c>
      <c r="W98">
        <f>HYPERLINK("https://klasma.github.io/Logging_2161/klagomålsmail/A 49982-2025 FSC-klagomål mail.docx", "A 49982-2025")</f>
        <v/>
      </c>
      <c r="X98">
        <f>HYPERLINK("https://klasma.github.io/Logging_2161/tillsyn/A 49982-2025 tillsynsbegäran.docx", "A 49982-2025")</f>
        <v/>
      </c>
      <c r="Y98">
        <f>HYPERLINK("https://klasma.github.io/Logging_2161/tillsynsmail/A 49982-2025 tillsynsbegäran mail.docx", "A 49982-2025")</f>
        <v/>
      </c>
    </row>
    <row r="99" ht="15" customHeight="1">
      <c r="A99" t="inlineStr">
        <is>
          <t>A 56787-2023</t>
        </is>
      </c>
      <c r="B99" s="1" t="n">
        <v>45244</v>
      </c>
      <c r="C99" s="1" t="n">
        <v>46076</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56787-2023 artfynd.xlsx", "A 56787-2023")</f>
        <v/>
      </c>
      <c r="T99">
        <f>HYPERLINK("https://klasma.github.io/Logging_2161/kartor/A 56787-2023 karta.png", "A 56787-2023")</f>
        <v/>
      </c>
      <c r="V99">
        <f>HYPERLINK("https://klasma.github.io/Logging_2161/klagomål/A 56787-2023 FSC-klagomål.docx", "A 56787-2023")</f>
        <v/>
      </c>
      <c r="W99">
        <f>HYPERLINK("https://klasma.github.io/Logging_2161/klagomålsmail/A 56787-2023 FSC-klagomål mail.docx", "A 56787-2023")</f>
        <v/>
      </c>
      <c r="X99">
        <f>HYPERLINK("https://klasma.github.io/Logging_2161/tillsyn/A 56787-2023 tillsynsbegäran.docx", "A 56787-2023")</f>
        <v/>
      </c>
      <c r="Y99">
        <f>HYPERLINK("https://klasma.github.io/Logging_2161/tillsynsmail/A 56787-2023 tillsynsbegäran mail.docx", "A 56787-2023")</f>
        <v/>
      </c>
    </row>
    <row r="100" ht="15" customHeight="1">
      <c r="A100" t="inlineStr">
        <is>
          <t>A 14769-2025</t>
        </is>
      </c>
      <c r="B100" s="1" t="n">
        <v>45742.6846875</v>
      </c>
      <c r="C100" s="1" t="n">
        <v>46076</v>
      </c>
      <c r="D100" t="inlineStr">
        <is>
          <t>GÄVLEBORGS LÄN</t>
        </is>
      </c>
      <c r="E100" t="inlineStr">
        <is>
          <t>LJUSDAL</t>
        </is>
      </c>
      <c r="F100" t="inlineStr">
        <is>
          <t>Sveaskog</t>
        </is>
      </c>
      <c r="G100" t="n">
        <v>10.2</v>
      </c>
      <c r="H100" t="n">
        <v>1</v>
      </c>
      <c r="I100" t="n">
        <v>0</v>
      </c>
      <c r="J100" t="n">
        <v>3</v>
      </c>
      <c r="K100" t="n">
        <v>0</v>
      </c>
      <c r="L100" t="n">
        <v>0</v>
      </c>
      <c r="M100" t="n">
        <v>0</v>
      </c>
      <c r="N100" t="n">
        <v>0</v>
      </c>
      <c r="O100" t="n">
        <v>3</v>
      </c>
      <c r="P100" t="n">
        <v>0</v>
      </c>
      <c r="Q100" t="n">
        <v>4</v>
      </c>
      <c r="R100" s="2" t="inlineStr">
        <is>
          <t>Garnlav
Kolflarnlav
Vedflamlav
Fläcknycklar</t>
        </is>
      </c>
      <c r="S100">
        <f>HYPERLINK("https://klasma.github.io/Logging_2161/artfynd/A 14769-2025 artfynd.xlsx", "A 14769-2025")</f>
        <v/>
      </c>
      <c r="T100">
        <f>HYPERLINK("https://klasma.github.io/Logging_2161/kartor/A 14769-2025 karta.png", "A 14769-2025")</f>
        <v/>
      </c>
      <c r="V100">
        <f>HYPERLINK("https://klasma.github.io/Logging_2161/klagomål/A 14769-2025 FSC-klagomål.docx", "A 14769-2025")</f>
        <v/>
      </c>
      <c r="W100">
        <f>HYPERLINK("https://klasma.github.io/Logging_2161/klagomålsmail/A 14769-2025 FSC-klagomål mail.docx", "A 14769-2025")</f>
        <v/>
      </c>
      <c r="X100">
        <f>HYPERLINK("https://klasma.github.io/Logging_2161/tillsyn/A 14769-2025 tillsynsbegäran.docx", "A 14769-2025")</f>
        <v/>
      </c>
      <c r="Y100">
        <f>HYPERLINK("https://klasma.github.io/Logging_2161/tillsynsmail/A 14769-2025 tillsynsbegäran mail.docx", "A 14769-2025")</f>
        <v/>
      </c>
    </row>
    <row r="101" ht="15" customHeight="1">
      <c r="A101" t="inlineStr">
        <is>
          <t>A 53249-2023</t>
        </is>
      </c>
      <c r="B101" s="1" t="n">
        <v>45229.5156712963</v>
      </c>
      <c r="C101" s="1" t="n">
        <v>46076</v>
      </c>
      <c r="D101" t="inlineStr">
        <is>
          <t>GÄVLEBORGS LÄN</t>
        </is>
      </c>
      <c r="E101" t="inlineStr">
        <is>
          <t>LJUSDAL</t>
        </is>
      </c>
      <c r="F101" t="inlineStr">
        <is>
          <t>Sveaskog</t>
        </is>
      </c>
      <c r="G101" t="n">
        <v>3.2</v>
      </c>
      <c r="H101" t="n">
        <v>0</v>
      </c>
      <c r="I101" t="n">
        <v>0</v>
      </c>
      <c r="J101" t="n">
        <v>4</v>
      </c>
      <c r="K101" t="n">
        <v>0</v>
      </c>
      <c r="L101" t="n">
        <v>0</v>
      </c>
      <c r="M101" t="n">
        <v>0</v>
      </c>
      <c r="N101" t="n">
        <v>0</v>
      </c>
      <c r="O101" t="n">
        <v>4</v>
      </c>
      <c r="P101" t="n">
        <v>0</v>
      </c>
      <c r="Q101" t="n">
        <v>4</v>
      </c>
      <c r="R101" s="2" t="inlineStr">
        <is>
          <t>Kolflarnlav
Motaggsvamp
Orange taggsvamp
Vedflamlav</t>
        </is>
      </c>
      <c r="S101">
        <f>HYPERLINK("https://klasma.github.io/Logging_2161/artfynd/A 53249-2023 artfynd.xlsx", "A 53249-2023")</f>
        <v/>
      </c>
      <c r="T101">
        <f>HYPERLINK("https://klasma.github.io/Logging_2161/kartor/A 53249-2023 karta.png", "A 53249-2023")</f>
        <v/>
      </c>
      <c r="V101">
        <f>HYPERLINK("https://klasma.github.io/Logging_2161/klagomål/A 53249-2023 FSC-klagomål.docx", "A 53249-2023")</f>
        <v/>
      </c>
      <c r="W101">
        <f>HYPERLINK("https://klasma.github.io/Logging_2161/klagomålsmail/A 53249-2023 FSC-klagomål mail.docx", "A 53249-2023")</f>
        <v/>
      </c>
      <c r="X101">
        <f>HYPERLINK("https://klasma.github.io/Logging_2161/tillsyn/A 53249-2023 tillsynsbegäran.docx", "A 53249-2023")</f>
        <v/>
      </c>
      <c r="Y101">
        <f>HYPERLINK("https://klasma.github.io/Logging_2161/tillsynsmail/A 53249-2023 tillsynsbegäran mail.docx", "A 53249-2023")</f>
        <v/>
      </c>
    </row>
    <row r="102" ht="15" customHeight="1">
      <c r="A102" t="inlineStr">
        <is>
          <t>A 51118-2024</t>
        </is>
      </c>
      <c r="B102" s="1" t="n">
        <v>45603</v>
      </c>
      <c r="C102" s="1" t="n">
        <v>46076</v>
      </c>
      <c r="D102" t="inlineStr">
        <is>
          <t>GÄVLEBORGS LÄN</t>
        </is>
      </c>
      <c r="E102" t="inlineStr">
        <is>
          <t>LJUSDAL</t>
        </is>
      </c>
      <c r="F102" t="inlineStr">
        <is>
          <t>Sveaskog</t>
        </is>
      </c>
      <c r="G102" t="n">
        <v>1.3</v>
      </c>
      <c r="H102" t="n">
        <v>0</v>
      </c>
      <c r="I102" t="n">
        <v>0</v>
      </c>
      <c r="J102" t="n">
        <v>3</v>
      </c>
      <c r="K102" t="n">
        <v>1</v>
      </c>
      <c r="L102" t="n">
        <v>0</v>
      </c>
      <c r="M102" t="n">
        <v>0</v>
      </c>
      <c r="N102" t="n">
        <v>0</v>
      </c>
      <c r="O102" t="n">
        <v>4</v>
      </c>
      <c r="P102" t="n">
        <v>1</v>
      </c>
      <c r="Q102" t="n">
        <v>4</v>
      </c>
      <c r="R102" s="2" t="inlineStr">
        <is>
          <t>Småvänderot
Garnlav
Motaggsvamp
Tallticka</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34757-2024</t>
        </is>
      </c>
      <c r="B103" s="1" t="n">
        <v>45526.61099537037</v>
      </c>
      <c r="C103" s="1" t="n">
        <v>46076</v>
      </c>
      <c r="D103" t="inlineStr">
        <is>
          <t>GÄVLEBORGS LÄN</t>
        </is>
      </c>
      <c r="E103" t="inlineStr">
        <is>
          <t>LJUSDAL</t>
        </is>
      </c>
      <c r="F103" t="inlineStr">
        <is>
          <t>Sveaskog</t>
        </is>
      </c>
      <c r="G103" t="n">
        <v>8.300000000000001</v>
      </c>
      <c r="H103" t="n">
        <v>0</v>
      </c>
      <c r="I103" t="n">
        <v>0</v>
      </c>
      <c r="J103" t="n">
        <v>4</v>
      </c>
      <c r="K103" t="n">
        <v>0</v>
      </c>
      <c r="L103" t="n">
        <v>0</v>
      </c>
      <c r="M103" t="n">
        <v>0</v>
      </c>
      <c r="N103" t="n">
        <v>0</v>
      </c>
      <c r="O103" t="n">
        <v>4</v>
      </c>
      <c r="P103" t="n">
        <v>0</v>
      </c>
      <c r="Q103" t="n">
        <v>4</v>
      </c>
      <c r="R103" s="2" t="inlineStr">
        <is>
          <t>Blå taggsvamp
Garnlav
Kolflarnlav
Lunglav</t>
        </is>
      </c>
      <c r="S103">
        <f>HYPERLINK("https://klasma.github.io/Logging_2161/artfynd/A 34757-2024 artfynd.xlsx", "A 34757-2024")</f>
        <v/>
      </c>
      <c r="T103">
        <f>HYPERLINK("https://klasma.github.io/Logging_2161/kartor/A 34757-2024 karta.png", "A 34757-2024")</f>
        <v/>
      </c>
      <c r="V103">
        <f>HYPERLINK("https://klasma.github.io/Logging_2161/klagomål/A 34757-2024 FSC-klagomål.docx", "A 34757-2024")</f>
        <v/>
      </c>
      <c r="W103">
        <f>HYPERLINK("https://klasma.github.io/Logging_2161/klagomålsmail/A 34757-2024 FSC-klagomål mail.docx", "A 34757-2024")</f>
        <v/>
      </c>
      <c r="X103">
        <f>HYPERLINK("https://klasma.github.io/Logging_2161/tillsyn/A 34757-2024 tillsynsbegäran.docx", "A 34757-2024")</f>
        <v/>
      </c>
      <c r="Y103">
        <f>HYPERLINK("https://klasma.github.io/Logging_2161/tillsynsmail/A 34757-2024 tillsynsbegäran mail.docx", "A 34757-2024")</f>
        <v/>
      </c>
    </row>
    <row r="104" ht="15" customHeight="1">
      <c r="A104" t="inlineStr">
        <is>
          <t>A 56774-2023</t>
        </is>
      </c>
      <c r="B104" s="1" t="n">
        <v>45244</v>
      </c>
      <c r="C104" s="1" t="n">
        <v>46076</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50308-2024</t>
        </is>
      </c>
      <c r="B105" s="1" t="n">
        <v>45600</v>
      </c>
      <c r="C105" s="1" t="n">
        <v>46076</v>
      </c>
      <c r="D105" t="inlineStr">
        <is>
          <t>GÄVLEBORGS LÄN</t>
        </is>
      </c>
      <c r="E105" t="inlineStr">
        <is>
          <t>LJUSDAL</t>
        </is>
      </c>
      <c r="F105" t="inlineStr">
        <is>
          <t>Sveaskog</t>
        </is>
      </c>
      <c r="G105" t="n">
        <v>22.3</v>
      </c>
      <c r="H105" t="n">
        <v>2</v>
      </c>
      <c r="I105" t="n">
        <v>1</v>
      </c>
      <c r="J105" t="n">
        <v>2</v>
      </c>
      <c r="K105" t="n">
        <v>0</v>
      </c>
      <c r="L105" t="n">
        <v>0</v>
      </c>
      <c r="M105" t="n">
        <v>0</v>
      </c>
      <c r="N105" t="n">
        <v>0</v>
      </c>
      <c r="O105" t="n">
        <v>2</v>
      </c>
      <c r="P105" t="n">
        <v>0</v>
      </c>
      <c r="Q105" t="n">
        <v>4</v>
      </c>
      <c r="R105" s="2" t="inlineStr">
        <is>
          <t>Lunglav
Motaggsvamp
Plattlummer
Fläcknycklar</t>
        </is>
      </c>
      <c r="S105">
        <f>HYPERLINK("https://klasma.github.io/Logging_2161/artfynd/A 50308-2024 artfynd.xlsx", "A 50308-2024")</f>
        <v/>
      </c>
      <c r="T105">
        <f>HYPERLINK("https://klasma.github.io/Logging_2161/kartor/A 50308-2024 karta.png", "A 50308-2024")</f>
        <v/>
      </c>
      <c r="V105">
        <f>HYPERLINK("https://klasma.github.io/Logging_2161/klagomål/A 50308-2024 FSC-klagomål.docx", "A 50308-2024")</f>
        <v/>
      </c>
      <c r="W105">
        <f>HYPERLINK("https://klasma.github.io/Logging_2161/klagomålsmail/A 50308-2024 FSC-klagomål mail.docx", "A 50308-2024")</f>
        <v/>
      </c>
      <c r="X105">
        <f>HYPERLINK("https://klasma.github.io/Logging_2161/tillsyn/A 50308-2024 tillsynsbegäran.docx", "A 50308-2024")</f>
        <v/>
      </c>
      <c r="Y105">
        <f>HYPERLINK("https://klasma.github.io/Logging_2161/tillsynsmail/A 50308-2024 tillsynsbegäran mail.docx", "A 50308-2024")</f>
        <v/>
      </c>
    </row>
    <row r="106" ht="15" customHeight="1">
      <c r="A106" t="inlineStr">
        <is>
          <t>A 22978-2023</t>
        </is>
      </c>
      <c r="B106" s="1" t="n">
        <v>45072</v>
      </c>
      <c r="C106" s="1" t="n">
        <v>46076</v>
      </c>
      <c r="D106" t="inlineStr">
        <is>
          <t>GÄVLEBORGS LÄN</t>
        </is>
      </c>
      <c r="E106" t="inlineStr">
        <is>
          <t>LJUSDAL</t>
        </is>
      </c>
      <c r="G106" t="n">
        <v>1.8</v>
      </c>
      <c r="H106" t="n">
        <v>2</v>
      </c>
      <c r="I106" t="n">
        <v>0</v>
      </c>
      <c r="J106" t="n">
        <v>2</v>
      </c>
      <c r="K106" t="n">
        <v>1</v>
      </c>
      <c r="L106" t="n">
        <v>0</v>
      </c>
      <c r="M106" t="n">
        <v>0</v>
      </c>
      <c r="N106" t="n">
        <v>0</v>
      </c>
      <c r="O106" t="n">
        <v>3</v>
      </c>
      <c r="P106" t="n">
        <v>1</v>
      </c>
      <c r="Q106" t="n">
        <v>4</v>
      </c>
      <c r="R106" s="2" t="inlineStr">
        <is>
          <t>Knärot
Rosenticka
Ullticka
Revlummer</t>
        </is>
      </c>
      <c r="S106">
        <f>HYPERLINK("https://klasma.github.io/Logging_2161/artfynd/A 22978-2023 artfynd.xlsx", "A 22978-2023")</f>
        <v/>
      </c>
      <c r="T106">
        <f>HYPERLINK("https://klasma.github.io/Logging_2161/kartor/A 22978-2023 karta.png", "A 22978-2023")</f>
        <v/>
      </c>
      <c r="U106">
        <f>HYPERLINK("https://klasma.github.io/Logging_2161/knärot/A 22978-2023 karta knärot.png", "A 22978-2023")</f>
        <v/>
      </c>
      <c r="V106">
        <f>HYPERLINK("https://klasma.github.io/Logging_2161/klagomål/A 22978-2023 FSC-klagomål.docx", "A 22978-2023")</f>
        <v/>
      </c>
      <c r="W106">
        <f>HYPERLINK("https://klasma.github.io/Logging_2161/klagomålsmail/A 22978-2023 FSC-klagomål mail.docx", "A 22978-2023")</f>
        <v/>
      </c>
      <c r="X106">
        <f>HYPERLINK("https://klasma.github.io/Logging_2161/tillsyn/A 22978-2023 tillsynsbegäran.docx", "A 22978-2023")</f>
        <v/>
      </c>
      <c r="Y106">
        <f>HYPERLINK("https://klasma.github.io/Logging_2161/tillsynsmail/A 22978-2023 tillsynsbegäran mail.docx", "A 22978-2023")</f>
        <v/>
      </c>
    </row>
    <row r="107" ht="15" customHeight="1">
      <c r="A107" t="inlineStr">
        <is>
          <t>A 18115-2024</t>
        </is>
      </c>
      <c r="B107" s="1" t="n">
        <v>45420.50950231482</v>
      </c>
      <c r="C107" s="1" t="n">
        <v>46076</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26675-2023</t>
        </is>
      </c>
      <c r="B108" s="1" t="n">
        <v>45093</v>
      </c>
      <c r="C108" s="1" t="n">
        <v>46076</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26446-2025</t>
        </is>
      </c>
      <c r="B109" s="1" t="n">
        <v>45807.4155787037</v>
      </c>
      <c r="C109" s="1" t="n">
        <v>46076</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46076</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46076</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53410-2024</t>
        </is>
      </c>
      <c r="B112" s="1" t="n">
        <v>45614.50283564815</v>
      </c>
      <c r="C112" s="1" t="n">
        <v>46076</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28866-2025</t>
        </is>
      </c>
      <c r="B113" s="1" t="n">
        <v>45820</v>
      </c>
      <c r="C113" s="1" t="n">
        <v>46076</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56788-2023</t>
        </is>
      </c>
      <c r="B114" s="1" t="n">
        <v>45244</v>
      </c>
      <c r="C114" s="1" t="n">
        <v>46076</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29239-2025</t>
        </is>
      </c>
      <c r="B115" s="1" t="n">
        <v>45824.35663194444</v>
      </c>
      <c r="C115" s="1" t="n">
        <v>46076</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30295-2025</t>
        </is>
      </c>
      <c r="B116" s="1" t="n">
        <v>45827.47322916667</v>
      </c>
      <c r="C116" s="1" t="n">
        <v>46076</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41922-2025</t>
        </is>
      </c>
      <c r="B117" s="1" t="n">
        <v>45903.42525462963</v>
      </c>
      <c r="C117" s="1" t="n">
        <v>46076</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46076</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32818-2025</t>
        </is>
      </c>
      <c r="B119" s="1" t="n">
        <v>45839.53280092592</v>
      </c>
      <c r="C119" s="1" t="n">
        <v>46076</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44207-2025</t>
        </is>
      </c>
      <c r="B120" s="1" t="n">
        <v>45915.62753472223</v>
      </c>
      <c r="C120" s="1" t="n">
        <v>46076</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34324-2025</t>
        </is>
      </c>
      <c r="B121" s="1" t="n">
        <v>45846.43172453704</v>
      </c>
      <c r="C121" s="1" t="n">
        <v>46076</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46076</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46076</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46076</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47876-2025</t>
        </is>
      </c>
      <c r="B125" s="1" t="n">
        <v>45932.45586805556</v>
      </c>
      <c r="C125" s="1" t="n">
        <v>46076</v>
      </c>
      <c r="D125" t="inlineStr">
        <is>
          <t>GÄVLEBORGS LÄN</t>
        </is>
      </c>
      <c r="E125" t="inlineStr">
        <is>
          <t>LJUSDAL</t>
        </is>
      </c>
      <c r="F125" t="inlineStr">
        <is>
          <t>Bergvik skog väst AB</t>
        </is>
      </c>
      <c r="G125" t="n">
        <v>0.9</v>
      </c>
      <c r="H125" t="n">
        <v>0</v>
      </c>
      <c r="I125" t="n">
        <v>0</v>
      </c>
      <c r="J125" t="n">
        <v>3</v>
      </c>
      <c r="K125" t="n">
        <v>0</v>
      </c>
      <c r="L125" t="n">
        <v>0</v>
      </c>
      <c r="M125" t="n">
        <v>0</v>
      </c>
      <c r="N125" t="n">
        <v>0</v>
      </c>
      <c r="O125" t="n">
        <v>3</v>
      </c>
      <c r="P125" t="n">
        <v>0</v>
      </c>
      <c r="Q125" t="n">
        <v>3</v>
      </c>
      <c r="R125" s="2" t="inlineStr">
        <is>
          <t>Garnlav
Kolflarnlav
Motaggsvamp</t>
        </is>
      </c>
      <c r="S125">
        <f>HYPERLINK("https://klasma.github.io/Logging_2161/artfynd/A 47876-2025 artfynd.xlsx", "A 47876-2025")</f>
        <v/>
      </c>
      <c r="T125">
        <f>HYPERLINK("https://klasma.github.io/Logging_2161/kartor/A 47876-2025 karta.png", "A 47876-2025")</f>
        <v/>
      </c>
      <c r="V125">
        <f>HYPERLINK("https://klasma.github.io/Logging_2161/klagomål/A 47876-2025 FSC-klagomål.docx", "A 47876-2025")</f>
        <v/>
      </c>
      <c r="W125">
        <f>HYPERLINK("https://klasma.github.io/Logging_2161/klagomålsmail/A 47876-2025 FSC-klagomål mail.docx", "A 47876-2025")</f>
        <v/>
      </c>
      <c r="X125">
        <f>HYPERLINK("https://klasma.github.io/Logging_2161/tillsyn/A 47876-2025 tillsynsbegäran.docx", "A 47876-2025")</f>
        <v/>
      </c>
      <c r="Y125">
        <f>HYPERLINK("https://klasma.github.io/Logging_2161/tillsynsmail/A 47876-2025 tillsynsbegäran mail.docx", "A 47876-2025")</f>
        <v/>
      </c>
    </row>
    <row r="126" ht="15" customHeight="1">
      <c r="A126" t="inlineStr">
        <is>
          <t>A 30610-2023</t>
        </is>
      </c>
      <c r="B126" s="1" t="n">
        <v>45112.40128472223</v>
      </c>
      <c r="C126" s="1" t="n">
        <v>46076</v>
      </c>
      <c r="D126" t="inlineStr">
        <is>
          <t>GÄVLEBORGS LÄN</t>
        </is>
      </c>
      <c r="E126" t="inlineStr">
        <is>
          <t>LJUSDAL</t>
        </is>
      </c>
      <c r="F126" t="inlineStr">
        <is>
          <t>Sveaskog</t>
        </is>
      </c>
      <c r="G126" t="n">
        <v>3.2</v>
      </c>
      <c r="H126" t="n">
        <v>2</v>
      </c>
      <c r="I126" t="n">
        <v>0</v>
      </c>
      <c r="J126" t="n">
        <v>2</v>
      </c>
      <c r="K126" t="n">
        <v>1</v>
      </c>
      <c r="L126" t="n">
        <v>0</v>
      </c>
      <c r="M126" t="n">
        <v>0</v>
      </c>
      <c r="N126" t="n">
        <v>0</v>
      </c>
      <c r="O126" t="n">
        <v>3</v>
      </c>
      <c r="P126" t="n">
        <v>1</v>
      </c>
      <c r="Q126" t="n">
        <v>3</v>
      </c>
      <c r="R126" s="2" t="inlineStr">
        <is>
          <t>Knärot
Knottrig blåslav
Talltita</t>
        </is>
      </c>
      <c r="S126">
        <f>HYPERLINK("https://klasma.github.io/Logging_2161/artfynd/A 30610-2023 artfynd.xlsx", "A 30610-2023")</f>
        <v/>
      </c>
      <c r="T126">
        <f>HYPERLINK("https://klasma.github.io/Logging_2161/kartor/A 30610-2023 karta.png", "A 30610-2023")</f>
        <v/>
      </c>
      <c r="U126">
        <f>HYPERLINK("https://klasma.github.io/Logging_2161/knärot/A 30610-2023 karta knärot.png", "A 30610-2023")</f>
        <v/>
      </c>
      <c r="V126">
        <f>HYPERLINK("https://klasma.github.io/Logging_2161/klagomål/A 30610-2023 FSC-klagomål.docx", "A 30610-2023")</f>
        <v/>
      </c>
      <c r="W126">
        <f>HYPERLINK("https://klasma.github.io/Logging_2161/klagomålsmail/A 30610-2023 FSC-klagomål mail.docx", "A 30610-2023")</f>
        <v/>
      </c>
      <c r="X126">
        <f>HYPERLINK("https://klasma.github.io/Logging_2161/tillsyn/A 30610-2023 tillsynsbegäran.docx", "A 30610-2023")</f>
        <v/>
      </c>
      <c r="Y126">
        <f>HYPERLINK("https://klasma.github.io/Logging_2161/tillsynsmail/A 30610-2023 tillsynsbegäran mail.docx", "A 30610-2023")</f>
        <v/>
      </c>
      <c r="Z126">
        <f>HYPERLINK("https://klasma.github.io/Logging_2161/fåglar/A 30610-2023 prioriterade fågelarter.docx", "A 30610-2023")</f>
        <v/>
      </c>
    </row>
    <row r="127" ht="15" customHeight="1">
      <c r="A127" t="inlineStr">
        <is>
          <t>A 37835-2025</t>
        </is>
      </c>
      <c r="B127" s="1" t="n">
        <v>45881.42501157407</v>
      </c>
      <c r="C127" s="1" t="n">
        <v>46076</v>
      </c>
      <c r="D127" t="inlineStr">
        <is>
          <t>GÄVLEBORGS LÄN</t>
        </is>
      </c>
      <c r="E127" t="inlineStr">
        <is>
          <t>LJUSDAL</t>
        </is>
      </c>
      <c r="F127" t="inlineStr">
        <is>
          <t>Bergvik skog väst AB</t>
        </is>
      </c>
      <c r="G127" t="n">
        <v>2.3</v>
      </c>
      <c r="H127" t="n">
        <v>1</v>
      </c>
      <c r="I127" t="n">
        <v>0</v>
      </c>
      <c r="J127" t="n">
        <v>3</v>
      </c>
      <c r="K127" t="n">
        <v>0</v>
      </c>
      <c r="L127" t="n">
        <v>0</v>
      </c>
      <c r="M127" t="n">
        <v>0</v>
      </c>
      <c r="N127" t="n">
        <v>0</v>
      </c>
      <c r="O127" t="n">
        <v>3</v>
      </c>
      <c r="P127" t="n">
        <v>0</v>
      </c>
      <c r="Q127" t="n">
        <v>3</v>
      </c>
      <c r="R127" s="2" t="inlineStr">
        <is>
          <t>Garnlav
Lunglav
Talltita</t>
        </is>
      </c>
      <c r="S127">
        <f>HYPERLINK("https://klasma.github.io/Logging_2161/artfynd/A 37835-2025 artfynd.xlsx", "A 37835-2025")</f>
        <v/>
      </c>
      <c r="T127">
        <f>HYPERLINK("https://klasma.github.io/Logging_2161/kartor/A 37835-2025 karta.png", "A 37835-2025")</f>
        <v/>
      </c>
      <c r="V127">
        <f>HYPERLINK("https://klasma.github.io/Logging_2161/klagomål/A 37835-2025 FSC-klagomål.docx", "A 37835-2025")</f>
        <v/>
      </c>
      <c r="W127">
        <f>HYPERLINK("https://klasma.github.io/Logging_2161/klagomålsmail/A 37835-2025 FSC-klagomål mail.docx", "A 37835-2025")</f>
        <v/>
      </c>
      <c r="X127">
        <f>HYPERLINK("https://klasma.github.io/Logging_2161/tillsyn/A 37835-2025 tillsynsbegäran.docx", "A 37835-2025")</f>
        <v/>
      </c>
      <c r="Y127">
        <f>HYPERLINK("https://klasma.github.io/Logging_2161/tillsynsmail/A 37835-2025 tillsynsbegäran mail.docx", "A 37835-2025")</f>
        <v/>
      </c>
      <c r="Z127">
        <f>HYPERLINK("https://klasma.github.io/Logging_2161/fåglar/A 37835-2025 prioriterade fågelarter.docx", "A 37835-2025")</f>
        <v/>
      </c>
    </row>
    <row r="128" ht="15" customHeight="1">
      <c r="A128" t="inlineStr">
        <is>
          <t>A 26606-2025</t>
        </is>
      </c>
      <c r="B128" s="1" t="n">
        <v>45809</v>
      </c>
      <c r="C128" s="1" t="n">
        <v>46076</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50654-2025</t>
        </is>
      </c>
      <c r="B129" s="1" t="n">
        <v>45945.68238425926</v>
      </c>
      <c r="C129" s="1" t="n">
        <v>46076</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38485-2025</t>
        </is>
      </c>
      <c r="B130" s="1" t="n">
        <v>45884.3415625</v>
      </c>
      <c r="C130" s="1" t="n">
        <v>46076</v>
      </c>
      <c r="D130" t="inlineStr">
        <is>
          <t>GÄVLEBORGS LÄN</t>
        </is>
      </c>
      <c r="E130" t="inlineStr">
        <is>
          <t>LJUSDAL</t>
        </is>
      </c>
      <c r="F130" t="inlineStr">
        <is>
          <t>Bergvik skog väst AB</t>
        </is>
      </c>
      <c r="G130" t="n">
        <v>9.300000000000001</v>
      </c>
      <c r="H130" t="n">
        <v>0</v>
      </c>
      <c r="I130" t="n">
        <v>1</v>
      </c>
      <c r="J130" t="n">
        <v>2</v>
      </c>
      <c r="K130" t="n">
        <v>0</v>
      </c>
      <c r="L130" t="n">
        <v>0</v>
      </c>
      <c r="M130" t="n">
        <v>0</v>
      </c>
      <c r="N130" t="n">
        <v>0</v>
      </c>
      <c r="O130" t="n">
        <v>2</v>
      </c>
      <c r="P130" t="n">
        <v>0</v>
      </c>
      <c r="Q130" t="n">
        <v>3</v>
      </c>
      <c r="R130" s="2" t="inlineStr">
        <is>
          <t>Kortskaftad ärgspik
Lunglav
Skinnlav</t>
        </is>
      </c>
      <c r="S130">
        <f>HYPERLINK("https://klasma.github.io/Logging_2161/artfynd/A 38485-2025 artfynd.xlsx", "A 38485-2025")</f>
        <v/>
      </c>
      <c r="T130">
        <f>HYPERLINK("https://klasma.github.io/Logging_2161/kartor/A 38485-2025 karta.png", "A 38485-2025")</f>
        <v/>
      </c>
      <c r="V130">
        <f>HYPERLINK("https://klasma.github.io/Logging_2161/klagomål/A 38485-2025 FSC-klagomål.docx", "A 38485-2025")</f>
        <v/>
      </c>
      <c r="W130">
        <f>HYPERLINK("https://klasma.github.io/Logging_2161/klagomålsmail/A 38485-2025 FSC-klagomål mail.docx", "A 38485-2025")</f>
        <v/>
      </c>
      <c r="X130">
        <f>HYPERLINK("https://klasma.github.io/Logging_2161/tillsyn/A 38485-2025 tillsynsbegäran.docx", "A 38485-2025")</f>
        <v/>
      </c>
      <c r="Y130">
        <f>HYPERLINK("https://klasma.github.io/Logging_2161/tillsynsmail/A 38485-2025 tillsynsbegäran mail.docx", "A 38485-2025")</f>
        <v/>
      </c>
    </row>
    <row r="131" ht="15" customHeight="1">
      <c r="A131" t="inlineStr">
        <is>
          <t>A 50662-2025</t>
        </is>
      </c>
      <c r="B131" s="1" t="n">
        <v>45945.69081018519</v>
      </c>
      <c r="C131" s="1" t="n">
        <v>46076</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36621-2024</t>
        </is>
      </c>
      <c r="B132" s="1" t="n">
        <v>45537.58864583333</v>
      </c>
      <c r="C132" s="1" t="n">
        <v>46076</v>
      </c>
      <c r="D132" t="inlineStr">
        <is>
          <t>GÄVLEBORGS LÄN</t>
        </is>
      </c>
      <c r="E132" t="inlineStr">
        <is>
          <t>LJUSDAL</t>
        </is>
      </c>
      <c r="F132" t="inlineStr">
        <is>
          <t>Sveaskog</t>
        </is>
      </c>
      <c r="G132" t="n">
        <v>2.9</v>
      </c>
      <c r="H132" t="n">
        <v>0</v>
      </c>
      <c r="I132" t="n">
        <v>0</v>
      </c>
      <c r="J132" t="n">
        <v>3</v>
      </c>
      <c r="K132" t="n">
        <v>0</v>
      </c>
      <c r="L132" t="n">
        <v>0</v>
      </c>
      <c r="M132" t="n">
        <v>0</v>
      </c>
      <c r="N132" t="n">
        <v>0</v>
      </c>
      <c r="O132" t="n">
        <v>3</v>
      </c>
      <c r="P132" t="n">
        <v>0</v>
      </c>
      <c r="Q132" t="n">
        <v>3</v>
      </c>
      <c r="R132" s="2" t="inlineStr">
        <is>
          <t>Kolflarnlav
Lunglav
Mörk kolflarnlav</t>
        </is>
      </c>
      <c r="S132">
        <f>HYPERLINK("https://klasma.github.io/Logging_2161/artfynd/A 36621-2024 artfynd.xlsx", "A 36621-2024")</f>
        <v/>
      </c>
      <c r="T132">
        <f>HYPERLINK("https://klasma.github.io/Logging_2161/kartor/A 36621-2024 karta.png", "A 36621-2024")</f>
        <v/>
      </c>
      <c r="V132">
        <f>HYPERLINK("https://klasma.github.io/Logging_2161/klagomål/A 36621-2024 FSC-klagomål.docx", "A 36621-2024")</f>
        <v/>
      </c>
      <c r="W132">
        <f>HYPERLINK("https://klasma.github.io/Logging_2161/klagomålsmail/A 36621-2024 FSC-klagomål mail.docx", "A 36621-2024")</f>
        <v/>
      </c>
      <c r="X132">
        <f>HYPERLINK("https://klasma.github.io/Logging_2161/tillsyn/A 36621-2024 tillsynsbegäran.docx", "A 36621-2024")</f>
        <v/>
      </c>
      <c r="Y132">
        <f>HYPERLINK("https://klasma.github.io/Logging_2161/tillsynsmail/A 36621-2024 tillsynsbegäran mail.docx", "A 36621-2024")</f>
        <v/>
      </c>
    </row>
    <row r="133" ht="15" customHeight="1">
      <c r="A133" t="inlineStr">
        <is>
          <t>A 36629-2024</t>
        </is>
      </c>
      <c r="B133" s="1" t="n">
        <v>45537</v>
      </c>
      <c r="C133" s="1" t="n">
        <v>46076</v>
      </c>
      <c r="D133" t="inlineStr">
        <is>
          <t>GÄVLEBORGS LÄN</t>
        </is>
      </c>
      <c r="E133" t="inlineStr">
        <is>
          <t>LJUSDAL</t>
        </is>
      </c>
      <c r="F133" t="inlineStr">
        <is>
          <t>Sveaskog</t>
        </is>
      </c>
      <c r="G133" t="n">
        <v>1.1</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17707-2025</t>
        </is>
      </c>
      <c r="B134" s="1" t="n">
        <v>45758</v>
      </c>
      <c r="C134" s="1" t="n">
        <v>46076</v>
      </c>
      <c r="D134" t="inlineStr">
        <is>
          <t>GÄVLEBORGS LÄN</t>
        </is>
      </c>
      <c r="E134" t="inlineStr">
        <is>
          <t>LJUSDAL</t>
        </is>
      </c>
      <c r="F134" t="inlineStr">
        <is>
          <t>Kyrkan</t>
        </is>
      </c>
      <c r="G134" t="n">
        <v>7.2</v>
      </c>
      <c r="H134" t="n">
        <v>2</v>
      </c>
      <c r="I134" t="n">
        <v>2</v>
      </c>
      <c r="J134" t="n">
        <v>0</v>
      </c>
      <c r="K134" t="n">
        <v>1</v>
      </c>
      <c r="L134" t="n">
        <v>0</v>
      </c>
      <c r="M134" t="n">
        <v>0</v>
      </c>
      <c r="N134" t="n">
        <v>0</v>
      </c>
      <c r="O134" t="n">
        <v>1</v>
      </c>
      <c r="P134" t="n">
        <v>1</v>
      </c>
      <c r="Q134" t="n">
        <v>3</v>
      </c>
      <c r="R134" s="2" t="inlineStr">
        <is>
          <t>Knärot
Grönpyrola
Plattlummer</t>
        </is>
      </c>
      <c r="S134">
        <f>HYPERLINK("https://klasma.github.io/Logging_2161/artfynd/A 17707-2025 artfynd.xlsx", "A 17707-2025")</f>
        <v/>
      </c>
      <c r="T134">
        <f>HYPERLINK("https://klasma.github.io/Logging_2161/kartor/A 17707-2025 karta.png", "A 17707-2025")</f>
        <v/>
      </c>
      <c r="U134">
        <f>HYPERLINK("https://klasma.github.io/Logging_2161/knärot/A 17707-2025 karta knärot.png", "A 17707-2025")</f>
        <v/>
      </c>
      <c r="V134">
        <f>HYPERLINK("https://klasma.github.io/Logging_2161/klagomål/A 17707-2025 FSC-klagomål.docx", "A 17707-2025")</f>
        <v/>
      </c>
      <c r="W134">
        <f>HYPERLINK("https://klasma.github.io/Logging_2161/klagomålsmail/A 17707-2025 FSC-klagomål mail.docx", "A 17707-2025")</f>
        <v/>
      </c>
      <c r="X134">
        <f>HYPERLINK("https://klasma.github.io/Logging_2161/tillsyn/A 17707-2025 tillsynsbegäran.docx", "A 17707-2025")</f>
        <v/>
      </c>
      <c r="Y134">
        <f>HYPERLINK("https://klasma.github.io/Logging_2161/tillsynsmail/A 17707-2025 tillsynsbegäran mail.docx", "A 17707-2025")</f>
        <v/>
      </c>
    </row>
    <row r="135" ht="15" customHeight="1">
      <c r="A135" t="inlineStr">
        <is>
          <t>A 55108-2025</t>
        </is>
      </c>
      <c r="B135" s="1" t="n">
        <v>45968.37034722222</v>
      </c>
      <c r="C135" s="1" t="n">
        <v>46076</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17701-2025</t>
        </is>
      </c>
      <c r="B136" s="1" t="n">
        <v>45758</v>
      </c>
      <c r="C136" s="1" t="n">
        <v>46076</v>
      </c>
      <c r="D136" t="inlineStr">
        <is>
          <t>GÄVLEBORGS LÄN</t>
        </is>
      </c>
      <c r="E136" t="inlineStr">
        <is>
          <t>LJUSDAL</t>
        </is>
      </c>
      <c r="F136" t="inlineStr">
        <is>
          <t>Kyrkan</t>
        </is>
      </c>
      <c r="G136" t="n">
        <v>3.5</v>
      </c>
      <c r="H136" t="n">
        <v>2</v>
      </c>
      <c r="I136" t="n">
        <v>0</v>
      </c>
      <c r="J136" t="n">
        <v>0</v>
      </c>
      <c r="K136" t="n">
        <v>2</v>
      </c>
      <c r="L136" t="n">
        <v>0</v>
      </c>
      <c r="M136" t="n">
        <v>0</v>
      </c>
      <c r="N136" t="n">
        <v>0</v>
      </c>
      <c r="O136" t="n">
        <v>2</v>
      </c>
      <c r="P136" t="n">
        <v>2</v>
      </c>
      <c r="Q136" t="n">
        <v>3</v>
      </c>
      <c r="R136" s="2" t="inlineStr">
        <is>
          <t>Knärot
Rynkskinn
Tjäder</t>
        </is>
      </c>
      <c r="S136">
        <f>HYPERLINK("https://klasma.github.io/Logging_2161/artfynd/A 17701-2025 artfynd.xlsx", "A 17701-2025")</f>
        <v/>
      </c>
      <c r="T136">
        <f>HYPERLINK("https://klasma.github.io/Logging_2161/kartor/A 17701-2025 karta.png", "A 17701-2025")</f>
        <v/>
      </c>
      <c r="U136">
        <f>HYPERLINK("https://klasma.github.io/Logging_2161/knärot/A 17701-2025 karta knärot.png", "A 17701-2025")</f>
        <v/>
      </c>
      <c r="V136">
        <f>HYPERLINK("https://klasma.github.io/Logging_2161/klagomål/A 17701-2025 FSC-klagomål.docx", "A 17701-2025")</f>
        <v/>
      </c>
      <c r="W136">
        <f>HYPERLINK("https://klasma.github.io/Logging_2161/klagomålsmail/A 17701-2025 FSC-klagomål mail.docx", "A 17701-2025")</f>
        <v/>
      </c>
      <c r="X136">
        <f>HYPERLINK("https://klasma.github.io/Logging_2161/tillsyn/A 17701-2025 tillsynsbegäran.docx", "A 17701-2025")</f>
        <v/>
      </c>
      <c r="Y136">
        <f>HYPERLINK("https://klasma.github.io/Logging_2161/tillsynsmail/A 17701-2025 tillsynsbegäran mail.docx", "A 17701-2025")</f>
        <v/>
      </c>
      <c r="Z136">
        <f>HYPERLINK("https://klasma.github.io/Logging_2161/fåglar/A 17701-2025 prioriterade fågelarter.docx", "A 17701-2025")</f>
        <v/>
      </c>
    </row>
    <row r="137" ht="15" customHeight="1">
      <c r="A137" t="inlineStr">
        <is>
          <t>A 22229-2024</t>
        </is>
      </c>
      <c r="B137" s="1" t="n">
        <v>45446.42638888889</v>
      </c>
      <c r="C137" s="1" t="n">
        <v>46076</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39024-2024</t>
        </is>
      </c>
      <c r="B138" s="1" t="n">
        <v>45548</v>
      </c>
      <c r="C138" s="1" t="n">
        <v>46076</v>
      </c>
      <c r="D138" t="inlineStr">
        <is>
          <t>GÄVLEBORGS LÄN</t>
        </is>
      </c>
      <c r="E138" t="inlineStr">
        <is>
          <t>LJUSDAL</t>
        </is>
      </c>
      <c r="F138" t="inlineStr">
        <is>
          <t>Sveaskog</t>
        </is>
      </c>
      <c r="G138" t="n">
        <v>17</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39024-2024 artfynd.xlsx", "A 39024-2024")</f>
        <v/>
      </c>
      <c r="T138">
        <f>HYPERLINK("https://klasma.github.io/Logging_2161/kartor/A 39024-2024 karta.png", "A 39024-2024")</f>
        <v/>
      </c>
      <c r="V138">
        <f>HYPERLINK("https://klasma.github.io/Logging_2161/klagomål/A 39024-2024 FSC-klagomål.docx", "A 39024-2024")</f>
        <v/>
      </c>
      <c r="W138">
        <f>HYPERLINK("https://klasma.github.io/Logging_2161/klagomålsmail/A 39024-2024 FSC-klagomål mail.docx", "A 39024-2024")</f>
        <v/>
      </c>
      <c r="X138">
        <f>HYPERLINK("https://klasma.github.io/Logging_2161/tillsyn/A 39024-2024 tillsynsbegäran.docx", "A 39024-2024")</f>
        <v/>
      </c>
      <c r="Y138">
        <f>HYPERLINK("https://klasma.github.io/Logging_2161/tillsynsmail/A 39024-2024 tillsynsbegäran mail.docx", "A 39024-2024")</f>
        <v/>
      </c>
    </row>
    <row r="139" ht="15" customHeight="1">
      <c r="A139" t="inlineStr">
        <is>
          <t>A 12105-2023</t>
        </is>
      </c>
      <c r="B139" s="1" t="n">
        <v>44998</v>
      </c>
      <c r="C139" s="1" t="n">
        <v>46076</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44451-2024</t>
        </is>
      </c>
      <c r="B140" s="1" t="n">
        <v>45574</v>
      </c>
      <c r="C140" s="1" t="n">
        <v>46076</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22239-2024</t>
        </is>
      </c>
      <c r="B141" s="1" t="n">
        <v>45446.44012731482</v>
      </c>
      <c r="C141" s="1" t="n">
        <v>46076</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46076</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23-2026</t>
        </is>
      </c>
      <c r="B143" s="1" t="n">
        <v>46023.85459490741</v>
      </c>
      <c r="C143" s="1" t="n">
        <v>46076</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36627-2024</t>
        </is>
      </c>
      <c r="B144" s="1" t="n">
        <v>45537</v>
      </c>
      <c r="C144" s="1" t="n">
        <v>46076</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46076</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46076</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46076</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46076</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46076</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46076</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46076</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46076</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46076</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46076</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46076</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23399-2024</t>
        </is>
      </c>
      <c r="B156" s="1" t="n">
        <v>45453</v>
      </c>
      <c r="C156" s="1" t="n">
        <v>46076</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34997-2024</t>
        </is>
      </c>
      <c r="B157" s="1" t="n">
        <v>45527.56431712963</v>
      </c>
      <c r="C157" s="1" t="n">
        <v>46076</v>
      </c>
      <c r="D157" t="inlineStr">
        <is>
          <t>GÄVLEBORGS LÄN</t>
        </is>
      </c>
      <c r="E157" t="inlineStr">
        <is>
          <t>LJUSDAL</t>
        </is>
      </c>
      <c r="F157" t="inlineStr">
        <is>
          <t>Sveaskog</t>
        </is>
      </c>
      <c r="G157" t="n">
        <v>5.3</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34997-2024 artfynd.xlsx", "A 34997-2024")</f>
        <v/>
      </c>
      <c r="T157">
        <f>HYPERLINK("https://klasma.github.io/Logging_2161/kartor/A 34997-2024 karta.png", "A 34997-2024")</f>
        <v/>
      </c>
      <c r="V157">
        <f>HYPERLINK("https://klasma.github.io/Logging_2161/klagomål/A 34997-2024 FSC-klagomål.docx", "A 34997-2024")</f>
        <v/>
      </c>
      <c r="W157">
        <f>HYPERLINK("https://klasma.github.io/Logging_2161/klagomålsmail/A 34997-2024 FSC-klagomål mail.docx", "A 34997-2024")</f>
        <v/>
      </c>
      <c r="X157">
        <f>HYPERLINK("https://klasma.github.io/Logging_2161/tillsyn/A 34997-2024 tillsynsbegäran.docx", "A 34997-2024")</f>
        <v/>
      </c>
      <c r="Y157">
        <f>HYPERLINK("https://klasma.github.io/Logging_2161/tillsynsmail/A 34997-2024 tillsynsbegäran mail.docx", "A 34997-2024")</f>
        <v/>
      </c>
    </row>
    <row r="158" ht="15" customHeight="1">
      <c r="A158" t="inlineStr">
        <is>
          <t>A 22067-2024</t>
        </is>
      </c>
      <c r="B158" s="1" t="n">
        <v>45443.63162037037</v>
      </c>
      <c r="C158" s="1" t="n">
        <v>46076</v>
      </c>
      <c r="D158" t="inlineStr">
        <is>
          <t>GÄVLEBORGS LÄN</t>
        </is>
      </c>
      <c r="E158" t="inlineStr">
        <is>
          <t>LJUSDAL</t>
        </is>
      </c>
      <c r="F158" t="inlineStr">
        <is>
          <t>Sveaskog</t>
        </is>
      </c>
      <c r="G158" t="n">
        <v>2.9</v>
      </c>
      <c r="H158" t="n">
        <v>0</v>
      </c>
      <c r="I158" t="n">
        <v>0</v>
      </c>
      <c r="J158" t="n">
        <v>2</v>
      </c>
      <c r="K158" t="n">
        <v>0</v>
      </c>
      <c r="L158" t="n">
        <v>0</v>
      </c>
      <c r="M158" t="n">
        <v>0</v>
      </c>
      <c r="N158" t="n">
        <v>0</v>
      </c>
      <c r="O158" t="n">
        <v>2</v>
      </c>
      <c r="P158" t="n">
        <v>0</v>
      </c>
      <c r="Q158" t="n">
        <v>2</v>
      </c>
      <c r="R158" s="2" t="inlineStr">
        <is>
          <t>Garnlav
Skrovellav</t>
        </is>
      </c>
      <c r="S158">
        <f>HYPERLINK("https://klasma.github.io/Logging_2161/artfynd/A 22067-2024 artfynd.xlsx", "A 22067-2024")</f>
        <v/>
      </c>
      <c r="T158">
        <f>HYPERLINK("https://klasma.github.io/Logging_2161/kartor/A 22067-2024 karta.png", "A 22067-2024")</f>
        <v/>
      </c>
      <c r="V158">
        <f>HYPERLINK("https://klasma.github.io/Logging_2161/klagomål/A 22067-2024 FSC-klagomål.docx", "A 22067-2024")</f>
        <v/>
      </c>
      <c r="W158">
        <f>HYPERLINK("https://klasma.github.io/Logging_2161/klagomålsmail/A 22067-2024 FSC-klagomål mail.docx", "A 22067-2024")</f>
        <v/>
      </c>
      <c r="X158">
        <f>HYPERLINK("https://klasma.github.io/Logging_2161/tillsyn/A 22067-2024 tillsynsbegäran.docx", "A 22067-2024")</f>
        <v/>
      </c>
      <c r="Y158">
        <f>HYPERLINK("https://klasma.github.io/Logging_2161/tillsynsmail/A 22067-2024 tillsynsbegäran mail.docx", "A 22067-2024")</f>
        <v/>
      </c>
    </row>
    <row r="159" ht="15" customHeight="1">
      <c r="A159" t="inlineStr">
        <is>
          <t>A 38698-2025</t>
        </is>
      </c>
      <c r="B159" s="1" t="n">
        <v>45884.78145833333</v>
      </c>
      <c r="C159" s="1" t="n">
        <v>46076</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30885-2024</t>
        </is>
      </c>
      <c r="B160" s="1" t="n">
        <v>45498.37140046297</v>
      </c>
      <c r="C160" s="1" t="n">
        <v>46076</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30530-2025</t>
        </is>
      </c>
      <c r="B161" s="1" t="n">
        <v>45831.36056712963</v>
      </c>
      <c r="C161" s="1" t="n">
        <v>46076</v>
      </c>
      <c r="D161" t="inlineStr">
        <is>
          <t>GÄVLEBORGS LÄN</t>
        </is>
      </c>
      <c r="E161" t="inlineStr">
        <is>
          <t>LJUSDAL</t>
        </is>
      </c>
      <c r="F161" t="inlineStr">
        <is>
          <t>Sveaskog</t>
        </is>
      </c>
      <c r="G161" t="n">
        <v>5</v>
      </c>
      <c r="H161" t="n">
        <v>1</v>
      </c>
      <c r="I161" t="n">
        <v>2</v>
      </c>
      <c r="J161" t="n">
        <v>0</v>
      </c>
      <c r="K161" t="n">
        <v>0</v>
      </c>
      <c r="L161" t="n">
        <v>0</v>
      </c>
      <c r="M161" t="n">
        <v>0</v>
      </c>
      <c r="N161" t="n">
        <v>0</v>
      </c>
      <c r="O161" t="n">
        <v>0</v>
      </c>
      <c r="P161" t="n">
        <v>0</v>
      </c>
      <c r="Q161" t="n">
        <v>2</v>
      </c>
      <c r="R161" s="2" t="inlineStr">
        <is>
          <t>Dropptaggsvamp
Tvåblad</t>
        </is>
      </c>
      <c r="S161">
        <f>HYPERLINK("https://klasma.github.io/Logging_2161/artfynd/A 30530-2025 artfynd.xlsx", "A 30530-2025")</f>
        <v/>
      </c>
      <c r="T161">
        <f>HYPERLINK("https://klasma.github.io/Logging_2161/kartor/A 30530-2025 karta.png", "A 30530-2025")</f>
        <v/>
      </c>
      <c r="V161">
        <f>HYPERLINK("https://klasma.github.io/Logging_2161/klagomål/A 30530-2025 FSC-klagomål.docx", "A 30530-2025")</f>
        <v/>
      </c>
      <c r="W161">
        <f>HYPERLINK("https://klasma.github.io/Logging_2161/klagomålsmail/A 30530-2025 FSC-klagomål mail.docx", "A 30530-2025")</f>
        <v/>
      </c>
      <c r="X161">
        <f>HYPERLINK("https://klasma.github.io/Logging_2161/tillsyn/A 30530-2025 tillsynsbegäran.docx", "A 30530-2025")</f>
        <v/>
      </c>
      <c r="Y161">
        <f>HYPERLINK("https://klasma.github.io/Logging_2161/tillsynsmail/A 30530-2025 tillsynsbegäran mail.docx", "A 30530-2025")</f>
        <v/>
      </c>
    </row>
    <row r="162" ht="15" customHeight="1">
      <c r="A162" t="inlineStr">
        <is>
          <t>A 31062-2025</t>
        </is>
      </c>
      <c r="B162" s="1" t="n">
        <v>45832.57438657407</v>
      </c>
      <c r="C162" s="1" t="n">
        <v>46076</v>
      </c>
      <c r="D162" t="inlineStr">
        <is>
          <t>GÄVLEBORGS LÄN</t>
        </is>
      </c>
      <c r="E162" t="inlineStr">
        <is>
          <t>LJUSDAL</t>
        </is>
      </c>
      <c r="F162" t="inlineStr">
        <is>
          <t>Allmännings- och besparingsskogar</t>
        </is>
      </c>
      <c r="G162" t="n">
        <v>8.4</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HYPERLINK("https://klasma.github.io/Logging_2161/artfynd/A 31062-2025 artfynd.xlsx", "A 31062-2025")</f>
        <v/>
      </c>
      <c r="T162">
        <f>HYPERLINK("https://klasma.github.io/Logging_2161/kartor/A 31062-2025 karta.png", "A 31062-2025")</f>
        <v/>
      </c>
      <c r="V162">
        <f>HYPERLINK("https://klasma.github.io/Logging_2161/klagomål/A 31062-2025 FSC-klagomål.docx", "A 31062-2025")</f>
        <v/>
      </c>
      <c r="W162">
        <f>HYPERLINK("https://klasma.github.io/Logging_2161/klagomålsmail/A 31062-2025 FSC-klagomål mail.docx", "A 31062-2025")</f>
        <v/>
      </c>
      <c r="X162">
        <f>HYPERLINK("https://klasma.github.io/Logging_2161/tillsyn/A 31062-2025 tillsynsbegäran.docx", "A 31062-2025")</f>
        <v/>
      </c>
      <c r="Y162">
        <f>HYPERLINK("https://klasma.github.io/Logging_2161/tillsynsmail/A 31062-2025 tillsynsbegäran mail.docx", "A 31062-2025")</f>
        <v/>
      </c>
    </row>
    <row r="163" ht="15" customHeight="1">
      <c r="A163" t="inlineStr">
        <is>
          <t>A 31078-2025</t>
        </is>
      </c>
      <c r="B163" s="1" t="n">
        <v>45832.5844212963</v>
      </c>
      <c r="C163" s="1" t="n">
        <v>46076</v>
      </c>
      <c r="D163" t="inlineStr">
        <is>
          <t>GÄVLEBORGS LÄN</t>
        </is>
      </c>
      <c r="E163" t="inlineStr">
        <is>
          <t>LJUSDAL</t>
        </is>
      </c>
      <c r="F163" t="inlineStr">
        <is>
          <t>Allmännings- och besparingsskogar</t>
        </is>
      </c>
      <c r="G163" t="n">
        <v>2.9</v>
      </c>
      <c r="H163" t="n">
        <v>1</v>
      </c>
      <c r="I163" t="n">
        <v>1</v>
      </c>
      <c r="J163" t="n">
        <v>1</v>
      </c>
      <c r="K163" t="n">
        <v>0</v>
      </c>
      <c r="L163" t="n">
        <v>0</v>
      </c>
      <c r="M163" t="n">
        <v>0</v>
      </c>
      <c r="N163" t="n">
        <v>0</v>
      </c>
      <c r="O163" t="n">
        <v>1</v>
      </c>
      <c r="P163" t="n">
        <v>0</v>
      </c>
      <c r="Q163" t="n">
        <v>2</v>
      </c>
      <c r="R163" s="2" t="inlineStr">
        <is>
          <t>Garnlav
Spindelblomster</t>
        </is>
      </c>
      <c r="S163">
        <f>HYPERLINK("https://klasma.github.io/Logging_2161/artfynd/A 31078-2025 artfynd.xlsx", "A 31078-2025")</f>
        <v/>
      </c>
      <c r="T163">
        <f>HYPERLINK("https://klasma.github.io/Logging_2161/kartor/A 31078-2025 karta.png", "A 31078-2025")</f>
        <v/>
      </c>
      <c r="V163">
        <f>HYPERLINK("https://klasma.github.io/Logging_2161/klagomål/A 31078-2025 FSC-klagomål.docx", "A 31078-2025")</f>
        <v/>
      </c>
      <c r="W163">
        <f>HYPERLINK("https://klasma.github.io/Logging_2161/klagomålsmail/A 31078-2025 FSC-klagomål mail.docx", "A 31078-2025")</f>
        <v/>
      </c>
      <c r="X163">
        <f>HYPERLINK("https://klasma.github.io/Logging_2161/tillsyn/A 31078-2025 tillsynsbegäran.docx", "A 31078-2025")</f>
        <v/>
      </c>
      <c r="Y163">
        <f>HYPERLINK("https://klasma.github.io/Logging_2161/tillsynsmail/A 31078-2025 tillsynsbegäran mail.docx", "A 31078-2025")</f>
        <v/>
      </c>
    </row>
    <row r="164" ht="15" customHeight="1">
      <c r="A164" t="inlineStr">
        <is>
          <t>A 54108-2022</t>
        </is>
      </c>
      <c r="B164" s="1" t="n">
        <v>44881.55616898148</v>
      </c>
      <c r="C164" s="1" t="n">
        <v>46076</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31740-2025</t>
        </is>
      </c>
      <c r="B165" s="1" t="n">
        <v>45834.47508101852</v>
      </c>
      <c r="C165" s="1" t="n">
        <v>46076</v>
      </c>
      <c r="D165" t="inlineStr">
        <is>
          <t>GÄVLEBORGS LÄN</t>
        </is>
      </c>
      <c r="E165" t="inlineStr">
        <is>
          <t>LJUSDAL</t>
        </is>
      </c>
      <c r="F165" t="inlineStr">
        <is>
          <t>Allmännings- och besparingsskogar</t>
        </is>
      </c>
      <c r="G165" t="n">
        <v>7.3</v>
      </c>
      <c r="H165" t="n">
        <v>0</v>
      </c>
      <c r="I165" t="n">
        <v>0</v>
      </c>
      <c r="J165" t="n">
        <v>2</v>
      </c>
      <c r="K165" t="n">
        <v>0</v>
      </c>
      <c r="L165" t="n">
        <v>0</v>
      </c>
      <c r="M165" t="n">
        <v>0</v>
      </c>
      <c r="N165" t="n">
        <v>0</v>
      </c>
      <c r="O165" t="n">
        <v>2</v>
      </c>
      <c r="P165" t="n">
        <v>0</v>
      </c>
      <c r="Q165" t="n">
        <v>2</v>
      </c>
      <c r="R165" s="2" t="inlineStr">
        <is>
          <t>Garnlav
Vedskivlav</t>
        </is>
      </c>
      <c r="S165">
        <f>HYPERLINK("https://klasma.github.io/Logging_2161/artfynd/A 31740-2025 artfynd.xlsx", "A 31740-2025")</f>
        <v/>
      </c>
      <c r="T165">
        <f>HYPERLINK("https://klasma.github.io/Logging_2161/kartor/A 31740-2025 karta.png", "A 31740-2025")</f>
        <v/>
      </c>
      <c r="V165">
        <f>HYPERLINK("https://klasma.github.io/Logging_2161/klagomål/A 31740-2025 FSC-klagomål.docx", "A 31740-2025")</f>
        <v/>
      </c>
      <c r="W165">
        <f>HYPERLINK("https://klasma.github.io/Logging_2161/klagomålsmail/A 31740-2025 FSC-klagomål mail.docx", "A 31740-2025")</f>
        <v/>
      </c>
      <c r="X165">
        <f>HYPERLINK("https://klasma.github.io/Logging_2161/tillsyn/A 31740-2025 tillsynsbegäran.docx", "A 31740-2025")</f>
        <v/>
      </c>
      <c r="Y165">
        <f>HYPERLINK("https://klasma.github.io/Logging_2161/tillsynsmail/A 31740-2025 tillsynsbegäran mail.docx", "A 31740-2025")</f>
        <v/>
      </c>
    </row>
    <row r="166" ht="15" customHeight="1">
      <c r="A166" t="inlineStr">
        <is>
          <t>A 33332-2025</t>
        </is>
      </c>
      <c r="B166" s="1" t="n">
        <v>45841.35319444445</v>
      </c>
      <c r="C166" s="1" t="n">
        <v>46076</v>
      </c>
      <c r="D166" t="inlineStr">
        <is>
          <t>GÄVLEBORGS LÄN</t>
        </is>
      </c>
      <c r="E166" t="inlineStr">
        <is>
          <t>LJUSDAL</t>
        </is>
      </c>
      <c r="F166" t="inlineStr">
        <is>
          <t>Sveaskog</t>
        </is>
      </c>
      <c r="G166" t="n">
        <v>22.3</v>
      </c>
      <c r="H166" t="n">
        <v>1</v>
      </c>
      <c r="I166" t="n">
        <v>0</v>
      </c>
      <c r="J166" t="n">
        <v>1</v>
      </c>
      <c r="K166" t="n">
        <v>0</v>
      </c>
      <c r="L166" t="n">
        <v>0</v>
      </c>
      <c r="M166" t="n">
        <v>0</v>
      </c>
      <c r="N166" t="n">
        <v>0</v>
      </c>
      <c r="O166" t="n">
        <v>1</v>
      </c>
      <c r="P166" t="n">
        <v>0</v>
      </c>
      <c r="Q166" t="n">
        <v>2</v>
      </c>
      <c r="R166" s="2" t="inlineStr">
        <is>
          <t>Lunglav
Fläcknycklar</t>
        </is>
      </c>
      <c r="S166">
        <f>HYPERLINK("https://klasma.github.io/Logging_2161/artfynd/A 33332-2025 artfynd.xlsx", "A 33332-2025")</f>
        <v/>
      </c>
      <c r="T166">
        <f>HYPERLINK("https://klasma.github.io/Logging_2161/kartor/A 33332-2025 karta.png", "A 33332-2025")</f>
        <v/>
      </c>
      <c r="V166">
        <f>HYPERLINK("https://klasma.github.io/Logging_2161/klagomål/A 33332-2025 FSC-klagomål.docx", "A 33332-2025")</f>
        <v/>
      </c>
      <c r="W166">
        <f>HYPERLINK("https://klasma.github.io/Logging_2161/klagomålsmail/A 33332-2025 FSC-klagomål mail.docx", "A 33332-2025")</f>
        <v/>
      </c>
      <c r="X166">
        <f>HYPERLINK("https://klasma.github.io/Logging_2161/tillsyn/A 33332-2025 tillsynsbegäran.docx", "A 33332-2025")</f>
        <v/>
      </c>
      <c r="Y166">
        <f>HYPERLINK("https://klasma.github.io/Logging_2161/tillsynsmail/A 33332-2025 tillsynsbegäran mail.docx", "A 33332-2025")</f>
        <v/>
      </c>
    </row>
    <row r="167" ht="15" customHeight="1">
      <c r="A167" t="inlineStr">
        <is>
          <t>A 43850-2025</t>
        </is>
      </c>
      <c r="B167" s="1" t="n">
        <v>45912.63934027778</v>
      </c>
      <c r="C167" s="1" t="n">
        <v>46076</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19848-2024</t>
        </is>
      </c>
      <c r="B168" s="1" t="n">
        <v>45433.39409722222</v>
      </c>
      <c r="C168" s="1" t="n">
        <v>46076</v>
      </c>
      <c r="D168" t="inlineStr">
        <is>
          <t>GÄVLEBORGS LÄN</t>
        </is>
      </c>
      <c r="E168" t="inlineStr">
        <is>
          <t>LJUSDAL</t>
        </is>
      </c>
      <c r="F168" t="inlineStr">
        <is>
          <t>Sveaskog</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19848-2024 artfynd.xlsx", "A 19848-2024")</f>
        <v/>
      </c>
      <c r="T168">
        <f>HYPERLINK("https://klasma.github.io/Logging_2161/kartor/A 19848-2024 karta.png", "A 19848-2024")</f>
        <v/>
      </c>
      <c r="V168">
        <f>HYPERLINK("https://klasma.github.io/Logging_2161/klagomål/A 19848-2024 FSC-klagomål.docx", "A 19848-2024")</f>
        <v/>
      </c>
      <c r="W168">
        <f>HYPERLINK("https://klasma.github.io/Logging_2161/klagomålsmail/A 19848-2024 FSC-klagomål mail.docx", "A 19848-2024")</f>
        <v/>
      </c>
      <c r="X168">
        <f>HYPERLINK("https://klasma.github.io/Logging_2161/tillsyn/A 19848-2024 tillsynsbegäran.docx", "A 19848-2024")</f>
        <v/>
      </c>
      <c r="Y168">
        <f>HYPERLINK("https://klasma.github.io/Logging_2161/tillsynsmail/A 19848-2024 tillsynsbegäran mail.docx", "A 19848-2024")</f>
        <v/>
      </c>
    </row>
    <row r="169" ht="15" customHeight="1">
      <c r="A169" t="inlineStr">
        <is>
          <t>A 18101-2024</t>
        </is>
      </c>
      <c r="B169" s="1" t="n">
        <v>45420</v>
      </c>
      <c r="C169" s="1" t="n">
        <v>46076</v>
      </c>
      <c r="D169" t="inlineStr">
        <is>
          <t>GÄVLEBORGS LÄN</t>
        </is>
      </c>
      <c r="E169" t="inlineStr">
        <is>
          <t>LJUSDAL</t>
        </is>
      </c>
      <c r="F169" t="inlineStr">
        <is>
          <t>Sveaskog</t>
        </is>
      </c>
      <c r="G169" t="n">
        <v>2.8</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18101-2024 artfynd.xlsx", "A 18101-2024")</f>
        <v/>
      </c>
      <c r="T169">
        <f>HYPERLINK("https://klasma.github.io/Logging_2161/kartor/A 18101-2024 karta.png", "A 18101-2024")</f>
        <v/>
      </c>
      <c r="V169">
        <f>HYPERLINK("https://klasma.github.io/Logging_2161/klagomål/A 18101-2024 FSC-klagomål.docx", "A 18101-2024")</f>
        <v/>
      </c>
      <c r="W169">
        <f>HYPERLINK("https://klasma.github.io/Logging_2161/klagomålsmail/A 18101-2024 FSC-klagomål mail.docx", "A 18101-2024")</f>
        <v/>
      </c>
      <c r="X169">
        <f>HYPERLINK("https://klasma.github.io/Logging_2161/tillsyn/A 18101-2024 tillsynsbegäran.docx", "A 18101-2024")</f>
        <v/>
      </c>
      <c r="Y169">
        <f>HYPERLINK("https://klasma.github.io/Logging_2161/tillsynsmail/A 18101-2024 tillsynsbegäran mail.docx", "A 18101-2024")</f>
        <v/>
      </c>
    </row>
    <row r="170" ht="15" customHeight="1">
      <c r="A170" t="inlineStr">
        <is>
          <t>A 46311-2025</t>
        </is>
      </c>
      <c r="B170" s="1" t="n">
        <v>45925.43980324074</v>
      </c>
      <c r="C170" s="1" t="n">
        <v>46076</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46651-2025</t>
        </is>
      </c>
      <c r="B171" s="1" t="n">
        <v>45926.48703703703</v>
      </c>
      <c r="C171" s="1" t="n">
        <v>46076</v>
      </c>
      <c r="D171" t="inlineStr">
        <is>
          <t>GÄVLEBORGS LÄN</t>
        </is>
      </c>
      <c r="E171" t="inlineStr">
        <is>
          <t>LJUSDAL</t>
        </is>
      </c>
      <c r="F171" t="inlineStr">
        <is>
          <t>Sveaskog</t>
        </is>
      </c>
      <c r="G171" t="n">
        <v>7.4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46651-2025 artfynd.xlsx", "A 46651-2025")</f>
        <v/>
      </c>
      <c r="T171">
        <f>HYPERLINK("https://klasma.github.io/Logging_2161/kartor/A 46651-2025 karta.png", "A 46651-2025")</f>
        <v/>
      </c>
      <c r="V171">
        <f>HYPERLINK("https://klasma.github.io/Logging_2161/klagomål/A 46651-2025 FSC-klagomål.docx", "A 46651-2025")</f>
        <v/>
      </c>
      <c r="W171">
        <f>HYPERLINK("https://klasma.github.io/Logging_2161/klagomålsmail/A 46651-2025 FSC-klagomål mail.docx", "A 46651-2025")</f>
        <v/>
      </c>
      <c r="X171">
        <f>HYPERLINK("https://klasma.github.io/Logging_2161/tillsyn/A 46651-2025 tillsynsbegäran.docx", "A 46651-2025")</f>
        <v/>
      </c>
      <c r="Y171">
        <f>HYPERLINK("https://klasma.github.io/Logging_2161/tillsynsmail/A 46651-2025 tillsynsbegäran mail.docx", "A 46651-2025")</f>
        <v/>
      </c>
    </row>
    <row r="172" ht="15" customHeight="1">
      <c r="A172" t="inlineStr">
        <is>
          <t>A 25992-2023</t>
        </is>
      </c>
      <c r="B172" s="1" t="n">
        <v>45090</v>
      </c>
      <c r="C172" s="1" t="n">
        <v>46076</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48297-2025</t>
        </is>
      </c>
      <c r="B173" s="1" t="n">
        <v>45933.60915509259</v>
      </c>
      <c r="C173" s="1" t="n">
        <v>46076</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46076</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38084-2025</t>
        </is>
      </c>
      <c r="B175" s="1" t="n">
        <v>45882</v>
      </c>
      <c r="C175" s="1" t="n">
        <v>46076</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45882.47858796296</v>
      </c>
      <c r="C176" s="1" t="n">
        <v>46076</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38196-2025</t>
        </is>
      </c>
      <c r="B177" s="1" t="n">
        <v>45882.66326388889</v>
      </c>
      <c r="C177" s="1" t="n">
        <v>46076</v>
      </c>
      <c r="D177" t="inlineStr">
        <is>
          <t>GÄVLEBORGS LÄN</t>
        </is>
      </c>
      <c r="E177" t="inlineStr">
        <is>
          <t>LJUSDAL</t>
        </is>
      </c>
      <c r="F177" t="inlineStr">
        <is>
          <t>Sveaskog</t>
        </is>
      </c>
      <c r="G177" t="n">
        <v>19.3</v>
      </c>
      <c r="H177" t="n">
        <v>0</v>
      </c>
      <c r="I177" t="n">
        <v>0</v>
      </c>
      <c r="J177" t="n">
        <v>2</v>
      </c>
      <c r="K177" t="n">
        <v>0</v>
      </c>
      <c r="L177" t="n">
        <v>0</v>
      </c>
      <c r="M177" t="n">
        <v>0</v>
      </c>
      <c r="N177" t="n">
        <v>0</v>
      </c>
      <c r="O177" t="n">
        <v>2</v>
      </c>
      <c r="P177" t="n">
        <v>0</v>
      </c>
      <c r="Q177" t="n">
        <v>2</v>
      </c>
      <c r="R177" s="2" t="inlineStr">
        <is>
          <t>Garnlav
Kortskaftad ärgspik</t>
        </is>
      </c>
      <c r="S177">
        <f>HYPERLINK("https://klasma.github.io/Logging_2161/artfynd/A 38196-2025 artfynd.xlsx", "A 38196-2025")</f>
        <v/>
      </c>
      <c r="T177">
        <f>HYPERLINK("https://klasma.github.io/Logging_2161/kartor/A 38196-2025 karta.png", "A 38196-2025")</f>
        <v/>
      </c>
      <c r="V177">
        <f>HYPERLINK("https://klasma.github.io/Logging_2161/klagomål/A 38196-2025 FSC-klagomål.docx", "A 38196-2025")</f>
        <v/>
      </c>
      <c r="W177">
        <f>HYPERLINK("https://klasma.github.io/Logging_2161/klagomålsmail/A 38196-2025 FSC-klagomål mail.docx", "A 38196-2025")</f>
        <v/>
      </c>
      <c r="X177">
        <f>HYPERLINK("https://klasma.github.io/Logging_2161/tillsyn/A 38196-2025 tillsynsbegäran.docx", "A 38196-2025")</f>
        <v/>
      </c>
      <c r="Y177">
        <f>HYPERLINK("https://klasma.github.io/Logging_2161/tillsynsmail/A 38196-2025 tillsynsbegäran mail.docx", "A 38196-2025")</f>
        <v/>
      </c>
    </row>
    <row r="178" ht="15" customHeight="1">
      <c r="A178" t="inlineStr">
        <is>
          <t>A 20098-2025</t>
        </is>
      </c>
      <c r="B178" s="1" t="n">
        <v>45772.46837962963</v>
      </c>
      <c r="C178" s="1" t="n">
        <v>46076</v>
      </c>
      <c r="D178" t="inlineStr">
        <is>
          <t>GÄVLEBORGS LÄN</t>
        </is>
      </c>
      <c r="E178" t="inlineStr">
        <is>
          <t>LJUSDAL</t>
        </is>
      </c>
      <c r="F178" t="inlineStr">
        <is>
          <t>Sveaskog</t>
        </is>
      </c>
      <c r="G178" t="n">
        <v>14.7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20098-2025 artfynd.xlsx", "A 20098-2025")</f>
        <v/>
      </c>
      <c r="T178">
        <f>HYPERLINK("https://klasma.github.io/Logging_2161/kartor/A 20098-2025 karta.png", "A 20098-2025")</f>
        <v/>
      </c>
      <c r="V178">
        <f>HYPERLINK("https://klasma.github.io/Logging_2161/klagomål/A 20098-2025 FSC-klagomål.docx", "A 20098-2025")</f>
        <v/>
      </c>
      <c r="W178">
        <f>HYPERLINK("https://klasma.github.io/Logging_2161/klagomålsmail/A 20098-2025 FSC-klagomål mail.docx", "A 20098-2025")</f>
        <v/>
      </c>
      <c r="X178">
        <f>HYPERLINK("https://klasma.github.io/Logging_2161/tillsyn/A 20098-2025 tillsynsbegäran.docx", "A 20098-2025")</f>
        <v/>
      </c>
      <c r="Y178">
        <f>HYPERLINK("https://klasma.github.io/Logging_2161/tillsynsmail/A 20098-2025 tillsynsbegäran mail.docx", "A 20098-2025")</f>
        <v/>
      </c>
    </row>
    <row r="179" ht="15" customHeight="1">
      <c r="A179" t="inlineStr">
        <is>
          <t>A 60541-2022</t>
        </is>
      </c>
      <c r="B179" s="1" t="n">
        <v>44911</v>
      </c>
      <c r="C179" s="1" t="n">
        <v>46076</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39889-2024</t>
        </is>
      </c>
      <c r="B180" s="1" t="n">
        <v>45553</v>
      </c>
      <c r="C180" s="1" t="n">
        <v>46076</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18731-2024</t>
        </is>
      </c>
      <c r="B181" s="1" t="n">
        <v>45426</v>
      </c>
      <c r="C181" s="1" t="n">
        <v>46076</v>
      </c>
      <c r="D181" t="inlineStr">
        <is>
          <t>GÄVLEBORGS LÄN</t>
        </is>
      </c>
      <c r="E181" t="inlineStr">
        <is>
          <t>LJUSDAL</t>
        </is>
      </c>
      <c r="F181" t="inlineStr">
        <is>
          <t>Sveaskog</t>
        </is>
      </c>
      <c r="G181" t="n">
        <v>6.8</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18731-2024 artfynd.xlsx", "A 18731-2024")</f>
        <v/>
      </c>
      <c r="T181">
        <f>HYPERLINK("https://klasma.github.io/Logging_2161/kartor/A 18731-2024 karta.png", "A 18731-2024")</f>
        <v/>
      </c>
      <c r="V181">
        <f>HYPERLINK("https://klasma.github.io/Logging_2161/klagomål/A 18731-2024 FSC-klagomål.docx", "A 18731-2024")</f>
        <v/>
      </c>
      <c r="W181">
        <f>HYPERLINK("https://klasma.github.io/Logging_2161/klagomålsmail/A 18731-2024 FSC-klagomål mail.docx", "A 18731-2024")</f>
        <v/>
      </c>
      <c r="X181">
        <f>HYPERLINK("https://klasma.github.io/Logging_2161/tillsyn/A 18731-2024 tillsynsbegäran.docx", "A 18731-2024")</f>
        <v/>
      </c>
      <c r="Y181">
        <f>HYPERLINK("https://klasma.github.io/Logging_2161/tillsynsmail/A 18731-2024 tillsynsbegäran mail.docx", "A 18731-2024")</f>
        <v/>
      </c>
    </row>
    <row r="182" ht="15" customHeight="1">
      <c r="A182" t="inlineStr">
        <is>
          <t>A 58878-2025</t>
        </is>
      </c>
      <c r="B182" s="1" t="n">
        <v>45987.47013888889</v>
      </c>
      <c r="C182" s="1" t="n">
        <v>46076</v>
      </c>
      <c r="D182" t="inlineStr">
        <is>
          <t>GÄVLEBORGS LÄN</t>
        </is>
      </c>
      <c r="E182" t="inlineStr">
        <is>
          <t>LJUSDAL</t>
        </is>
      </c>
      <c r="F182" t="inlineStr">
        <is>
          <t>Sveaskog</t>
        </is>
      </c>
      <c r="G182" t="n">
        <v>6.9</v>
      </c>
      <c r="H182" t="n">
        <v>1</v>
      </c>
      <c r="I182" t="n">
        <v>0</v>
      </c>
      <c r="J182" t="n">
        <v>1</v>
      </c>
      <c r="K182" t="n">
        <v>1</v>
      </c>
      <c r="L182" t="n">
        <v>0</v>
      </c>
      <c r="M182" t="n">
        <v>0</v>
      </c>
      <c r="N182" t="n">
        <v>0</v>
      </c>
      <c r="O182" t="n">
        <v>2</v>
      </c>
      <c r="P182" t="n">
        <v>1</v>
      </c>
      <c r="Q182" t="n">
        <v>2</v>
      </c>
      <c r="R182" s="2" t="inlineStr">
        <is>
          <t>Knärot
Lunglav</t>
        </is>
      </c>
      <c r="S182">
        <f>HYPERLINK("https://klasma.github.io/Logging_2161/artfynd/A 58878-2025 artfynd.xlsx", "A 58878-2025")</f>
        <v/>
      </c>
      <c r="T182">
        <f>HYPERLINK("https://klasma.github.io/Logging_2161/kartor/A 58878-2025 karta.png", "A 58878-2025")</f>
        <v/>
      </c>
      <c r="U182">
        <f>HYPERLINK("https://klasma.github.io/Logging_2161/knärot/A 58878-2025 karta knärot.png", "A 58878-2025")</f>
        <v/>
      </c>
      <c r="V182">
        <f>HYPERLINK("https://klasma.github.io/Logging_2161/klagomål/A 58878-2025 FSC-klagomål.docx", "A 58878-2025")</f>
        <v/>
      </c>
      <c r="W182">
        <f>HYPERLINK("https://klasma.github.io/Logging_2161/klagomålsmail/A 58878-2025 FSC-klagomål mail.docx", "A 58878-2025")</f>
        <v/>
      </c>
      <c r="X182">
        <f>HYPERLINK("https://klasma.github.io/Logging_2161/tillsyn/A 58878-2025 tillsynsbegäran.docx", "A 58878-2025")</f>
        <v/>
      </c>
      <c r="Y182">
        <f>HYPERLINK("https://klasma.github.io/Logging_2161/tillsynsmail/A 58878-2025 tillsynsbegäran mail.docx", "A 58878-2025")</f>
        <v/>
      </c>
    </row>
    <row r="183" ht="15" customHeight="1">
      <c r="A183" t="inlineStr">
        <is>
          <t>A 20247-2025</t>
        </is>
      </c>
      <c r="B183" s="1" t="n">
        <v>45772.7460300926</v>
      </c>
      <c r="C183" s="1" t="n">
        <v>46076</v>
      </c>
      <c r="D183" t="inlineStr">
        <is>
          <t>GÄVLEBORGS LÄN</t>
        </is>
      </c>
      <c r="E183" t="inlineStr">
        <is>
          <t>LJUSDAL</t>
        </is>
      </c>
      <c r="F183" t="inlineStr">
        <is>
          <t>Sveaskog</t>
        </is>
      </c>
      <c r="G183" t="n">
        <v>6</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20247-2025 artfynd.xlsx", "A 20247-2025")</f>
        <v/>
      </c>
      <c r="T183">
        <f>HYPERLINK("https://klasma.github.io/Logging_2161/kartor/A 20247-2025 karta.png", "A 20247-2025")</f>
        <v/>
      </c>
      <c r="V183">
        <f>HYPERLINK("https://klasma.github.io/Logging_2161/klagomål/A 20247-2025 FSC-klagomål.docx", "A 20247-2025")</f>
        <v/>
      </c>
      <c r="W183">
        <f>HYPERLINK("https://klasma.github.io/Logging_2161/klagomålsmail/A 20247-2025 FSC-klagomål mail.docx", "A 20247-2025")</f>
        <v/>
      </c>
      <c r="X183">
        <f>HYPERLINK("https://klasma.github.io/Logging_2161/tillsyn/A 20247-2025 tillsynsbegäran.docx", "A 20247-2025")</f>
        <v/>
      </c>
      <c r="Y183">
        <f>HYPERLINK("https://klasma.github.io/Logging_2161/tillsynsmail/A 20247-2025 tillsynsbegäran mail.docx", "A 20247-2025")</f>
        <v/>
      </c>
    </row>
    <row r="184" ht="15" customHeight="1">
      <c r="A184" t="inlineStr">
        <is>
          <t>A 18986-2024</t>
        </is>
      </c>
      <c r="B184" s="1" t="n">
        <v>45427</v>
      </c>
      <c r="C184" s="1" t="n">
        <v>46076</v>
      </c>
      <c r="D184" t="inlineStr">
        <is>
          <t>GÄVLEBORGS LÄN</t>
        </is>
      </c>
      <c r="E184" t="inlineStr">
        <is>
          <t>LJUSDAL</t>
        </is>
      </c>
      <c r="F184" t="inlineStr">
        <is>
          <t>Sveaskog</t>
        </is>
      </c>
      <c r="G184" t="n">
        <v>5.7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18986-2024 artfynd.xlsx", "A 18986-2024")</f>
        <v/>
      </c>
      <c r="T184">
        <f>HYPERLINK("https://klasma.github.io/Logging_2161/kartor/A 18986-2024 karta.png", "A 18986-2024")</f>
        <v/>
      </c>
      <c r="V184">
        <f>HYPERLINK("https://klasma.github.io/Logging_2161/klagomål/A 18986-2024 FSC-klagomål.docx", "A 18986-2024")</f>
        <v/>
      </c>
      <c r="W184">
        <f>HYPERLINK("https://klasma.github.io/Logging_2161/klagomålsmail/A 18986-2024 FSC-klagomål mail.docx", "A 18986-2024")</f>
        <v/>
      </c>
      <c r="X184">
        <f>HYPERLINK("https://klasma.github.io/Logging_2161/tillsyn/A 18986-2024 tillsynsbegäran.docx", "A 18986-2024")</f>
        <v/>
      </c>
      <c r="Y184">
        <f>HYPERLINK("https://klasma.github.io/Logging_2161/tillsynsmail/A 18986-2024 tillsynsbegäran mail.docx", "A 18986-2024")</f>
        <v/>
      </c>
    </row>
    <row r="185" ht="15" customHeight="1">
      <c r="A185" t="inlineStr">
        <is>
          <t>A 46247-2024</t>
        </is>
      </c>
      <c r="B185" s="1" t="n">
        <v>45581.59246527778</v>
      </c>
      <c r="C185" s="1" t="n">
        <v>46076</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Garnlav
Dropptaggsvamp</t>
        </is>
      </c>
      <c r="S185">
        <f>HYPERLINK("https://klasma.github.io/Logging_2161/artfynd/A 46247-2024 artfynd.xlsx", "A 46247-2024")</f>
        <v/>
      </c>
      <c r="T185">
        <f>HYPERLINK("https://klasma.github.io/Logging_2161/kartor/A 46247-2024 karta.png", "A 46247-2024")</f>
        <v/>
      </c>
      <c r="V185">
        <f>HYPERLINK("https://klasma.github.io/Logging_2161/klagomål/A 46247-2024 FSC-klagomål.docx", "A 46247-2024")</f>
        <v/>
      </c>
      <c r="W185">
        <f>HYPERLINK("https://klasma.github.io/Logging_2161/klagomålsmail/A 46247-2024 FSC-klagomål mail.docx", "A 46247-2024")</f>
        <v/>
      </c>
      <c r="X185">
        <f>HYPERLINK("https://klasma.github.io/Logging_2161/tillsyn/A 46247-2024 tillsynsbegäran.docx", "A 46247-2024")</f>
        <v/>
      </c>
      <c r="Y185">
        <f>HYPERLINK("https://klasma.github.io/Logging_2161/tillsynsmail/A 46247-2024 tillsynsbegäran mail.docx", "A 46247-2024")</f>
        <v/>
      </c>
    </row>
    <row r="186" ht="15" customHeight="1">
      <c r="A186" t="inlineStr">
        <is>
          <t>A 45270-2024</t>
        </is>
      </c>
      <c r="B186" s="1" t="n">
        <v>45576.35777777778</v>
      </c>
      <c r="C186" s="1" t="n">
        <v>46076</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9190-2026</t>
        </is>
      </c>
      <c r="B187" s="1" t="n">
        <v>46070.38195601852</v>
      </c>
      <c r="C187" s="1" t="n">
        <v>46076</v>
      </c>
      <c r="D187" t="inlineStr">
        <is>
          <t>GÄVLEBORGS LÄN</t>
        </is>
      </c>
      <c r="E187" t="inlineStr">
        <is>
          <t>LJUSDAL</t>
        </is>
      </c>
      <c r="G187" t="n">
        <v>1.5</v>
      </c>
      <c r="H187" t="n">
        <v>2</v>
      </c>
      <c r="I187" t="n">
        <v>0</v>
      </c>
      <c r="J187" t="n">
        <v>0</v>
      </c>
      <c r="K187" t="n">
        <v>1</v>
      </c>
      <c r="L187" t="n">
        <v>0</v>
      </c>
      <c r="M187" t="n">
        <v>0</v>
      </c>
      <c r="N187" t="n">
        <v>0</v>
      </c>
      <c r="O187" t="n">
        <v>1</v>
      </c>
      <c r="P187" t="n">
        <v>1</v>
      </c>
      <c r="Q187" t="n">
        <v>2</v>
      </c>
      <c r="R187" s="2" t="inlineStr">
        <is>
          <t>Knärot
Nattviol</t>
        </is>
      </c>
      <c r="S187">
        <f>HYPERLINK("https://klasma.github.io/Logging_2161/artfynd/A 9190-2026 artfynd.xlsx", "A 9190-2026")</f>
        <v/>
      </c>
      <c r="T187">
        <f>HYPERLINK("https://klasma.github.io/Logging_2161/kartor/A 9190-2026 karta.png", "A 9190-2026")</f>
        <v/>
      </c>
      <c r="U187">
        <f>HYPERLINK("https://klasma.github.io/Logging_2161/knärot/A 9190-2026 karta knärot.png", "A 9190-2026")</f>
        <v/>
      </c>
      <c r="V187">
        <f>HYPERLINK("https://klasma.github.io/Logging_2161/klagomål/A 9190-2026 FSC-klagomål.docx", "A 9190-2026")</f>
        <v/>
      </c>
      <c r="W187">
        <f>HYPERLINK("https://klasma.github.io/Logging_2161/klagomålsmail/A 9190-2026 FSC-klagomål mail.docx", "A 9190-2026")</f>
        <v/>
      </c>
      <c r="X187">
        <f>HYPERLINK("https://klasma.github.io/Logging_2161/tillsyn/A 9190-2026 tillsynsbegäran.docx", "A 9190-2026")</f>
        <v/>
      </c>
      <c r="Y187">
        <f>HYPERLINK("https://klasma.github.io/Logging_2161/tillsynsmail/A 9190-2026 tillsynsbegäran mail.docx", "A 9190-2026")</f>
        <v/>
      </c>
    </row>
    <row r="188" ht="15" customHeight="1">
      <c r="A188" t="inlineStr">
        <is>
          <t>A 18098-2024</t>
        </is>
      </c>
      <c r="B188" s="1" t="n">
        <v>45420</v>
      </c>
      <c r="C188" s="1" t="n">
        <v>46076</v>
      </c>
      <c r="D188" t="inlineStr">
        <is>
          <t>GÄVLEBORGS LÄN</t>
        </is>
      </c>
      <c r="E188" t="inlineStr">
        <is>
          <t>LJUSDAL</t>
        </is>
      </c>
      <c r="F188" t="inlineStr">
        <is>
          <t>Sveaskog</t>
        </is>
      </c>
      <c r="G188" t="n">
        <v>3.3</v>
      </c>
      <c r="H188" t="n">
        <v>1</v>
      </c>
      <c r="I188" t="n">
        <v>0</v>
      </c>
      <c r="J188" t="n">
        <v>2</v>
      </c>
      <c r="K188" t="n">
        <v>0</v>
      </c>
      <c r="L188" t="n">
        <v>0</v>
      </c>
      <c r="M188" t="n">
        <v>0</v>
      </c>
      <c r="N188" t="n">
        <v>0</v>
      </c>
      <c r="O188" t="n">
        <v>2</v>
      </c>
      <c r="P188" t="n">
        <v>0</v>
      </c>
      <c r="Q188" t="n">
        <v>2</v>
      </c>
      <c r="R188" s="2" t="inlineStr">
        <is>
          <t>Kolflarnlav
Varglav</t>
        </is>
      </c>
      <c r="S188">
        <f>HYPERLINK("https://klasma.github.io/Logging_2161/artfynd/A 18098-2024 artfynd.xlsx", "A 18098-2024")</f>
        <v/>
      </c>
      <c r="T188">
        <f>HYPERLINK("https://klasma.github.io/Logging_2161/kartor/A 18098-2024 karta.png", "A 18098-2024")</f>
        <v/>
      </c>
      <c r="V188">
        <f>HYPERLINK("https://klasma.github.io/Logging_2161/klagomål/A 18098-2024 FSC-klagomål.docx", "A 18098-2024")</f>
        <v/>
      </c>
      <c r="W188">
        <f>HYPERLINK("https://klasma.github.io/Logging_2161/klagomålsmail/A 18098-2024 FSC-klagomål mail.docx", "A 18098-2024")</f>
        <v/>
      </c>
      <c r="X188">
        <f>HYPERLINK("https://klasma.github.io/Logging_2161/tillsyn/A 18098-2024 tillsynsbegäran.docx", "A 18098-2024")</f>
        <v/>
      </c>
      <c r="Y188">
        <f>HYPERLINK("https://klasma.github.io/Logging_2161/tillsynsmail/A 18098-2024 tillsynsbegäran mail.docx", "A 18098-2024")</f>
        <v/>
      </c>
    </row>
    <row r="189" ht="15" customHeight="1">
      <c r="A189" t="inlineStr">
        <is>
          <t>A 18103-2024</t>
        </is>
      </c>
      <c r="B189" s="1" t="n">
        <v>45420.48034722222</v>
      </c>
      <c r="C189" s="1" t="n">
        <v>46076</v>
      </c>
      <c r="D189" t="inlineStr">
        <is>
          <t>GÄVLEBORGS LÄN</t>
        </is>
      </c>
      <c r="E189" t="inlineStr">
        <is>
          <t>LJUSDAL</t>
        </is>
      </c>
      <c r="F189" t="inlineStr">
        <is>
          <t>Sveaskog</t>
        </is>
      </c>
      <c r="G189" t="n">
        <v>3.9</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18103-2024 artfynd.xlsx", "A 18103-2024")</f>
        <v/>
      </c>
      <c r="T189">
        <f>HYPERLINK("https://klasma.github.io/Logging_2161/kartor/A 18103-2024 karta.png", "A 18103-2024")</f>
        <v/>
      </c>
      <c r="V189">
        <f>HYPERLINK("https://klasma.github.io/Logging_2161/klagomål/A 18103-2024 FSC-klagomål.docx", "A 18103-2024")</f>
        <v/>
      </c>
      <c r="W189">
        <f>HYPERLINK("https://klasma.github.io/Logging_2161/klagomålsmail/A 18103-2024 FSC-klagomål mail.docx", "A 18103-2024")</f>
        <v/>
      </c>
      <c r="X189">
        <f>HYPERLINK("https://klasma.github.io/Logging_2161/tillsyn/A 18103-2024 tillsynsbegäran.docx", "A 18103-2024")</f>
        <v/>
      </c>
      <c r="Y189">
        <f>HYPERLINK("https://klasma.github.io/Logging_2161/tillsynsmail/A 18103-2024 tillsynsbegäran mail.docx", "A 18103-2024")</f>
        <v/>
      </c>
    </row>
    <row r="190" ht="15" customHeight="1">
      <c r="A190" t="inlineStr">
        <is>
          <t>A 38306-2024</t>
        </is>
      </c>
      <c r="B190" s="1" t="n">
        <v>45545.64211805556</v>
      </c>
      <c r="C190" s="1" t="n">
        <v>46076</v>
      </c>
      <c r="D190" t="inlineStr">
        <is>
          <t>GÄVLEBORGS LÄN</t>
        </is>
      </c>
      <c r="E190" t="inlineStr">
        <is>
          <t>LJUSDAL</t>
        </is>
      </c>
      <c r="F190" t="inlineStr">
        <is>
          <t>Sveaskog</t>
        </is>
      </c>
      <c r="G190" t="n">
        <v>4.1</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38306-2024 artfynd.xlsx", "A 38306-2024")</f>
        <v/>
      </c>
      <c r="T190">
        <f>HYPERLINK("https://klasma.github.io/Logging_2161/kartor/A 38306-2024 karta.png", "A 38306-2024")</f>
        <v/>
      </c>
      <c r="V190">
        <f>HYPERLINK("https://klasma.github.io/Logging_2161/klagomål/A 38306-2024 FSC-klagomål.docx", "A 38306-2024")</f>
        <v/>
      </c>
      <c r="W190">
        <f>HYPERLINK("https://klasma.github.io/Logging_2161/klagomålsmail/A 38306-2024 FSC-klagomål mail.docx", "A 38306-2024")</f>
        <v/>
      </c>
      <c r="X190">
        <f>HYPERLINK("https://klasma.github.io/Logging_2161/tillsyn/A 38306-2024 tillsynsbegäran.docx", "A 38306-2024")</f>
        <v/>
      </c>
      <c r="Y190">
        <f>HYPERLINK("https://klasma.github.io/Logging_2161/tillsynsmail/A 38306-2024 tillsynsbegäran mail.docx", "A 38306-2024")</f>
        <v/>
      </c>
    </row>
    <row r="191" ht="15" customHeight="1">
      <c r="A191" t="inlineStr">
        <is>
          <t>A 26527-2023</t>
        </is>
      </c>
      <c r="B191" s="1" t="n">
        <v>45092.56577546296</v>
      </c>
      <c r="C191" s="1" t="n">
        <v>46076</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17472-2025</t>
        </is>
      </c>
      <c r="B192" s="1" t="n">
        <v>45757.47945601852</v>
      </c>
      <c r="C192" s="1" t="n">
        <v>46076</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17472-2025 artfynd.xlsx", "A 17472-2025")</f>
        <v/>
      </c>
      <c r="T192">
        <f>HYPERLINK("https://klasma.github.io/Logging_2161/kartor/A 17472-2025 karta.png", "A 17472-2025")</f>
        <v/>
      </c>
      <c r="V192">
        <f>HYPERLINK("https://klasma.github.io/Logging_2161/klagomål/A 17472-2025 FSC-klagomål.docx", "A 17472-2025")</f>
        <v/>
      </c>
      <c r="W192">
        <f>HYPERLINK("https://klasma.github.io/Logging_2161/klagomålsmail/A 17472-2025 FSC-klagomål mail.docx", "A 17472-2025")</f>
        <v/>
      </c>
      <c r="X192">
        <f>HYPERLINK("https://klasma.github.io/Logging_2161/tillsyn/A 17472-2025 tillsynsbegäran.docx", "A 17472-2025")</f>
        <v/>
      </c>
      <c r="Y192">
        <f>HYPERLINK("https://klasma.github.io/Logging_2161/tillsynsmail/A 17472-2025 tillsynsbegäran mail.docx", "A 17472-2025")</f>
        <v/>
      </c>
    </row>
    <row r="193" ht="15" customHeight="1">
      <c r="A193" t="inlineStr">
        <is>
          <t>A 17474-2025</t>
        </is>
      </c>
      <c r="B193" s="1" t="n">
        <v>45757.48214120371</v>
      </c>
      <c r="C193" s="1" t="n">
        <v>46076</v>
      </c>
      <c r="D193" t="inlineStr">
        <is>
          <t>GÄVLEBORGS LÄN</t>
        </is>
      </c>
      <c r="E193" t="inlineStr">
        <is>
          <t>LJUSDAL</t>
        </is>
      </c>
      <c r="F193" t="inlineStr">
        <is>
          <t>Sveaskog</t>
        </is>
      </c>
      <c r="G193" t="n">
        <v>9.4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17474-2025 artfynd.xlsx", "A 17474-2025")</f>
        <v/>
      </c>
      <c r="T193">
        <f>HYPERLINK("https://klasma.github.io/Logging_2161/kartor/A 17474-2025 karta.png", "A 17474-2025")</f>
        <v/>
      </c>
      <c r="V193">
        <f>HYPERLINK("https://klasma.github.io/Logging_2161/klagomål/A 17474-2025 FSC-klagomål.docx", "A 17474-2025")</f>
        <v/>
      </c>
      <c r="W193">
        <f>HYPERLINK("https://klasma.github.io/Logging_2161/klagomålsmail/A 17474-2025 FSC-klagomål mail.docx", "A 17474-2025")</f>
        <v/>
      </c>
      <c r="X193">
        <f>HYPERLINK("https://klasma.github.io/Logging_2161/tillsyn/A 17474-2025 tillsynsbegäran.docx", "A 17474-2025")</f>
        <v/>
      </c>
      <c r="Y193">
        <f>HYPERLINK("https://klasma.github.io/Logging_2161/tillsynsmail/A 17474-2025 tillsynsbegäran mail.docx", "A 17474-2025")</f>
        <v/>
      </c>
    </row>
    <row r="194" ht="15" customHeight="1">
      <c r="A194" t="inlineStr">
        <is>
          <t>A 47230-2024</t>
        </is>
      </c>
      <c r="B194" s="1" t="n">
        <v>45586</v>
      </c>
      <c r="C194" s="1" t="n">
        <v>46076</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32502-2023</t>
        </is>
      </c>
      <c r="B195" s="1" t="n">
        <v>45121</v>
      </c>
      <c r="C195" s="1" t="n">
        <v>46076</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28422-2024</t>
        </is>
      </c>
      <c r="B196" s="1" t="n">
        <v>45477</v>
      </c>
      <c r="C196" s="1" t="n">
        <v>46076</v>
      </c>
      <c r="D196" t="inlineStr">
        <is>
          <t>GÄVLEBORGS LÄN</t>
        </is>
      </c>
      <c r="E196" t="inlineStr">
        <is>
          <t>LJUSDAL</t>
        </is>
      </c>
      <c r="F196" t="inlineStr">
        <is>
          <t>Allmännings- och besparingsskogar</t>
        </is>
      </c>
      <c r="G196" t="n">
        <v>11.9</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28422-2024 artfynd.xlsx", "A 28422-2024")</f>
        <v/>
      </c>
      <c r="T196">
        <f>HYPERLINK("https://klasma.github.io/Logging_2161/kartor/A 28422-2024 karta.png", "A 28422-2024")</f>
        <v/>
      </c>
      <c r="V196">
        <f>HYPERLINK("https://klasma.github.io/Logging_2161/klagomål/A 28422-2024 FSC-klagomål.docx", "A 28422-2024")</f>
        <v/>
      </c>
      <c r="W196">
        <f>HYPERLINK("https://klasma.github.io/Logging_2161/klagomålsmail/A 28422-2024 FSC-klagomål mail.docx", "A 28422-2024")</f>
        <v/>
      </c>
      <c r="X196">
        <f>HYPERLINK("https://klasma.github.io/Logging_2161/tillsyn/A 28422-2024 tillsynsbegäran.docx", "A 28422-2024")</f>
        <v/>
      </c>
      <c r="Y196">
        <f>HYPERLINK("https://klasma.github.io/Logging_2161/tillsynsmail/A 28422-2024 tillsynsbegäran mail.docx", "A 28422-2024")</f>
        <v/>
      </c>
    </row>
    <row r="197" ht="15" customHeight="1">
      <c r="A197" t="inlineStr">
        <is>
          <t>A 23483-2025</t>
        </is>
      </c>
      <c r="B197" s="1" t="n">
        <v>45792.46190972222</v>
      </c>
      <c r="C197" s="1" t="n">
        <v>46076</v>
      </c>
      <c r="D197" t="inlineStr">
        <is>
          <t>GÄVLEBORGS LÄN</t>
        </is>
      </c>
      <c r="E197" t="inlineStr">
        <is>
          <t>LJUSDAL</t>
        </is>
      </c>
      <c r="F197" t="inlineStr">
        <is>
          <t>Sveaskog</t>
        </is>
      </c>
      <c r="G197" t="n">
        <v>3.6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23483-2025 artfynd.xlsx", "A 23483-2025")</f>
        <v/>
      </c>
      <c r="T197">
        <f>HYPERLINK("https://klasma.github.io/Logging_2161/kartor/A 23483-2025 karta.png", "A 23483-2025")</f>
        <v/>
      </c>
      <c r="V197">
        <f>HYPERLINK("https://klasma.github.io/Logging_2161/klagomål/A 23483-2025 FSC-klagomål.docx", "A 23483-2025")</f>
        <v/>
      </c>
      <c r="W197">
        <f>HYPERLINK("https://klasma.github.io/Logging_2161/klagomålsmail/A 23483-2025 FSC-klagomål mail.docx", "A 23483-2025")</f>
        <v/>
      </c>
      <c r="X197">
        <f>HYPERLINK("https://klasma.github.io/Logging_2161/tillsyn/A 23483-2025 tillsynsbegäran.docx", "A 23483-2025")</f>
        <v/>
      </c>
      <c r="Y197">
        <f>HYPERLINK("https://klasma.github.io/Logging_2161/tillsynsmail/A 23483-2025 tillsynsbegäran mail.docx", "A 23483-2025")</f>
        <v/>
      </c>
    </row>
    <row r="198" ht="15" customHeight="1">
      <c r="A198" t="inlineStr">
        <is>
          <t>A 24949-2025</t>
        </is>
      </c>
      <c r="B198" s="1" t="n">
        <v>45799.56797453704</v>
      </c>
      <c r="C198" s="1" t="n">
        <v>46076</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24949-2025 artfynd.xlsx", "A 24949-2025")</f>
        <v/>
      </c>
      <c r="T198">
        <f>HYPERLINK("https://klasma.github.io/Logging_2161/kartor/A 24949-2025 karta.png", "A 24949-2025")</f>
        <v/>
      </c>
      <c r="V198">
        <f>HYPERLINK("https://klasma.github.io/Logging_2161/klagomål/A 24949-2025 FSC-klagomål.docx", "A 24949-2025")</f>
        <v/>
      </c>
      <c r="W198">
        <f>HYPERLINK("https://klasma.github.io/Logging_2161/klagomålsmail/A 24949-2025 FSC-klagomål mail.docx", "A 24949-2025")</f>
        <v/>
      </c>
      <c r="X198">
        <f>HYPERLINK("https://klasma.github.io/Logging_2161/tillsyn/A 24949-2025 tillsynsbegäran.docx", "A 24949-2025")</f>
        <v/>
      </c>
      <c r="Y198">
        <f>HYPERLINK("https://klasma.github.io/Logging_2161/tillsynsmail/A 24949-2025 tillsynsbegäran mail.docx", "A 24949-2025")</f>
        <v/>
      </c>
    </row>
    <row r="199" ht="15" customHeight="1">
      <c r="A199" t="inlineStr">
        <is>
          <t>A 26415-2025</t>
        </is>
      </c>
      <c r="B199" s="1" t="n">
        <v>45807.361875</v>
      </c>
      <c r="C199" s="1" t="n">
        <v>46076</v>
      </c>
      <c r="D199" t="inlineStr">
        <is>
          <t>GÄVLEBORGS LÄN</t>
        </is>
      </c>
      <c r="E199" t="inlineStr">
        <is>
          <t>LJUSDAL</t>
        </is>
      </c>
      <c r="F199" t="inlineStr">
        <is>
          <t>Naturvårdsverket</t>
        </is>
      </c>
      <c r="G199" t="n">
        <v>16.2</v>
      </c>
      <c r="H199" t="n">
        <v>2</v>
      </c>
      <c r="I199" t="n">
        <v>0</v>
      </c>
      <c r="J199" t="n">
        <v>1</v>
      </c>
      <c r="K199" t="n">
        <v>0</v>
      </c>
      <c r="L199" t="n">
        <v>0</v>
      </c>
      <c r="M199" t="n">
        <v>0</v>
      </c>
      <c r="N199" t="n">
        <v>0</v>
      </c>
      <c r="O199" t="n">
        <v>1</v>
      </c>
      <c r="P199" t="n">
        <v>0</v>
      </c>
      <c r="Q199" t="n">
        <v>2</v>
      </c>
      <c r="R199" s="2" t="inlineStr">
        <is>
          <t>Spillkråka
Revlummer</t>
        </is>
      </c>
      <c r="S199">
        <f>HYPERLINK("https://klasma.github.io/Logging_2161/artfynd/A 26415-2025 artfynd.xlsx", "A 26415-2025")</f>
        <v/>
      </c>
      <c r="T199">
        <f>HYPERLINK("https://klasma.github.io/Logging_2161/kartor/A 26415-2025 karta.png", "A 26415-2025")</f>
        <v/>
      </c>
      <c r="V199">
        <f>HYPERLINK("https://klasma.github.io/Logging_2161/klagomål/A 26415-2025 FSC-klagomål.docx", "A 26415-2025")</f>
        <v/>
      </c>
      <c r="W199">
        <f>HYPERLINK("https://klasma.github.io/Logging_2161/klagomålsmail/A 26415-2025 FSC-klagomål mail.docx", "A 26415-2025")</f>
        <v/>
      </c>
      <c r="X199">
        <f>HYPERLINK("https://klasma.github.io/Logging_2161/tillsyn/A 26415-2025 tillsynsbegäran.docx", "A 26415-2025")</f>
        <v/>
      </c>
      <c r="Y199">
        <f>HYPERLINK("https://klasma.github.io/Logging_2161/tillsynsmail/A 26415-2025 tillsynsbegäran mail.docx", "A 26415-2025")</f>
        <v/>
      </c>
      <c r="Z199">
        <f>HYPERLINK("https://klasma.github.io/Logging_2161/fåglar/A 26415-2025 prioriterade fågelarter.docx", "A 26415-2025")</f>
        <v/>
      </c>
    </row>
    <row r="200" ht="15" customHeight="1">
      <c r="A200" t="inlineStr">
        <is>
          <t>A 27122-2025</t>
        </is>
      </c>
      <c r="B200" s="1" t="n">
        <v>45811.77063657407</v>
      </c>
      <c r="C200" s="1" t="n">
        <v>46076</v>
      </c>
      <c r="D200" t="inlineStr">
        <is>
          <t>GÄVLEBORGS LÄN</t>
        </is>
      </c>
      <c r="E200" t="inlineStr">
        <is>
          <t>LJUSDAL</t>
        </is>
      </c>
      <c r="F200" t="inlineStr">
        <is>
          <t>Sveaskog</t>
        </is>
      </c>
      <c r="G200" t="n">
        <v>1.9</v>
      </c>
      <c r="H200" t="n">
        <v>0</v>
      </c>
      <c r="I200" t="n">
        <v>0</v>
      </c>
      <c r="J200" t="n">
        <v>2</v>
      </c>
      <c r="K200" t="n">
        <v>0</v>
      </c>
      <c r="L200" t="n">
        <v>0</v>
      </c>
      <c r="M200" t="n">
        <v>0</v>
      </c>
      <c r="N200" t="n">
        <v>0</v>
      </c>
      <c r="O200" t="n">
        <v>2</v>
      </c>
      <c r="P200" t="n">
        <v>0</v>
      </c>
      <c r="Q200" t="n">
        <v>2</v>
      </c>
      <c r="R200" s="2" t="inlineStr">
        <is>
          <t>Lunglav
Skrovellav</t>
        </is>
      </c>
      <c r="S200">
        <f>HYPERLINK("https://klasma.github.io/Logging_2161/artfynd/A 27122-2025 artfynd.xlsx", "A 27122-2025")</f>
        <v/>
      </c>
      <c r="T200">
        <f>HYPERLINK("https://klasma.github.io/Logging_2161/kartor/A 27122-2025 karta.png", "A 27122-2025")</f>
        <v/>
      </c>
      <c r="V200">
        <f>HYPERLINK("https://klasma.github.io/Logging_2161/klagomål/A 27122-2025 FSC-klagomål.docx", "A 27122-2025")</f>
        <v/>
      </c>
      <c r="W200">
        <f>HYPERLINK("https://klasma.github.io/Logging_2161/klagomålsmail/A 27122-2025 FSC-klagomål mail.docx", "A 27122-2025")</f>
        <v/>
      </c>
      <c r="X200">
        <f>HYPERLINK("https://klasma.github.io/Logging_2161/tillsyn/A 27122-2025 tillsynsbegäran.docx", "A 27122-2025")</f>
        <v/>
      </c>
      <c r="Y200">
        <f>HYPERLINK("https://klasma.github.io/Logging_2161/tillsynsmail/A 27122-2025 tillsynsbegäran mail.docx", "A 27122-2025")</f>
        <v/>
      </c>
    </row>
    <row r="201" ht="15" customHeight="1">
      <c r="A201" t="inlineStr">
        <is>
          <t>A 27882-2025</t>
        </is>
      </c>
      <c r="B201" s="1" t="n">
        <v>45817.44679398148</v>
      </c>
      <c r="C201" s="1" t="n">
        <v>46076</v>
      </c>
      <c r="D201" t="inlineStr">
        <is>
          <t>GÄVLEBORGS LÄN</t>
        </is>
      </c>
      <c r="E201" t="inlineStr">
        <is>
          <t>LJUSDAL</t>
        </is>
      </c>
      <c r="F201" t="inlineStr">
        <is>
          <t>Sveaskog</t>
        </is>
      </c>
      <c r="G201" t="n">
        <v>7.1</v>
      </c>
      <c r="H201" t="n">
        <v>1</v>
      </c>
      <c r="I201" t="n">
        <v>0</v>
      </c>
      <c r="J201" t="n">
        <v>1</v>
      </c>
      <c r="K201" t="n">
        <v>1</v>
      </c>
      <c r="L201" t="n">
        <v>0</v>
      </c>
      <c r="M201" t="n">
        <v>0</v>
      </c>
      <c r="N201" t="n">
        <v>0</v>
      </c>
      <c r="O201" t="n">
        <v>2</v>
      </c>
      <c r="P201" t="n">
        <v>1</v>
      </c>
      <c r="Q201" t="n">
        <v>2</v>
      </c>
      <c r="R201" s="2" t="inlineStr">
        <is>
          <t>Doftticka
Lunglav</t>
        </is>
      </c>
      <c r="S201">
        <f>HYPERLINK("https://klasma.github.io/Logging_2161/artfynd/A 27882-2025 artfynd.xlsx", "A 27882-2025")</f>
        <v/>
      </c>
      <c r="T201">
        <f>HYPERLINK("https://klasma.github.io/Logging_2161/kartor/A 27882-2025 karta.png", "A 27882-2025")</f>
        <v/>
      </c>
      <c r="V201">
        <f>HYPERLINK("https://klasma.github.io/Logging_2161/klagomål/A 27882-2025 FSC-klagomål.docx", "A 27882-2025")</f>
        <v/>
      </c>
      <c r="W201">
        <f>HYPERLINK("https://klasma.github.io/Logging_2161/klagomålsmail/A 27882-2025 FSC-klagomål mail.docx", "A 27882-2025")</f>
        <v/>
      </c>
      <c r="X201">
        <f>HYPERLINK("https://klasma.github.io/Logging_2161/tillsyn/A 27882-2025 tillsynsbegäran.docx", "A 27882-2025")</f>
        <v/>
      </c>
      <c r="Y201">
        <f>HYPERLINK("https://klasma.github.io/Logging_2161/tillsynsmail/A 27882-2025 tillsynsbegäran mail.docx", "A 27882-2025")</f>
        <v/>
      </c>
    </row>
    <row r="202" ht="15" customHeight="1">
      <c r="A202" t="inlineStr">
        <is>
          <t>A 38115-2021</t>
        </is>
      </c>
      <c r="B202" s="1" t="n">
        <v>44405</v>
      </c>
      <c r="C202" s="1" t="n">
        <v>46076</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46076</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46076</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46076</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46076</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46076</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46076</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55216-2022</t>
        </is>
      </c>
      <c r="B209" s="1" t="n">
        <v>44886</v>
      </c>
      <c r="C209" s="1" t="n">
        <v>46076</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22470-2024</t>
        </is>
      </c>
      <c r="B210" s="1" t="n">
        <v>45446</v>
      </c>
      <c r="C210" s="1" t="n">
        <v>46076</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22470-2024 artfynd.xlsx", "A 22470-2024")</f>
        <v/>
      </c>
      <c r="T210">
        <f>HYPERLINK("https://klasma.github.io/Logging_2161/kartor/A 22470-2024 karta.png", "A 22470-2024")</f>
        <v/>
      </c>
      <c r="U210">
        <f>HYPERLINK("https://klasma.github.io/Logging_2161/knärot/A 22470-2024 karta knärot.png", "A 22470-2024")</f>
        <v/>
      </c>
      <c r="V210">
        <f>HYPERLINK("https://klasma.github.io/Logging_2161/klagomål/A 22470-2024 FSC-klagomål.docx", "A 22470-2024")</f>
        <v/>
      </c>
      <c r="W210">
        <f>HYPERLINK("https://klasma.github.io/Logging_2161/klagomålsmail/A 22470-2024 FSC-klagomål mail.docx", "A 22470-2024")</f>
        <v/>
      </c>
      <c r="X210">
        <f>HYPERLINK("https://klasma.github.io/Logging_2161/tillsyn/A 22470-2024 tillsynsbegäran.docx", "A 22470-2024")</f>
        <v/>
      </c>
      <c r="Y210">
        <f>HYPERLINK("https://klasma.github.io/Logging_2161/tillsynsmail/A 22470-2024 tillsynsbegäran mail.docx", "A 22470-2024")</f>
        <v/>
      </c>
    </row>
    <row r="211" ht="15" customHeight="1">
      <c r="A211" t="inlineStr">
        <is>
          <t>A 20656-2024</t>
        </is>
      </c>
      <c r="B211" s="1" t="n">
        <v>45436</v>
      </c>
      <c r="C211" s="1" t="n">
        <v>46076</v>
      </c>
      <c r="D211" t="inlineStr">
        <is>
          <t>GÄVLEBORGS LÄN</t>
        </is>
      </c>
      <c r="E211" t="inlineStr">
        <is>
          <t>LJUSDAL</t>
        </is>
      </c>
      <c r="F211" t="inlineStr">
        <is>
          <t>Sveaskog</t>
        </is>
      </c>
      <c r="G211" t="n">
        <v>2.7</v>
      </c>
      <c r="H211" t="n">
        <v>0</v>
      </c>
      <c r="I211" t="n">
        <v>0</v>
      </c>
      <c r="J211" t="n">
        <v>1</v>
      </c>
      <c r="K211" t="n">
        <v>0</v>
      </c>
      <c r="L211" t="n">
        <v>0</v>
      </c>
      <c r="M211" t="n">
        <v>0</v>
      </c>
      <c r="N211" t="n">
        <v>0</v>
      </c>
      <c r="O211" t="n">
        <v>1</v>
      </c>
      <c r="P211" t="n">
        <v>0</v>
      </c>
      <c r="Q211" t="n">
        <v>1</v>
      </c>
      <c r="R211" s="2" t="inlineStr">
        <is>
          <t>Tallticka</t>
        </is>
      </c>
      <c r="S211">
        <f>HYPERLINK("https://klasma.github.io/Logging_2161/artfynd/A 20656-2024 artfynd.xlsx", "A 20656-2024")</f>
        <v/>
      </c>
      <c r="T211">
        <f>HYPERLINK("https://klasma.github.io/Logging_2161/kartor/A 20656-2024 karta.png", "A 20656-2024")</f>
        <v/>
      </c>
      <c r="V211">
        <f>HYPERLINK("https://klasma.github.io/Logging_2161/klagomål/A 20656-2024 FSC-klagomål.docx", "A 20656-2024")</f>
        <v/>
      </c>
      <c r="W211">
        <f>HYPERLINK("https://klasma.github.io/Logging_2161/klagomålsmail/A 20656-2024 FSC-klagomål mail.docx", "A 20656-2024")</f>
        <v/>
      </c>
      <c r="X211">
        <f>HYPERLINK("https://klasma.github.io/Logging_2161/tillsyn/A 20656-2024 tillsynsbegäran.docx", "A 20656-2024")</f>
        <v/>
      </c>
      <c r="Y211">
        <f>HYPERLINK("https://klasma.github.io/Logging_2161/tillsynsmail/A 20656-2024 tillsynsbegäran mail.docx", "A 20656-2024")</f>
        <v/>
      </c>
    </row>
    <row r="212" ht="15" customHeight="1">
      <c r="A212" t="inlineStr">
        <is>
          <t>A 31417-2024</t>
        </is>
      </c>
      <c r="B212" s="1" t="n">
        <v>45505.62011574074</v>
      </c>
      <c r="C212" s="1" t="n">
        <v>46076</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34233-2024</t>
        </is>
      </c>
      <c r="B213" s="1" t="n">
        <v>45524.56537037037</v>
      </c>
      <c r="C213" s="1" t="n">
        <v>46076</v>
      </c>
      <c r="D213" t="inlineStr">
        <is>
          <t>GÄVLEBORGS LÄN</t>
        </is>
      </c>
      <c r="E213" t="inlineStr">
        <is>
          <t>LJUSDAL</t>
        </is>
      </c>
      <c r="F213" t="inlineStr">
        <is>
          <t>Sveaskog</t>
        </is>
      </c>
      <c r="G213" t="n">
        <v>7.5</v>
      </c>
      <c r="H213" t="n">
        <v>1</v>
      </c>
      <c r="I213" t="n">
        <v>1</v>
      </c>
      <c r="J213" t="n">
        <v>0</v>
      </c>
      <c r="K213" t="n">
        <v>0</v>
      </c>
      <c r="L213" t="n">
        <v>0</v>
      </c>
      <c r="M213" t="n">
        <v>0</v>
      </c>
      <c r="N213" t="n">
        <v>0</v>
      </c>
      <c r="O213" t="n">
        <v>0</v>
      </c>
      <c r="P213" t="n">
        <v>0</v>
      </c>
      <c r="Q213" t="n">
        <v>1</v>
      </c>
      <c r="R213" s="2" t="inlineStr">
        <is>
          <t>Plattlummer</t>
        </is>
      </c>
      <c r="S213">
        <f>HYPERLINK("https://klasma.github.io/Logging_2161/artfynd/A 34233-2024 artfynd.xlsx", "A 34233-2024")</f>
        <v/>
      </c>
      <c r="T213">
        <f>HYPERLINK("https://klasma.github.io/Logging_2161/kartor/A 34233-2024 karta.png", "A 34233-2024")</f>
        <v/>
      </c>
      <c r="V213">
        <f>HYPERLINK("https://klasma.github.io/Logging_2161/klagomål/A 34233-2024 FSC-klagomål.docx", "A 34233-2024")</f>
        <v/>
      </c>
      <c r="W213">
        <f>HYPERLINK("https://klasma.github.io/Logging_2161/klagomålsmail/A 34233-2024 FSC-klagomål mail.docx", "A 34233-2024")</f>
        <v/>
      </c>
      <c r="X213">
        <f>HYPERLINK("https://klasma.github.io/Logging_2161/tillsyn/A 34233-2024 tillsynsbegäran.docx", "A 34233-2024")</f>
        <v/>
      </c>
      <c r="Y213">
        <f>HYPERLINK("https://klasma.github.io/Logging_2161/tillsynsmail/A 34233-2024 tillsynsbegäran mail.docx", "A 34233-2024")</f>
        <v/>
      </c>
    </row>
    <row r="214" ht="15" customHeight="1">
      <c r="A214" t="inlineStr">
        <is>
          <t>A 49803-2022</t>
        </is>
      </c>
      <c r="B214" s="1" t="n">
        <v>44862.66302083333</v>
      </c>
      <c r="C214" s="1" t="n">
        <v>46076</v>
      </c>
      <c r="D214" t="inlineStr">
        <is>
          <t>GÄVLEBORGS LÄN</t>
        </is>
      </c>
      <c r="E214" t="inlineStr">
        <is>
          <t>LJUSDAL</t>
        </is>
      </c>
      <c r="F214" t="inlineStr">
        <is>
          <t>Sveaskog</t>
        </is>
      </c>
      <c r="G214" t="n">
        <v>1.9</v>
      </c>
      <c r="H214" t="n">
        <v>1</v>
      </c>
      <c r="I214" t="n">
        <v>0</v>
      </c>
      <c r="J214" t="n">
        <v>0</v>
      </c>
      <c r="K214" t="n">
        <v>0</v>
      </c>
      <c r="L214" t="n">
        <v>0</v>
      </c>
      <c r="M214" t="n">
        <v>0</v>
      </c>
      <c r="N214" t="n">
        <v>0</v>
      </c>
      <c r="O214" t="n">
        <v>0</v>
      </c>
      <c r="P214" t="n">
        <v>0</v>
      </c>
      <c r="Q214" t="n">
        <v>1</v>
      </c>
      <c r="R214" s="2" t="inlineStr">
        <is>
          <t>Fläcknycklar</t>
        </is>
      </c>
      <c r="S214">
        <f>HYPERLINK("https://klasma.github.io/Logging_2161/artfynd/A 49803-2022 artfynd.xlsx", "A 49803-2022")</f>
        <v/>
      </c>
      <c r="T214">
        <f>HYPERLINK("https://klasma.github.io/Logging_2161/kartor/A 49803-2022 karta.png", "A 49803-2022")</f>
        <v/>
      </c>
      <c r="V214">
        <f>HYPERLINK("https://klasma.github.io/Logging_2161/klagomål/A 49803-2022 FSC-klagomål.docx", "A 49803-2022")</f>
        <v/>
      </c>
      <c r="W214">
        <f>HYPERLINK("https://klasma.github.io/Logging_2161/klagomålsmail/A 49803-2022 FSC-klagomål mail.docx", "A 49803-2022")</f>
        <v/>
      </c>
      <c r="X214">
        <f>HYPERLINK("https://klasma.github.io/Logging_2161/tillsyn/A 49803-2022 tillsynsbegäran.docx", "A 49803-2022")</f>
        <v/>
      </c>
      <c r="Y214">
        <f>HYPERLINK("https://klasma.github.io/Logging_2161/tillsynsmail/A 49803-2022 tillsynsbegäran mail.docx", "A 49803-2022")</f>
        <v/>
      </c>
    </row>
    <row r="215" ht="15" customHeight="1">
      <c r="A215" t="inlineStr">
        <is>
          <t>A 28521-2025</t>
        </is>
      </c>
      <c r="B215" s="1" t="n">
        <v>45819.49046296296</v>
      </c>
      <c r="C215" s="1" t="n">
        <v>46076</v>
      </c>
      <c r="D215" t="inlineStr">
        <is>
          <t>GÄVLEBORGS LÄN</t>
        </is>
      </c>
      <c r="E215" t="inlineStr">
        <is>
          <t>LJUSDAL</t>
        </is>
      </c>
      <c r="F215" t="inlineStr">
        <is>
          <t>Allmännings- och besparingsskogar</t>
        </is>
      </c>
      <c r="G215" t="n">
        <v>1.6</v>
      </c>
      <c r="H215" t="n">
        <v>0</v>
      </c>
      <c r="I215" t="n">
        <v>0</v>
      </c>
      <c r="J215" t="n">
        <v>1</v>
      </c>
      <c r="K215" t="n">
        <v>0</v>
      </c>
      <c r="L215" t="n">
        <v>0</v>
      </c>
      <c r="M215" t="n">
        <v>0</v>
      </c>
      <c r="N215" t="n">
        <v>0</v>
      </c>
      <c r="O215" t="n">
        <v>1</v>
      </c>
      <c r="P215" t="n">
        <v>0</v>
      </c>
      <c r="Q215" t="n">
        <v>1</v>
      </c>
      <c r="R215" s="2" t="inlineStr">
        <is>
          <t>Garnlav</t>
        </is>
      </c>
      <c r="S215">
        <f>HYPERLINK("https://klasma.github.io/Logging_2161/artfynd/A 28521-2025 artfynd.xlsx", "A 28521-2025")</f>
        <v/>
      </c>
      <c r="T215">
        <f>HYPERLINK("https://klasma.github.io/Logging_2161/kartor/A 28521-2025 karta.png", "A 28521-2025")</f>
        <v/>
      </c>
      <c r="V215">
        <f>HYPERLINK("https://klasma.github.io/Logging_2161/klagomål/A 28521-2025 FSC-klagomål.docx", "A 28521-2025")</f>
        <v/>
      </c>
      <c r="W215">
        <f>HYPERLINK("https://klasma.github.io/Logging_2161/klagomålsmail/A 28521-2025 FSC-klagomål mail.docx", "A 28521-2025")</f>
        <v/>
      </c>
      <c r="X215">
        <f>HYPERLINK("https://klasma.github.io/Logging_2161/tillsyn/A 28521-2025 tillsynsbegäran.docx", "A 28521-2025")</f>
        <v/>
      </c>
      <c r="Y215">
        <f>HYPERLINK("https://klasma.github.io/Logging_2161/tillsynsmail/A 28521-2025 tillsynsbegäran mail.docx", "A 28521-2025")</f>
        <v/>
      </c>
    </row>
    <row r="216" ht="15" customHeight="1">
      <c r="A216" t="inlineStr">
        <is>
          <t>A 38699-2025</t>
        </is>
      </c>
      <c r="B216" s="1" t="n">
        <v>45884.78680555556</v>
      </c>
      <c r="C216" s="1" t="n">
        <v>46076</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56782-2023</t>
        </is>
      </c>
      <c r="B217" s="1" t="n">
        <v>45244</v>
      </c>
      <c r="C217" s="1" t="n">
        <v>46076</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29292-2025</t>
        </is>
      </c>
      <c r="B218" s="1" t="n">
        <v>45824.44224537037</v>
      </c>
      <c r="C218" s="1" t="n">
        <v>46076</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29292-2025 artfynd.xlsx", "A 29292-2025")</f>
        <v/>
      </c>
      <c r="T218">
        <f>HYPERLINK("https://klasma.github.io/Logging_2161/kartor/A 29292-2025 karta.png", "A 29292-2025")</f>
        <v/>
      </c>
      <c r="V218">
        <f>HYPERLINK("https://klasma.github.io/Logging_2161/klagomål/A 29292-2025 FSC-klagomål.docx", "A 29292-2025")</f>
        <v/>
      </c>
      <c r="W218">
        <f>HYPERLINK("https://klasma.github.io/Logging_2161/klagomålsmail/A 29292-2025 FSC-klagomål mail.docx", "A 29292-2025")</f>
        <v/>
      </c>
      <c r="X218">
        <f>HYPERLINK("https://klasma.github.io/Logging_2161/tillsyn/A 29292-2025 tillsynsbegäran.docx", "A 29292-2025")</f>
        <v/>
      </c>
      <c r="Y218">
        <f>HYPERLINK("https://klasma.github.io/Logging_2161/tillsynsmail/A 29292-2025 tillsynsbegäran mail.docx", "A 29292-2025")</f>
        <v/>
      </c>
    </row>
    <row r="219" ht="15" customHeight="1">
      <c r="A219" t="inlineStr">
        <is>
          <t>A 30298-2025</t>
        </is>
      </c>
      <c r="B219" s="1" t="n">
        <v>45827.47530092593</v>
      </c>
      <c r="C219" s="1" t="n">
        <v>46076</v>
      </c>
      <c r="D219" t="inlineStr">
        <is>
          <t>GÄVLEBORGS LÄN</t>
        </is>
      </c>
      <c r="E219" t="inlineStr">
        <is>
          <t>LJUSDAL</t>
        </is>
      </c>
      <c r="F219" t="inlineStr">
        <is>
          <t>Sveaskog</t>
        </is>
      </c>
      <c r="G219" t="n">
        <v>8.800000000000001</v>
      </c>
      <c r="H219" t="n">
        <v>0</v>
      </c>
      <c r="I219" t="n">
        <v>0</v>
      </c>
      <c r="J219" t="n">
        <v>1</v>
      </c>
      <c r="K219" t="n">
        <v>0</v>
      </c>
      <c r="L219" t="n">
        <v>0</v>
      </c>
      <c r="M219" t="n">
        <v>0</v>
      </c>
      <c r="N219" t="n">
        <v>0</v>
      </c>
      <c r="O219" t="n">
        <v>1</v>
      </c>
      <c r="P219" t="n">
        <v>0</v>
      </c>
      <c r="Q219" t="n">
        <v>1</v>
      </c>
      <c r="R219" s="2" t="inlineStr">
        <is>
          <t>Kolflarnlav</t>
        </is>
      </c>
      <c r="S219">
        <f>HYPERLINK("https://klasma.github.io/Logging_2161/artfynd/A 30298-2025 artfynd.xlsx", "A 30298-2025")</f>
        <v/>
      </c>
      <c r="T219">
        <f>HYPERLINK("https://klasma.github.io/Logging_2161/kartor/A 30298-2025 karta.png", "A 30298-2025")</f>
        <v/>
      </c>
      <c r="V219">
        <f>HYPERLINK("https://klasma.github.io/Logging_2161/klagomål/A 30298-2025 FSC-klagomål.docx", "A 30298-2025")</f>
        <v/>
      </c>
      <c r="W219">
        <f>HYPERLINK("https://klasma.github.io/Logging_2161/klagomålsmail/A 30298-2025 FSC-klagomål mail.docx", "A 30298-2025")</f>
        <v/>
      </c>
      <c r="X219">
        <f>HYPERLINK("https://klasma.github.io/Logging_2161/tillsyn/A 30298-2025 tillsynsbegäran.docx", "A 30298-2025")</f>
        <v/>
      </c>
      <c r="Y219">
        <f>HYPERLINK("https://klasma.github.io/Logging_2161/tillsynsmail/A 30298-2025 tillsynsbegäran mail.docx", "A 30298-2025")</f>
        <v/>
      </c>
    </row>
    <row r="220" ht="15" customHeight="1">
      <c r="A220" t="inlineStr">
        <is>
          <t>A 30371-2025</t>
        </is>
      </c>
      <c r="B220" s="1" t="n">
        <v>45827.56134259259</v>
      </c>
      <c r="C220" s="1" t="n">
        <v>46076</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30371-2025 artfynd.xlsx", "A 30371-2025")</f>
        <v/>
      </c>
      <c r="T220">
        <f>HYPERLINK("https://klasma.github.io/Logging_2161/kartor/A 30371-2025 karta.png", "A 30371-2025")</f>
        <v/>
      </c>
      <c r="V220">
        <f>HYPERLINK("https://klasma.github.io/Logging_2161/klagomål/A 30371-2025 FSC-klagomål.docx", "A 30371-2025")</f>
        <v/>
      </c>
      <c r="W220">
        <f>HYPERLINK("https://klasma.github.io/Logging_2161/klagomålsmail/A 30371-2025 FSC-klagomål mail.docx", "A 30371-2025")</f>
        <v/>
      </c>
      <c r="X220">
        <f>HYPERLINK("https://klasma.github.io/Logging_2161/tillsyn/A 30371-2025 tillsynsbegäran.docx", "A 30371-2025")</f>
        <v/>
      </c>
      <c r="Y220">
        <f>HYPERLINK("https://klasma.github.io/Logging_2161/tillsynsmail/A 30371-2025 tillsynsbegäran mail.docx", "A 30371-2025")</f>
        <v/>
      </c>
    </row>
    <row r="221" ht="15" customHeight="1">
      <c r="A221" t="inlineStr">
        <is>
          <t>A 39545-2025</t>
        </is>
      </c>
      <c r="B221" s="1" t="n">
        <v>45890.45697916667</v>
      </c>
      <c r="C221" s="1" t="n">
        <v>46076</v>
      </c>
      <c r="D221" t="inlineStr">
        <is>
          <t>GÄVLEBORGS LÄN</t>
        </is>
      </c>
      <c r="E221" t="inlineStr">
        <is>
          <t>LJUSDAL</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HYPERLINK("https://klasma.github.io/Logging_2161/artfynd/A 39545-2025 artfynd.xlsx", "A 39545-2025")</f>
        <v/>
      </c>
      <c r="T221">
        <f>HYPERLINK("https://klasma.github.io/Logging_2161/kartor/A 39545-2025 karta.png", "A 39545-2025")</f>
        <v/>
      </c>
      <c r="V221">
        <f>HYPERLINK("https://klasma.github.io/Logging_2161/klagomål/A 39545-2025 FSC-klagomål.docx", "A 39545-2025")</f>
        <v/>
      </c>
      <c r="W221">
        <f>HYPERLINK("https://klasma.github.io/Logging_2161/klagomålsmail/A 39545-2025 FSC-klagomål mail.docx", "A 39545-2025")</f>
        <v/>
      </c>
      <c r="X221">
        <f>HYPERLINK("https://klasma.github.io/Logging_2161/tillsyn/A 39545-2025 tillsynsbegäran.docx", "A 39545-2025")</f>
        <v/>
      </c>
      <c r="Y221">
        <f>HYPERLINK("https://klasma.github.io/Logging_2161/tillsynsmail/A 39545-2025 tillsynsbegäran mail.docx", "A 39545-2025")</f>
        <v/>
      </c>
    </row>
    <row r="222" ht="15" customHeight="1">
      <c r="A222" t="inlineStr">
        <is>
          <t>A 39547-2025</t>
        </is>
      </c>
      <c r="B222" s="1" t="n">
        <v>45890.45960648148</v>
      </c>
      <c r="C222" s="1" t="n">
        <v>46076</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32499-2023</t>
        </is>
      </c>
      <c r="B223" s="1" t="n">
        <v>45121.30815972222</v>
      </c>
      <c r="C223" s="1" t="n">
        <v>46076</v>
      </c>
      <c r="D223" t="inlineStr">
        <is>
          <t>GÄVLEBORGS LÄN</t>
        </is>
      </c>
      <c r="E223" t="inlineStr">
        <is>
          <t>LJUSDAL</t>
        </is>
      </c>
      <c r="F223" t="inlineStr">
        <is>
          <t>Sveaskog</t>
        </is>
      </c>
      <c r="G223" t="n">
        <v>2.6</v>
      </c>
      <c r="H223" t="n">
        <v>1</v>
      </c>
      <c r="I223" t="n">
        <v>0</v>
      </c>
      <c r="J223" t="n">
        <v>0</v>
      </c>
      <c r="K223" t="n">
        <v>1</v>
      </c>
      <c r="L223" t="n">
        <v>0</v>
      </c>
      <c r="M223" t="n">
        <v>0</v>
      </c>
      <c r="N223" t="n">
        <v>0</v>
      </c>
      <c r="O223" t="n">
        <v>1</v>
      </c>
      <c r="P223" t="n">
        <v>1</v>
      </c>
      <c r="Q223" t="n">
        <v>1</v>
      </c>
      <c r="R223" s="2" t="inlineStr">
        <is>
          <t>Knärot</t>
        </is>
      </c>
      <c r="S223">
        <f>HYPERLINK("https://klasma.github.io/Logging_2161/artfynd/A 32499-2023 artfynd.xlsx", "A 32499-2023")</f>
        <v/>
      </c>
      <c r="T223">
        <f>HYPERLINK("https://klasma.github.io/Logging_2161/kartor/A 32499-2023 karta.png", "A 32499-2023")</f>
        <v/>
      </c>
      <c r="U223">
        <f>HYPERLINK("https://klasma.github.io/Logging_2161/knärot/A 32499-2023 karta knärot.png", "A 32499-2023")</f>
        <v/>
      </c>
      <c r="V223">
        <f>HYPERLINK("https://klasma.github.io/Logging_2161/klagomål/A 32499-2023 FSC-klagomål.docx", "A 32499-2023")</f>
        <v/>
      </c>
      <c r="W223">
        <f>HYPERLINK("https://klasma.github.io/Logging_2161/klagomålsmail/A 32499-2023 FSC-klagomål mail.docx", "A 32499-2023")</f>
        <v/>
      </c>
      <c r="X223">
        <f>HYPERLINK("https://klasma.github.io/Logging_2161/tillsyn/A 32499-2023 tillsynsbegäran.docx", "A 32499-2023")</f>
        <v/>
      </c>
      <c r="Y223">
        <f>HYPERLINK("https://klasma.github.io/Logging_2161/tillsynsmail/A 32499-2023 tillsynsbegäran mail.docx", "A 32499-2023")</f>
        <v/>
      </c>
    </row>
    <row r="224" ht="15" customHeight="1">
      <c r="A224" t="inlineStr">
        <is>
          <t>A 30296-2025</t>
        </is>
      </c>
      <c r="B224" s="1" t="n">
        <v>45827.47434027777</v>
      </c>
      <c r="C224" s="1" t="n">
        <v>46076</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30296-2025 artfynd.xlsx", "A 30296-2025")</f>
        <v/>
      </c>
      <c r="T224">
        <f>HYPERLINK("https://klasma.github.io/Logging_2161/kartor/A 30296-2025 karta.png", "A 30296-2025")</f>
        <v/>
      </c>
      <c r="V224">
        <f>HYPERLINK("https://klasma.github.io/Logging_2161/klagomål/A 30296-2025 FSC-klagomål.docx", "A 30296-2025")</f>
        <v/>
      </c>
      <c r="W224">
        <f>HYPERLINK("https://klasma.github.io/Logging_2161/klagomålsmail/A 30296-2025 FSC-klagomål mail.docx", "A 30296-2025")</f>
        <v/>
      </c>
      <c r="X224">
        <f>HYPERLINK("https://klasma.github.io/Logging_2161/tillsyn/A 30296-2025 tillsynsbegäran.docx", "A 30296-2025")</f>
        <v/>
      </c>
      <c r="Y224">
        <f>HYPERLINK("https://klasma.github.io/Logging_2161/tillsynsmail/A 30296-2025 tillsynsbegäran mail.docx", "A 30296-2025")</f>
        <v/>
      </c>
    </row>
    <row r="225" ht="15" customHeight="1">
      <c r="A225" t="inlineStr">
        <is>
          <t>A 40214-2025</t>
        </is>
      </c>
      <c r="B225" s="1" t="n">
        <v>45894.68690972222</v>
      </c>
      <c r="C225" s="1" t="n">
        <v>46076</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40179-2025</t>
        </is>
      </c>
      <c r="B226" s="1" t="n">
        <v>45894.6367824074</v>
      </c>
      <c r="C226" s="1" t="n">
        <v>46076</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34346-2024</t>
        </is>
      </c>
      <c r="B227" s="1" t="n">
        <v>45525.34310185185</v>
      </c>
      <c r="C227" s="1" t="n">
        <v>46076</v>
      </c>
      <c r="D227" t="inlineStr">
        <is>
          <t>GÄVLEBORGS LÄN</t>
        </is>
      </c>
      <c r="E227" t="inlineStr">
        <is>
          <t>LJUSDAL</t>
        </is>
      </c>
      <c r="F227" t="inlineStr">
        <is>
          <t>Holmen skog AB</t>
        </is>
      </c>
      <c r="G227" t="n">
        <v>6.8</v>
      </c>
      <c r="H227" t="n">
        <v>1</v>
      </c>
      <c r="I227" t="n">
        <v>0</v>
      </c>
      <c r="J227" t="n">
        <v>1</v>
      </c>
      <c r="K227" t="n">
        <v>0</v>
      </c>
      <c r="L227" t="n">
        <v>0</v>
      </c>
      <c r="M227" t="n">
        <v>0</v>
      </c>
      <c r="N227" t="n">
        <v>0</v>
      </c>
      <c r="O227" t="n">
        <v>1</v>
      </c>
      <c r="P227" t="n">
        <v>0</v>
      </c>
      <c r="Q227" t="n">
        <v>1</v>
      </c>
      <c r="R227" s="2" t="inlineStr">
        <is>
          <t>Talltita</t>
        </is>
      </c>
      <c r="S227">
        <f>HYPERLINK("https://klasma.github.io/Logging_2161/artfynd/A 34346-2024 artfynd.xlsx", "A 34346-2024")</f>
        <v/>
      </c>
      <c r="T227">
        <f>HYPERLINK("https://klasma.github.io/Logging_2161/kartor/A 34346-2024 karta.png", "A 34346-2024")</f>
        <v/>
      </c>
      <c r="V227">
        <f>HYPERLINK("https://klasma.github.io/Logging_2161/klagomål/A 34346-2024 FSC-klagomål.docx", "A 34346-2024")</f>
        <v/>
      </c>
      <c r="W227">
        <f>HYPERLINK("https://klasma.github.io/Logging_2161/klagomålsmail/A 34346-2024 FSC-klagomål mail.docx", "A 34346-2024")</f>
        <v/>
      </c>
      <c r="X227">
        <f>HYPERLINK("https://klasma.github.io/Logging_2161/tillsyn/A 34346-2024 tillsynsbegäran.docx", "A 34346-2024")</f>
        <v/>
      </c>
      <c r="Y227">
        <f>HYPERLINK("https://klasma.github.io/Logging_2161/tillsynsmail/A 34346-2024 tillsynsbegäran mail.docx", "A 34346-2024")</f>
        <v/>
      </c>
      <c r="Z227">
        <f>HYPERLINK("https://klasma.github.io/Logging_2161/fåglar/A 34346-2024 prioriterade fågelarter.docx", "A 34346-2024")</f>
        <v/>
      </c>
    </row>
    <row r="228" ht="15" customHeight="1">
      <c r="A228" t="inlineStr">
        <is>
          <t>A 58239-2022</t>
        </is>
      </c>
      <c r="B228" s="1" t="n">
        <v>44901.40701388889</v>
      </c>
      <c r="C228" s="1" t="n">
        <v>46076</v>
      </c>
      <c r="D228" t="inlineStr">
        <is>
          <t>GÄVLEBORGS LÄN</t>
        </is>
      </c>
      <c r="E228" t="inlineStr">
        <is>
          <t>LJUSDAL</t>
        </is>
      </c>
      <c r="G228" t="n">
        <v>0.5</v>
      </c>
      <c r="H228" t="n">
        <v>1</v>
      </c>
      <c r="I228" t="n">
        <v>0</v>
      </c>
      <c r="J228" t="n">
        <v>0</v>
      </c>
      <c r="K228" t="n">
        <v>0</v>
      </c>
      <c r="L228" t="n">
        <v>0</v>
      </c>
      <c r="M228" t="n">
        <v>0</v>
      </c>
      <c r="N228" t="n">
        <v>0</v>
      </c>
      <c r="O228" t="n">
        <v>0</v>
      </c>
      <c r="P228" t="n">
        <v>0</v>
      </c>
      <c r="Q228" t="n">
        <v>1</v>
      </c>
      <c r="R228" s="2" t="inlineStr">
        <is>
          <t>Blåsippa</t>
        </is>
      </c>
      <c r="S228">
        <f>HYPERLINK("https://klasma.github.io/Logging_2161/artfynd/A 58239-2022 artfynd.xlsx", "A 58239-2022")</f>
        <v/>
      </c>
      <c r="T228">
        <f>HYPERLINK("https://klasma.github.io/Logging_2161/kartor/A 58239-2022 karta.png", "A 58239-2022")</f>
        <v/>
      </c>
      <c r="V228">
        <f>HYPERLINK("https://klasma.github.io/Logging_2161/klagomål/A 58239-2022 FSC-klagomål.docx", "A 58239-2022")</f>
        <v/>
      </c>
      <c r="W228">
        <f>HYPERLINK("https://klasma.github.io/Logging_2161/klagomålsmail/A 58239-2022 FSC-klagomål mail.docx", "A 58239-2022")</f>
        <v/>
      </c>
      <c r="X228">
        <f>HYPERLINK("https://klasma.github.io/Logging_2161/tillsyn/A 58239-2022 tillsynsbegäran.docx", "A 58239-2022")</f>
        <v/>
      </c>
      <c r="Y228">
        <f>HYPERLINK("https://klasma.github.io/Logging_2161/tillsynsmail/A 58239-2022 tillsynsbegäran mail.docx", "A 58239-2022")</f>
        <v/>
      </c>
    </row>
    <row r="229" ht="15" customHeight="1">
      <c r="A229" t="inlineStr">
        <is>
          <t>A 40968-2025</t>
        </is>
      </c>
      <c r="B229" s="1" t="n">
        <v>45897.77994212963</v>
      </c>
      <c r="C229" s="1" t="n">
        <v>46076</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31828-2025</t>
        </is>
      </c>
      <c r="B230" s="1" t="n">
        <v>45834.58667824074</v>
      </c>
      <c r="C230" s="1" t="n">
        <v>46076</v>
      </c>
      <c r="D230" t="inlineStr">
        <is>
          <t>GÄVLEBORGS LÄN</t>
        </is>
      </c>
      <c r="E230" t="inlineStr">
        <is>
          <t>LJUSDAL</t>
        </is>
      </c>
      <c r="F230" t="inlineStr">
        <is>
          <t>Sveaskog</t>
        </is>
      </c>
      <c r="G230" t="n">
        <v>4</v>
      </c>
      <c r="H230" t="n">
        <v>0</v>
      </c>
      <c r="I230" t="n">
        <v>0</v>
      </c>
      <c r="J230" t="n">
        <v>1</v>
      </c>
      <c r="K230" t="n">
        <v>0</v>
      </c>
      <c r="L230" t="n">
        <v>0</v>
      </c>
      <c r="M230" t="n">
        <v>0</v>
      </c>
      <c r="N230" t="n">
        <v>0</v>
      </c>
      <c r="O230" t="n">
        <v>1</v>
      </c>
      <c r="P230" t="n">
        <v>0</v>
      </c>
      <c r="Q230" t="n">
        <v>1</v>
      </c>
      <c r="R230" s="2" t="inlineStr">
        <is>
          <t>Blå taggsvamp</t>
        </is>
      </c>
      <c r="S230">
        <f>HYPERLINK("https://klasma.github.io/Logging_2161/artfynd/A 31828-2025 artfynd.xlsx", "A 31828-2025")</f>
        <v/>
      </c>
      <c r="T230">
        <f>HYPERLINK("https://klasma.github.io/Logging_2161/kartor/A 31828-2025 karta.png", "A 31828-2025")</f>
        <v/>
      </c>
      <c r="V230">
        <f>HYPERLINK("https://klasma.github.io/Logging_2161/klagomål/A 31828-2025 FSC-klagomål.docx", "A 31828-2025")</f>
        <v/>
      </c>
      <c r="W230">
        <f>HYPERLINK("https://klasma.github.io/Logging_2161/klagomålsmail/A 31828-2025 FSC-klagomål mail.docx", "A 31828-2025")</f>
        <v/>
      </c>
      <c r="X230">
        <f>HYPERLINK("https://klasma.github.io/Logging_2161/tillsyn/A 31828-2025 tillsynsbegäran.docx", "A 31828-2025")</f>
        <v/>
      </c>
      <c r="Y230">
        <f>HYPERLINK("https://klasma.github.io/Logging_2161/tillsynsmail/A 31828-2025 tillsynsbegäran mail.docx", "A 31828-2025")</f>
        <v/>
      </c>
    </row>
    <row r="231" ht="15" customHeight="1">
      <c r="A231" t="inlineStr">
        <is>
          <t>A 41211-2025</t>
        </is>
      </c>
      <c r="B231" s="1" t="n">
        <v>45898.57900462963</v>
      </c>
      <c r="C231" s="1" t="n">
        <v>46076</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32152-2025</t>
        </is>
      </c>
      <c r="B232" s="1" t="n">
        <v>45835.53287037037</v>
      </c>
      <c r="C232" s="1" t="n">
        <v>46076</v>
      </c>
      <c r="D232" t="inlineStr">
        <is>
          <t>GÄVLEBORGS LÄN</t>
        </is>
      </c>
      <c r="E232" t="inlineStr">
        <is>
          <t>LJUSDAL</t>
        </is>
      </c>
      <c r="F232" t="inlineStr">
        <is>
          <t>Allmännings- och besparingsskogar</t>
        </is>
      </c>
      <c r="G232" t="n">
        <v>3.1</v>
      </c>
      <c r="H232" t="n">
        <v>1</v>
      </c>
      <c r="I232" t="n">
        <v>0</v>
      </c>
      <c r="J232" t="n">
        <v>1</v>
      </c>
      <c r="K232" t="n">
        <v>0</v>
      </c>
      <c r="L232" t="n">
        <v>0</v>
      </c>
      <c r="M232" t="n">
        <v>0</v>
      </c>
      <c r="N232" t="n">
        <v>0</v>
      </c>
      <c r="O232" t="n">
        <v>1</v>
      </c>
      <c r="P232" t="n">
        <v>0</v>
      </c>
      <c r="Q232" t="n">
        <v>1</v>
      </c>
      <c r="R232" s="2" t="inlineStr">
        <is>
          <t>Talltita</t>
        </is>
      </c>
      <c r="S232">
        <f>HYPERLINK("https://klasma.github.io/Logging_2161/artfynd/A 32152-2025 artfynd.xlsx", "A 32152-2025")</f>
        <v/>
      </c>
      <c r="T232">
        <f>HYPERLINK("https://klasma.github.io/Logging_2161/kartor/A 32152-2025 karta.png", "A 32152-2025")</f>
        <v/>
      </c>
      <c r="V232">
        <f>HYPERLINK("https://klasma.github.io/Logging_2161/klagomål/A 32152-2025 FSC-klagomål.docx", "A 32152-2025")</f>
        <v/>
      </c>
      <c r="W232">
        <f>HYPERLINK("https://klasma.github.io/Logging_2161/klagomålsmail/A 32152-2025 FSC-klagomål mail.docx", "A 32152-2025")</f>
        <v/>
      </c>
      <c r="X232">
        <f>HYPERLINK("https://klasma.github.io/Logging_2161/tillsyn/A 32152-2025 tillsynsbegäran.docx", "A 32152-2025")</f>
        <v/>
      </c>
      <c r="Y232">
        <f>HYPERLINK("https://klasma.github.io/Logging_2161/tillsynsmail/A 32152-2025 tillsynsbegäran mail.docx", "A 32152-2025")</f>
        <v/>
      </c>
      <c r="Z232">
        <f>HYPERLINK("https://klasma.github.io/Logging_2161/fåglar/A 32152-2025 prioriterade fågelarter.docx", "A 32152-2025")</f>
        <v/>
      </c>
    </row>
    <row r="233" ht="15" customHeight="1">
      <c r="A233" t="inlineStr">
        <is>
          <t>A 41010-2025</t>
        </is>
      </c>
      <c r="B233" s="1" t="n">
        <v>45898.35421296296</v>
      </c>
      <c r="C233" s="1" t="n">
        <v>46076</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41457-2025</t>
        </is>
      </c>
      <c r="B234" s="1" t="n">
        <v>45901.44706018519</v>
      </c>
      <c r="C234" s="1" t="n">
        <v>46076</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42008-2025</t>
        </is>
      </c>
      <c r="B235" s="1" t="n">
        <v>45903.56155092592</v>
      </c>
      <c r="C235" s="1" t="n">
        <v>46076</v>
      </c>
      <c r="D235" t="inlineStr">
        <is>
          <t>GÄVLEBORGS LÄN</t>
        </is>
      </c>
      <c r="E235" t="inlineStr">
        <is>
          <t>LJUSDAL</t>
        </is>
      </c>
      <c r="F235" t="inlineStr">
        <is>
          <t>Bergvik skog väst AB</t>
        </is>
      </c>
      <c r="G235" t="n">
        <v>0.8</v>
      </c>
      <c r="H235" t="n">
        <v>0</v>
      </c>
      <c r="I235" t="n">
        <v>0</v>
      </c>
      <c r="J235" t="n">
        <v>1</v>
      </c>
      <c r="K235" t="n">
        <v>0</v>
      </c>
      <c r="L235" t="n">
        <v>0</v>
      </c>
      <c r="M235" t="n">
        <v>0</v>
      </c>
      <c r="N235" t="n">
        <v>0</v>
      </c>
      <c r="O235" t="n">
        <v>1</v>
      </c>
      <c r="P235" t="n">
        <v>0</v>
      </c>
      <c r="Q235" t="n">
        <v>1</v>
      </c>
      <c r="R235" s="2" t="inlineStr">
        <is>
          <t>Lunglav</t>
        </is>
      </c>
      <c r="S235">
        <f>HYPERLINK("https://klasma.github.io/Logging_2161/artfynd/A 42008-2025 artfynd.xlsx", "A 42008-2025")</f>
        <v/>
      </c>
      <c r="T235">
        <f>HYPERLINK("https://klasma.github.io/Logging_2161/kartor/A 42008-2025 karta.png", "A 42008-2025")</f>
        <v/>
      </c>
      <c r="V235">
        <f>HYPERLINK("https://klasma.github.io/Logging_2161/klagomål/A 42008-2025 FSC-klagomål.docx", "A 42008-2025")</f>
        <v/>
      </c>
      <c r="W235">
        <f>HYPERLINK("https://klasma.github.io/Logging_2161/klagomålsmail/A 42008-2025 FSC-klagomål mail.docx", "A 42008-2025")</f>
        <v/>
      </c>
      <c r="X235">
        <f>HYPERLINK("https://klasma.github.io/Logging_2161/tillsyn/A 42008-2025 tillsynsbegäran.docx", "A 42008-2025")</f>
        <v/>
      </c>
      <c r="Y235">
        <f>HYPERLINK("https://klasma.github.io/Logging_2161/tillsynsmail/A 42008-2025 tillsynsbegäran mail.docx", "A 42008-2025")</f>
        <v/>
      </c>
    </row>
    <row r="236" ht="15" customHeight="1">
      <c r="A236" t="inlineStr">
        <is>
          <t>A 23777-2025</t>
        </is>
      </c>
      <c r="B236" s="1" t="n">
        <v>45793.50126157407</v>
      </c>
      <c r="C236" s="1" t="n">
        <v>46076</v>
      </c>
      <c r="D236" t="inlineStr">
        <is>
          <t>GÄVLEBORGS LÄN</t>
        </is>
      </c>
      <c r="E236" t="inlineStr">
        <is>
          <t>LJUSDAL</t>
        </is>
      </c>
      <c r="F236" t="inlineStr">
        <is>
          <t>Sveaskog</t>
        </is>
      </c>
      <c r="G236" t="n">
        <v>6.7</v>
      </c>
      <c r="H236" t="n">
        <v>1</v>
      </c>
      <c r="I236" t="n">
        <v>0</v>
      </c>
      <c r="J236" t="n">
        <v>0</v>
      </c>
      <c r="K236" t="n">
        <v>1</v>
      </c>
      <c r="L236" t="n">
        <v>0</v>
      </c>
      <c r="M236" t="n">
        <v>0</v>
      </c>
      <c r="N236" t="n">
        <v>0</v>
      </c>
      <c r="O236" t="n">
        <v>1</v>
      </c>
      <c r="P236" t="n">
        <v>1</v>
      </c>
      <c r="Q236" t="n">
        <v>1</v>
      </c>
      <c r="R236" s="2" t="inlineStr">
        <is>
          <t>Knärot</t>
        </is>
      </c>
      <c r="S236">
        <f>HYPERLINK("https://klasma.github.io/Logging_2161/artfynd/A 23777-2025 artfynd.xlsx", "A 23777-2025")</f>
        <v/>
      </c>
      <c r="T236">
        <f>HYPERLINK("https://klasma.github.io/Logging_2161/kartor/A 23777-2025 karta.png", "A 23777-2025")</f>
        <v/>
      </c>
      <c r="U236">
        <f>HYPERLINK("https://klasma.github.io/Logging_2161/knärot/A 23777-2025 karta knärot.png", "A 23777-2025")</f>
        <v/>
      </c>
      <c r="V236">
        <f>HYPERLINK("https://klasma.github.io/Logging_2161/klagomål/A 23777-2025 FSC-klagomål.docx", "A 23777-2025")</f>
        <v/>
      </c>
      <c r="W236">
        <f>HYPERLINK("https://klasma.github.io/Logging_2161/klagomålsmail/A 23777-2025 FSC-klagomål mail.docx", "A 23777-2025")</f>
        <v/>
      </c>
      <c r="X236">
        <f>HYPERLINK("https://klasma.github.io/Logging_2161/tillsyn/A 23777-2025 tillsynsbegäran.docx", "A 23777-2025")</f>
        <v/>
      </c>
      <c r="Y236">
        <f>HYPERLINK("https://klasma.github.io/Logging_2161/tillsynsmail/A 23777-2025 tillsynsbegäran mail.docx", "A 23777-2025")</f>
        <v/>
      </c>
    </row>
    <row r="237" ht="15" customHeight="1">
      <c r="A237" t="inlineStr">
        <is>
          <t>A 42018-2025</t>
        </is>
      </c>
      <c r="B237" s="1" t="n">
        <v>45903.58424768518</v>
      </c>
      <c r="C237" s="1" t="n">
        <v>46076</v>
      </c>
      <c r="D237" t="inlineStr">
        <is>
          <t>GÄVLEBORGS LÄN</t>
        </is>
      </c>
      <c r="E237" t="inlineStr">
        <is>
          <t>LJUSDAL</t>
        </is>
      </c>
      <c r="F237" t="inlineStr">
        <is>
          <t>Bergvik skog väst AB</t>
        </is>
      </c>
      <c r="G237" t="n">
        <v>0.7</v>
      </c>
      <c r="H237" t="n">
        <v>0</v>
      </c>
      <c r="I237" t="n">
        <v>0</v>
      </c>
      <c r="J237" t="n">
        <v>1</v>
      </c>
      <c r="K237" t="n">
        <v>0</v>
      </c>
      <c r="L237" t="n">
        <v>0</v>
      </c>
      <c r="M237" t="n">
        <v>0</v>
      </c>
      <c r="N237" t="n">
        <v>0</v>
      </c>
      <c r="O237" t="n">
        <v>1</v>
      </c>
      <c r="P237" t="n">
        <v>0</v>
      </c>
      <c r="Q237" t="n">
        <v>1</v>
      </c>
      <c r="R237" s="2" t="inlineStr">
        <is>
          <t>Skogshare</t>
        </is>
      </c>
      <c r="S237">
        <f>HYPERLINK("https://klasma.github.io/Logging_2161/artfynd/A 42018-2025 artfynd.xlsx", "A 42018-2025")</f>
        <v/>
      </c>
      <c r="T237">
        <f>HYPERLINK("https://klasma.github.io/Logging_2161/kartor/A 42018-2025 karta.png", "A 42018-2025")</f>
        <v/>
      </c>
      <c r="V237">
        <f>HYPERLINK("https://klasma.github.io/Logging_2161/klagomål/A 42018-2025 FSC-klagomål.docx", "A 42018-2025")</f>
        <v/>
      </c>
      <c r="W237">
        <f>HYPERLINK("https://klasma.github.io/Logging_2161/klagomålsmail/A 42018-2025 FSC-klagomål mail.docx", "A 42018-2025")</f>
        <v/>
      </c>
      <c r="X237">
        <f>HYPERLINK("https://klasma.github.io/Logging_2161/tillsyn/A 42018-2025 tillsynsbegäran.docx", "A 42018-2025")</f>
        <v/>
      </c>
      <c r="Y237">
        <f>HYPERLINK("https://klasma.github.io/Logging_2161/tillsynsmail/A 42018-2025 tillsynsbegäran mail.docx", "A 42018-2025")</f>
        <v/>
      </c>
    </row>
    <row r="238" ht="15" customHeight="1">
      <c r="A238" t="inlineStr">
        <is>
          <t>A 32489-2025</t>
        </is>
      </c>
      <c r="B238" s="1" t="n">
        <v>45838</v>
      </c>
      <c r="C238" s="1" t="n">
        <v>46076</v>
      </c>
      <c r="D238" t="inlineStr">
        <is>
          <t>GÄVLEBORGS LÄN</t>
        </is>
      </c>
      <c r="E238" t="inlineStr">
        <is>
          <t>LJUSDAL</t>
        </is>
      </c>
      <c r="F238" t="inlineStr">
        <is>
          <t>Allmännings- och besparingsskogar</t>
        </is>
      </c>
      <c r="G238" t="n">
        <v>21</v>
      </c>
      <c r="H238" t="n">
        <v>0</v>
      </c>
      <c r="I238" t="n">
        <v>0</v>
      </c>
      <c r="J238" t="n">
        <v>1</v>
      </c>
      <c r="K238" t="n">
        <v>0</v>
      </c>
      <c r="L238" t="n">
        <v>0</v>
      </c>
      <c r="M238" t="n">
        <v>0</v>
      </c>
      <c r="N238" t="n">
        <v>0</v>
      </c>
      <c r="O238" t="n">
        <v>1</v>
      </c>
      <c r="P238" t="n">
        <v>0</v>
      </c>
      <c r="Q238" t="n">
        <v>1</v>
      </c>
      <c r="R238" s="2" t="inlineStr">
        <is>
          <t>Garnlav</t>
        </is>
      </c>
      <c r="S238">
        <f>HYPERLINK("https://klasma.github.io/Logging_2161/artfynd/A 32489-2025 artfynd.xlsx", "A 32489-2025")</f>
        <v/>
      </c>
      <c r="T238">
        <f>HYPERLINK("https://klasma.github.io/Logging_2161/kartor/A 32489-2025 karta.png", "A 32489-2025")</f>
        <v/>
      </c>
      <c r="V238">
        <f>HYPERLINK("https://klasma.github.io/Logging_2161/klagomål/A 32489-2025 FSC-klagomål.docx", "A 32489-2025")</f>
        <v/>
      </c>
      <c r="W238">
        <f>HYPERLINK("https://klasma.github.io/Logging_2161/klagomålsmail/A 32489-2025 FSC-klagomål mail.docx", "A 32489-2025")</f>
        <v/>
      </c>
      <c r="X238">
        <f>HYPERLINK("https://klasma.github.io/Logging_2161/tillsyn/A 32489-2025 tillsynsbegäran.docx", "A 32489-2025")</f>
        <v/>
      </c>
      <c r="Y238">
        <f>HYPERLINK("https://klasma.github.io/Logging_2161/tillsynsmail/A 32489-2025 tillsynsbegäran mail.docx", "A 32489-2025")</f>
        <v/>
      </c>
    </row>
    <row r="239" ht="15" customHeight="1">
      <c r="A239" t="inlineStr">
        <is>
          <t>A 42183-2025</t>
        </is>
      </c>
      <c r="B239" s="1" t="n">
        <v>45904.45236111111</v>
      </c>
      <c r="C239" s="1" t="n">
        <v>46076</v>
      </c>
      <c r="D239" t="inlineStr">
        <is>
          <t>GÄVLEBORGS LÄN</t>
        </is>
      </c>
      <c r="E239" t="inlineStr">
        <is>
          <t>LJUSDAL</t>
        </is>
      </c>
      <c r="F239" t="inlineStr">
        <is>
          <t>Allmännings- och besparingsskogar</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HYPERLINK("https://klasma.github.io/Logging_2161/artfynd/A 42183-2025 artfynd.xlsx", "A 42183-2025")</f>
        <v/>
      </c>
      <c r="T239">
        <f>HYPERLINK("https://klasma.github.io/Logging_2161/kartor/A 42183-2025 karta.png", "A 42183-2025")</f>
        <v/>
      </c>
      <c r="V239">
        <f>HYPERLINK("https://klasma.github.io/Logging_2161/klagomål/A 42183-2025 FSC-klagomål.docx", "A 42183-2025")</f>
        <v/>
      </c>
      <c r="W239">
        <f>HYPERLINK("https://klasma.github.io/Logging_2161/klagomålsmail/A 42183-2025 FSC-klagomål mail.docx", "A 42183-2025")</f>
        <v/>
      </c>
      <c r="X239">
        <f>HYPERLINK("https://klasma.github.io/Logging_2161/tillsyn/A 42183-2025 tillsynsbegäran.docx", "A 42183-2025")</f>
        <v/>
      </c>
      <c r="Y239">
        <f>HYPERLINK("https://klasma.github.io/Logging_2161/tillsynsmail/A 42183-2025 tillsynsbegäran mail.docx", "A 42183-2025")</f>
        <v/>
      </c>
    </row>
    <row r="240" ht="15" customHeight="1">
      <c r="A240" t="inlineStr">
        <is>
          <t>A 42182-2025</t>
        </is>
      </c>
      <c r="B240" s="1" t="n">
        <v>45904.4516087963</v>
      </c>
      <c r="C240" s="1" t="n">
        <v>46076</v>
      </c>
      <c r="D240" t="inlineStr">
        <is>
          <t>GÄVLEBORGS LÄN</t>
        </is>
      </c>
      <c r="E240" t="inlineStr">
        <is>
          <t>LJUSDAL</t>
        </is>
      </c>
      <c r="F240" t="inlineStr">
        <is>
          <t>Allmännings- och besparingsskogar</t>
        </is>
      </c>
      <c r="G240" t="n">
        <v>5.7</v>
      </c>
      <c r="H240" t="n">
        <v>1</v>
      </c>
      <c r="I240" t="n">
        <v>0</v>
      </c>
      <c r="J240" t="n">
        <v>0</v>
      </c>
      <c r="K240" t="n">
        <v>0</v>
      </c>
      <c r="L240" t="n">
        <v>0</v>
      </c>
      <c r="M240" t="n">
        <v>0</v>
      </c>
      <c r="N240" t="n">
        <v>0</v>
      </c>
      <c r="O240" t="n">
        <v>0</v>
      </c>
      <c r="P240" t="n">
        <v>0</v>
      </c>
      <c r="Q240" t="n">
        <v>1</v>
      </c>
      <c r="R240" s="2" t="inlineStr">
        <is>
          <t>Revlummer</t>
        </is>
      </c>
      <c r="S240">
        <f>HYPERLINK("https://klasma.github.io/Logging_2161/artfynd/A 42182-2025 artfynd.xlsx", "A 42182-2025")</f>
        <v/>
      </c>
      <c r="T240">
        <f>HYPERLINK("https://klasma.github.io/Logging_2161/kartor/A 42182-2025 karta.png", "A 42182-2025")</f>
        <v/>
      </c>
      <c r="V240">
        <f>HYPERLINK("https://klasma.github.io/Logging_2161/klagomål/A 42182-2025 FSC-klagomål.docx", "A 42182-2025")</f>
        <v/>
      </c>
      <c r="W240">
        <f>HYPERLINK("https://klasma.github.io/Logging_2161/klagomålsmail/A 42182-2025 FSC-klagomål mail.docx", "A 42182-2025")</f>
        <v/>
      </c>
      <c r="X240">
        <f>HYPERLINK("https://klasma.github.io/Logging_2161/tillsyn/A 42182-2025 tillsynsbegäran.docx", "A 42182-2025")</f>
        <v/>
      </c>
      <c r="Y240">
        <f>HYPERLINK("https://klasma.github.io/Logging_2161/tillsynsmail/A 42182-2025 tillsynsbegäran mail.docx", "A 42182-2025")</f>
        <v/>
      </c>
    </row>
    <row r="241" ht="15" customHeight="1">
      <c r="A241" t="inlineStr">
        <is>
          <t>A 33338-2025</t>
        </is>
      </c>
      <c r="B241" s="1" t="n">
        <v>45841.35872685185</v>
      </c>
      <c r="C241" s="1" t="n">
        <v>46076</v>
      </c>
      <c r="D241" t="inlineStr">
        <is>
          <t>GÄVLEBORGS LÄN</t>
        </is>
      </c>
      <c r="E241" t="inlineStr">
        <is>
          <t>LJUSDAL</t>
        </is>
      </c>
      <c r="F241" t="inlineStr">
        <is>
          <t>Sveaskog</t>
        </is>
      </c>
      <c r="G241" t="n">
        <v>1.6</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33338-2025 artfynd.xlsx", "A 33338-2025")</f>
        <v/>
      </c>
      <c r="T241">
        <f>HYPERLINK("https://klasma.github.io/Logging_2161/kartor/A 33338-2025 karta.png", "A 33338-2025")</f>
        <v/>
      </c>
      <c r="V241">
        <f>HYPERLINK("https://klasma.github.io/Logging_2161/klagomål/A 33338-2025 FSC-klagomål.docx", "A 33338-2025")</f>
        <v/>
      </c>
      <c r="W241">
        <f>HYPERLINK("https://klasma.github.io/Logging_2161/klagomålsmail/A 33338-2025 FSC-klagomål mail.docx", "A 33338-2025")</f>
        <v/>
      </c>
      <c r="X241">
        <f>HYPERLINK("https://klasma.github.io/Logging_2161/tillsyn/A 33338-2025 tillsynsbegäran.docx", "A 33338-2025")</f>
        <v/>
      </c>
      <c r="Y241">
        <f>HYPERLINK("https://klasma.github.io/Logging_2161/tillsynsmail/A 33338-2025 tillsynsbegäran mail.docx", "A 33338-2025")</f>
        <v/>
      </c>
    </row>
    <row r="242" ht="15" customHeight="1">
      <c r="A242" t="inlineStr">
        <is>
          <t>A 18967-2025</t>
        </is>
      </c>
      <c r="B242" s="1" t="n">
        <v>45764.53628472222</v>
      </c>
      <c r="C242" s="1" t="n">
        <v>46076</v>
      </c>
      <c r="D242" t="inlineStr">
        <is>
          <t>GÄVLEBORGS LÄN</t>
        </is>
      </c>
      <c r="E242" t="inlineStr">
        <is>
          <t>LJUSDAL</t>
        </is>
      </c>
      <c r="F242" t="inlineStr">
        <is>
          <t>Sveaskog</t>
        </is>
      </c>
      <c r="G242" t="n">
        <v>6.8</v>
      </c>
      <c r="H242" t="n">
        <v>0</v>
      </c>
      <c r="I242" t="n">
        <v>0</v>
      </c>
      <c r="J242" t="n">
        <v>1</v>
      </c>
      <c r="K242" t="n">
        <v>0</v>
      </c>
      <c r="L242" t="n">
        <v>0</v>
      </c>
      <c r="M242" t="n">
        <v>0</v>
      </c>
      <c r="N242" t="n">
        <v>0</v>
      </c>
      <c r="O242" t="n">
        <v>1</v>
      </c>
      <c r="P242" t="n">
        <v>0</v>
      </c>
      <c r="Q242" t="n">
        <v>1</v>
      </c>
      <c r="R242" s="2" t="inlineStr">
        <is>
          <t>Lunglav</t>
        </is>
      </c>
      <c r="S242">
        <f>HYPERLINK("https://klasma.github.io/Logging_2161/artfynd/A 18967-2025 artfynd.xlsx", "A 18967-2025")</f>
        <v/>
      </c>
      <c r="T242">
        <f>HYPERLINK("https://klasma.github.io/Logging_2161/kartor/A 18967-2025 karta.png", "A 18967-2025")</f>
        <v/>
      </c>
      <c r="V242">
        <f>HYPERLINK("https://klasma.github.io/Logging_2161/klagomål/A 18967-2025 FSC-klagomål.docx", "A 18967-2025")</f>
        <v/>
      </c>
      <c r="W242">
        <f>HYPERLINK("https://klasma.github.io/Logging_2161/klagomålsmail/A 18967-2025 FSC-klagomål mail.docx", "A 18967-2025")</f>
        <v/>
      </c>
      <c r="X242">
        <f>HYPERLINK("https://klasma.github.io/Logging_2161/tillsyn/A 18967-2025 tillsynsbegäran.docx", "A 18967-2025")</f>
        <v/>
      </c>
      <c r="Y242">
        <f>HYPERLINK("https://klasma.github.io/Logging_2161/tillsynsmail/A 18967-2025 tillsynsbegäran mail.docx", "A 18967-2025")</f>
        <v/>
      </c>
    </row>
    <row r="243" ht="15" customHeight="1">
      <c r="A243" t="inlineStr">
        <is>
          <t>A 38495-2025</t>
        </is>
      </c>
      <c r="B243" s="1" t="n">
        <v>45884.36899305556</v>
      </c>
      <c r="C243" s="1" t="n">
        <v>46076</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33933-2025</t>
        </is>
      </c>
      <c r="B244" s="1" t="n">
        <v>45842.63458333333</v>
      </c>
      <c r="C244" s="1" t="n">
        <v>46076</v>
      </c>
      <c r="D244" t="inlineStr">
        <is>
          <t>GÄVLEBORGS LÄN</t>
        </is>
      </c>
      <c r="E244" t="inlineStr">
        <is>
          <t>LJUSDAL</t>
        </is>
      </c>
      <c r="F244" t="inlineStr">
        <is>
          <t>Sveaskog</t>
        </is>
      </c>
      <c r="G244" t="n">
        <v>16.3</v>
      </c>
      <c r="H244" t="n">
        <v>1</v>
      </c>
      <c r="I244" t="n">
        <v>0</v>
      </c>
      <c r="J244" t="n">
        <v>0</v>
      </c>
      <c r="K244" t="n">
        <v>0</v>
      </c>
      <c r="L244" t="n">
        <v>0</v>
      </c>
      <c r="M244" t="n">
        <v>0</v>
      </c>
      <c r="N244" t="n">
        <v>0</v>
      </c>
      <c r="O244" t="n">
        <v>0</v>
      </c>
      <c r="P244" t="n">
        <v>0</v>
      </c>
      <c r="Q244" t="n">
        <v>1</v>
      </c>
      <c r="R244" s="2" t="inlineStr">
        <is>
          <t>Fläcknycklar</t>
        </is>
      </c>
      <c r="S244">
        <f>HYPERLINK("https://klasma.github.io/Logging_2161/artfynd/A 33933-2025 artfynd.xlsx", "A 33933-2025")</f>
        <v/>
      </c>
      <c r="T244">
        <f>HYPERLINK("https://klasma.github.io/Logging_2161/kartor/A 33933-2025 karta.png", "A 33933-2025")</f>
        <v/>
      </c>
      <c r="V244">
        <f>HYPERLINK("https://klasma.github.io/Logging_2161/klagomål/A 33933-2025 FSC-klagomål.docx", "A 33933-2025")</f>
        <v/>
      </c>
      <c r="W244">
        <f>HYPERLINK("https://klasma.github.io/Logging_2161/klagomålsmail/A 33933-2025 FSC-klagomål mail.docx", "A 33933-2025")</f>
        <v/>
      </c>
      <c r="X244">
        <f>HYPERLINK("https://klasma.github.io/Logging_2161/tillsyn/A 33933-2025 tillsynsbegäran.docx", "A 33933-2025")</f>
        <v/>
      </c>
      <c r="Y244">
        <f>HYPERLINK("https://klasma.github.io/Logging_2161/tillsynsmail/A 33933-2025 tillsynsbegäran mail.docx", "A 33933-2025")</f>
        <v/>
      </c>
    </row>
    <row r="245" ht="15" customHeight="1">
      <c r="A245" t="inlineStr">
        <is>
          <t>A 34343-2025</t>
        </is>
      </c>
      <c r="B245" s="1" t="n">
        <v>45846.46173611111</v>
      </c>
      <c r="C245" s="1" t="n">
        <v>46076</v>
      </c>
      <c r="D245" t="inlineStr">
        <is>
          <t>GÄVLEBORGS LÄN</t>
        </is>
      </c>
      <c r="E245" t="inlineStr">
        <is>
          <t>LJUSDAL</t>
        </is>
      </c>
      <c r="F245" t="inlineStr">
        <is>
          <t>Bergvik skog väst AB</t>
        </is>
      </c>
      <c r="G245" t="n">
        <v>4.3</v>
      </c>
      <c r="H245" t="n">
        <v>0</v>
      </c>
      <c r="I245" t="n">
        <v>0</v>
      </c>
      <c r="J245" t="n">
        <v>1</v>
      </c>
      <c r="K245" t="n">
        <v>0</v>
      </c>
      <c r="L245" t="n">
        <v>0</v>
      </c>
      <c r="M245" t="n">
        <v>0</v>
      </c>
      <c r="N245" t="n">
        <v>0</v>
      </c>
      <c r="O245" t="n">
        <v>1</v>
      </c>
      <c r="P245" t="n">
        <v>0</v>
      </c>
      <c r="Q245" t="n">
        <v>1</v>
      </c>
      <c r="R245" s="2" t="inlineStr">
        <is>
          <t>Garnlav</t>
        </is>
      </c>
      <c r="S245">
        <f>HYPERLINK("https://klasma.github.io/Logging_2161/artfynd/A 34343-2025 artfynd.xlsx", "A 34343-2025")</f>
        <v/>
      </c>
      <c r="T245">
        <f>HYPERLINK("https://klasma.github.io/Logging_2161/kartor/A 34343-2025 karta.png", "A 34343-2025")</f>
        <v/>
      </c>
      <c r="V245">
        <f>HYPERLINK("https://klasma.github.io/Logging_2161/klagomål/A 34343-2025 FSC-klagomål.docx", "A 34343-2025")</f>
        <v/>
      </c>
      <c r="W245">
        <f>HYPERLINK("https://klasma.github.io/Logging_2161/klagomålsmail/A 34343-2025 FSC-klagomål mail.docx", "A 34343-2025")</f>
        <v/>
      </c>
      <c r="X245">
        <f>HYPERLINK("https://klasma.github.io/Logging_2161/tillsyn/A 34343-2025 tillsynsbegäran.docx", "A 34343-2025")</f>
        <v/>
      </c>
      <c r="Y245">
        <f>HYPERLINK("https://klasma.github.io/Logging_2161/tillsynsmail/A 34343-2025 tillsynsbegäran mail.docx", "A 34343-2025")</f>
        <v/>
      </c>
    </row>
    <row r="246" ht="15" customHeight="1">
      <c r="A246" t="inlineStr">
        <is>
          <t>A 58900-2021</t>
        </is>
      </c>
      <c r="B246" s="1" t="n">
        <v>44489</v>
      </c>
      <c r="C246" s="1" t="n">
        <v>46076</v>
      </c>
      <c r="D246" t="inlineStr">
        <is>
          <t>GÄVLEBORGS LÄN</t>
        </is>
      </c>
      <c r="E246" t="inlineStr">
        <is>
          <t>LJUSDAL</t>
        </is>
      </c>
      <c r="F246" t="inlineStr">
        <is>
          <t>Sveaskog</t>
        </is>
      </c>
      <c r="G246" t="n">
        <v>5.2</v>
      </c>
      <c r="H246" t="n">
        <v>0</v>
      </c>
      <c r="I246" t="n">
        <v>1</v>
      </c>
      <c r="J246" t="n">
        <v>0</v>
      </c>
      <c r="K246" t="n">
        <v>0</v>
      </c>
      <c r="L246" t="n">
        <v>0</v>
      </c>
      <c r="M246" t="n">
        <v>0</v>
      </c>
      <c r="N246" t="n">
        <v>0</v>
      </c>
      <c r="O246" t="n">
        <v>0</v>
      </c>
      <c r="P246" t="n">
        <v>0</v>
      </c>
      <c r="Q246" t="n">
        <v>1</v>
      </c>
      <c r="R246" s="2" t="inlineStr">
        <is>
          <t>Skuggblåslav</t>
        </is>
      </c>
      <c r="S246">
        <f>HYPERLINK("https://klasma.github.io/Logging_2161/artfynd/A 58900-2021 artfynd.xlsx", "A 58900-2021")</f>
        <v/>
      </c>
      <c r="T246">
        <f>HYPERLINK("https://klasma.github.io/Logging_2161/kartor/A 58900-2021 karta.png", "A 58900-2021")</f>
        <v/>
      </c>
      <c r="V246">
        <f>HYPERLINK("https://klasma.github.io/Logging_2161/klagomål/A 58900-2021 FSC-klagomål.docx", "A 58900-2021")</f>
        <v/>
      </c>
      <c r="W246">
        <f>HYPERLINK("https://klasma.github.io/Logging_2161/klagomålsmail/A 58900-2021 FSC-klagomål mail.docx", "A 58900-2021")</f>
        <v/>
      </c>
      <c r="X246">
        <f>HYPERLINK("https://klasma.github.io/Logging_2161/tillsyn/A 58900-2021 tillsynsbegäran.docx", "A 58900-2021")</f>
        <v/>
      </c>
      <c r="Y246">
        <f>HYPERLINK("https://klasma.github.io/Logging_2161/tillsynsmail/A 58900-2021 tillsynsbegäran mail.docx", "A 58900-2021")</f>
        <v/>
      </c>
    </row>
    <row r="247" ht="15" customHeight="1">
      <c r="A247" t="inlineStr">
        <is>
          <t>A 44835-2025</t>
        </is>
      </c>
      <c r="B247" s="1" t="n">
        <v>45918.41619212963</v>
      </c>
      <c r="C247" s="1" t="n">
        <v>46076</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55289-2024</t>
        </is>
      </c>
      <c r="B248" s="1" t="n">
        <v>45621.63445601852</v>
      </c>
      <c r="C248" s="1" t="n">
        <v>46076</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HYPERLINK("https://klasma.github.io/Logging_2161/artfynd/A 55289-2024 artfynd.xlsx", "A 55289-2024")</f>
        <v/>
      </c>
      <c r="T248">
        <f>HYPERLINK("https://klasma.github.io/Logging_2161/kartor/A 55289-2024 karta.png", "A 55289-2024")</f>
        <v/>
      </c>
      <c r="V248">
        <f>HYPERLINK("https://klasma.github.io/Logging_2161/klagomål/A 55289-2024 FSC-klagomål.docx", "A 55289-2024")</f>
        <v/>
      </c>
      <c r="W248">
        <f>HYPERLINK("https://klasma.github.io/Logging_2161/klagomålsmail/A 55289-2024 FSC-klagomål mail.docx", "A 55289-2024")</f>
        <v/>
      </c>
      <c r="X248">
        <f>HYPERLINK("https://klasma.github.io/Logging_2161/tillsyn/A 55289-2024 tillsynsbegäran.docx", "A 55289-2024")</f>
        <v/>
      </c>
      <c r="Y248">
        <f>HYPERLINK("https://klasma.github.io/Logging_2161/tillsynsmail/A 55289-2024 tillsynsbegäran mail.docx", "A 55289-2024")</f>
        <v/>
      </c>
    </row>
    <row r="249" ht="15" customHeight="1">
      <c r="A249" t="inlineStr">
        <is>
          <t>A 45895-2025</t>
        </is>
      </c>
      <c r="B249" s="1" t="n">
        <v>45923.67833333334</v>
      </c>
      <c r="C249" s="1" t="n">
        <v>46076</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46741-2025</t>
        </is>
      </c>
      <c r="B250" s="1" t="n">
        <v>45926.60802083334</v>
      </c>
      <c r="C250" s="1" t="n">
        <v>46076</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Vedskivlav</t>
        </is>
      </c>
      <c r="S250">
        <f>HYPERLINK("https://klasma.github.io/Logging_2161/artfynd/A 46741-2025 artfynd.xlsx", "A 46741-2025")</f>
        <v/>
      </c>
      <c r="T250">
        <f>HYPERLINK("https://klasma.github.io/Logging_2161/kartor/A 46741-2025 karta.png", "A 46741-2025")</f>
        <v/>
      </c>
      <c r="V250">
        <f>HYPERLINK("https://klasma.github.io/Logging_2161/klagomål/A 46741-2025 FSC-klagomål.docx", "A 46741-2025")</f>
        <v/>
      </c>
      <c r="W250">
        <f>HYPERLINK("https://klasma.github.io/Logging_2161/klagomålsmail/A 46741-2025 FSC-klagomål mail.docx", "A 46741-2025")</f>
        <v/>
      </c>
      <c r="X250">
        <f>HYPERLINK("https://klasma.github.io/Logging_2161/tillsyn/A 46741-2025 tillsynsbegäran.docx", "A 46741-2025")</f>
        <v/>
      </c>
      <c r="Y250">
        <f>HYPERLINK("https://klasma.github.io/Logging_2161/tillsynsmail/A 46741-2025 tillsynsbegäran mail.docx", "A 46741-2025")</f>
        <v/>
      </c>
    </row>
    <row r="251" ht="15" customHeight="1">
      <c r="A251" t="inlineStr">
        <is>
          <t>A 36737-2025</t>
        </is>
      </c>
      <c r="B251" s="1" t="n">
        <v>45873.52961805555</v>
      </c>
      <c r="C251" s="1" t="n">
        <v>46076</v>
      </c>
      <c r="D251" t="inlineStr">
        <is>
          <t>GÄVLEBORGS LÄN</t>
        </is>
      </c>
      <c r="E251" t="inlineStr">
        <is>
          <t>LJUSDAL</t>
        </is>
      </c>
      <c r="G251" t="n">
        <v>2.8</v>
      </c>
      <c r="H251" t="n">
        <v>1</v>
      </c>
      <c r="I251" t="n">
        <v>0</v>
      </c>
      <c r="J251" t="n">
        <v>1</v>
      </c>
      <c r="K251" t="n">
        <v>0</v>
      </c>
      <c r="L251" t="n">
        <v>0</v>
      </c>
      <c r="M251" t="n">
        <v>0</v>
      </c>
      <c r="N251" t="n">
        <v>0</v>
      </c>
      <c r="O251" t="n">
        <v>1</v>
      </c>
      <c r="P251" t="n">
        <v>0</v>
      </c>
      <c r="Q251" t="n">
        <v>1</v>
      </c>
      <c r="R251" s="2" t="inlineStr">
        <is>
          <t>Nordfladdermus</t>
        </is>
      </c>
      <c r="S251">
        <f>HYPERLINK("https://klasma.github.io/Logging_2161/artfynd/A 36737-2025 artfynd.xlsx", "A 36737-2025")</f>
        <v/>
      </c>
      <c r="T251">
        <f>HYPERLINK("https://klasma.github.io/Logging_2161/kartor/A 36737-2025 karta.png", "A 36737-2025")</f>
        <v/>
      </c>
      <c r="V251">
        <f>HYPERLINK("https://klasma.github.io/Logging_2161/klagomål/A 36737-2025 FSC-klagomål.docx", "A 36737-2025")</f>
        <v/>
      </c>
      <c r="W251">
        <f>HYPERLINK("https://klasma.github.io/Logging_2161/klagomålsmail/A 36737-2025 FSC-klagomål mail.docx", "A 36737-2025")</f>
        <v/>
      </c>
      <c r="X251">
        <f>HYPERLINK("https://klasma.github.io/Logging_2161/tillsyn/A 36737-2025 tillsynsbegäran.docx", "A 36737-2025")</f>
        <v/>
      </c>
      <c r="Y251">
        <f>HYPERLINK("https://klasma.github.io/Logging_2161/tillsynsmail/A 36737-2025 tillsynsbegäran mail.docx", "A 36737-2025")</f>
        <v/>
      </c>
    </row>
    <row r="252" ht="15" customHeight="1">
      <c r="A252" t="inlineStr">
        <is>
          <t>A 32807-2024</t>
        </is>
      </c>
      <c r="B252" s="1" t="n">
        <v>45516</v>
      </c>
      <c r="C252" s="1" t="n">
        <v>46076</v>
      </c>
      <c r="D252" t="inlineStr">
        <is>
          <t>GÄVLEBORGS LÄN</t>
        </is>
      </c>
      <c r="E252" t="inlineStr">
        <is>
          <t>LJUSDAL</t>
        </is>
      </c>
      <c r="F252" t="inlineStr">
        <is>
          <t>Sveaskog</t>
        </is>
      </c>
      <c r="G252" t="n">
        <v>11.5</v>
      </c>
      <c r="H252" t="n">
        <v>0</v>
      </c>
      <c r="I252" t="n">
        <v>0</v>
      </c>
      <c r="J252" t="n">
        <v>1</v>
      </c>
      <c r="K252" t="n">
        <v>0</v>
      </c>
      <c r="L252" t="n">
        <v>0</v>
      </c>
      <c r="M252" t="n">
        <v>0</v>
      </c>
      <c r="N252" t="n">
        <v>0</v>
      </c>
      <c r="O252" t="n">
        <v>1</v>
      </c>
      <c r="P252" t="n">
        <v>0</v>
      </c>
      <c r="Q252" t="n">
        <v>1</v>
      </c>
      <c r="R252" s="2" t="inlineStr">
        <is>
          <t>Kolflarnlav</t>
        </is>
      </c>
      <c r="S252">
        <f>HYPERLINK("https://klasma.github.io/Logging_2161/artfynd/A 32807-2024 artfynd.xlsx", "A 32807-2024")</f>
        <v/>
      </c>
      <c r="T252">
        <f>HYPERLINK("https://klasma.github.io/Logging_2161/kartor/A 32807-2024 karta.png", "A 32807-2024")</f>
        <v/>
      </c>
      <c r="V252">
        <f>HYPERLINK("https://klasma.github.io/Logging_2161/klagomål/A 32807-2024 FSC-klagomål.docx", "A 32807-2024")</f>
        <v/>
      </c>
      <c r="W252">
        <f>HYPERLINK("https://klasma.github.io/Logging_2161/klagomålsmail/A 32807-2024 FSC-klagomål mail.docx", "A 32807-2024")</f>
        <v/>
      </c>
      <c r="X252">
        <f>HYPERLINK("https://klasma.github.io/Logging_2161/tillsyn/A 32807-2024 tillsynsbegäran.docx", "A 32807-2024")</f>
        <v/>
      </c>
      <c r="Y252">
        <f>HYPERLINK("https://klasma.github.io/Logging_2161/tillsynsmail/A 32807-2024 tillsynsbegäran mail.docx", "A 32807-2024")</f>
        <v/>
      </c>
    </row>
    <row r="253" ht="15" customHeight="1">
      <c r="A253" t="inlineStr">
        <is>
          <t>A 48300-2025</t>
        </is>
      </c>
      <c r="B253" s="1" t="n">
        <v>45933.61099537037</v>
      </c>
      <c r="C253" s="1" t="n">
        <v>46076</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48330-2025</t>
        </is>
      </c>
      <c r="B254" s="1" t="n">
        <v>45933.63387731482</v>
      </c>
      <c r="C254" s="1" t="n">
        <v>46076</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38105-2025</t>
        </is>
      </c>
      <c r="B255" s="1" t="n">
        <v>45882</v>
      </c>
      <c r="C255" s="1" t="n">
        <v>46076</v>
      </c>
      <c r="D255" t="inlineStr">
        <is>
          <t>GÄVLEBORGS LÄN</t>
        </is>
      </c>
      <c r="E255" t="inlineStr">
        <is>
          <t>LJUSDAL</t>
        </is>
      </c>
      <c r="F255" t="inlineStr">
        <is>
          <t>Bergvik skog väst AB</t>
        </is>
      </c>
      <c r="G255" t="n">
        <v>11.7</v>
      </c>
      <c r="H255" t="n">
        <v>0</v>
      </c>
      <c r="I255" t="n">
        <v>0</v>
      </c>
      <c r="J255" t="n">
        <v>1</v>
      </c>
      <c r="K255" t="n">
        <v>0</v>
      </c>
      <c r="L255" t="n">
        <v>0</v>
      </c>
      <c r="M255" t="n">
        <v>0</v>
      </c>
      <c r="N255" t="n">
        <v>0</v>
      </c>
      <c r="O255" t="n">
        <v>1</v>
      </c>
      <c r="P255" t="n">
        <v>0</v>
      </c>
      <c r="Q255" t="n">
        <v>1</v>
      </c>
      <c r="R255" s="2" t="inlineStr">
        <is>
          <t>Lunglav</t>
        </is>
      </c>
      <c r="S255">
        <f>HYPERLINK("https://klasma.github.io/Logging_2161/artfynd/A 38105-2025 artfynd.xlsx", "A 38105-2025")</f>
        <v/>
      </c>
      <c r="T255">
        <f>HYPERLINK("https://klasma.github.io/Logging_2161/kartor/A 38105-2025 karta.png", "A 38105-2025")</f>
        <v/>
      </c>
      <c r="V255">
        <f>HYPERLINK("https://klasma.github.io/Logging_2161/klagomål/A 38105-2025 FSC-klagomål.docx", "A 38105-2025")</f>
        <v/>
      </c>
      <c r="W255">
        <f>HYPERLINK("https://klasma.github.io/Logging_2161/klagomålsmail/A 38105-2025 FSC-klagomål mail.docx", "A 38105-2025")</f>
        <v/>
      </c>
      <c r="X255">
        <f>HYPERLINK("https://klasma.github.io/Logging_2161/tillsyn/A 38105-2025 tillsynsbegäran.docx", "A 38105-2025")</f>
        <v/>
      </c>
      <c r="Y255">
        <f>HYPERLINK("https://klasma.github.io/Logging_2161/tillsynsmail/A 38105-2025 tillsynsbegäran mail.docx", "A 38105-2025")</f>
        <v/>
      </c>
    </row>
    <row r="256" ht="15" customHeight="1">
      <c r="A256" t="inlineStr">
        <is>
          <t>A 50315-2025</t>
        </is>
      </c>
      <c r="B256" s="1" t="n">
        <v>45944.44555555555</v>
      </c>
      <c r="C256" s="1" t="n">
        <v>46076</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34974-2024</t>
        </is>
      </c>
      <c r="B257" s="1" t="n">
        <v>45527.54129629629</v>
      </c>
      <c r="C257" s="1" t="n">
        <v>46076</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34974-2024 artfynd.xlsx", "A 34974-2024")</f>
        <v/>
      </c>
      <c r="T257">
        <f>HYPERLINK("https://klasma.github.io/Logging_2161/kartor/A 34974-2024 karta.png", "A 34974-2024")</f>
        <v/>
      </c>
      <c r="V257">
        <f>HYPERLINK("https://klasma.github.io/Logging_2161/klagomål/A 34974-2024 FSC-klagomål.docx", "A 34974-2024")</f>
        <v/>
      </c>
      <c r="W257">
        <f>HYPERLINK("https://klasma.github.io/Logging_2161/klagomålsmail/A 34974-2024 FSC-klagomål mail.docx", "A 34974-2024")</f>
        <v/>
      </c>
      <c r="X257">
        <f>HYPERLINK("https://klasma.github.io/Logging_2161/tillsyn/A 34974-2024 tillsynsbegäran.docx", "A 34974-2024")</f>
        <v/>
      </c>
      <c r="Y257">
        <f>HYPERLINK("https://klasma.github.io/Logging_2161/tillsynsmail/A 34974-2024 tillsynsbegäran mail.docx", "A 34974-2024")</f>
        <v/>
      </c>
    </row>
    <row r="258" ht="15" customHeight="1">
      <c r="A258" t="inlineStr">
        <is>
          <t>A 18734-2024</t>
        </is>
      </c>
      <c r="B258" s="1" t="n">
        <v>45426.48722222223</v>
      </c>
      <c r="C258" s="1" t="n">
        <v>46076</v>
      </c>
      <c r="D258" t="inlineStr">
        <is>
          <t>GÄVLEBORGS LÄN</t>
        </is>
      </c>
      <c r="E258" t="inlineStr">
        <is>
          <t>LJUSDAL</t>
        </is>
      </c>
      <c r="F258" t="inlineStr">
        <is>
          <t>Sveaskog</t>
        </is>
      </c>
      <c r="G258" t="n">
        <v>3.6</v>
      </c>
      <c r="H258" t="n">
        <v>1</v>
      </c>
      <c r="I258" t="n">
        <v>0</v>
      </c>
      <c r="J258" t="n">
        <v>0</v>
      </c>
      <c r="K258" t="n">
        <v>1</v>
      </c>
      <c r="L258" t="n">
        <v>0</v>
      </c>
      <c r="M258" t="n">
        <v>0</v>
      </c>
      <c r="N258" t="n">
        <v>0</v>
      </c>
      <c r="O258" t="n">
        <v>1</v>
      </c>
      <c r="P258" t="n">
        <v>1</v>
      </c>
      <c r="Q258" t="n">
        <v>1</v>
      </c>
      <c r="R258" s="2" t="inlineStr">
        <is>
          <t>Tallbit</t>
        </is>
      </c>
      <c r="S258">
        <f>HYPERLINK("https://klasma.github.io/Logging_2161/artfynd/A 18734-2024 artfynd.xlsx", "A 18734-2024")</f>
        <v/>
      </c>
      <c r="T258">
        <f>HYPERLINK("https://klasma.github.io/Logging_2161/kartor/A 18734-2024 karta.png", "A 18734-2024")</f>
        <v/>
      </c>
      <c r="V258">
        <f>HYPERLINK("https://klasma.github.io/Logging_2161/klagomål/A 18734-2024 FSC-klagomål.docx", "A 18734-2024")</f>
        <v/>
      </c>
      <c r="W258">
        <f>HYPERLINK("https://klasma.github.io/Logging_2161/klagomålsmail/A 18734-2024 FSC-klagomål mail.docx", "A 18734-2024")</f>
        <v/>
      </c>
      <c r="X258">
        <f>HYPERLINK("https://klasma.github.io/Logging_2161/tillsyn/A 18734-2024 tillsynsbegäran.docx", "A 18734-2024")</f>
        <v/>
      </c>
      <c r="Y258">
        <f>HYPERLINK("https://klasma.github.io/Logging_2161/tillsynsmail/A 18734-2024 tillsynsbegäran mail.docx", "A 18734-2024")</f>
        <v/>
      </c>
      <c r="Z258">
        <f>HYPERLINK("https://klasma.github.io/Logging_2161/fåglar/A 18734-2024 prioriterade fågelarter.docx", "A 18734-2024")</f>
        <v/>
      </c>
    </row>
    <row r="259" ht="15" customHeight="1">
      <c r="A259" t="inlineStr">
        <is>
          <t>A 63166-2023</t>
        </is>
      </c>
      <c r="B259" s="1" t="n">
        <v>45273</v>
      </c>
      <c r="C259" s="1" t="n">
        <v>46076</v>
      </c>
      <c r="D259" t="inlineStr">
        <is>
          <t>GÄVLEBORGS LÄN</t>
        </is>
      </c>
      <c r="E259" t="inlineStr">
        <is>
          <t>LJUSDAL</t>
        </is>
      </c>
      <c r="G259" t="n">
        <v>3.1</v>
      </c>
      <c r="H259" t="n">
        <v>0</v>
      </c>
      <c r="I259" t="n">
        <v>0</v>
      </c>
      <c r="J259" t="n">
        <v>1</v>
      </c>
      <c r="K259" t="n">
        <v>0</v>
      </c>
      <c r="L259" t="n">
        <v>0</v>
      </c>
      <c r="M259" t="n">
        <v>0</v>
      </c>
      <c r="N259" t="n">
        <v>0</v>
      </c>
      <c r="O259" t="n">
        <v>1</v>
      </c>
      <c r="P259" t="n">
        <v>0</v>
      </c>
      <c r="Q259" t="n">
        <v>1</v>
      </c>
      <c r="R259" s="2" t="inlineStr">
        <is>
          <t>Tallticka</t>
        </is>
      </c>
      <c r="S259">
        <f>HYPERLINK("https://klasma.github.io/Logging_2161/artfynd/A 63166-2023 artfynd.xlsx", "A 63166-2023")</f>
        <v/>
      </c>
      <c r="T259">
        <f>HYPERLINK("https://klasma.github.io/Logging_2161/kartor/A 63166-2023 karta.png", "A 63166-2023")</f>
        <v/>
      </c>
      <c r="V259">
        <f>HYPERLINK("https://klasma.github.io/Logging_2161/klagomål/A 63166-2023 FSC-klagomål.docx", "A 63166-2023")</f>
        <v/>
      </c>
      <c r="W259">
        <f>HYPERLINK("https://klasma.github.io/Logging_2161/klagomålsmail/A 63166-2023 FSC-klagomål mail.docx", "A 63166-2023")</f>
        <v/>
      </c>
      <c r="X259">
        <f>HYPERLINK("https://klasma.github.io/Logging_2161/tillsyn/A 63166-2023 tillsynsbegäran.docx", "A 63166-2023")</f>
        <v/>
      </c>
      <c r="Y259">
        <f>HYPERLINK("https://klasma.github.io/Logging_2161/tillsynsmail/A 63166-2023 tillsynsbegäran mail.docx", "A 63166-2023")</f>
        <v/>
      </c>
    </row>
    <row r="260" ht="15" customHeight="1">
      <c r="A260" t="inlineStr">
        <is>
          <t>A 55498-2025</t>
        </is>
      </c>
      <c r="B260" s="1" t="n">
        <v>45971.5841087963</v>
      </c>
      <c r="C260" s="1" t="n">
        <v>46076</v>
      </c>
      <c r="D260" t="inlineStr">
        <is>
          <t>GÄVLEBORGS LÄN</t>
        </is>
      </c>
      <c r="E260" t="inlineStr">
        <is>
          <t>LJUSDAL</t>
        </is>
      </c>
      <c r="F260" t="inlineStr">
        <is>
          <t>Sveaskog</t>
        </is>
      </c>
      <c r="G260" t="n">
        <v>22.6</v>
      </c>
      <c r="H260" t="n">
        <v>0</v>
      </c>
      <c r="I260" t="n">
        <v>0</v>
      </c>
      <c r="J260" t="n">
        <v>1</v>
      </c>
      <c r="K260" t="n">
        <v>0</v>
      </c>
      <c r="L260" t="n">
        <v>0</v>
      </c>
      <c r="M260" t="n">
        <v>0</v>
      </c>
      <c r="N260" t="n">
        <v>0</v>
      </c>
      <c r="O260" t="n">
        <v>1</v>
      </c>
      <c r="P260" t="n">
        <v>0</v>
      </c>
      <c r="Q260" t="n">
        <v>1</v>
      </c>
      <c r="R260" s="2" t="inlineStr">
        <is>
          <t>Kolflarnlav</t>
        </is>
      </c>
      <c r="S260">
        <f>HYPERLINK("https://klasma.github.io/Logging_2161/artfynd/A 55498-2025 artfynd.xlsx", "A 55498-2025")</f>
        <v/>
      </c>
      <c r="T260">
        <f>HYPERLINK("https://klasma.github.io/Logging_2161/kartor/A 55498-2025 karta.png", "A 55498-2025")</f>
        <v/>
      </c>
      <c r="V260">
        <f>HYPERLINK("https://klasma.github.io/Logging_2161/klagomål/A 55498-2025 FSC-klagomål.docx", "A 55498-2025")</f>
        <v/>
      </c>
      <c r="W260">
        <f>HYPERLINK("https://klasma.github.io/Logging_2161/klagomålsmail/A 55498-2025 FSC-klagomål mail.docx", "A 55498-2025")</f>
        <v/>
      </c>
      <c r="X260">
        <f>HYPERLINK("https://klasma.github.io/Logging_2161/tillsyn/A 55498-2025 tillsynsbegäran.docx", "A 55498-2025")</f>
        <v/>
      </c>
      <c r="Y260">
        <f>HYPERLINK("https://klasma.github.io/Logging_2161/tillsynsmail/A 55498-2025 tillsynsbegäran mail.docx", "A 55498-2025")</f>
        <v/>
      </c>
    </row>
    <row r="261" ht="15" customHeight="1">
      <c r="A261" t="inlineStr">
        <is>
          <t>A 37088-2024</t>
        </is>
      </c>
      <c r="B261" s="1" t="n">
        <v>45539.49841435185</v>
      </c>
      <c r="C261" s="1" t="n">
        <v>46076</v>
      </c>
      <c r="D261" t="inlineStr">
        <is>
          <t>GÄVLEBORGS LÄN</t>
        </is>
      </c>
      <c r="E261" t="inlineStr">
        <is>
          <t>LJUSDAL</t>
        </is>
      </c>
      <c r="F261" t="inlineStr">
        <is>
          <t>Sveaskog</t>
        </is>
      </c>
      <c r="G261" t="n">
        <v>9.699999999999999</v>
      </c>
      <c r="H261" t="n">
        <v>0</v>
      </c>
      <c r="I261" t="n">
        <v>0</v>
      </c>
      <c r="J261" t="n">
        <v>1</v>
      </c>
      <c r="K261" t="n">
        <v>0</v>
      </c>
      <c r="L261" t="n">
        <v>0</v>
      </c>
      <c r="M261" t="n">
        <v>0</v>
      </c>
      <c r="N261" t="n">
        <v>0</v>
      </c>
      <c r="O261" t="n">
        <v>1</v>
      </c>
      <c r="P261" t="n">
        <v>0</v>
      </c>
      <c r="Q261" t="n">
        <v>1</v>
      </c>
      <c r="R261" s="2" t="inlineStr">
        <is>
          <t>Skrovellav</t>
        </is>
      </c>
      <c r="S261">
        <f>HYPERLINK("https://klasma.github.io/Logging_2161/artfynd/A 37088-2024 artfynd.xlsx", "A 37088-2024")</f>
        <v/>
      </c>
      <c r="T261">
        <f>HYPERLINK("https://klasma.github.io/Logging_2161/kartor/A 37088-2024 karta.png", "A 37088-2024")</f>
        <v/>
      </c>
      <c r="V261">
        <f>HYPERLINK("https://klasma.github.io/Logging_2161/klagomål/A 37088-2024 FSC-klagomål.docx", "A 37088-2024")</f>
        <v/>
      </c>
      <c r="W261">
        <f>HYPERLINK("https://klasma.github.io/Logging_2161/klagomålsmail/A 37088-2024 FSC-klagomål mail.docx", "A 37088-2024")</f>
        <v/>
      </c>
      <c r="X261">
        <f>HYPERLINK("https://klasma.github.io/Logging_2161/tillsyn/A 37088-2024 tillsynsbegäran.docx", "A 37088-2024")</f>
        <v/>
      </c>
      <c r="Y261">
        <f>HYPERLINK("https://klasma.github.io/Logging_2161/tillsynsmail/A 37088-2024 tillsynsbegäran mail.docx", "A 37088-2024")</f>
        <v/>
      </c>
    </row>
    <row r="262" ht="15" customHeight="1">
      <c r="A262" t="inlineStr">
        <is>
          <t>A 34744-2024</t>
        </is>
      </c>
      <c r="B262" s="1" t="n">
        <v>45526.59482638889</v>
      </c>
      <c r="C262" s="1" t="n">
        <v>46076</v>
      </c>
      <c r="D262" t="inlineStr">
        <is>
          <t>GÄVLEBORGS LÄN</t>
        </is>
      </c>
      <c r="E262" t="inlineStr">
        <is>
          <t>LJUSDAL</t>
        </is>
      </c>
      <c r="F262" t="inlineStr">
        <is>
          <t>Sveaskog</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HYPERLINK("https://klasma.github.io/Logging_2161/artfynd/A 34744-2024 artfynd.xlsx", "A 34744-2024")</f>
        <v/>
      </c>
      <c r="T262">
        <f>HYPERLINK("https://klasma.github.io/Logging_2161/kartor/A 34744-2024 karta.png", "A 34744-2024")</f>
        <v/>
      </c>
      <c r="V262">
        <f>HYPERLINK("https://klasma.github.io/Logging_2161/klagomål/A 34744-2024 FSC-klagomål.docx", "A 34744-2024")</f>
        <v/>
      </c>
      <c r="W262">
        <f>HYPERLINK("https://klasma.github.io/Logging_2161/klagomålsmail/A 34744-2024 FSC-klagomål mail.docx", "A 34744-2024")</f>
        <v/>
      </c>
      <c r="X262">
        <f>HYPERLINK("https://klasma.github.io/Logging_2161/tillsyn/A 34744-2024 tillsynsbegäran.docx", "A 34744-2024")</f>
        <v/>
      </c>
      <c r="Y262">
        <f>HYPERLINK("https://klasma.github.io/Logging_2161/tillsynsmail/A 34744-2024 tillsynsbegäran mail.docx", "A 34744-2024")</f>
        <v/>
      </c>
    </row>
    <row r="263" ht="15" customHeight="1">
      <c r="A263" t="inlineStr">
        <is>
          <t>A 56822-2025</t>
        </is>
      </c>
      <c r="B263" s="1" t="n">
        <v>45978.46439814815</v>
      </c>
      <c r="C263" s="1" t="n">
        <v>46076</v>
      </c>
      <c r="D263" t="inlineStr">
        <is>
          <t>GÄVLEBORGS LÄN</t>
        </is>
      </c>
      <c r="E263" t="inlineStr">
        <is>
          <t>LJUSDAL</t>
        </is>
      </c>
      <c r="F263" t="inlineStr">
        <is>
          <t>Allmännings- och besparingsskogar</t>
        </is>
      </c>
      <c r="G263" t="n">
        <v>17.2</v>
      </c>
      <c r="H263" t="n">
        <v>1</v>
      </c>
      <c r="I263" t="n">
        <v>0</v>
      </c>
      <c r="J263" t="n">
        <v>0</v>
      </c>
      <c r="K263" t="n">
        <v>1</v>
      </c>
      <c r="L263" t="n">
        <v>0</v>
      </c>
      <c r="M263" t="n">
        <v>0</v>
      </c>
      <c r="N263" t="n">
        <v>0</v>
      </c>
      <c r="O263" t="n">
        <v>1</v>
      </c>
      <c r="P263" t="n">
        <v>1</v>
      </c>
      <c r="Q263" t="n">
        <v>1</v>
      </c>
      <c r="R263" s="2" t="inlineStr">
        <is>
          <t>Knärot</t>
        </is>
      </c>
      <c r="S263">
        <f>HYPERLINK("https://klasma.github.io/Logging_2161/artfynd/A 56822-2025 artfynd.xlsx", "A 56822-2025")</f>
        <v/>
      </c>
      <c r="T263">
        <f>HYPERLINK("https://klasma.github.io/Logging_2161/kartor/A 56822-2025 karta.png", "A 56822-2025")</f>
        <v/>
      </c>
      <c r="U263">
        <f>HYPERLINK("https://klasma.github.io/Logging_2161/knärot/A 56822-2025 karta knärot.png", "A 56822-2025")</f>
        <v/>
      </c>
      <c r="V263">
        <f>HYPERLINK("https://klasma.github.io/Logging_2161/klagomål/A 56822-2025 FSC-klagomål.docx", "A 56822-2025")</f>
        <v/>
      </c>
      <c r="W263">
        <f>HYPERLINK("https://klasma.github.io/Logging_2161/klagomålsmail/A 56822-2025 FSC-klagomål mail.docx", "A 56822-2025")</f>
        <v/>
      </c>
      <c r="X263">
        <f>HYPERLINK("https://klasma.github.io/Logging_2161/tillsyn/A 56822-2025 tillsynsbegäran.docx", "A 56822-2025")</f>
        <v/>
      </c>
      <c r="Y263">
        <f>HYPERLINK("https://klasma.github.io/Logging_2161/tillsynsmail/A 56822-2025 tillsynsbegäran mail.docx", "A 56822-2025")</f>
        <v/>
      </c>
    </row>
    <row r="264" ht="15" customHeight="1">
      <c r="A264" t="inlineStr">
        <is>
          <t>A 55326-2024</t>
        </is>
      </c>
      <c r="B264" s="1" t="n">
        <v>45621.67460648148</v>
      </c>
      <c r="C264" s="1" t="n">
        <v>46076</v>
      </c>
      <c r="D264" t="inlineStr">
        <is>
          <t>GÄVLEBORGS LÄN</t>
        </is>
      </c>
      <c r="E264" t="inlineStr">
        <is>
          <t>LJUSDAL</t>
        </is>
      </c>
      <c r="G264" t="n">
        <v>11.1</v>
      </c>
      <c r="H264" t="n">
        <v>0</v>
      </c>
      <c r="I264" t="n">
        <v>0</v>
      </c>
      <c r="J264" t="n">
        <v>1</v>
      </c>
      <c r="K264" t="n">
        <v>0</v>
      </c>
      <c r="L264" t="n">
        <v>0</v>
      </c>
      <c r="M264" t="n">
        <v>0</v>
      </c>
      <c r="N264" t="n">
        <v>0</v>
      </c>
      <c r="O264" t="n">
        <v>1</v>
      </c>
      <c r="P264" t="n">
        <v>0</v>
      </c>
      <c r="Q264" t="n">
        <v>1</v>
      </c>
      <c r="R264" s="2" t="inlineStr">
        <is>
          <t>Vedskivlav</t>
        </is>
      </c>
      <c r="S264">
        <f>HYPERLINK("https://klasma.github.io/Logging_2161/artfynd/A 55326-2024 artfynd.xlsx", "A 55326-2024")</f>
        <v/>
      </c>
      <c r="T264">
        <f>HYPERLINK("https://klasma.github.io/Logging_2161/kartor/A 55326-2024 karta.png", "A 55326-2024")</f>
        <v/>
      </c>
      <c r="U264">
        <f>HYPERLINK("https://klasma.github.io/Logging_2161/knärot/A 55326-2024 karta knärot.png", "A 55326-2024")</f>
        <v/>
      </c>
      <c r="V264">
        <f>HYPERLINK("https://klasma.github.io/Logging_2161/klagomål/A 55326-2024 FSC-klagomål.docx", "A 55326-2024")</f>
        <v/>
      </c>
      <c r="W264">
        <f>HYPERLINK("https://klasma.github.io/Logging_2161/klagomålsmail/A 55326-2024 FSC-klagomål mail.docx", "A 55326-2024")</f>
        <v/>
      </c>
      <c r="X264">
        <f>HYPERLINK("https://klasma.github.io/Logging_2161/tillsyn/A 55326-2024 tillsynsbegäran.docx", "A 55326-2024")</f>
        <v/>
      </c>
      <c r="Y264">
        <f>HYPERLINK("https://klasma.github.io/Logging_2161/tillsynsmail/A 55326-2024 tillsynsbegäran mail.docx", "A 55326-2024")</f>
        <v/>
      </c>
    </row>
    <row r="265" ht="15" customHeight="1">
      <c r="A265" t="inlineStr">
        <is>
          <t>A 35080-2023</t>
        </is>
      </c>
      <c r="B265" s="1" t="n">
        <v>45145.42868055555</v>
      </c>
      <c r="C265" s="1" t="n">
        <v>46076</v>
      </c>
      <c r="D265" t="inlineStr">
        <is>
          <t>GÄVLEBORGS LÄN</t>
        </is>
      </c>
      <c r="E265" t="inlineStr">
        <is>
          <t>LJUSDAL</t>
        </is>
      </c>
      <c r="F265" t="inlineStr">
        <is>
          <t>Sveaskog</t>
        </is>
      </c>
      <c r="G265" t="n">
        <v>2.9</v>
      </c>
      <c r="H265" t="n">
        <v>0</v>
      </c>
      <c r="I265" t="n">
        <v>0</v>
      </c>
      <c r="J265" t="n">
        <v>1</v>
      </c>
      <c r="K265" t="n">
        <v>0</v>
      </c>
      <c r="L265" t="n">
        <v>0</v>
      </c>
      <c r="M265" t="n">
        <v>0</v>
      </c>
      <c r="N265" t="n">
        <v>0</v>
      </c>
      <c r="O265" t="n">
        <v>1</v>
      </c>
      <c r="P265" t="n">
        <v>0</v>
      </c>
      <c r="Q265" t="n">
        <v>1</v>
      </c>
      <c r="R265" s="2" t="inlineStr">
        <is>
          <t>Vedflamlav</t>
        </is>
      </c>
      <c r="S265">
        <f>HYPERLINK("https://klasma.github.io/Logging_2161/artfynd/A 35080-2023 artfynd.xlsx", "A 35080-2023")</f>
        <v/>
      </c>
      <c r="T265">
        <f>HYPERLINK("https://klasma.github.io/Logging_2161/kartor/A 35080-2023 karta.png", "A 35080-2023")</f>
        <v/>
      </c>
      <c r="V265">
        <f>HYPERLINK("https://klasma.github.io/Logging_2161/klagomål/A 35080-2023 FSC-klagomål.docx", "A 35080-2023")</f>
        <v/>
      </c>
      <c r="W265">
        <f>HYPERLINK("https://klasma.github.io/Logging_2161/klagomålsmail/A 35080-2023 FSC-klagomål mail.docx", "A 35080-2023")</f>
        <v/>
      </c>
      <c r="X265">
        <f>HYPERLINK("https://klasma.github.io/Logging_2161/tillsyn/A 35080-2023 tillsynsbegäran.docx", "A 35080-2023")</f>
        <v/>
      </c>
      <c r="Y265">
        <f>HYPERLINK("https://klasma.github.io/Logging_2161/tillsynsmail/A 35080-2023 tillsynsbegäran mail.docx", "A 35080-2023")</f>
        <v/>
      </c>
    </row>
    <row r="266" ht="15" customHeight="1">
      <c r="A266" t="inlineStr">
        <is>
          <t>A 59757-2025</t>
        </is>
      </c>
      <c r="B266" s="1" t="n">
        <v>45992.58902777778</v>
      </c>
      <c r="C266" s="1" t="n">
        <v>46076</v>
      </c>
      <c r="D266" t="inlineStr">
        <is>
          <t>GÄVLEBORGS LÄN</t>
        </is>
      </c>
      <c r="E266" t="inlineStr">
        <is>
          <t>LJUSDAL</t>
        </is>
      </c>
      <c r="F266" t="inlineStr">
        <is>
          <t>Allmännings- och besparingsskogar</t>
        </is>
      </c>
      <c r="G266" t="n">
        <v>17.1</v>
      </c>
      <c r="H266" t="n">
        <v>0</v>
      </c>
      <c r="I266" t="n">
        <v>0</v>
      </c>
      <c r="J266" t="n">
        <v>1</v>
      </c>
      <c r="K266" t="n">
        <v>0</v>
      </c>
      <c r="L266" t="n">
        <v>0</v>
      </c>
      <c r="M266" t="n">
        <v>0</v>
      </c>
      <c r="N266" t="n">
        <v>0</v>
      </c>
      <c r="O266" t="n">
        <v>1</v>
      </c>
      <c r="P266" t="n">
        <v>0</v>
      </c>
      <c r="Q266" t="n">
        <v>1</v>
      </c>
      <c r="R266" s="2" t="inlineStr">
        <is>
          <t>Kolflarnlav</t>
        </is>
      </c>
      <c r="S266">
        <f>HYPERLINK("https://klasma.github.io/Logging_2161/artfynd/A 59757-2025 artfynd.xlsx", "A 59757-2025")</f>
        <v/>
      </c>
      <c r="T266">
        <f>HYPERLINK("https://klasma.github.io/Logging_2161/kartor/A 59757-2025 karta.png", "A 59757-2025")</f>
        <v/>
      </c>
      <c r="V266">
        <f>HYPERLINK("https://klasma.github.io/Logging_2161/klagomål/A 59757-2025 FSC-klagomål.docx", "A 59757-2025")</f>
        <v/>
      </c>
      <c r="W266">
        <f>HYPERLINK("https://klasma.github.io/Logging_2161/klagomålsmail/A 59757-2025 FSC-klagomål mail.docx", "A 59757-2025")</f>
        <v/>
      </c>
      <c r="X266">
        <f>HYPERLINK("https://klasma.github.io/Logging_2161/tillsyn/A 59757-2025 tillsynsbegäran.docx", "A 59757-2025")</f>
        <v/>
      </c>
      <c r="Y266">
        <f>HYPERLINK("https://klasma.github.io/Logging_2161/tillsynsmail/A 59757-2025 tillsynsbegäran mail.docx", "A 59757-2025")</f>
        <v/>
      </c>
    </row>
    <row r="267" ht="15" customHeight="1">
      <c r="A267" t="inlineStr">
        <is>
          <t>A 34597-2024</t>
        </is>
      </c>
      <c r="B267" s="1" t="n">
        <v>45526</v>
      </c>
      <c r="C267" s="1" t="n">
        <v>46076</v>
      </c>
      <c r="D267" t="inlineStr">
        <is>
          <t>GÄVLEBORGS LÄN</t>
        </is>
      </c>
      <c r="E267" t="inlineStr">
        <is>
          <t>LJUSDAL</t>
        </is>
      </c>
      <c r="F267" t="inlineStr">
        <is>
          <t>Sveaskog</t>
        </is>
      </c>
      <c r="G267" t="n">
        <v>2.1</v>
      </c>
      <c r="H267" t="n">
        <v>0</v>
      </c>
      <c r="I267" t="n">
        <v>0</v>
      </c>
      <c r="J267" t="n">
        <v>1</v>
      </c>
      <c r="K267" t="n">
        <v>0</v>
      </c>
      <c r="L267" t="n">
        <v>0</v>
      </c>
      <c r="M267" t="n">
        <v>0</v>
      </c>
      <c r="N267" t="n">
        <v>0</v>
      </c>
      <c r="O267" t="n">
        <v>1</v>
      </c>
      <c r="P267" t="n">
        <v>0</v>
      </c>
      <c r="Q267" t="n">
        <v>1</v>
      </c>
      <c r="R267" s="2" t="inlineStr">
        <is>
          <t>Garnlav</t>
        </is>
      </c>
      <c r="S267">
        <f>HYPERLINK("https://klasma.github.io/Logging_2161/artfynd/A 34597-2024 artfynd.xlsx", "A 34597-2024")</f>
        <v/>
      </c>
      <c r="T267">
        <f>HYPERLINK("https://klasma.github.io/Logging_2161/kartor/A 34597-2024 karta.png", "A 34597-2024")</f>
        <v/>
      </c>
      <c r="V267">
        <f>HYPERLINK("https://klasma.github.io/Logging_2161/klagomål/A 34597-2024 FSC-klagomål.docx", "A 34597-2024")</f>
        <v/>
      </c>
      <c r="W267">
        <f>HYPERLINK("https://klasma.github.io/Logging_2161/klagomålsmail/A 34597-2024 FSC-klagomål mail.docx", "A 34597-2024")</f>
        <v/>
      </c>
      <c r="X267">
        <f>HYPERLINK("https://klasma.github.io/Logging_2161/tillsyn/A 34597-2024 tillsynsbegäran.docx", "A 34597-2024")</f>
        <v/>
      </c>
      <c r="Y267">
        <f>HYPERLINK("https://klasma.github.io/Logging_2161/tillsynsmail/A 34597-2024 tillsynsbegäran mail.docx", "A 34597-2024")</f>
        <v/>
      </c>
    </row>
    <row r="268" ht="15" customHeight="1">
      <c r="A268" t="inlineStr">
        <is>
          <t>A 4839-2024</t>
        </is>
      </c>
      <c r="B268" s="1" t="n">
        <v>45329</v>
      </c>
      <c r="C268" s="1" t="n">
        <v>46076</v>
      </c>
      <c r="D268" t="inlineStr">
        <is>
          <t>GÄVLEBORGS LÄN</t>
        </is>
      </c>
      <c r="E268" t="inlineStr">
        <is>
          <t>LJUSDAL</t>
        </is>
      </c>
      <c r="G268" t="n">
        <v>2.5</v>
      </c>
      <c r="H268" t="n">
        <v>1</v>
      </c>
      <c r="I268" t="n">
        <v>0</v>
      </c>
      <c r="J268" t="n">
        <v>1</v>
      </c>
      <c r="K268" t="n">
        <v>0</v>
      </c>
      <c r="L268" t="n">
        <v>0</v>
      </c>
      <c r="M268" t="n">
        <v>0</v>
      </c>
      <c r="N268" t="n">
        <v>0</v>
      </c>
      <c r="O268" t="n">
        <v>1</v>
      </c>
      <c r="P268" t="n">
        <v>0</v>
      </c>
      <c r="Q268" t="n">
        <v>1</v>
      </c>
      <c r="R268" s="2" t="inlineStr">
        <is>
          <t>Ävjepilört</t>
        </is>
      </c>
      <c r="S268">
        <f>HYPERLINK("https://klasma.github.io/Logging_2161/artfynd/A 4839-2024 artfynd.xlsx", "A 4839-2024")</f>
        <v/>
      </c>
      <c r="T268">
        <f>HYPERLINK("https://klasma.github.io/Logging_2161/kartor/A 4839-2024 karta.png", "A 4839-2024")</f>
        <v/>
      </c>
      <c r="V268">
        <f>HYPERLINK("https://klasma.github.io/Logging_2161/klagomål/A 4839-2024 FSC-klagomål.docx", "A 4839-2024")</f>
        <v/>
      </c>
      <c r="W268">
        <f>HYPERLINK("https://klasma.github.io/Logging_2161/klagomålsmail/A 4839-2024 FSC-klagomål mail.docx", "A 4839-2024")</f>
        <v/>
      </c>
      <c r="X268">
        <f>HYPERLINK("https://klasma.github.io/Logging_2161/tillsyn/A 4839-2024 tillsynsbegäran.docx", "A 4839-2024")</f>
        <v/>
      </c>
      <c r="Y268">
        <f>HYPERLINK("https://klasma.github.io/Logging_2161/tillsynsmail/A 4839-2024 tillsynsbegäran mail.docx", "A 4839-2024")</f>
        <v/>
      </c>
    </row>
    <row r="269" ht="15" customHeight="1">
      <c r="A269" t="inlineStr">
        <is>
          <t>A 17435-2025</t>
        </is>
      </c>
      <c r="B269" s="1" t="n">
        <v>45757.41109953704</v>
      </c>
      <c r="C269" s="1" t="n">
        <v>46076</v>
      </c>
      <c r="D269" t="inlineStr">
        <is>
          <t>GÄVLEBORGS LÄN</t>
        </is>
      </c>
      <c r="E269" t="inlineStr">
        <is>
          <t>LJUSDAL</t>
        </is>
      </c>
      <c r="F269" t="inlineStr">
        <is>
          <t>Bergvik skog väst AB</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HYPERLINK("https://klasma.github.io/Logging_2161/artfynd/A 17435-2025 artfynd.xlsx", "A 17435-2025")</f>
        <v/>
      </c>
      <c r="T269">
        <f>HYPERLINK("https://klasma.github.io/Logging_2161/kartor/A 17435-2025 karta.png", "A 17435-2025")</f>
        <v/>
      </c>
      <c r="V269">
        <f>HYPERLINK("https://klasma.github.io/Logging_2161/klagomål/A 17435-2025 FSC-klagomål.docx", "A 17435-2025")</f>
        <v/>
      </c>
      <c r="W269">
        <f>HYPERLINK("https://klasma.github.io/Logging_2161/klagomålsmail/A 17435-2025 FSC-klagomål mail.docx", "A 17435-2025")</f>
        <v/>
      </c>
      <c r="X269">
        <f>HYPERLINK("https://klasma.github.io/Logging_2161/tillsyn/A 17435-2025 tillsynsbegäran.docx", "A 17435-2025")</f>
        <v/>
      </c>
      <c r="Y269">
        <f>HYPERLINK("https://klasma.github.io/Logging_2161/tillsynsmail/A 17435-2025 tillsynsbegäran mail.docx", "A 17435-2025")</f>
        <v/>
      </c>
    </row>
    <row r="270" ht="15" customHeight="1">
      <c r="A270" t="inlineStr">
        <is>
          <t>A 25114-2023</t>
        </is>
      </c>
      <c r="B270" s="1" t="n">
        <v>45086</v>
      </c>
      <c r="C270" s="1" t="n">
        <v>46076</v>
      </c>
      <c r="D270" t="inlineStr">
        <is>
          <t>GÄVLEBORGS LÄN</t>
        </is>
      </c>
      <c r="E270" t="inlineStr">
        <is>
          <t>LJUSDAL</t>
        </is>
      </c>
      <c r="G270" t="n">
        <v>0.9</v>
      </c>
      <c r="H270" t="n">
        <v>0</v>
      </c>
      <c r="I270" t="n">
        <v>1</v>
      </c>
      <c r="J270" t="n">
        <v>0</v>
      </c>
      <c r="K270" t="n">
        <v>0</v>
      </c>
      <c r="L270" t="n">
        <v>0</v>
      </c>
      <c r="M270" t="n">
        <v>0</v>
      </c>
      <c r="N270" t="n">
        <v>0</v>
      </c>
      <c r="O270" t="n">
        <v>0</v>
      </c>
      <c r="P270" t="n">
        <v>0</v>
      </c>
      <c r="Q270" t="n">
        <v>1</v>
      </c>
      <c r="R270" s="2" t="inlineStr">
        <is>
          <t>Vedticka</t>
        </is>
      </c>
      <c r="S270">
        <f>HYPERLINK("https://klasma.github.io/Logging_2161/artfynd/A 25114-2023 artfynd.xlsx", "A 25114-2023")</f>
        <v/>
      </c>
      <c r="T270">
        <f>HYPERLINK("https://klasma.github.io/Logging_2161/kartor/A 25114-2023 karta.png", "A 25114-2023")</f>
        <v/>
      </c>
      <c r="U270">
        <f>HYPERLINK("https://klasma.github.io/Logging_2161/knärot/A 25114-2023 karta knärot.png", "A 25114-2023")</f>
        <v/>
      </c>
      <c r="V270">
        <f>HYPERLINK("https://klasma.github.io/Logging_2161/klagomål/A 25114-2023 FSC-klagomål.docx", "A 25114-2023")</f>
        <v/>
      </c>
      <c r="W270">
        <f>HYPERLINK("https://klasma.github.io/Logging_2161/klagomålsmail/A 25114-2023 FSC-klagomål mail.docx", "A 25114-2023")</f>
        <v/>
      </c>
      <c r="X270">
        <f>HYPERLINK("https://klasma.github.io/Logging_2161/tillsyn/A 25114-2023 tillsynsbegäran.docx", "A 25114-2023")</f>
        <v/>
      </c>
      <c r="Y270">
        <f>HYPERLINK("https://klasma.github.io/Logging_2161/tillsynsmail/A 25114-2023 tillsynsbegäran mail.docx", "A 25114-2023")</f>
        <v/>
      </c>
    </row>
    <row r="271" ht="15" customHeight="1">
      <c r="A271" t="inlineStr">
        <is>
          <t>A 33950-2024</t>
        </is>
      </c>
      <c r="B271" s="1" t="n">
        <v>45523.46476851852</v>
      </c>
      <c r="C271" s="1" t="n">
        <v>46076</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Lunglav</t>
        </is>
      </c>
      <c r="S271">
        <f>HYPERLINK("https://klasma.github.io/Logging_2161/artfynd/A 33950-2024 artfynd.xlsx", "A 33950-2024")</f>
        <v/>
      </c>
      <c r="T271">
        <f>HYPERLINK("https://klasma.github.io/Logging_2161/kartor/A 33950-2024 karta.png", "A 33950-2024")</f>
        <v/>
      </c>
      <c r="V271">
        <f>HYPERLINK("https://klasma.github.io/Logging_2161/klagomål/A 33950-2024 FSC-klagomål.docx", "A 33950-2024")</f>
        <v/>
      </c>
      <c r="W271">
        <f>HYPERLINK("https://klasma.github.io/Logging_2161/klagomålsmail/A 33950-2024 FSC-klagomål mail.docx", "A 33950-2024")</f>
        <v/>
      </c>
      <c r="X271">
        <f>HYPERLINK("https://klasma.github.io/Logging_2161/tillsyn/A 33950-2024 tillsynsbegäran.docx", "A 33950-2024")</f>
        <v/>
      </c>
      <c r="Y271">
        <f>HYPERLINK("https://klasma.github.io/Logging_2161/tillsynsmail/A 33950-2024 tillsynsbegäran mail.docx", "A 33950-2024")</f>
        <v/>
      </c>
    </row>
    <row r="272" ht="15" customHeight="1">
      <c r="A272" t="inlineStr">
        <is>
          <t>A 5063-2026</t>
        </is>
      </c>
      <c r="B272" s="1" t="n">
        <v>46049.48616898148</v>
      </c>
      <c r="C272" s="1" t="n">
        <v>46076</v>
      </c>
      <c r="D272" t="inlineStr">
        <is>
          <t>GÄVLEBORGS LÄN</t>
        </is>
      </c>
      <c r="E272" t="inlineStr">
        <is>
          <t>LJUSDAL</t>
        </is>
      </c>
      <c r="F272" t="inlineStr">
        <is>
          <t>Holmen skog AB</t>
        </is>
      </c>
      <c r="G272" t="n">
        <v>9.5</v>
      </c>
      <c r="H272" t="n">
        <v>1</v>
      </c>
      <c r="I272" t="n">
        <v>1</v>
      </c>
      <c r="J272" t="n">
        <v>0</v>
      </c>
      <c r="K272" t="n">
        <v>0</v>
      </c>
      <c r="L272" t="n">
        <v>0</v>
      </c>
      <c r="M272" t="n">
        <v>0</v>
      </c>
      <c r="N272" t="n">
        <v>0</v>
      </c>
      <c r="O272" t="n">
        <v>0</v>
      </c>
      <c r="P272" t="n">
        <v>0</v>
      </c>
      <c r="Q272" t="n">
        <v>1</v>
      </c>
      <c r="R272" s="2" t="inlineStr">
        <is>
          <t>Plattlummer</t>
        </is>
      </c>
      <c r="S272">
        <f>HYPERLINK("https://klasma.github.io/Logging_2161/artfynd/A 5063-2026 artfynd.xlsx", "A 5063-2026")</f>
        <v/>
      </c>
      <c r="T272">
        <f>HYPERLINK("https://klasma.github.io/Logging_2161/kartor/A 5063-2026 karta.png", "A 5063-2026")</f>
        <v/>
      </c>
      <c r="V272">
        <f>HYPERLINK("https://klasma.github.io/Logging_2161/klagomål/A 5063-2026 FSC-klagomål.docx", "A 5063-2026")</f>
        <v/>
      </c>
      <c r="W272">
        <f>HYPERLINK("https://klasma.github.io/Logging_2161/klagomålsmail/A 5063-2026 FSC-klagomål mail.docx", "A 5063-2026")</f>
        <v/>
      </c>
      <c r="X272">
        <f>HYPERLINK("https://klasma.github.io/Logging_2161/tillsyn/A 5063-2026 tillsynsbegäran.docx", "A 5063-2026")</f>
        <v/>
      </c>
      <c r="Y272">
        <f>HYPERLINK("https://klasma.github.io/Logging_2161/tillsynsmail/A 5063-2026 tillsynsbegäran mail.docx", "A 5063-2026")</f>
        <v/>
      </c>
    </row>
    <row r="273" ht="15" customHeight="1">
      <c r="A273" t="inlineStr">
        <is>
          <t>A 62102-2025</t>
        </is>
      </c>
      <c r="B273" s="1" t="n">
        <v>46006.40692129629</v>
      </c>
      <c r="C273" s="1" t="n">
        <v>46076</v>
      </c>
      <c r="D273" t="inlineStr">
        <is>
          <t>GÄVLEBORGS LÄN</t>
        </is>
      </c>
      <c r="E273" t="inlineStr">
        <is>
          <t>LJUSDAL</t>
        </is>
      </c>
      <c r="F273" t="inlineStr">
        <is>
          <t>SCA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HYPERLINK("https://klasma.github.io/Logging_2161/artfynd/A 62102-2025 artfynd.xlsx", "A 62102-2025")</f>
        <v/>
      </c>
      <c r="T273">
        <f>HYPERLINK("https://klasma.github.io/Logging_2161/kartor/A 62102-2025 karta.png", "A 62102-2025")</f>
        <v/>
      </c>
      <c r="V273">
        <f>HYPERLINK("https://klasma.github.io/Logging_2161/klagomål/A 62102-2025 FSC-klagomål.docx", "A 62102-2025")</f>
        <v/>
      </c>
      <c r="W273">
        <f>HYPERLINK("https://klasma.github.io/Logging_2161/klagomålsmail/A 62102-2025 FSC-klagomål mail.docx", "A 62102-2025")</f>
        <v/>
      </c>
      <c r="X273">
        <f>HYPERLINK("https://klasma.github.io/Logging_2161/tillsyn/A 62102-2025 tillsynsbegäran.docx", "A 62102-2025")</f>
        <v/>
      </c>
      <c r="Y273">
        <f>HYPERLINK("https://klasma.github.io/Logging_2161/tillsynsmail/A 62102-2025 tillsynsbegäran mail.docx", "A 62102-2025")</f>
        <v/>
      </c>
    </row>
    <row r="274" ht="15" customHeight="1">
      <c r="A274" t="inlineStr">
        <is>
          <t>A 32171-2023</t>
        </is>
      </c>
      <c r="B274" s="1" t="n">
        <v>45107</v>
      </c>
      <c r="C274" s="1" t="n">
        <v>46076</v>
      </c>
      <c r="D274" t="inlineStr">
        <is>
          <t>GÄVLEBORGS LÄN</t>
        </is>
      </c>
      <c r="E274" t="inlineStr">
        <is>
          <t>LJUSDAL</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HYPERLINK("https://klasma.github.io/Logging_2161/artfynd/A 32171-2023 artfynd.xlsx", "A 32171-2023")</f>
        <v/>
      </c>
      <c r="T274">
        <f>HYPERLINK("https://klasma.github.io/Logging_2161/kartor/A 32171-2023 karta.png", "A 32171-2023")</f>
        <v/>
      </c>
      <c r="V274">
        <f>HYPERLINK("https://klasma.github.io/Logging_2161/klagomål/A 32171-2023 FSC-klagomål.docx", "A 32171-2023")</f>
        <v/>
      </c>
      <c r="W274">
        <f>HYPERLINK("https://klasma.github.io/Logging_2161/klagomålsmail/A 32171-2023 FSC-klagomål mail.docx", "A 32171-2023")</f>
        <v/>
      </c>
      <c r="X274">
        <f>HYPERLINK("https://klasma.github.io/Logging_2161/tillsyn/A 32171-2023 tillsynsbegäran.docx", "A 32171-2023")</f>
        <v/>
      </c>
      <c r="Y274">
        <f>HYPERLINK("https://klasma.github.io/Logging_2161/tillsynsmail/A 32171-2023 tillsynsbegäran mail.docx", "A 32171-2023")</f>
        <v/>
      </c>
      <c r="Z274">
        <f>HYPERLINK("https://klasma.github.io/Logging_2161/fåglar/A 32171-2023 prioriterade fågelarter.docx", "A 32171-2023")</f>
        <v/>
      </c>
    </row>
    <row r="275" ht="15" customHeight="1">
      <c r="A275" t="inlineStr">
        <is>
          <t>A 7148-2023</t>
        </is>
      </c>
      <c r="B275" s="1" t="n">
        <v>44970.45804398148</v>
      </c>
      <c r="C275" s="1" t="n">
        <v>46076</v>
      </c>
      <c r="D275" t="inlineStr">
        <is>
          <t>GÄVLEBORGS LÄN</t>
        </is>
      </c>
      <c r="E275" t="inlineStr">
        <is>
          <t>LJUSDAL</t>
        </is>
      </c>
      <c r="F275" t="inlineStr">
        <is>
          <t>Holmen skog AB</t>
        </is>
      </c>
      <c r="G275" t="n">
        <v>4.9</v>
      </c>
      <c r="H275" t="n">
        <v>0</v>
      </c>
      <c r="I275" t="n">
        <v>1</v>
      </c>
      <c r="J275" t="n">
        <v>0</v>
      </c>
      <c r="K275" t="n">
        <v>0</v>
      </c>
      <c r="L275" t="n">
        <v>0</v>
      </c>
      <c r="M275" t="n">
        <v>0</v>
      </c>
      <c r="N275" t="n">
        <v>0</v>
      </c>
      <c r="O275" t="n">
        <v>0</v>
      </c>
      <c r="P275" t="n">
        <v>0</v>
      </c>
      <c r="Q275" t="n">
        <v>1</v>
      </c>
      <c r="R275" s="2" t="inlineStr">
        <is>
          <t>Vedticka</t>
        </is>
      </c>
      <c r="S275">
        <f>HYPERLINK("https://klasma.github.io/Logging_2161/artfynd/A 7148-2023 artfynd.xlsx", "A 7148-2023")</f>
        <v/>
      </c>
      <c r="T275">
        <f>HYPERLINK("https://klasma.github.io/Logging_2161/kartor/A 7148-2023 karta.png", "A 7148-2023")</f>
        <v/>
      </c>
      <c r="V275">
        <f>HYPERLINK("https://klasma.github.io/Logging_2161/klagomål/A 7148-2023 FSC-klagomål.docx", "A 7148-2023")</f>
        <v/>
      </c>
      <c r="W275">
        <f>HYPERLINK("https://klasma.github.io/Logging_2161/klagomålsmail/A 7148-2023 FSC-klagomål mail.docx", "A 7148-2023")</f>
        <v/>
      </c>
      <c r="X275">
        <f>HYPERLINK("https://klasma.github.io/Logging_2161/tillsyn/A 7148-2023 tillsynsbegäran.docx", "A 7148-2023")</f>
        <v/>
      </c>
      <c r="Y275">
        <f>HYPERLINK("https://klasma.github.io/Logging_2161/tillsynsmail/A 7148-2023 tillsynsbegäran mail.docx", "A 7148-2023")</f>
        <v/>
      </c>
    </row>
    <row r="276" ht="15" customHeight="1">
      <c r="A276" t="inlineStr">
        <is>
          <t>A 51232-2023</t>
        </is>
      </c>
      <c r="B276" s="1" t="n">
        <v>45219.4621412037</v>
      </c>
      <c r="C276" s="1" t="n">
        <v>46076</v>
      </c>
      <c r="D276" t="inlineStr">
        <is>
          <t>GÄVLEBORGS LÄN</t>
        </is>
      </c>
      <c r="E276" t="inlineStr">
        <is>
          <t>LJUSDAL</t>
        </is>
      </c>
      <c r="F276" t="inlineStr">
        <is>
          <t>Sveaskog</t>
        </is>
      </c>
      <c r="G276" t="n">
        <v>1.9</v>
      </c>
      <c r="H276" t="n">
        <v>0</v>
      </c>
      <c r="I276" t="n">
        <v>0</v>
      </c>
      <c r="J276" t="n">
        <v>1</v>
      </c>
      <c r="K276" t="n">
        <v>0</v>
      </c>
      <c r="L276" t="n">
        <v>0</v>
      </c>
      <c r="M276" t="n">
        <v>0</v>
      </c>
      <c r="N276" t="n">
        <v>0</v>
      </c>
      <c r="O276" t="n">
        <v>1</v>
      </c>
      <c r="P276" t="n">
        <v>0</v>
      </c>
      <c r="Q276" t="n">
        <v>1</v>
      </c>
      <c r="R276" s="2" t="inlineStr">
        <is>
          <t>Lunglav</t>
        </is>
      </c>
      <c r="S276">
        <f>HYPERLINK("https://klasma.github.io/Logging_2161/artfynd/A 51232-2023 artfynd.xlsx", "A 51232-2023")</f>
        <v/>
      </c>
      <c r="T276">
        <f>HYPERLINK("https://klasma.github.io/Logging_2161/kartor/A 51232-2023 karta.png", "A 51232-2023")</f>
        <v/>
      </c>
      <c r="V276">
        <f>HYPERLINK("https://klasma.github.io/Logging_2161/klagomål/A 51232-2023 FSC-klagomål.docx", "A 51232-2023")</f>
        <v/>
      </c>
      <c r="W276">
        <f>HYPERLINK("https://klasma.github.io/Logging_2161/klagomålsmail/A 51232-2023 FSC-klagomål mail.docx", "A 51232-2023")</f>
        <v/>
      </c>
      <c r="X276">
        <f>HYPERLINK("https://klasma.github.io/Logging_2161/tillsyn/A 51232-2023 tillsynsbegäran.docx", "A 51232-2023")</f>
        <v/>
      </c>
      <c r="Y276">
        <f>HYPERLINK("https://klasma.github.io/Logging_2161/tillsynsmail/A 51232-2023 tillsynsbegäran mail.docx", "A 51232-2023")</f>
        <v/>
      </c>
    </row>
    <row r="277" ht="15" customHeight="1">
      <c r="A277" t="inlineStr">
        <is>
          <t>A 23644-2024</t>
        </is>
      </c>
      <c r="B277" s="1" t="n">
        <v>45454</v>
      </c>
      <c r="C277" s="1" t="n">
        <v>46076</v>
      </c>
      <c r="D277" t="inlineStr">
        <is>
          <t>GÄVLEBORGS LÄN</t>
        </is>
      </c>
      <c r="E277" t="inlineStr">
        <is>
          <t>LJUSDAL</t>
        </is>
      </c>
      <c r="F277" t="inlineStr">
        <is>
          <t>Sveaskog</t>
        </is>
      </c>
      <c r="G277" t="n">
        <v>26.6</v>
      </c>
      <c r="H277" t="n">
        <v>0</v>
      </c>
      <c r="I277" t="n">
        <v>0</v>
      </c>
      <c r="J277" t="n">
        <v>1</v>
      </c>
      <c r="K277" t="n">
        <v>0</v>
      </c>
      <c r="L277" t="n">
        <v>0</v>
      </c>
      <c r="M277" t="n">
        <v>0</v>
      </c>
      <c r="N277" t="n">
        <v>0</v>
      </c>
      <c r="O277" t="n">
        <v>1</v>
      </c>
      <c r="P277" t="n">
        <v>0</v>
      </c>
      <c r="Q277" t="n">
        <v>1</v>
      </c>
      <c r="R277" s="2" t="inlineStr">
        <is>
          <t>Kolflarnlav</t>
        </is>
      </c>
      <c r="S277">
        <f>HYPERLINK("https://klasma.github.io/Logging_2161/artfynd/A 23644-2024 artfynd.xlsx", "A 23644-2024")</f>
        <v/>
      </c>
      <c r="T277">
        <f>HYPERLINK("https://klasma.github.io/Logging_2161/kartor/A 23644-2024 karta.png", "A 23644-2024")</f>
        <v/>
      </c>
      <c r="V277">
        <f>HYPERLINK("https://klasma.github.io/Logging_2161/klagomål/A 23644-2024 FSC-klagomål.docx", "A 23644-2024")</f>
        <v/>
      </c>
      <c r="W277">
        <f>HYPERLINK("https://klasma.github.io/Logging_2161/klagomålsmail/A 23644-2024 FSC-klagomål mail.docx", "A 23644-2024")</f>
        <v/>
      </c>
      <c r="X277">
        <f>HYPERLINK("https://klasma.github.io/Logging_2161/tillsyn/A 23644-2024 tillsynsbegäran.docx", "A 23644-2024")</f>
        <v/>
      </c>
      <c r="Y277">
        <f>HYPERLINK("https://klasma.github.io/Logging_2161/tillsynsmail/A 23644-2024 tillsynsbegäran mail.docx", "A 23644-2024")</f>
        <v/>
      </c>
    </row>
    <row r="278" ht="15" customHeight="1">
      <c r="A278" t="inlineStr">
        <is>
          <t>A 24831-2024</t>
        </is>
      </c>
      <c r="B278" s="1" t="n">
        <v>45461.37734953704</v>
      </c>
      <c r="C278" s="1" t="n">
        <v>46076</v>
      </c>
      <c r="D278" t="inlineStr">
        <is>
          <t>GÄVLEBORGS LÄN</t>
        </is>
      </c>
      <c r="E278" t="inlineStr">
        <is>
          <t>LJUSDAL</t>
        </is>
      </c>
      <c r="G278" t="n">
        <v>4.9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24831-2024 artfynd.xlsx", "A 24831-2024")</f>
        <v/>
      </c>
      <c r="T278">
        <f>HYPERLINK("https://klasma.github.io/Logging_2161/kartor/A 24831-2024 karta.png", "A 24831-2024")</f>
        <v/>
      </c>
      <c r="V278">
        <f>HYPERLINK("https://klasma.github.io/Logging_2161/klagomål/A 24831-2024 FSC-klagomål.docx", "A 24831-2024")</f>
        <v/>
      </c>
      <c r="W278">
        <f>HYPERLINK("https://klasma.github.io/Logging_2161/klagomålsmail/A 24831-2024 FSC-klagomål mail.docx", "A 24831-2024")</f>
        <v/>
      </c>
      <c r="X278">
        <f>HYPERLINK("https://klasma.github.io/Logging_2161/tillsyn/A 24831-2024 tillsynsbegäran.docx", "A 24831-2024")</f>
        <v/>
      </c>
      <c r="Y278">
        <f>HYPERLINK("https://klasma.github.io/Logging_2161/tillsynsmail/A 24831-2024 tillsynsbegäran mail.docx", "A 24831-2024")</f>
        <v/>
      </c>
    </row>
    <row r="279" ht="15" customHeight="1">
      <c r="A279" t="inlineStr">
        <is>
          <t>A 34235-2024</t>
        </is>
      </c>
      <c r="B279" s="1" t="n">
        <v>45524.56763888889</v>
      </c>
      <c r="C279" s="1" t="n">
        <v>46076</v>
      </c>
      <c r="D279" t="inlineStr">
        <is>
          <t>GÄVLEBORGS LÄN</t>
        </is>
      </c>
      <c r="E279" t="inlineStr">
        <is>
          <t>LJUSDAL</t>
        </is>
      </c>
      <c r="F279" t="inlineStr">
        <is>
          <t>Sveaskog</t>
        </is>
      </c>
      <c r="G279" t="n">
        <v>3.5</v>
      </c>
      <c r="H279" t="n">
        <v>1</v>
      </c>
      <c r="I279" t="n">
        <v>1</v>
      </c>
      <c r="J279" t="n">
        <v>0</v>
      </c>
      <c r="K279" t="n">
        <v>0</v>
      </c>
      <c r="L279" t="n">
        <v>0</v>
      </c>
      <c r="M279" t="n">
        <v>0</v>
      </c>
      <c r="N279" t="n">
        <v>0</v>
      </c>
      <c r="O279" t="n">
        <v>0</v>
      </c>
      <c r="P279" t="n">
        <v>0</v>
      </c>
      <c r="Q279" t="n">
        <v>1</v>
      </c>
      <c r="R279" s="2" t="inlineStr">
        <is>
          <t>Plattlummer</t>
        </is>
      </c>
      <c r="S279">
        <f>HYPERLINK("https://klasma.github.io/Logging_2161/artfynd/A 34235-2024 artfynd.xlsx", "A 34235-2024")</f>
        <v/>
      </c>
      <c r="T279">
        <f>HYPERLINK("https://klasma.github.io/Logging_2161/kartor/A 34235-2024 karta.png", "A 34235-2024")</f>
        <v/>
      </c>
      <c r="V279">
        <f>HYPERLINK("https://klasma.github.io/Logging_2161/klagomål/A 34235-2024 FSC-klagomål.docx", "A 34235-2024")</f>
        <v/>
      </c>
      <c r="W279">
        <f>HYPERLINK("https://klasma.github.io/Logging_2161/klagomålsmail/A 34235-2024 FSC-klagomål mail.docx", "A 34235-2024")</f>
        <v/>
      </c>
      <c r="X279">
        <f>HYPERLINK("https://klasma.github.io/Logging_2161/tillsyn/A 34235-2024 tillsynsbegäran.docx", "A 34235-2024")</f>
        <v/>
      </c>
      <c r="Y279">
        <f>HYPERLINK("https://klasma.github.io/Logging_2161/tillsynsmail/A 34235-2024 tillsynsbegäran mail.docx", "A 34235-2024")</f>
        <v/>
      </c>
    </row>
    <row r="280" ht="15" customHeight="1">
      <c r="A280" t="inlineStr">
        <is>
          <t>A 4696-2023</t>
        </is>
      </c>
      <c r="B280" s="1" t="n">
        <v>44957.47362268518</v>
      </c>
      <c r="C280" s="1" t="n">
        <v>46076</v>
      </c>
      <c r="D280" t="inlineStr">
        <is>
          <t>GÄVLEBORGS LÄN</t>
        </is>
      </c>
      <c r="E280" t="inlineStr">
        <is>
          <t>LJUSDAL</t>
        </is>
      </c>
      <c r="F280" t="inlineStr">
        <is>
          <t>Holmen skog AB</t>
        </is>
      </c>
      <c r="G280" t="n">
        <v>7.3</v>
      </c>
      <c r="H280" t="n">
        <v>0</v>
      </c>
      <c r="I280" t="n">
        <v>1</v>
      </c>
      <c r="J280" t="n">
        <v>0</v>
      </c>
      <c r="K280" t="n">
        <v>0</v>
      </c>
      <c r="L280" t="n">
        <v>0</v>
      </c>
      <c r="M280" t="n">
        <v>0</v>
      </c>
      <c r="N280" t="n">
        <v>0</v>
      </c>
      <c r="O280" t="n">
        <v>0</v>
      </c>
      <c r="P280" t="n">
        <v>0</v>
      </c>
      <c r="Q280" t="n">
        <v>1</v>
      </c>
      <c r="R280" s="2" t="inlineStr">
        <is>
          <t>Vedticka</t>
        </is>
      </c>
      <c r="S280">
        <f>HYPERLINK("https://klasma.github.io/Logging_2161/artfynd/A 4696-2023 artfynd.xlsx", "A 4696-2023")</f>
        <v/>
      </c>
      <c r="T280">
        <f>HYPERLINK("https://klasma.github.io/Logging_2161/kartor/A 4696-2023 karta.png", "A 4696-2023")</f>
        <v/>
      </c>
      <c r="V280">
        <f>HYPERLINK("https://klasma.github.io/Logging_2161/klagomål/A 4696-2023 FSC-klagomål.docx", "A 4696-2023")</f>
        <v/>
      </c>
      <c r="W280">
        <f>HYPERLINK("https://klasma.github.io/Logging_2161/klagomålsmail/A 4696-2023 FSC-klagomål mail.docx", "A 4696-2023")</f>
        <v/>
      </c>
      <c r="X280">
        <f>HYPERLINK("https://klasma.github.io/Logging_2161/tillsyn/A 4696-2023 tillsynsbegäran.docx", "A 4696-2023")</f>
        <v/>
      </c>
      <c r="Y280">
        <f>HYPERLINK("https://klasma.github.io/Logging_2161/tillsynsmail/A 4696-2023 tillsynsbegäran mail.docx", "A 4696-2023")</f>
        <v/>
      </c>
    </row>
    <row r="281" ht="15" customHeight="1">
      <c r="A281" t="inlineStr">
        <is>
          <t>A 37090-2024</t>
        </is>
      </c>
      <c r="B281" s="1" t="n">
        <v>45539.49916666667</v>
      </c>
      <c r="C281" s="1" t="n">
        <v>46076</v>
      </c>
      <c r="D281" t="inlineStr">
        <is>
          <t>GÄVLEBORGS LÄN</t>
        </is>
      </c>
      <c r="E281" t="inlineStr">
        <is>
          <t>LJUSDAL</t>
        </is>
      </c>
      <c r="F281" t="inlineStr">
        <is>
          <t>Sveaskog</t>
        </is>
      </c>
      <c r="G281" t="n">
        <v>2.6</v>
      </c>
      <c r="H281" t="n">
        <v>0</v>
      </c>
      <c r="I281" t="n">
        <v>0</v>
      </c>
      <c r="J281" t="n">
        <v>1</v>
      </c>
      <c r="K281" t="n">
        <v>0</v>
      </c>
      <c r="L281" t="n">
        <v>0</v>
      </c>
      <c r="M281" t="n">
        <v>0</v>
      </c>
      <c r="N281" t="n">
        <v>0</v>
      </c>
      <c r="O281" t="n">
        <v>1</v>
      </c>
      <c r="P281" t="n">
        <v>0</v>
      </c>
      <c r="Q281" t="n">
        <v>1</v>
      </c>
      <c r="R281" s="2" t="inlineStr">
        <is>
          <t>Skrovellav</t>
        </is>
      </c>
      <c r="S281">
        <f>HYPERLINK("https://klasma.github.io/Logging_2161/artfynd/A 37090-2024 artfynd.xlsx", "A 37090-2024")</f>
        <v/>
      </c>
      <c r="T281">
        <f>HYPERLINK("https://klasma.github.io/Logging_2161/kartor/A 37090-2024 karta.png", "A 37090-2024")</f>
        <v/>
      </c>
      <c r="V281">
        <f>HYPERLINK("https://klasma.github.io/Logging_2161/klagomål/A 37090-2024 FSC-klagomål.docx", "A 37090-2024")</f>
        <v/>
      </c>
      <c r="W281">
        <f>HYPERLINK("https://klasma.github.io/Logging_2161/klagomålsmail/A 37090-2024 FSC-klagomål mail.docx", "A 37090-2024")</f>
        <v/>
      </c>
      <c r="X281">
        <f>HYPERLINK("https://klasma.github.io/Logging_2161/tillsyn/A 37090-2024 tillsynsbegäran.docx", "A 37090-2024")</f>
        <v/>
      </c>
      <c r="Y281">
        <f>HYPERLINK("https://klasma.github.io/Logging_2161/tillsynsmail/A 37090-2024 tillsynsbegäran mail.docx", "A 37090-2024")</f>
        <v/>
      </c>
    </row>
    <row r="282" ht="15" customHeight="1">
      <c r="A282" t="inlineStr">
        <is>
          <t>A 25490-2021</t>
        </is>
      </c>
      <c r="B282" s="1" t="n">
        <v>44342</v>
      </c>
      <c r="C282" s="1" t="n">
        <v>46076</v>
      </c>
      <c r="D282" t="inlineStr">
        <is>
          <t>GÄVLEBORGS LÄN</t>
        </is>
      </c>
      <c r="E282" t="inlineStr">
        <is>
          <t>LJUSDAL</t>
        </is>
      </c>
      <c r="G282" t="n">
        <v>6.3</v>
      </c>
      <c r="H282" t="n">
        <v>1</v>
      </c>
      <c r="I282" t="n">
        <v>0</v>
      </c>
      <c r="J282" t="n">
        <v>1</v>
      </c>
      <c r="K282" t="n">
        <v>0</v>
      </c>
      <c r="L282" t="n">
        <v>0</v>
      </c>
      <c r="M282" t="n">
        <v>0</v>
      </c>
      <c r="N282" t="n">
        <v>0</v>
      </c>
      <c r="O282" t="n">
        <v>1</v>
      </c>
      <c r="P282" t="n">
        <v>0</v>
      </c>
      <c r="Q282" t="n">
        <v>1</v>
      </c>
      <c r="R282" s="2" t="inlineStr">
        <is>
          <t>Tretåig hackspett</t>
        </is>
      </c>
      <c r="S282">
        <f>HYPERLINK("https://klasma.github.io/Logging_2161/artfynd/A 25490-2021 artfynd.xlsx", "A 25490-2021")</f>
        <v/>
      </c>
      <c r="T282">
        <f>HYPERLINK("https://klasma.github.io/Logging_2161/kartor/A 25490-2021 karta.png", "A 25490-2021")</f>
        <v/>
      </c>
      <c r="U282">
        <f>HYPERLINK("https://klasma.github.io/Logging_2161/knärot/A 25490-2021 karta knärot.png", "A 25490-2021")</f>
        <v/>
      </c>
      <c r="V282">
        <f>HYPERLINK("https://klasma.github.io/Logging_2161/klagomål/A 25490-2021 FSC-klagomål.docx", "A 25490-2021")</f>
        <v/>
      </c>
      <c r="W282">
        <f>HYPERLINK("https://klasma.github.io/Logging_2161/klagomålsmail/A 25490-2021 FSC-klagomål mail.docx", "A 25490-2021")</f>
        <v/>
      </c>
      <c r="X282">
        <f>HYPERLINK("https://klasma.github.io/Logging_2161/tillsyn/A 25490-2021 tillsynsbegäran.docx", "A 25490-2021")</f>
        <v/>
      </c>
      <c r="Y282">
        <f>HYPERLINK("https://klasma.github.io/Logging_2161/tillsynsmail/A 25490-2021 tillsynsbegäran mail.docx", "A 25490-2021")</f>
        <v/>
      </c>
      <c r="Z282">
        <f>HYPERLINK("https://klasma.github.io/Logging_2161/fåglar/A 25490-2021 prioriterade fågelarter.docx", "A 25490-2021")</f>
        <v/>
      </c>
    </row>
    <row r="283" ht="15" customHeight="1">
      <c r="A283" t="inlineStr">
        <is>
          <t>A 26526-2023</t>
        </is>
      </c>
      <c r="B283" s="1" t="n">
        <v>45092.56519675926</v>
      </c>
      <c r="C283" s="1" t="n">
        <v>46076</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Kolflarnlav</t>
        </is>
      </c>
      <c r="S283">
        <f>HYPERLINK("https://klasma.github.io/Logging_2161/artfynd/A 26526-2023 artfynd.xlsx", "A 26526-2023")</f>
        <v/>
      </c>
      <c r="T283">
        <f>HYPERLINK("https://klasma.github.io/Logging_2161/kartor/A 26526-2023 karta.png", "A 26526-2023")</f>
        <v/>
      </c>
      <c r="V283">
        <f>HYPERLINK("https://klasma.github.io/Logging_2161/klagomål/A 26526-2023 FSC-klagomål.docx", "A 26526-2023")</f>
        <v/>
      </c>
      <c r="W283">
        <f>HYPERLINK("https://klasma.github.io/Logging_2161/klagomålsmail/A 26526-2023 FSC-klagomål mail.docx", "A 26526-2023")</f>
        <v/>
      </c>
      <c r="X283">
        <f>HYPERLINK("https://klasma.github.io/Logging_2161/tillsyn/A 26526-2023 tillsynsbegäran.docx", "A 26526-2023")</f>
        <v/>
      </c>
      <c r="Y283">
        <f>HYPERLINK("https://klasma.github.io/Logging_2161/tillsynsmail/A 26526-2023 tillsynsbegäran mail.docx", "A 26526-2023")</f>
        <v/>
      </c>
    </row>
    <row r="284" ht="15" customHeight="1">
      <c r="A284" t="inlineStr">
        <is>
          <t>A 53858-2023</t>
        </is>
      </c>
      <c r="B284" s="1" t="n">
        <v>45231</v>
      </c>
      <c r="C284" s="1" t="n">
        <v>46076</v>
      </c>
      <c r="D284" t="inlineStr">
        <is>
          <t>GÄVLEBORGS LÄN</t>
        </is>
      </c>
      <c r="E284" t="inlineStr">
        <is>
          <t>LJUSDAL</t>
        </is>
      </c>
      <c r="F284" t="inlineStr">
        <is>
          <t>Allmännings- och besparingsskogar</t>
        </is>
      </c>
      <c r="G284" t="n">
        <v>2.3</v>
      </c>
      <c r="H284" t="n">
        <v>1</v>
      </c>
      <c r="I284" t="n">
        <v>0</v>
      </c>
      <c r="J284" t="n">
        <v>0</v>
      </c>
      <c r="K284" t="n">
        <v>1</v>
      </c>
      <c r="L284" t="n">
        <v>0</v>
      </c>
      <c r="M284" t="n">
        <v>0</v>
      </c>
      <c r="N284" t="n">
        <v>0</v>
      </c>
      <c r="O284" t="n">
        <v>1</v>
      </c>
      <c r="P284" t="n">
        <v>1</v>
      </c>
      <c r="Q284" t="n">
        <v>1</v>
      </c>
      <c r="R284" s="2" t="inlineStr">
        <is>
          <t>Mellanlummer</t>
        </is>
      </c>
      <c r="S284">
        <f>HYPERLINK("https://klasma.github.io/Logging_2161/artfynd/A 53858-2023 artfynd.xlsx", "A 53858-2023")</f>
        <v/>
      </c>
      <c r="T284">
        <f>HYPERLINK("https://klasma.github.io/Logging_2161/kartor/A 53858-2023 karta.png", "A 53858-2023")</f>
        <v/>
      </c>
      <c r="V284">
        <f>HYPERLINK("https://klasma.github.io/Logging_2161/klagomål/A 53858-2023 FSC-klagomål.docx", "A 53858-2023")</f>
        <v/>
      </c>
      <c r="W284">
        <f>HYPERLINK("https://klasma.github.io/Logging_2161/klagomålsmail/A 53858-2023 FSC-klagomål mail.docx", "A 53858-2023")</f>
        <v/>
      </c>
      <c r="X284">
        <f>HYPERLINK("https://klasma.github.io/Logging_2161/tillsyn/A 53858-2023 tillsynsbegäran.docx", "A 53858-2023")</f>
        <v/>
      </c>
      <c r="Y284">
        <f>HYPERLINK("https://klasma.github.io/Logging_2161/tillsynsmail/A 53858-2023 tillsynsbegäran mail.docx", "A 53858-2023")</f>
        <v/>
      </c>
    </row>
    <row r="285" ht="15" customHeight="1">
      <c r="A285" t="inlineStr">
        <is>
          <t>A 21900-2024</t>
        </is>
      </c>
      <c r="B285" s="1" t="n">
        <v>45443.40680555555</v>
      </c>
      <c r="C285" s="1" t="n">
        <v>46076</v>
      </c>
      <c r="D285" t="inlineStr">
        <is>
          <t>GÄVLEBORGS LÄN</t>
        </is>
      </c>
      <c r="E285" t="inlineStr">
        <is>
          <t>LJUSDAL</t>
        </is>
      </c>
      <c r="F285" t="inlineStr">
        <is>
          <t>Sveaskog</t>
        </is>
      </c>
      <c r="G285" t="n">
        <v>1.6</v>
      </c>
      <c r="H285" t="n">
        <v>0</v>
      </c>
      <c r="I285" t="n">
        <v>0</v>
      </c>
      <c r="J285" t="n">
        <v>1</v>
      </c>
      <c r="K285" t="n">
        <v>0</v>
      </c>
      <c r="L285" t="n">
        <v>0</v>
      </c>
      <c r="M285" t="n">
        <v>0</v>
      </c>
      <c r="N285" t="n">
        <v>0</v>
      </c>
      <c r="O285" t="n">
        <v>1</v>
      </c>
      <c r="P285" t="n">
        <v>0</v>
      </c>
      <c r="Q285" t="n">
        <v>1</v>
      </c>
      <c r="R285" s="2" t="inlineStr">
        <is>
          <t>Lunglav</t>
        </is>
      </c>
      <c r="S285">
        <f>HYPERLINK("https://klasma.github.io/Logging_2161/artfynd/A 21900-2024 artfynd.xlsx", "A 21900-2024")</f>
        <v/>
      </c>
      <c r="T285">
        <f>HYPERLINK("https://klasma.github.io/Logging_2161/kartor/A 21900-2024 karta.png", "A 21900-2024")</f>
        <v/>
      </c>
      <c r="U285">
        <f>HYPERLINK("https://klasma.github.io/Logging_2161/knärot/A 21900-2024 karta knärot.png", "A 21900-2024")</f>
        <v/>
      </c>
      <c r="V285">
        <f>HYPERLINK("https://klasma.github.io/Logging_2161/klagomål/A 21900-2024 FSC-klagomål.docx", "A 21900-2024")</f>
        <v/>
      </c>
      <c r="W285">
        <f>HYPERLINK("https://klasma.github.io/Logging_2161/klagomålsmail/A 21900-2024 FSC-klagomål mail.docx", "A 21900-2024")</f>
        <v/>
      </c>
      <c r="X285">
        <f>HYPERLINK("https://klasma.github.io/Logging_2161/tillsyn/A 21900-2024 tillsynsbegäran.docx", "A 21900-2024")</f>
        <v/>
      </c>
      <c r="Y285">
        <f>HYPERLINK("https://klasma.github.io/Logging_2161/tillsynsmail/A 21900-2024 tillsynsbegäran mail.docx", "A 21900-2024")</f>
        <v/>
      </c>
    </row>
    <row r="286" ht="15" customHeight="1">
      <c r="A286" t="inlineStr">
        <is>
          <t>A 30115-2024</t>
        </is>
      </c>
      <c r="B286" s="1" t="n">
        <v>45489.47310185185</v>
      </c>
      <c r="C286" s="1" t="n">
        <v>46076</v>
      </c>
      <c r="D286" t="inlineStr">
        <is>
          <t>GÄVLEBORGS LÄN</t>
        </is>
      </c>
      <c r="E286" t="inlineStr">
        <is>
          <t>LJUSDAL</t>
        </is>
      </c>
      <c r="F286" t="inlineStr">
        <is>
          <t>Sveaskog</t>
        </is>
      </c>
      <c r="G286" t="n">
        <v>3.7</v>
      </c>
      <c r="H286" t="n">
        <v>0</v>
      </c>
      <c r="I286" t="n">
        <v>0</v>
      </c>
      <c r="J286" t="n">
        <v>1</v>
      </c>
      <c r="K286" t="n">
        <v>0</v>
      </c>
      <c r="L286" t="n">
        <v>0</v>
      </c>
      <c r="M286" t="n">
        <v>0</v>
      </c>
      <c r="N286" t="n">
        <v>0</v>
      </c>
      <c r="O286" t="n">
        <v>1</v>
      </c>
      <c r="P286" t="n">
        <v>0</v>
      </c>
      <c r="Q286" t="n">
        <v>1</v>
      </c>
      <c r="R286" s="2" t="inlineStr">
        <is>
          <t>Kolflarnlav</t>
        </is>
      </c>
      <c r="S286">
        <f>HYPERLINK("https://klasma.github.io/Logging_2161/artfynd/A 30115-2024 artfynd.xlsx", "A 30115-2024")</f>
        <v/>
      </c>
      <c r="T286">
        <f>HYPERLINK("https://klasma.github.io/Logging_2161/kartor/A 30115-2024 karta.png", "A 30115-2024")</f>
        <v/>
      </c>
      <c r="V286">
        <f>HYPERLINK("https://klasma.github.io/Logging_2161/klagomål/A 30115-2024 FSC-klagomål.docx", "A 30115-2024")</f>
        <v/>
      </c>
      <c r="W286">
        <f>HYPERLINK("https://klasma.github.io/Logging_2161/klagomålsmail/A 30115-2024 FSC-klagomål mail.docx", "A 30115-2024")</f>
        <v/>
      </c>
      <c r="X286">
        <f>HYPERLINK("https://klasma.github.io/Logging_2161/tillsyn/A 30115-2024 tillsynsbegäran.docx", "A 30115-2024")</f>
        <v/>
      </c>
      <c r="Y286">
        <f>HYPERLINK("https://klasma.github.io/Logging_2161/tillsynsmail/A 30115-2024 tillsynsbegäran mail.docx", "A 30115-2024")</f>
        <v/>
      </c>
    </row>
    <row r="287" ht="15" customHeight="1">
      <c r="A287" t="inlineStr">
        <is>
          <t>A 53286-2023</t>
        </is>
      </c>
      <c r="B287" s="1" t="n">
        <v>45229.57386574074</v>
      </c>
      <c r="C287" s="1" t="n">
        <v>46076</v>
      </c>
      <c r="D287" t="inlineStr">
        <is>
          <t>GÄVLEBORGS LÄN</t>
        </is>
      </c>
      <c r="E287" t="inlineStr">
        <is>
          <t>LJUSDAL</t>
        </is>
      </c>
      <c r="F287" t="inlineStr">
        <is>
          <t>Sveaskog</t>
        </is>
      </c>
      <c r="G287" t="n">
        <v>8</v>
      </c>
      <c r="H287" t="n">
        <v>0</v>
      </c>
      <c r="I287" t="n">
        <v>0</v>
      </c>
      <c r="J287" t="n">
        <v>1</v>
      </c>
      <c r="K287" t="n">
        <v>0</v>
      </c>
      <c r="L287" t="n">
        <v>0</v>
      </c>
      <c r="M287" t="n">
        <v>0</v>
      </c>
      <c r="N287" t="n">
        <v>0</v>
      </c>
      <c r="O287" t="n">
        <v>1</v>
      </c>
      <c r="P287" t="n">
        <v>0</v>
      </c>
      <c r="Q287" t="n">
        <v>1</v>
      </c>
      <c r="R287" s="2" t="inlineStr">
        <is>
          <t>Kolflarnlav</t>
        </is>
      </c>
      <c r="S287">
        <f>HYPERLINK("https://klasma.github.io/Logging_2161/artfynd/A 53286-2023 artfynd.xlsx", "A 53286-2023")</f>
        <v/>
      </c>
      <c r="T287">
        <f>HYPERLINK("https://klasma.github.io/Logging_2161/kartor/A 53286-2023 karta.png", "A 53286-2023")</f>
        <v/>
      </c>
      <c r="V287">
        <f>HYPERLINK("https://klasma.github.io/Logging_2161/klagomål/A 53286-2023 FSC-klagomål.docx", "A 53286-2023")</f>
        <v/>
      </c>
      <c r="W287">
        <f>HYPERLINK("https://klasma.github.io/Logging_2161/klagomålsmail/A 53286-2023 FSC-klagomål mail.docx", "A 53286-2023")</f>
        <v/>
      </c>
      <c r="X287">
        <f>HYPERLINK("https://klasma.github.io/Logging_2161/tillsyn/A 53286-2023 tillsynsbegäran.docx", "A 53286-2023")</f>
        <v/>
      </c>
      <c r="Y287">
        <f>HYPERLINK("https://klasma.github.io/Logging_2161/tillsynsmail/A 53286-2023 tillsynsbegäran mail.docx", "A 53286-2023")</f>
        <v/>
      </c>
    </row>
    <row r="288" ht="15" customHeight="1">
      <c r="A288" t="inlineStr">
        <is>
          <t>A 40943-2023</t>
        </is>
      </c>
      <c r="B288" s="1" t="n">
        <v>45173</v>
      </c>
      <c r="C288" s="1" t="n">
        <v>46076</v>
      </c>
      <c r="D288" t="inlineStr">
        <is>
          <t>GÄVLEBORGS LÄN</t>
        </is>
      </c>
      <c r="E288" t="inlineStr">
        <is>
          <t>LJUSDAL</t>
        </is>
      </c>
      <c r="G288" t="n">
        <v>5.8</v>
      </c>
      <c r="H288" t="n">
        <v>0</v>
      </c>
      <c r="I288" t="n">
        <v>0</v>
      </c>
      <c r="J288" t="n">
        <v>1</v>
      </c>
      <c r="K288" t="n">
        <v>0</v>
      </c>
      <c r="L288" t="n">
        <v>0</v>
      </c>
      <c r="M288" t="n">
        <v>0</v>
      </c>
      <c r="N288" t="n">
        <v>0</v>
      </c>
      <c r="O288" t="n">
        <v>1</v>
      </c>
      <c r="P288" t="n">
        <v>0</v>
      </c>
      <c r="Q288" t="n">
        <v>1</v>
      </c>
      <c r="R288" s="2" t="inlineStr">
        <is>
          <t>Mörk kolflarnlav</t>
        </is>
      </c>
      <c r="S288">
        <f>HYPERLINK("https://klasma.github.io/Logging_2161/artfynd/A 40943-2023 artfynd.xlsx", "A 40943-2023")</f>
        <v/>
      </c>
      <c r="T288">
        <f>HYPERLINK("https://klasma.github.io/Logging_2161/kartor/A 40943-2023 karta.png", "A 40943-2023")</f>
        <v/>
      </c>
      <c r="V288">
        <f>HYPERLINK("https://klasma.github.io/Logging_2161/klagomål/A 40943-2023 FSC-klagomål.docx", "A 40943-2023")</f>
        <v/>
      </c>
      <c r="W288">
        <f>HYPERLINK("https://klasma.github.io/Logging_2161/klagomålsmail/A 40943-2023 FSC-klagomål mail.docx", "A 40943-2023")</f>
        <v/>
      </c>
      <c r="X288">
        <f>HYPERLINK("https://klasma.github.io/Logging_2161/tillsyn/A 40943-2023 tillsynsbegäran.docx", "A 40943-2023")</f>
        <v/>
      </c>
      <c r="Y288">
        <f>HYPERLINK("https://klasma.github.io/Logging_2161/tillsynsmail/A 40943-2023 tillsynsbegäran mail.docx", "A 40943-2023")</f>
        <v/>
      </c>
    </row>
    <row r="289" ht="15" customHeight="1">
      <c r="A289" t="inlineStr">
        <is>
          <t>A 17471-2025</t>
        </is>
      </c>
      <c r="B289" s="1" t="n">
        <v>45757.47829861111</v>
      </c>
      <c r="C289" s="1" t="n">
        <v>46076</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Kolflarnlav</t>
        </is>
      </c>
      <c r="S289">
        <f>HYPERLINK("https://klasma.github.io/Logging_2161/artfynd/A 17471-2025 artfynd.xlsx", "A 17471-2025")</f>
        <v/>
      </c>
      <c r="T289">
        <f>HYPERLINK("https://klasma.github.io/Logging_2161/kartor/A 17471-2025 karta.png", "A 17471-2025")</f>
        <v/>
      </c>
      <c r="V289">
        <f>HYPERLINK("https://klasma.github.io/Logging_2161/klagomål/A 17471-2025 FSC-klagomål.docx", "A 17471-2025")</f>
        <v/>
      </c>
      <c r="W289">
        <f>HYPERLINK("https://klasma.github.io/Logging_2161/klagomålsmail/A 17471-2025 FSC-klagomål mail.docx", "A 17471-2025")</f>
        <v/>
      </c>
      <c r="X289">
        <f>HYPERLINK("https://klasma.github.io/Logging_2161/tillsyn/A 17471-2025 tillsynsbegäran.docx", "A 17471-2025")</f>
        <v/>
      </c>
      <c r="Y289">
        <f>HYPERLINK("https://klasma.github.io/Logging_2161/tillsynsmail/A 17471-2025 tillsynsbegäran mail.docx", "A 17471-2025")</f>
        <v/>
      </c>
    </row>
    <row r="290" ht="15" customHeight="1">
      <c r="A290" t="inlineStr">
        <is>
          <t>A 22667-2024</t>
        </is>
      </c>
      <c r="B290" s="1" t="n">
        <v>45447.94438657408</v>
      </c>
      <c r="C290" s="1" t="n">
        <v>46076</v>
      </c>
      <c r="D290" t="inlineStr">
        <is>
          <t>GÄVLEBORGS LÄN</t>
        </is>
      </c>
      <c r="E290" t="inlineStr">
        <is>
          <t>LJUSDAL</t>
        </is>
      </c>
      <c r="F290" t="inlineStr">
        <is>
          <t>SCA</t>
        </is>
      </c>
      <c r="G290" t="n">
        <v>5.3</v>
      </c>
      <c r="H290" t="n">
        <v>1</v>
      </c>
      <c r="I290" t="n">
        <v>0</v>
      </c>
      <c r="J290" t="n">
        <v>0</v>
      </c>
      <c r="K290" t="n">
        <v>1</v>
      </c>
      <c r="L290" t="n">
        <v>0</v>
      </c>
      <c r="M290" t="n">
        <v>0</v>
      </c>
      <c r="N290" t="n">
        <v>0</v>
      </c>
      <c r="O290" t="n">
        <v>1</v>
      </c>
      <c r="P290" t="n">
        <v>1</v>
      </c>
      <c r="Q290" t="n">
        <v>1</v>
      </c>
      <c r="R290" s="2" t="inlineStr">
        <is>
          <t>Knärot</t>
        </is>
      </c>
      <c r="S290">
        <f>HYPERLINK("https://klasma.github.io/Logging_2161/artfynd/A 22667-2024 artfynd.xlsx", "A 22667-2024")</f>
        <v/>
      </c>
      <c r="T290">
        <f>HYPERLINK("https://klasma.github.io/Logging_2161/kartor/A 22667-2024 karta.png", "A 22667-2024")</f>
        <v/>
      </c>
      <c r="U290">
        <f>HYPERLINK("https://klasma.github.io/Logging_2161/knärot/A 22667-2024 karta knärot.png", "A 22667-2024")</f>
        <v/>
      </c>
      <c r="V290">
        <f>HYPERLINK("https://klasma.github.io/Logging_2161/klagomål/A 22667-2024 FSC-klagomål.docx", "A 22667-2024")</f>
        <v/>
      </c>
      <c r="W290">
        <f>HYPERLINK("https://klasma.github.io/Logging_2161/klagomålsmail/A 22667-2024 FSC-klagomål mail.docx", "A 22667-2024")</f>
        <v/>
      </c>
      <c r="X290">
        <f>HYPERLINK("https://klasma.github.io/Logging_2161/tillsyn/A 22667-2024 tillsynsbegäran.docx", "A 22667-2024")</f>
        <v/>
      </c>
      <c r="Y290">
        <f>HYPERLINK("https://klasma.github.io/Logging_2161/tillsynsmail/A 22667-2024 tillsynsbegäran mail.docx", "A 22667-2024")</f>
        <v/>
      </c>
    </row>
    <row r="291" ht="15" customHeight="1">
      <c r="A291" t="inlineStr">
        <is>
          <t>A 53508-2024</t>
        </is>
      </c>
      <c r="B291" s="1" t="n">
        <v>45614.59193287037</v>
      </c>
      <c r="C291" s="1" t="n">
        <v>46076</v>
      </c>
      <c r="D291" t="inlineStr">
        <is>
          <t>GÄVLEBORGS LÄN</t>
        </is>
      </c>
      <c r="E291" t="inlineStr">
        <is>
          <t>LJUSDAL</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HYPERLINK("https://klasma.github.io/Logging_2161/artfynd/A 53508-2024 artfynd.xlsx", "A 53508-2024")</f>
        <v/>
      </c>
      <c r="T291">
        <f>HYPERLINK("https://klasma.github.io/Logging_2161/kartor/A 53508-2024 karta.png", "A 53508-2024")</f>
        <v/>
      </c>
      <c r="V291">
        <f>HYPERLINK("https://klasma.github.io/Logging_2161/klagomål/A 53508-2024 FSC-klagomål.docx", "A 53508-2024")</f>
        <v/>
      </c>
      <c r="W291">
        <f>HYPERLINK("https://klasma.github.io/Logging_2161/klagomålsmail/A 53508-2024 FSC-klagomål mail.docx", "A 53508-2024")</f>
        <v/>
      </c>
      <c r="X291">
        <f>HYPERLINK("https://klasma.github.io/Logging_2161/tillsyn/A 53508-2024 tillsynsbegäran.docx", "A 53508-2024")</f>
        <v/>
      </c>
      <c r="Y291">
        <f>HYPERLINK("https://klasma.github.io/Logging_2161/tillsynsmail/A 53508-2024 tillsynsbegäran mail.docx", "A 53508-2024")</f>
        <v/>
      </c>
    </row>
    <row r="292" ht="15" customHeight="1">
      <c r="A292" t="inlineStr">
        <is>
          <t>A 21282-2025</t>
        </is>
      </c>
      <c r="B292" s="1" t="n">
        <v>45779.6665162037</v>
      </c>
      <c r="C292" s="1" t="n">
        <v>46076</v>
      </c>
      <c r="D292" t="inlineStr">
        <is>
          <t>GÄVLEBORGS LÄN</t>
        </is>
      </c>
      <c r="E292" t="inlineStr">
        <is>
          <t>LJUSDAL</t>
        </is>
      </c>
      <c r="F292" t="inlineStr">
        <is>
          <t>Sveaskog</t>
        </is>
      </c>
      <c r="G292" t="n">
        <v>9.6</v>
      </c>
      <c r="H292" t="n">
        <v>0</v>
      </c>
      <c r="I292" t="n">
        <v>0</v>
      </c>
      <c r="J292" t="n">
        <v>1</v>
      </c>
      <c r="K292" t="n">
        <v>0</v>
      </c>
      <c r="L292" t="n">
        <v>0</v>
      </c>
      <c r="M292" t="n">
        <v>0</v>
      </c>
      <c r="N292" t="n">
        <v>0</v>
      </c>
      <c r="O292" t="n">
        <v>1</v>
      </c>
      <c r="P292" t="n">
        <v>0</v>
      </c>
      <c r="Q292" t="n">
        <v>1</v>
      </c>
      <c r="R292" s="2" t="inlineStr">
        <is>
          <t>Lunglav</t>
        </is>
      </c>
      <c r="S292">
        <f>HYPERLINK("https://klasma.github.io/Logging_2161/artfynd/A 21282-2025 artfynd.xlsx", "A 21282-2025")</f>
        <v/>
      </c>
      <c r="T292">
        <f>HYPERLINK("https://klasma.github.io/Logging_2161/kartor/A 21282-2025 karta.png", "A 21282-2025")</f>
        <v/>
      </c>
      <c r="V292">
        <f>HYPERLINK("https://klasma.github.io/Logging_2161/klagomål/A 21282-2025 FSC-klagomål.docx", "A 21282-2025")</f>
        <v/>
      </c>
      <c r="W292">
        <f>HYPERLINK("https://klasma.github.io/Logging_2161/klagomålsmail/A 21282-2025 FSC-klagomål mail.docx", "A 21282-2025")</f>
        <v/>
      </c>
      <c r="X292">
        <f>HYPERLINK("https://klasma.github.io/Logging_2161/tillsyn/A 21282-2025 tillsynsbegäran.docx", "A 21282-2025")</f>
        <v/>
      </c>
      <c r="Y292">
        <f>HYPERLINK("https://klasma.github.io/Logging_2161/tillsynsmail/A 21282-2025 tillsynsbegäran mail.docx", "A 21282-2025")</f>
        <v/>
      </c>
    </row>
    <row r="293" ht="15" customHeight="1">
      <c r="A293" t="inlineStr">
        <is>
          <t>A 22756-2025</t>
        </is>
      </c>
      <c r="B293" s="1" t="n">
        <v>45789.61898148148</v>
      </c>
      <c r="C293" s="1" t="n">
        <v>46076</v>
      </c>
      <c r="D293" t="inlineStr">
        <is>
          <t>GÄVLEBORGS LÄN</t>
        </is>
      </c>
      <c r="E293" t="inlineStr">
        <is>
          <t>LJUSDAL</t>
        </is>
      </c>
      <c r="F293" t="inlineStr">
        <is>
          <t>Sveaskog</t>
        </is>
      </c>
      <c r="G293" t="n">
        <v>6.7</v>
      </c>
      <c r="H293" t="n">
        <v>0</v>
      </c>
      <c r="I293" t="n">
        <v>0</v>
      </c>
      <c r="J293" t="n">
        <v>1</v>
      </c>
      <c r="K293" t="n">
        <v>0</v>
      </c>
      <c r="L293" t="n">
        <v>0</v>
      </c>
      <c r="M293" t="n">
        <v>0</v>
      </c>
      <c r="N293" t="n">
        <v>0</v>
      </c>
      <c r="O293" t="n">
        <v>1</v>
      </c>
      <c r="P293" t="n">
        <v>0</v>
      </c>
      <c r="Q293" t="n">
        <v>1</v>
      </c>
      <c r="R293" s="2" t="inlineStr">
        <is>
          <t>Lunglav</t>
        </is>
      </c>
      <c r="S293">
        <f>HYPERLINK("https://klasma.github.io/Logging_2161/artfynd/A 22756-2025 artfynd.xlsx", "A 22756-2025")</f>
        <v/>
      </c>
      <c r="T293">
        <f>HYPERLINK("https://klasma.github.io/Logging_2161/kartor/A 22756-2025 karta.png", "A 22756-2025")</f>
        <v/>
      </c>
      <c r="V293">
        <f>HYPERLINK("https://klasma.github.io/Logging_2161/klagomål/A 22756-2025 FSC-klagomål.docx", "A 22756-2025")</f>
        <v/>
      </c>
      <c r="W293">
        <f>HYPERLINK("https://klasma.github.io/Logging_2161/klagomålsmail/A 22756-2025 FSC-klagomål mail.docx", "A 22756-2025")</f>
        <v/>
      </c>
      <c r="X293">
        <f>HYPERLINK("https://klasma.github.io/Logging_2161/tillsyn/A 22756-2025 tillsynsbegäran.docx", "A 22756-2025")</f>
        <v/>
      </c>
      <c r="Y293">
        <f>HYPERLINK("https://klasma.github.io/Logging_2161/tillsynsmail/A 22756-2025 tillsynsbegäran mail.docx", "A 22756-2025")</f>
        <v/>
      </c>
    </row>
    <row r="294" ht="15" customHeight="1">
      <c r="A294" t="inlineStr">
        <is>
          <t>A 23829-2025</t>
        </is>
      </c>
      <c r="B294" s="1" t="n">
        <v>45793.59726851852</v>
      </c>
      <c r="C294" s="1" t="n">
        <v>46076</v>
      </c>
      <c r="D294" t="inlineStr">
        <is>
          <t>GÄVLEBORGS LÄN</t>
        </is>
      </c>
      <c r="E294" t="inlineStr">
        <is>
          <t>LJUSDAL</t>
        </is>
      </c>
      <c r="F294" t="inlineStr">
        <is>
          <t>Sveaskog</t>
        </is>
      </c>
      <c r="G294" t="n">
        <v>14.6</v>
      </c>
      <c r="H294" t="n">
        <v>0</v>
      </c>
      <c r="I294" t="n">
        <v>0</v>
      </c>
      <c r="J294" t="n">
        <v>1</v>
      </c>
      <c r="K294" t="n">
        <v>0</v>
      </c>
      <c r="L294" t="n">
        <v>0</v>
      </c>
      <c r="M294" t="n">
        <v>0</v>
      </c>
      <c r="N294" t="n">
        <v>0</v>
      </c>
      <c r="O294" t="n">
        <v>1</v>
      </c>
      <c r="P294" t="n">
        <v>0</v>
      </c>
      <c r="Q294" t="n">
        <v>1</v>
      </c>
      <c r="R294" s="2" t="inlineStr">
        <is>
          <t>Kolflarnlav</t>
        </is>
      </c>
      <c r="S294">
        <f>HYPERLINK("https://klasma.github.io/Logging_2161/artfynd/A 23829-2025 artfynd.xlsx", "A 23829-2025")</f>
        <v/>
      </c>
      <c r="T294">
        <f>HYPERLINK("https://klasma.github.io/Logging_2161/kartor/A 23829-2025 karta.png", "A 23829-2025")</f>
        <v/>
      </c>
      <c r="V294">
        <f>HYPERLINK("https://klasma.github.io/Logging_2161/klagomål/A 23829-2025 FSC-klagomål.docx", "A 23829-2025")</f>
        <v/>
      </c>
      <c r="W294">
        <f>HYPERLINK("https://klasma.github.io/Logging_2161/klagomålsmail/A 23829-2025 FSC-klagomål mail.docx", "A 23829-2025")</f>
        <v/>
      </c>
      <c r="X294">
        <f>HYPERLINK("https://klasma.github.io/Logging_2161/tillsyn/A 23829-2025 tillsynsbegäran.docx", "A 23829-2025")</f>
        <v/>
      </c>
      <c r="Y294">
        <f>HYPERLINK("https://klasma.github.io/Logging_2161/tillsynsmail/A 23829-2025 tillsynsbegäran mail.docx", "A 23829-2025")</f>
        <v/>
      </c>
    </row>
    <row r="295" ht="15" customHeight="1">
      <c r="A295" t="inlineStr">
        <is>
          <t>A 31125-2023</t>
        </is>
      </c>
      <c r="B295" s="1" t="n">
        <v>45113.69546296296</v>
      </c>
      <c r="C295" s="1" t="n">
        <v>46076</v>
      </c>
      <c r="D295" t="inlineStr">
        <is>
          <t>GÄVLEBORGS LÄN</t>
        </is>
      </c>
      <c r="E295" t="inlineStr">
        <is>
          <t>LJUSDAL</t>
        </is>
      </c>
      <c r="F295" t="inlineStr">
        <is>
          <t>Sveaskog</t>
        </is>
      </c>
      <c r="G295" t="n">
        <v>1.8</v>
      </c>
      <c r="H295" t="n">
        <v>0</v>
      </c>
      <c r="I295" t="n">
        <v>1</v>
      </c>
      <c r="J295" t="n">
        <v>0</v>
      </c>
      <c r="K295" t="n">
        <v>0</v>
      </c>
      <c r="L295" t="n">
        <v>0</v>
      </c>
      <c r="M295" t="n">
        <v>0</v>
      </c>
      <c r="N295" t="n">
        <v>0</v>
      </c>
      <c r="O295" t="n">
        <v>0</v>
      </c>
      <c r="P295" t="n">
        <v>0</v>
      </c>
      <c r="Q295" t="n">
        <v>1</v>
      </c>
      <c r="R295" s="2" t="inlineStr">
        <is>
          <t>Stuplav</t>
        </is>
      </c>
      <c r="S295">
        <f>HYPERLINK("https://klasma.github.io/Logging_2161/artfynd/A 31125-2023 artfynd.xlsx", "A 31125-2023")</f>
        <v/>
      </c>
      <c r="T295">
        <f>HYPERLINK("https://klasma.github.io/Logging_2161/kartor/A 31125-2023 karta.png", "A 31125-2023")</f>
        <v/>
      </c>
      <c r="V295">
        <f>HYPERLINK("https://klasma.github.io/Logging_2161/klagomål/A 31125-2023 FSC-klagomål.docx", "A 31125-2023")</f>
        <v/>
      </c>
      <c r="W295">
        <f>HYPERLINK("https://klasma.github.io/Logging_2161/klagomålsmail/A 31125-2023 FSC-klagomål mail.docx", "A 31125-2023")</f>
        <v/>
      </c>
      <c r="X295">
        <f>HYPERLINK("https://klasma.github.io/Logging_2161/tillsyn/A 31125-2023 tillsynsbegäran.docx", "A 31125-2023")</f>
        <v/>
      </c>
      <c r="Y295">
        <f>HYPERLINK("https://klasma.github.io/Logging_2161/tillsynsmail/A 31125-2023 tillsynsbegäran mail.docx", "A 31125-2023")</f>
        <v/>
      </c>
    </row>
    <row r="296" ht="15" customHeight="1">
      <c r="A296" t="inlineStr">
        <is>
          <t>A 24831-2025</t>
        </is>
      </c>
      <c r="B296" s="1" t="n">
        <v>45799.45872685185</v>
      </c>
      <c r="C296" s="1" t="n">
        <v>46076</v>
      </c>
      <c r="D296" t="inlineStr">
        <is>
          <t>GÄVLEBORGS LÄN</t>
        </is>
      </c>
      <c r="E296" t="inlineStr">
        <is>
          <t>LJUSDAL</t>
        </is>
      </c>
      <c r="F296" t="inlineStr">
        <is>
          <t>Sveaskog</t>
        </is>
      </c>
      <c r="G296" t="n">
        <v>25.9</v>
      </c>
      <c r="H296" t="n">
        <v>0</v>
      </c>
      <c r="I296" t="n">
        <v>0</v>
      </c>
      <c r="J296" t="n">
        <v>1</v>
      </c>
      <c r="K296" t="n">
        <v>0</v>
      </c>
      <c r="L296" t="n">
        <v>0</v>
      </c>
      <c r="M296" t="n">
        <v>0</v>
      </c>
      <c r="N296" t="n">
        <v>0</v>
      </c>
      <c r="O296" t="n">
        <v>1</v>
      </c>
      <c r="P296" t="n">
        <v>0</v>
      </c>
      <c r="Q296" t="n">
        <v>1</v>
      </c>
      <c r="R296" s="2" t="inlineStr">
        <is>
          <t>Lunglav</t>
        </is>
      </c>
      <c r="S296">
        <f>HYPERLINK("https://klasma.github.io/Logging_2161/artfynd/A 24831-2025 artfynd.xlsx", "A 24831-2025")</f>
        <v/>
      </c>
      <c r="T296">
        <f>HYPERLINK("https://klasma.github.io/Logging_2161/kartor/A 24831-2025 karta.png", "A 24831-2025")</f>
        <v/>
      </c>
      <c r="V296">
        <f>HYPERLINK("https://klasma.github.io/Logging_2161/klagomål/A 24831-2025 FSC-klagomål.docx", "A 24831-2025")</f>
        <v/>
      </c>
      <c r="W296">
        <f>HYPERLINK("https://klasma.github.io/Logging_2161/klagomålsmail/A 24831-2025 FSC-klagomål mail.docx", "A 24831-2025")</f>
        <v/>
      </c>
      <c r="X296">
        <f>HYPERLINK("https://klasma.github.io/Logging_2161/tillsyn/A 24831-2025 tillsynsbegäran.docx", "A 24831-2025")</f>
        <v/>
      </c>
      <c r="Y296">
        <f>HYPERLINK("https://klasma.github.io/Logging_2161/tillsynsmail/A 24831-2025 tillsynsbegäran mail.docx", "A 24831-2025")</f>
        <v/>
      </c>
    </row>
    <row r="297" ht="15" customHeight="1">
      <c r="A297" t="inlineStr">
        <is>
          <t>A 24959-2025</t>
        </is>
      </c>
      <c r="B297" s="1" t="n">
        <v>45799.57641203704</v>
      </c>
      <c r="C297" s="1" t="n">
        <v>46076</v>
      </c>
      <c r="D297" t="inlineStr">
        <is>
          <t>GÄVLEBORGS LÄN</t>
        </is>
      </c>
      <c r="E297" t="inlineStr">
        <is>
          <t>LJUSDAL</t>
        </is>
      </c>
      <c r="F297" t="inlineStr">
        <is>
          <t>Sveaskog</t>
        </is>
      </c>
      <c r="G297" t="n">
        <v>21.9</v>
      </c>
      <c r="H297" t="n">
        <v>0</v>
      </c>
      <c r="I297" t="n">
        <v>0</v>
      </c>
      <c r="J297" t="n">
        <v>1</v>
      </c>
      <c r="K297" t="n">
        <v>0</v>
      </c>
      <c r="L297" t="n">
        <v>0</v>
      </c>
      <c r="M297" t="n">
        <v>0</v>
      </c>
      <c r="N297" t="n">
        <v>0</v>
      </c>
      <c r="O297" t="n">
        <v>1</v>
      </c>
      <c r="P297" t="n">
        <v>0</v>
      </c>
      <c r="Q297" t="n">
        <v>1</v>
      </c>
      <c r="R297" s="2" t="inlineStr">
        <is>
          <t>Vedflamlav</t>
        </is>
      </c>
      <c r="S297">
        <f>HYPERLINK("https://klasma.github.io/Logging_2161/artfynd/A 24959-2025 artfynd.xlsx", "A 24959-2025")</f>
        <v/>
      </c>
      <c r="T297">
        <f>HYPERLINK("https://klasma.github.io/Logging_2161/kartor/A 24959-2025 karta.png", "A 24959-2025")</f>
        <v/>
      </c>
      <c r="V297">
        <f>HYPERLINK("https://klasma.github.io/Logging_2161/klagomål/A 24959-2025 FSC-klagomål.docx", "A 24959-2025")</f>
        <v/>
      </c>
      <c r="W297">
        <f>HYPERLINK("https://klasma.github.io/Logging_2161/klagomålsmail/A 24959-2025 FSC-klagomål mail.docx", "A 24959-2025")</f>
        <v/>
      </c>
      <c r="X297">
        <f>HYPERLINK("https://klasma.github.io/Logging_2161/tillsyn/A 24959-2025 tillsynsbegäran.docx", "A 24959-2025")</f>
        <v/>
      </c>
      <c r="Y297">
        <f>HYPERLINK("https://klasma.github.io/Logging_2161/tillsynsmail/A 24959-2025 tillsynsbegäran mail.docx", "A 24959-2025")</f>
        <v/>
      </c>
    </row>
    <row r="298" ht="15" customHeight="1">
      <c r="A298" t="inlineStr">
        <is>
          <t>A 21786-2022</t>
        </is>
      </c>
      <c r="B298" s="1" t="n">
        <v>44708.54719907408</v>
      </c>
      <c r="C298" s="1" t="n">
        <v>46076</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26202-2025</t>
        </is>
      </c>
      <c r="B299" s="1" t="n">
        <v>45805.50910879629</v>
      </c>
      <c r="C299" s="1" t="n">
        <v>46076</v>
      </c>
      <c r="D299" t="inlineStr">
        <is>
          <t>GÄVLEBORGS LÄN</t>
        </is>
      </c>
      <c r="E299" t="inlineStr">
        <is>
          <t>LJUSDAL</t>
        </is>
      </c>
      <c r="G299" t="n">
        <v>3.3</v>
      </c>
      <c r="H299" t="n">
        <v>0</v>
      </c>
      <c r="I299" t="n">
        <v>0</v>
      </c>
      <c r="J299" t="n">
        <v>1</v>
      </c>
      <c r="K299" t="n">
        <v>0</v>
      </c>
      <c r="L299" t="n">
        <v>0</v>
      </c>
      <c r="M299" t="n">
        <v>0</v>
      </c>
      <c r="N299" t="n">
        <v>0</v>
      </c>
      <c r="O299" t="n">
        <v>1</v>
      </c>
      <c r="P299" t="n">
        <v>0</v>
      </c>
      <c r="Q299" t="n">
        <v>1</v>
      </c>
      <c r="R299" s="2" t="inlineStr">
        <is>
          <t>Violettgrå tagellav</t>
        </is>
      </c>
      <c r="S299">
        <f>HYPERLINK("https://klasma.github.io/Logging_2161/artfynd/A 26202-2025 artfynd.xlsx", "A 26202-2025")</f>
        <v/>
      </c>
      <c r="T299">
        <f>HYPERLINK("https://klasma.github.io/Logging_2161/kartor/A 26202-2025 karta.png", "A 26202-2025")</f>
        <v/>
      </c>
      <c r="V299">
        <f>HYPERLINK("https://klasma.github.io/Logging_2161/klagomål/A 26202-2025 FSC-klagomål.docx", "A 26202-2025")</f>
        <v/>
      </c>
      <c r="W299">
        <f>HYPERLINK("https://klasma.github.io/Logging_2161/klagomålsmail/A 26202-2025 FSC-klagomål mail.docx", "A 26202-2025")</f>
        <v/>
      </c>
      <c r="X299">
        <f>HYPERLINK("https://klasma.github.io/Logging_2161/tillsyn/A 26202-2025 tillsynsbegäran.docx", "A 26202-2025")</f>
        <v/>
      </c>
      <c r="Y299">
        <f>HYPERLINK("https://klasma.github.io/Logging_2161/tillsynsmail/A 26202-2025 tillsynsbegäran mail.docx", "A 26202-2025")</f>
        <v/>
      </c>
    </row>
    <row r="300" ht="15" customHeight="1">
      <c r="A300" t="inlineStr">
        <is>
          <t>A 27884-2025</t>
        </is>
      </c>
      <c r="B300" s="1" t="n">
        <v>45817.44993055556</v>
      </c>
      <c r="C300" s="1" t="n">
        <v>46076</v>
      </c>
      <c r="D300" t="inlineStr">
        <is>
          <t>GÄVLEBORGS LÄN</t>
        </is>
      </c>
      <c r="E300" t="inlineStr">
        <is>
          <t>LJUSDAL</t>
        </is>
      </c>
      <c r="F300" t="inlineStr">
        <is>
          <t>Sveaskog</t>
        </is>
      </c>
      <c r="G300" t="n">
        <v>5.8</v>
      </c>
      <c r="H300" t="n">
        <v>0</v>
      </c>
      <c r="I300" t="n">
        <v>0</v>
      </c>
      <c r="J300" t="n">
        <v>1</v>
      </c>
      <c r="K300" t="n">
        <v>0</v>
      </c>
      <c r="L300" t="n">
        <v>0</v>
      </c>
      <c r="M300" t="n">
        <v>0</v>
      </c>
      <c r="N300" t="n">
        <v>0</v>
      </c>
      <c r="O300" t="n">
        <v>1</v>
      </c>
      <c r="P300" t="n">
        <v>0</v>
      </c>
      <c r="Q300" t="n">
        <v>1</v>
      </c>
      <c r="R300" s="2" t="inlineStr">
        <is>
          <t>Lunglav</t>
        </is>
      </c>
      <c r="S300">
        <f>HYPERLINK("https://klasma.github.io/Logging_2161/artfynd/A 27884-2025 artfynd.xlsx", "A 27884-2025")</f>
        <v/>
      </c>
      <c r="T300">
        <f>HYPERLINK("https://klasma.github.io/Logging_2161/kartor/A 27884-2025 karta.png", "A 27884-2025")</f>
        <v/>
      </c>
      <c r="V300">
        <f>HYPERLINK("https://klasma.github.io/Logging_2161/klagomål/A 27884-2025 FSC-klagomål.docx", "A 27884-2025")</f>
        <v/>
      </c>
      <c r="W300">
        <f>HYPERLINK("https://klasma.github.io/Logging_2161/klagomålsmail/A 27884-2025 FSC-klagomål mail.docx", "A 27884-2025")</f>
        <v/>
      </c>
      <c r="X300">
        <f>HYPERLINK("https://klasma.github.io/Logging_2161/tillsyn/A 27884-2025 tillsynsbegäran.docx", "A 27884-2025")</f>
        <v/>
      </c>
      <c r="Y300">
        <f>HYPERLINK("https://klasma.github.io/Logging_2161/tillsynsmail/A 27884-2025 tillsynsbegäran mail.docx", "A 27884-2025")</f>
        <v/>
      </c>
    </row>
    <row r="301" ht="15" customHeight="1">
      <c r="A301" t="inlineStr">
        <is>
          <t>A 30629-2022</t>
        </is>
      </c>
      <c r="B301" s="1" t="n">
        <v>44763.44366898148</v>
      </c>
      <c r="C301" s="1" t="n">
        <v>46076</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46076</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46076</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46076</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46076</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46076</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46076</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46076</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46076</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46076</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46076</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46076</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46076</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46076</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46076</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46076</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46076</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46076</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46076</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46076</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46076</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46076</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46076</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46076</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46076</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46076</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46076</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46076</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46076</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46076</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46076</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46076</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46076</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46076</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46076</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46076</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46076</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46076</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46076</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55055-2022</t>
        </is>
      </c>
      <c r="B340" s="1" t="n">
        <v>44886.58072916666</v>
      </c>
      <c r="C340" s="1" t="n">
        <v>46076</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46076</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46076</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46076</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46076</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46076</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46076</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46076</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46076</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46076</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46076</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46076</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46076</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46076</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46076</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46076</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46076</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46076</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46076</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51853-2022</t>
        </is>
      </c>
      <c r="B359" s="1" t="n">
        <v>44872</v>
      </c>
      <c r="C359" s="1" t="n">
        <v>46076</v>
      </c>
      <c r="D359" t="inlineStr">
        <is>
          <t>GÄVLEBORGS LÄN</t>
        </is>
      </c>
      <c r="E359" t="inlineStr">
        <is>
          <t>LJUSDAL</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46076</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46076</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46076</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46076</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46076</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46076</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46076</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46076</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46076</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46076</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46076</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46076</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46076</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46076</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46076</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46076</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46076</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46076</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12330-2021</t>
        </is>
      </c>
      <c r="B378" s="1" t="n">
        <v>44267</v>
      </c>
      <c r="C378" s="1" t="n">
        <v>46076</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46076</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16699-2021</t>
        </is>
      </c>
      <c r="B380" s="1" t="n">
        <v>44294</v>
      </c>
      <c r="C380" s="1" t="n">
        <v>46076</v>
      </c>
      <c r="D380" t="inlineStr">
        <is>
          <t>GÄVLEBORGS LÄN</t>
        </is>
      </c>
      <c r="E380" t="inlineStr">
        <is>
          <t>LJUSDAL</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46419-2021</t>
        </is>
      </c>
      <c r="B381" s="1" t="n">
        <v>44445.30451388889</v>
      </c>
      <c r="C381" s="1" t="n">
        <v>46076</v>
      </c>
      <c r="D381" t="inlineStr">
        <is>
          <t>GÄVLEBORGS LÄN</t>
        </is>
      </c>
      <c r="E381" t="inlineStr">
        <is>
          <t>LJUSDAL</t>
        </is>
      </c>
      <c r="F381" t="inlineStr">
        <is>
          <t>Sveaskog</t>
        </is>
      </c>
      <c r="G381" t="n">
        <v>6.5</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46076</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46076</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46076</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46076</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46076</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46076</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46076</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46076</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46076</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46076</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46076</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46076</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46076</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46076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46076</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46076</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46076</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46076</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46076</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46076</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46076</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46076</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46076</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46076</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46076</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46076</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46076</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46076</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46076</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46076</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46076</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46076</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46076</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46076</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46076</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46076</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46076</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46076</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46076</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46076</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46076</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46076</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46076</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46076</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46076</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46076</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46076</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46076</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46076</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46076</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46076</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46076</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46076</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46076</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46076</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46076</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46076</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46076</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46076</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46076</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46076</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46076</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46076</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46076</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46076</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46076</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46076</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46076</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46076</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46076</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46076</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46076</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46076</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46076</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46076</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46076</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46076</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46076</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46076</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46076</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46076</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20593-2022</t>
        </is>
      </c>
      <c r="B463" s="1" t="n">
        <v>44700.44726851852</v>
      </c>
      <c r="C463" s="1" t="n">
        <v>46076</v>
      </c>
      <c r="D463" t="inlineStr">
        <is>
          <t>GÄVLEBORGS LÄN</t>
        </is>
      </c>
      <c r="E463" t="inlineStr">
        <is>
          <t>LJUSDAL</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46076</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28454-2022</t>
        </is>
      </c>
      <c r="B465" s="1" t="n">
        <v>44747.69561342592</v>
      </c>
      <c r="C465" s="1" t="n">
        <v>46076</v>
      </c>
      <c r="D465" t="inlineStr">
        <is>
          <t>GÄVLEBORGS LÄN</t>
        </is>
      </c>
      <c r="E465" t="inlineStr">
        <is>
          <t>LJUSDAL</t>
        </is>
      </c>
      <c r="G465" t="n">
        <v>2.4</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46076</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46076</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46076</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46076</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46076</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46076</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9241-2023</t>
        </is>
      </c>
      <c r="B472" s="1" t="n">
        <v>44980</v>
      </c>
      <c r="C472" s="1" t="n">
        <v>46076</v>
      </c>
      <c r="D472" t="inlineStr">
        <is>
          <t>GÄVLEBORGS LÄN</t>
        </is>
      </c>
      <c r="E472" t="inlineStr">
        <is>
          <t>LJUSDAL</t>
        </is>
      </c>
      <c r="G472" t="n">
        <v>5.3</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46076</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42937-2022</t>
        </is>
      </c>
      <c r="B474" s="1" t="n">
        <v>44833</v>
      </c>
      <c r="C474" s="1" t="n">
        <v>46076</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24667-2024</t>
        </is>
      </c>
      <c r="B475" s="1" t="n">
        <v>45460.58346064815</v>
      </c>
      <c r="C475" s="1" t="n">
        <v>46076</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46076</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46076</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46076</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46076</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5415-2025</t>
        </is>
      </c>
      <c r="B480" s="1" t="n">
        <v>45692.67747685185</v>
      </c>
      <c r="C480" s="1" t="n">
        <v>46076</v>
      </c>
      <c r="D480" t="inlineStr">
        <is>
          <t>GÄVLEBORGS LÄN</t>
        </is>
      </c>
      <c r="E480" t="inlineStr">
        <is>
          <t>LJUSDAL</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46076</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46076</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46076</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46076</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46076</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328-2024</t>
        </is>
      </c>
      <c r="B486" s="1" t="n">
        <v>45295</v>
      </c>
      <c r="C486" s="1" t="n">
        <v>46076</v>
      </c>
      <c r="D486" t="inlineStr">
        <is>
          <t>GÄVLEBORGS LÄN</t>
        </is>
      </c>
      <c r="E486" t="inlineStr">
        <is>
          <t>LJUSDAL</t>
        </is>
      </c>
      <c r="G486" t="n">
        <v>0.9</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46076</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28348-2023</t>
        </is>
      </c>
      <c r="B488" s="1" t="n">
        <v>45099.79817129629</v>
      </c>
      <c r="C488" s="1" t="n">
        <v>46076</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59883-2023</t>
        </is>
      </c>
      <c r="B489" s="1" t="n">
        <v>45257</v>
      </c>
      <c r="C489" s="1" t="n">
        <v>46076</v>
      </c>
      <c r="D489" t="inlineStr">
        <is>
          <t>GÄVLEBORGS LÄN</t>
        </is>
      </c>
      <c r="E489" t="inlineStr">
        <is>
          <t>LJUSDAL</t>
        </is>
      </c>
      <c r="G489" t="n">
        <v>16.6</v>
      </c>
      <c r="H489" t="n">
        <v>0</v>
      </c>
      <c r="I489" t="n">
        <v>0</v>
      </c>
      <c r="J489" t="n">
        <v>0</v>
      </c>
      <c r="K489" t="n">
        <v>0</v>
      </c>
      <c r="L489" t="n">
        <v>0</v>
      </c>
      <c r="M489" t="n">
        <v>0</v>
      </c>
      <c r="N489" t="n">
        <v>0</v>
      </c>
      <c r="O489" t="n">
        <v>0</v>
      </c>
      <c r="P489" t="n">
        <v>0</v>
      </c>
      <c r="Q489" t="n">
        <v>0</v>
      </c>
      <c r="R489" s="2" t="inlineStr"/>
    </row>
    <row r="490" ht="15" customHeight="1">
      <c r="A490" t="inlineStr">
        <is>
          <t>A 43180-2024</t>
        </is>
      </c>
      <c r="B490" s="1" t="n">
        <v>45567.66302083333</v>
      </c>
      <c r="C490" s="1" t="n">
        <v>46076</v>
      </c>
      <c r="D490" t="inlineStr">
        <is>
          <t>GÄVLEBORGS LÄN</t>
        </is>
      </c>
      <c r="E490" t="inlineStr">
        <is>
          <t>LJUSDAL</t>
        </is>
      </c>
      <c r="G490" t="n">
        <v>0.4</v>
      </c>
      <c r="H490" t="n">
        <v>0</v>
      </c>
      <c r="I490" t="n">
        <v>0</v>
      </c>
      <c r="J490" t="n">
        <v>0</v>
      </c>
      <c r="K490" t="n">
        <v>0</v>
      </c>
      <c r="L490" t="n">
        <v>0</v>
      </c>
      <c r="M490" t="n">
        <v>0</v>
      </c>
      <c r="N490" t="n">
        <v>0</v>
      </c>
      <c r="O490" t="n">
        <v>0</v>
      </c>
      <c r="P490" t="n">
        <v>0</v>
      </c>
      <c r="Q490" t="n">
        <v>0</v>
      </c>
      <c r="R490" s="2" t="inlineStr"/>
    </row>
    <row r="491" ht="15" customHeight="1">
      <c r="A491" t="inlineStr">
        <is>
          <t>A 21633-2024</t>
        </is>
      </c>
      <c r="B491" s="1" t="n">
        <v>45442.33913194444</v>
      </c>
      <c r="C491" s="1" t="n">
        <v>46076</v>
      </c>
      <c r="D491" t="inlineStr">
        <is>
          <t>GÄVLEBORGS LÄN</t>
        </is>
      </c>
      <c r="E491" t="inlineStr">
        <is>
          <t>LJUSDAL</t>
        </is>
      </c>
      <c r="G491" t="n">
        <v>3.1</v>
      </c>
      <c r="H491" t="n">
        <v>0</v>
      </c>
      <c r="I491" t="n">
        <v>0</v>
      </c>
      <c r="J491" t="n">
        <v>0</v>
      </c>
      <c r="K491" t="n">
        <v>0</v>
      </c>
      <c r="L491" t="n">
        <v>0</v>
      </c>
      <c r="M491" t="n">
        <v>0</v>
      </c>
      <c r="N491" t="n">
        <v>0</v>
      </c>
      <c r="O491" t="n">
        <v>0</v>
      </c>
      <c r="P491" t="n">
        <v>0</v>
      </c>
      <c r="Q491" t="n">
        <v>0</v>
      </c>
      <c r="R491" s="2" t="inlineStr"/>
    </row>
    <row r="492" ht="15" customHeight="1">
      <c r="A492" t="inlineStr">
        <is>
          <t>A 53450-2024</t>
        </is>
      </c>
      <c r="B492" s="1" t="n">
        <v>45614.5456712963</v>
      </c>
      <c r="C492" s="1" t="n">
        <v>46076</v>
      </c>
      <c r="D492" t="inlineStr">
        <is>
          <t>GÄVLEBORGS LÄN</t>
        </is>
      </c>
      <c r="E492" t="inlineStr">
        <is>
          <t>LJUSDAL</t>
        </is>
      </c>
      <c r="F492" t="inlineStr">
        <is>
          <t>Sveaskog</t>
        </is>
      </c>
      <c r="G492" t="n">
        <v>0.1</v>
      </c>
      <c r="H492" t="n">
        <v>0</v>
      </c>
      <c r="I492" t="n">
        <v>0</v>
      </c>
      <c r="J492" t="n">
        <v>0</v>
      </c>
      <c r="K492" t="n">
        <v>0</v>
      </c>
      <c r="L492" t="n">
        <v>0</v>
      </c>
      <c r="M492" t="n">
        <v>0</v>
      </c>
      <c r="N492" t="n">
        <v>0</v>
      </c>
      <c r="O492" t="n">
        <v>0</v>
      </c>
      <c r="P492" t="n">
        <v>0</v>
      </c>
      <c r="Q492" t="n">
        <v>0</v>
      </c>
      <c r="R492" s="2" t="inlineStr"/>
    </row>
    <row r="493" ht="15" customHeight="1">
      <c r="A493" t="inlineStr">
        <is>
          <t>A 32879-2022</t>
        </is>
      </c>
      <c r="B493" s="1" t="n">
        <v>44784.54256944444</v>
      </c>
      <c r="C493" s="1" t="n">
        <v>46076</v>
      </c>
      <c r="D493" t="inlineStr">
        <is>
          <t>GÄVLEBORGS LÄN</t>
        </is>
      </c>
      <c r="E493" t="inlineStr">
        <is>
          <t>LJUSDAL</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24512-2022</t>
        </is>
      </c>
      <c r="B494" s="1" t="n">
        <v>44726</v>
      </c>
      <c r="C494" s="1" t="n">
        <v>46076</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49957-2024</t>
        </is>
      </c>
      <c r="B495" s="1" t="n">
        <v>45597.61802083333</v>
      </c>
      <c r="C495" s="1" t="n">
        <v>46076</v>
      </c>
      <c r="D495" t="inlineStr">
        <is>
          <t>GÄVLEBORGS LÄN</t>
        </is>
      </c>
      <c r="E495" t="inlineStr">
        <is>
          <t>LJUSDAL</t>
        </is>
      </c>
      <c r="G495" t="n">
        <v>4.6</v>
      </c>
      <c r="H495" t="n">
        <v>0</v>
      </c>
      <c r="I495" t="n">
        <v>0</v>
      </c>
      <c r="J495" t="n">
        <v>0</v>
      </c>
      <c r="K495" t="n">
        <v>0</v>
      </c>
      <c r="L495" t="n">
        <v>0</v>
      </c>
      <c r="M495" t="n">
        <v>0</v>
      </c>
      <c r="N495" t="n">
        <v>0</v>
      </c>
      <c r="O495" t="n">
        <v>0</v>
      </c>
      <c r="P495" t="n">
        <v>0</v>
      </c>
      <c r="Q495" t="n">
        <v>0</v>
      </c>
      <c r="R495" s="2" t="inlineStr"/>
    </row>
    <row r="496" ht="15" customHeight="1">
      <c r="A496" t="inlineStr">
        <is>
          <t>A 11920-2025</t>
        </is>
      </c>
      <c r="B496" s="1" t="n">
        <v>45728.49407407407</v>
      </c>
      <c r="C496" s="1" t="n">
        <v>46076</v>
      </c>
      <c r="D496" t="inlineStr">
        <is>
          <t>GÄVLEBORGS LÄN</t>
        </is>
      </c>
      <c r="E496" t="inlineStr">
        <is>
          <t>LJUSDAL</t>
        </is>
      </c>
      <c r="G496" t="n">
        <v>3</v>
      </c>
      <c r="H496" t="n">
        <v>0</v>
      </c>
      <c r="I496" t="n">
        <v>0</v>
      </c>
      <c r="J496" t="n">
        <v>0</v>
      </c>
      <c r="K496" t="n">
        <v>0</v>
      </c>
      <c r="L496" t="n">
        <v>0</v>
      </c>
      <c r="M496" t="n">
        <v>0</v>
      </c>
      <c r="N496" t="n">
        <v>0</v>
      </c>
      <c r="O496" t="n">
        <v>0</v>
      </c>
      <c r="P496" t="n">
        <v>0</v>
      </c>
      <c r="Q496" t="n">
        <v>0</v>
      </c>
      <c r="R496" s="2" t="inlineStr"/>
    </row>
    <row r="497" ht="15" customHeight="1">
      <c r="A497" t="inlineStr">
        <is>
          <t>A 60197-2024</t>
        </is>
      </c>
      <c r="B497" s="1" t="n">
        <v>45642.6599537037</v>
      </c>
      <c r="C497" s="1" t="n">
        <v>46076</v>
      </c>
      <c r="D497" t="inlineStr">
        <is>
          <t>GÄVLEBORGS LÄN</t>
        </is>
      </c>
      <c r="E497" t="inlineStr">
        <is>
          <t>LJUSDAL</t>
        </is>
      </c>
      <c r="G497" t="n">
        <v>4.9</v>
      </c>
      <c r="H497" t="n">
        <v>0</v>
      </c>
      <c r="I497" t="n">
        <v>0</v>
      </c>
      <c r="J497" t="n">
        <v>0</v>
      </c>
      <c r="K497" t="n">
        <v>0</v>
      </c>
      <c r="L497" t="n">
        <v>0</v>
      </c>
      <c r="M497" t="n">
        <v>0</v>
      </c>
      <c r="N497" t="n">
        <v>0</v>
      </c>
      <c r="O497" t="n">
        <v>0</v>
      </c>
      <c r="P497" t="n">
        <v>0</v>
      </c>
      <c r="Q497" t="n">
        <v>0</v>
      </c>
      <c r="R497" s="2" t="inlineStr"/>
    </row>
    <row r="498" ht="15" customHeight="1">
      <c r="A498" t="inlineStr">
        <is>
          <t>A 50830-2024</t>
        </is>
      </c>
      <c r="B498" s="1" t="n">
        <v>45602.58806712963</v>
      </c>
      <c r="C498" s="1" t="n">
        <v>46076</v>
      </c>
      <c r="D498" t="inlineStr">
        <is>
          <t>GÄVLEBORGS LÄN</t>
        </is>
      </c>
      <c r="E498" t="inlineStr">
        <is>
          <t>LJUSDAL</t>
        </is>
      </c>
      <c r="F498" t="inlineStr">
        <is>
          <t>Holmen skog AB</t>
        </is>
      </c>
      <c r="G498" t="n">
        <v>16.9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46076</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19954-2023</t>
        </is>
      </c>
      <c r="B500" s="1" t="n">
        <v>45054.54555555555</v>
      </c>
      <c r="C500" s="1" t="n">
        <v>46076</v>
      </c>
      <c r="D500" t="inlineStr">
        <is>
          <t>GÄVLEBORGS LÄN</t>
        </is>
      </c>
      <c r="E500" t="inlineStr">
        <is>
          <t>LJUSDAL</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24665-2024</t>
        </is>
      </c>
      <c r="B501" s="1" t="n">
        <v>45460.58212962963</v>
      </c>
      <c r="C501" s="1" t="n">
        <v>46076</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13551-2025</t>
        </is>
      </c>
      <c r="B502" s="1" t="n">
        <v>45736.54557870371</v>
      </c>
      <c r="C502" s="1" t="n">
        <v>46076</v>
      </c>
      <c r="D502" t="inlineStr">
        <is>
          <t>GÄVLEBORGS LÄN</t>
        </is>
      </c>
      <c r="E502" t="inlineStr">
        <is>
          <t>LJUSDAL</t>
        </is>
      </c>
      <c r="G502" t="n">
        <v>2.5</v>
      </c>
      <c r="H502" t="n">
        <v>0</v>
      </c>
      <c r="I502" t="n">
        <v>0</v>
      </c>
      <c r="J502" t="n">
        <v>0</v>
      </c>
      <c r="K502" t="n">
        <v>0</v>
      </c>
      <c r="L502" t="n">
        <v>0</v>
      </c>
      <c r="M502" t="n">
        <v>0</v>
      </c>
      <c r="N502" t="n">
        <v>0</v>
      </c>
      <c r="O502" t="n">
        <v>0</v>
      </c>
      <c r="P502" t="n">
        <v>0</v>
      </c>
      <c r="Q502" t="n">
        <v>0</v>
      </c>
      <c r="R502" s="2" t="inlineStr"/>
    </row>
    <row r="503" ht="15" customHeight="1">
      <c r="A503" t="inlineStr">
        <is>
          <t>A 59901-2022</t>
        </is>
      </c>
      <c r="B503" s="1" t="n">
        <v>44908.89185185185</v>
      </c>
      <c r="C503" s="1" t="n">
        <v>46076</v>
      </c>
      <c r="D503" t="inlineStr">
        <is>
          <t>GÄVLEBORGS LÄN</t>
        </is>
      </c>
      <c r="E503" t="inlineStr">
        <is>
          <t>LJUSDAL</t>
        </is>
      </c>
      <c r="G503" t="n">
        <v>10.3</v>
      </c>
      <c r="H503" t="n">
        <v>0</v>
      </c>
      <c r="I503" t="n">
        <v>0</v>
      </c>
      <c r="J503" t="n">
        <v>0</v>
      </c>
      <c r="K503" t="n">
        <v>0</v>
      </c>
      <c r="L503" t="n">
        <v>0</v>
      </c>
      <c r="M503" t="n">
        <v>0</v>
      </c>
      <c r="N503" t="n">
        <v>0</v>
      </c>
      <c r="O503" t="n">
        <v>0</v>
      </c>
      <c r="P503" t="n">
        <v>0</v>
      </c>
      <c r="Q503" t="n">
        <v>0</v>
      </c>
      <c r="R503" s="2" t="inlineStr"/>
    </row>
    <row r="504" ht="15" customHeight="1">
      <c r="A504" t="inlineStr">
        <is>
          <t>A 18250-2025</t>
        </is>
      </c>
      <c r="B504" s="1" t="n">
        <v>45762.33427083334</v>
      </c>
      <c r="C504" s="1" t="n">
        <v>46076</v>
      </c>
      <c r="D504" t="inlineStr">
        <is>
          <t>GÄVLEBORGS LÄN</t>
        </is>
      </c>
      <c r="E504" t="inlineStr">
        <is>
          <t>LJUSDAL</t>
        </is>
      </c>
      <c r="G504" t="n">
        <v>1.9</v>
      </c>
      <c r="H504" t="n">
        <v>0</v>
      </c>
      <c r="I504" t="n">
        <v>0</v>
      </c>
      <c r="J504" t="n">
        <v>0</v>
      </c>
      <c r="K504" t="n">
        <v>0</v>
      </c>
      <c r="L504" t="n">
        <v>0</v>
      </c>
      <c r="M504" t="n">
        <v>0</v>
      </c>
      <c r="N504" t="n">
        <v>0</v>
      </c>
      <c r="O504" t="n">
        <v>0</v>
      </c>
      <c r="P504" t="n">
        <v>0</v>
      </c>
      <c r="Q504" t="n">
        <v>0</v>
      </c>
      <c r="R504" s="2" t="inlineStr"/>
    </row>
    <row r="505" ht="15" customHeight="1">
      <c r="A505" t="inlineStr">
        <is>
          <t>A 15295-2025</t>
        </is>
      </c>
      <c r="B505" s="1" t="n">
        <v>45745.77329861111</v>
      </c>
      <c r="C505" s="1" t="n">
        <v>46076</v>
      </c>
      <c r="D505" t="inlineStr">
        <is>
          <t>GÄVLEBORGS LÄN</t>
        </is>
      </c>
      <c r="E505" t="inlineStr">
        <is>
          <t>LJUSDAL</t>
        </is>
      </c>
      <c r="G505" t="n">
        <v>0.5</v>
      </c>
      <c r="H505" t="n">
        <v>0</v>
      </c>
      <c r="I505" t="n">
        <v>0</v>
      </c>
      <c r="J505" t="n">
        <v>0</v>
      </c>
      <c r="K505" t="n">
        <v>0</v>
      </c>
      <c r="L505" t="n">
        <v>0</v>
      </c>
      <c r="M505" t="n">
        <v>0</v>
      </c>
      <c r="N505" t="n">
        <v>0</v>
      </c>
      <c r="O505" t="n">
        <v>0</v>
      </c>
      <c r="P505" t="n">
        <v>0</v>
      </c>
      <c r="Q505" t="n">
        <v>0</v>
      </c>
      <c r="R505" s="2" t="inlineStr"/>
    </row>
    <row r="506" ht="15" customHeight="1">
      <c r="A506" t="inlineStr">
        <is>
          <t>A 61053-2023</t>
        </is>
      </c>
      <c r="B506" s="1" t="n">
        <v>45261.60179398148</v>
      </c>
      <c r="C506" s="1" t="n">
        <v>46076</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61092-2023</t>
        </is>
      </c>
      <c r="B507" s="1" t="n">
        <v>45261.64163194445</v>
      </c>
      <c r="C507" s="1" t="n">
        <v>46076</v>
      </c>
      <c r="D507" t="inlineStr">
        <is>
          <t>GÄVLEBORGS LÄN</t>
        </is>
      </c>
      <c r="E507" t="inlineStr">
        <is>
          <t>LJUSDAL</t>
        </is>
      </c>
      <c r="G507" t="n">
        <v>1.1</v>
      </c>
      <c r="H507" t="n">
        <v>0</v>
      </c>
      <c r="I507" t="n">
        <v>0</v>
      </c>
      <c r="J507" t="n">
        <v>0</v>
      </c>
      <c r="K507" t="n">
        <v>0</v>
      </c>
      <c r="L507" t="n">
        <v>0</v>
      </c>
      <c r="M507" t="n">
        <v>0</v>
      </c>
      <c r="N507" t="n">
        <v>0</v>
      </c>
      <c r="O507" t="n">
        <v>0</v>
      </c>
      <c r="P507" t="n">
        <v>0</v>
      </c>
      <c r="Q507" t="n">
        <v>0</v>
      </c>
      <c r="R507" s="2" t="inlineStr"/>
    </row>
    <row r="508" ht="15" customHeight="1">
      <c r="A508" t="inlineStr">
        <is>
          <t>A 37767-2024</t>
        </is>
      </c>
      <c r="B508" s="1" t="n">
        <v>45541.80368055555</v>
      </c>
      <c r="C508" s="1" t="n">
        <v>46076</v>
      </c>
      <c r="D508" t="inlineStr">
        <is>
          <t>GÄVLEBORGS LÄN</t>
        </is>
      </c>
      <c r="E508" t="inlineStr">
        <is>
          <t>LJUSDAL</t>
        </is>
      </c>
      <c r="G508" t="n">
        <v>0.9</v>
      </c>
      <c r="H508" t="n">
        <v>0</v>
      </c>
      <c r="I508" t="n">
        <v>0</v>
      </c>
      <c r="J508" t="n">
        <v>0</v>
      </c>
      <c r="K508" t="n">
        <v>0</v>
      </c>
      <c r="L508" t="n">
        <v>0</v>
      </c>
      <c r="M508" t="n">
        <v>0</v>
      </c>
      <c r="N508" t="n">
        <v>0</v>
      </c>
      <c r="O508" t="n">
        <v>0</v>
      </c>
      <c r="P508" t="n">
        <v>0</v>
      </c>
      <c r="Q508" t="n">
        <v>0</v>
      </c>
      <c r="R508" s="2" t="inlineStr"/>
    </row>
    <row r="509" ht="15" customHeight="1">
      <c r="A509" t="inlineStr">
        <is>
          <t>A 591-2024</t>
        </is>
      </c>
      <c r="B509" s="1" t="n">
        <v>45299</v>
      </c>
      <c r="C509" s="1" t="n">
        <v>46076</v>
      </c>
      <c r="D509" t="inlineStr">
        <is>
          <t>GÄVLEBORGS LÄN</t>
        </is>
      </c>
      <c r="E509" t="inlineStr">
        <is>
          <t>LJUSDAL</t>
        </is>
      </c>
      <c r="G509" t="n">
        <v>14.1</v>
      </c>
      <c r="H509" t="n">
        <v>0</v>
      </c>
      <c r="I509" t="n">
        <v>0</v>
      </c>
      <c r="J509" t="n">
        <v>0</v>
      </c>
      <c r="K509" t="n">
        <v>0</v>
      </c>
      <c r="L509" t="n">
        <v>0</v>
      </c>
      <c r="M509" t="n">
        <v>0</v>
      </c>
      <c r="N509" t="n">
        <v>0</v>
      </c>
      <c r="O509" t="n">
        <v>0</v>
      </c>
      <c r="P509" t="n">
        <v>0</v>
      </c>
      <c r="Q509" t="n">
        <v>0</v>
      </c>
      <c r="R509" s="2" t="inlineStr"/>
    </row>
    <row r="510" ht="15" customHeight="1">
      <c r="A510" t="inlineStr">
        <is>
          <t>A 50712-2024</t>
        </is>
      </c>
      <c r="B510" s="1" t="n">
        <v>45602.3834375</v>
      </c>
      <c r="C510" s="1" t="n">
        <v>46076</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71068-2021</t>
        </is>
      </c>
      <c r="B511" s="1" t="n">
        <v>44538</v>
      </c>
      <c r="C511" s="1" t="n">
        <v>46076</v>
      </c>
      <c r="D511" t="inlineStr">
        <is>
          <t>GÄVLEBORGS LÄN</t>
        </is>
      </c>
      <c r="E511" t="inlineStr">
        <is>
          <t>LJUSDAL</t>
        </is>
      </c>
      <c r="G511" t="n">
        <v>5.8</v>
      </c>
      <c r="H511" t="n">
        <v>0</v>
      </c>
      <c r="I511" t="n">
        <v>0</v>
      </c>
      <c r="J511" t="n">
        <v>0</v>
      </c>
      <c r="K511" t="n">
        <v>0</v>
      </c>
      <c r="L511" t="n">
        <v>0</v>
      </c>
      <c r="M511" t="n">
        <v>0</v>
      </c>
      <c r="N511" t="n">
        <v>0</v>
      </c>
      <c r="O511" t="n">
        <v>0</v>
      </c>
      <c r="P511" t="n">
        <v>0</v>
      </c>
      <c r="Q511" t="n">
        <v>0</v>
      </c>
      <c r="R511" s="2" t="inlineStr"/>
    </row>
    <row r="512" ht="15" customHeight="1">
      <c r="A512" t="inlineStr">
        <is>
          <t>A 1820-2024</t>
        </is>
      </c>
      <c r="B512" s="1" t="n">
        <v>45307</v>
      </c>
      <c r="C512" s="1" t="n">
        <v>46076</v>
      </c>
      <c r="D512" t="inlineStr">
        <is>
          <t>GÄVLEBORGS LÄN</t>
        </is>
      </c>
      <c r="E512" t="inlineStr">
        <is>
          <t>LJUSDAL</t>
        </is>
      </c>
      <c r="G512" t="n">
        <v>2.2</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46076</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28003-2024</t>
        </is>
      </c>
      <c r="B514" s="1" t="n">
        <v>45476</v>
      </c>
      <c r="C514" s="1" t="n">
        <v>46076</v>
      </c>
      <c r="D514" t="inlineStr">
        <is>
          <t>GÄVLEBORGS LÄN</t>
        </is>
      </c>
      <c r="E514" t="inlineStr">
        <is>
          <t>LJUSDAL</t>
        </is>
      </c>
      <c r="F514" t="inlineStr">
        <is>
          <t>Allmännings- och besparingsskogar</t>
        </is>
      </c>
      <c r="G514" t="n">
        <v>1.8</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46076</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4230-2024</t>
        </is>
      </c>
      <c r="B516" s="1" t="n">
        <v>45324</v>
      </c>
      <c r="C516" s="1" t="n">
        <v>46076</v>
      </c>
      <c r="D516" t="inlineStr">
        <is>
          <t>GÄVLEBORGS LÄN</t>
        </is>
      </c>
      <c r="E516" t="inlineStr">
        <is>
          <t>LJUSDAL</t>
        </is>
      </c>
      <c r="G516" t="n">
        <v>1.2</v>
      </c>
      <c r="H516" t="n">
        <v>0</v>
      </c>
      <c r="I516" t="n">
        <v>0</v>
      </c>
      <c r="J516" t="n">
        <v>0</v>
      </c>
      <c r="K516" t="n">
        <v>0</v>
      </c>
      <c r="L516" t="n">
        <v>0</v>
      </c>
      <c r="M516" t="n">
        <v>0</v>
      </c>
      <c r="N516" t="n">
        <v>0</v>
      </c>
      <c r="O516" t="n">
        <v>0</v>
      </c>
      <c r="P516" t="n">
        <v>0</v>
      </c>
      <c r="Q516" t="n">
        <v>0</v>
      </c>
      <c r="R516" s="2" t="inlineStr"/>
    </row>
    <row r="517" ht="15" customHeight="1">
      <c r="A517" t="inlineStr">
        <is>
          <t>A 52090-2024</t>
        </is>
      </c>
      <c r="B517" s="1" t="n">
        <v>45608</v>
      </c>
      <c r="C517" s="1" t="n">
        <v>46076</v>
      </c>
      <c r="D517" t="inlineStr">
        <is>
          <t>GÄVLEBORGS LÄN</t>
        </is>
      </c>
      <c r="E517" t="inlineStr">
        <is>
          <t>LJUSDAL</t>
        </is>
      </c>
      <c r="G517" t="n">
        <v>0.3</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45618.53278935186</v>
      </c>
      <c r="C518" s="1" t="n">
        <v>46076</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59826-2022</t>
        </is>
      </c>
      <c r="B519" s="1" t="n">
        <v>44908.60137731482</v>
      </c>
      <c r="C519" s="1" t="n">
        <v>46076</v>
      </c>
      <c r="D519" t="inlineStr">
        <is>
          <t>GÄVLEBORGS LÄN</t>
        </is>
      </c>
      <c r="E519" t="inlineStr">
        <is>
          <t>LJUSDAL</t>
        </is>
      </c>
      <c r="F519" t="inlineStr">
        <is>
          <t>Kommuner</t>
        </is>
      </c>
      <c r="G519" t="n">
        <v>1</v>
      </c>
      <c r="H519" t="n">
        <v>0</v>
      </c>
      <c r="I519" t="n">
        <v>0</v>
      </c>
      <c r="J519" t="n">
        <v>0</v>
      </c>
      <c r="K519" t="n">
        <v>0</v>
      </c>
      <c r="L519" t="n">
        <v>0</v>
      </c>
      <c r="M519" t="n">
        <v>0</v>
      </c>
      <c r="N519" t="n">
        <v>0</v>
      </c>
      <c r="O519" t="n">
        <v>0</v>
      </c>
      <c r="P519" t="n">
        <v>0</v>
      </c>
      <c r="Q519" t="n">
        <v>0</v>
      </c>
      <c r="R519" s="2" t="inlineStr"/>
    </row>
    <row r="520" ht="15" customHeight="1">
      <c r="A520" t="inlineStr">
        <is>
          <t>A 10176-2023</t>
        </is>
      </c>
      <c r="B520" s="1" t="n">
        <v>44986.47180555556</v>
      </c>
      <c r="C520" s="1" t="n">
        <v>46076</v>
      </c>
      <c r="D520" t="inlineStr">
        <is>
          <t>GÄVLEBORGS LÄN</t>
        </is>
      </c>
      <c r="E520" t="inlineStr">
        <is>
          <t>LJUSDAL</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25991-2023</t>
        </is>
      </c>
      <c r="B521" s="1" t="n">
        <v>45090.92539351852</v>
      </c>
      <c r="C521" s="1" t="n">
        <v>46076</v>
      </c>
      <c r="D521" t="inlineStr">
        <is>
          <t>GÄVLEBORGS LÄN</t>
        </is>
      </c>
      <c r="E521" t="inlineStr">
        <is>
          <t>LJUSDAL</t>
        </is>
      </c>
      <c r="G521" t="n">
        <v>9.5</v>
      </c>
      <c r="H521" t="n">
        <v>0</v>
      </c>
      <c r="I521" t="n">
        <v>0</v>
      </c>
      <c r="J521" t="n">
        <v>0</v>
      </c>
      <c r="K521" t="n">
        <v>0</v>
      </c>
      <c r="L521" t="n">
        <v>0</v>
      </c>
      <c r="M521" t="n">
        <v>0</v>
      </c>
      <c r="N521" t="n">
        <v>0</v>
      </c>
      <c r="O521" t="n">
        <v>0</v>
      </c>
      <c r="P521" t="n">
        <v>0</v>
      </c>
      <c r="Q521" t="n">
        <v>0</v>
      </c>
      <c r="R521" s="2" t="inlineStr"/>
    </row>
    <row r="522" ht="15" customHeight="1">
      <c r="A522" t="inlineStr">
        <is>
          <t>A 58530-2022</t>
        </is>
      </c>
      <c r="B522" s="1" t="n">
        <v>44902.43958333333</v>
      </c>
      <c r="C522" s="1" t="n">
        <v>46076</v>
      </c>
      <c r="D522" t="inlineStr">
        <is>
          <t>GÄVLEBORGS LÄN</t>
        </is>
      </c>
      <c r="E522" t="inlineStr">
        <is>
          <t>LJUSDAL</t>
        </is>
      </c>
      <c r="G522" t="n">
        <v>4.8</v>
      </c>
      <c r="H522" t="n">
        <v>0</v>
      </c>
      <c r="I522" t="n">
        <v>0</v>
      </c>
      <c r="J522" t="n">
        <v>0</v>
      </c>
      <c r="K522" t="n">
        <v>0</v>
      </c>
      <c r="L522" t="n">
        <v>0</v>
      </c>
      <c r="M522" t="n">
        <v>0</v>
      </c>
      <c r="N522" t="n">
        <v>0</v>
      </c>
      <c r="O522" t="n">
        <v>0</v>
      </c>
      <c r="P522" t="n">
        <v>0</v>
      </c>
      <c r="Q522" t="n">
        <v>0</v>
      </c>
      <c r="R522" s="2" t="inlineStr"/>
    </row>
    <row r="523" ht="15" customHeight="1">
      <c r="A523" t="inlineStr">
        <is>
          <t>A 30240-2023</t>
        </is>
      </c>
      <c r="B523" s="1" t="n">
        <v>45110.66166666667</v>
      </c>
      <c r="C523" s="1" t="n">
        <v>46076</v>
      </c>
      <c r="D523" t="inlineStr">
        <is>
          <t>GÄVLEBORGS LÄN</t>
        </is>
      </c>
      <c r="E523" t="inlineStr">
        <is>
          <t>LJUSDAL</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46076</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4212-2025</t>
        </is>
      </c>
      <c r="B525" s="1" t="n">
        <v>45685</v>
      </c>
      <c r="C525" s="1" t="n">
        <v>46076</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30782-2024</t>
        </is>
      </c>
      <c r="B526" s="1" t="n">
        <v>45496.95054398148</v>
      </c>
      <c r="C526" s="1" t="n">
        <v>46076</v>
      </c>
      <c r="D526" t="inlineStr">
        <is>
          <t>GÄVLEBORGS LÄN</t>
        </is>
      </c>
      <c r="E526" t="inlineStr">
        <is>
          <t>LJUSDAL</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36061-2024</t>
        </is>
      </c>
      <c r="B527" s="1" t="n">
        <v>45533.63870370371</v>
      </c>
      <c r="C527" s="1" t="n">
        <v>46076</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15825-2025</t>
        </is>
      </c>
      <c r="B528" s="1" t="n">
        <v>45748.70894675926</v>
      </c>
      <c r="C528" s="1" t="n">
        <v>46076</v>
      </c>
      <c r="D528" t="inlineStr">
        <is>
          <t>GÄVLEBORGS LÄN</t>
        </is>
      </c>
      <c r="E528" t="inlineStr">
        <is>
          <t>LJUSDAL</t>
        </is>
      </c>
      <c r="F528" t="inlineStr">
        <is>
          <t>SCA</t>
        </is>
      </c>
      <c r="G528" t="n">
        <v>9.9</v>
      </c>
      <c r="H528" t="n">
        <v>0</v>
      </c>
      <c r="I528" t="n">
        <v>0</v>
      </c>
      <c r="J528" t="n">
        <v>0</v>
      </c>
      <c r="K528" t="n">
        <v>0</v>
      </c>
      <c r="L528" t="n">
        <v>0</v>
      </c>
      <c r="M528" t="n">
        <v>0</v>
      </c>
      <c r="N528" t="n">
        <v>0</v>
      </c>
      <c r="O528" t="n">
        <v>0</v>
      </c>
      <c r="P528" t="n">
        <v>0</v>
      </c>
      <c r="Q528" t="n">
        <v>0</v>
      </c>
      <c r="R528" s="2" t="inlineStr"/>
      <c r="U528">
        <f>HYPERLINK("https://klasma.github.io/Logging_2161/knärot/A 15825-2025 karta knärot.png", "A 15825-2025")</f>
        <v/>
      </c>
      <c r="V528">
        <f>HYPERLINK("https://klasma.github.io/Logging_2161/klagomål/A 15825-2025 FSC-klagomål.docx", "A 15825-2025")</f>
        <v/>
      </c>
      <c r="W528">
        <f>HYPERLINK("https://klasma.github.io/Logging_2161/klagomålsmail/A 15825-2025 FSC-klagomål mail.docx", "A 15825-2025")</f>
        <v/>
      </c>
      <c r="X528">
        <f>HYPERLINK("https://klasma.github.io/Logging_2161/tillsyn/A 15825-2025 tillsynsbegäran.docx", "A 15825-2025")</f>
        <v/>
      </c>
      <c r="Y528">
        <f>HYPERLINK("https://klasma.github.io/Logging_2161/tillsynsmail/A 15825-2025 tillsynsbegäran mail.docx", "A 15825-2025")</f>
        <v/>
      </c>
    </row>
    <row r="529" ht="15" customHeight="1">
      <c r="A529" t="inlineStr">
        <is>
          <t>A 27460-2023</t>
        </is>
      </c>
      <c r="B529" s="1" t="n">
        <v>45097</v>
      </c>
      <c r="C529" s="1" t="n">
        <v>46076</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13337-2024</t>
        </is>
      </c>
      <c r="B530" s="1" t="n">
        <v>45386</v>
      </c>
      <c r="C530" s="1" t="n">
        <v>46076</v>
      </c>
      <c r="D530" t="inlineStr">
        <is>
          <t>GÄVLEBORGS LÄN</t>
        </is>
      </c>
      <c r="E530" t="inlineStr">
        <is>
          <t>LJUSDAL</t>
        </is>
      </c>
      <c r="G530" t="n">
        <v>0.4</v>
      </c>
      <c r="H530" t="n">
        <v>0</v>
      </c>
      <c r="I530" t="n">
        <v>0</v>
      </c>
      <c r="J530" t="n">
        <v>0</v>
      </c>
      <c r="K530" t="n">
        <v>0</v>
      </c>
      <c r="L530" t="n">
        <v>0</v>
      </c>
      <c r="M530" t="n">
        <v>0</v>
      </c>
      <c r="N530" t="n">
        <v>0</v>
      </c>
      <c r="O530" t="n">
        <v>0</v>
      </c>
      <c r="P530" t="n">
        <v>0</v>
      </c>
      <c r="Q530" t="n">
        <v>0</v>
      </c>
      <c r="R530" s="2" t="inlineStr"/>
    </row>
    <row r="531" ht="15" customHeight="1">
      <c r="A531" t="inlineStr">
        <is>
          <t>A 9363-2024</t>
        </is>
      </c>
      <c r="B531" s="1" t="n">
        <v>45359.33664351852</v>
      </c>
      <c r="C531" s="1" t="n">
        <v>46076</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61091-2024</t>
        </is>
      </c>
      <c r="B532" s="1" t="n">
        <v>45645.54240740741</v>
      </c>
      <c r="C532" s="1" t="n">
        <v>46076</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45768-2024</t>
        </is>
      </c>
      <c r="B533" s="1" t="n">
        <v>45579</v>
      </c>
      <c r="C533" s="1" t="n">
        <v>46076</v>
      </c>
      <c r="D533" t="inlineStr">
        <is>
          <t>GÄVLEBORGS LÄN</t>
        </is>
      </c>
      <c r="E533" t="inlineStr">
        <is>
          <t>LJUSDAL</t>
        </is>
      </c>
      <c r="G533" t="n">
        <v>0.7</v>
      </c>
      <c r="H533" t="n">
        <v>0</v>
      </c>
      <c r="I533" t="n">
        <v>0</v>
      </c>
      <c r="J533" t="n">
        <v>0</v>
      </c>
      <c r="K533" t="n">
        <v>0</v>
      </c>
      <c r="L533" t="n">
        <v>0</v>
      </c>
      <c r="M533" t="n">
        <v>0</v>
      </c>
      <c r="N533" t="n">
        <v>0</v>
      </c>
      <c r="O533" t="n">
        <v>0</v>
      </c>
      <c r="P533" t="n">
        <v>0</v>
      </c>
      <c r="Q533" t="n">
        <v>0</v>
      </c>
      <c r="R533" s="2" t="inlineStr"/>
    </row>
    <row r="534" ht="15" customHeight="1">
      <c r="A534" t="inlineStr">
        <is>
          <t>A 50392-2023</t>
        </is>
      </c>
      <c r="B534" s="1" t="n">
        <v>45216.63394675926</v>
      </c>
      <c r="C534" s="1" t="n">
        <v>46076</v>
      </c>
      <c r="D534" t="inlineStr">
        <is>
          <t>GÄVLEBORGS LÄN</t>
        </is>
      </c>
      <c r="E534" t="inlineStr">
        <is>
          <t>LJUSDAL</t>
        </is>
      </c>
      <c r="G534" t="n">
        <v>6.5</v>
      </c>
      <c r="H534" t="n">
        <v>0</v>
      </c>
      <c r="I534" t="n">
        <v>0</v>
      </c>
      <c r="J534" t="n">
        <v>0</v>
      </c>
      <c r="K534" t="n">
        <v>0</v>
      </c>
      <c r="L534" t="n">
        <v>0</v>
      </c>
      <c r="M534" t="n">
        <v>0</v>
      </c>
      <c r="N534" t="n">
        <v>0</v>
      </c>
      <c r="O534" t="n">
        <v>0</v>
      </c>
      <c r="P534" t="n">
        <v>0</v>
      </c>
      <c r="Q534" t="n">
        <v>0</v>
      </c>
      <c r="R534" s="2" t="inlineStr"/>
    </row>
    <row r="535" ht="15" customHeight="1">
      <c r="A535" t="inlineStr">
        <is>
          <t>A 51599-2024</t>
        </is>
      </c>
      <c r="B535" s="1" t="n">
        <v>45604</v>
      </c>
      <c r="C535" s="1" t="n">
        <v>46076</v>
      </c>
      <c r="D535" t="inlineStr">
        <is>
          <t>GÄVLEBORGS LÄN</t>
        </is>
      </c>
      <c r="E535" t="inlineStr">
        <is>
          <t>LJUSDAL</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7731-2024</t>
        </is>
      </c>
      <c r="B536" s="1" t="n">
        <v>45349</v>
      </c>
      <c r="C536" s="1" t="n">
        <v>46076</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4275-2023</t>
        </is>
      </c>
      <c r="B537" s="1" t="n">
        <v>44953.5824537037</v>
      </c>
      <c r="C537" s="1" t="n">
        <v>46076</v>
      </c>
      <c r="D537" t="inlineStr">
        <is>
          <t>GÄVLEBORGS LÄN</t>
        </is>
      </c>
      <c r="E537" t="inlineStr">
        <is>
          <t>LJUSDAL</t>
        </is>
      </c>
      <c r="F537" t="inlineStr">
        <is>
          <t>Holmen skog AB</t>
        </is>
      </c>
      <c r="G537" t="n">
        <v>16.4</v>
      </c>
      <c r="H537" t="n">
        <v>0</v>
      </c>
      <c r="I537" t="n">
        <v>0</v>
      </c>
      <c r="J537" t="n">
        <v>0</v>
      </c>
      <c r="K537" t="n">
        <v>0</v>
      </c>
      <c r="L537" t="n">
        <v>0</v>
      </c>
      <c r="M537" t="n">
        <v>0</v>
      </c>
      <c r="N537" t="n">
        <v>0</v>
      </c>
      <c r="O537" t="n">
        <v>0</v>
      </c>
      <c r="P537" t="n">
        <v>0</v>
      </c>
      <c r="Q537" t="n">
        <v>0</v>
      </c>
      <c r="R537" s="2" t="inlineStr"/>
    </row>
    <row r="538" ht="15" customHeight="1">
      <c r="A538" t="inlineStr">
        <is>
          <t>A 13519-2021</t>
        </is>
      </c>
      <c r="B538" s="1" t="n">
        <v>44273</v>
      </c>
      <c r="C538" s="1" t="n">
        <v>46076</v>
      </c>
      <c r="D538" t="inlineStr">
        <is>
          <t>GÄVLEBORGS LÄN</t>
        </is>
      </c>
      <c r="E538" t="inlineStr">
        <is>
          <t>LJUSDAL</t>
        </is>
      </c>
      <c r="F538" t="inlineStr">
        <is>
          <t>Sveaskog</t>
        </is>
      </c>
      <c r="G538" t="n">
        <v>17.2</v>
      </c>
      <c r="H538" t="n">
        <v>0</v>
      </c>
      <c r="I538" t="n">
        <v>0</v>
      </c>
      <c r="J538" t="n">
        <v>0</v>
      </c>
      <c r="K538" t="n">
        <v>0</v>
      </c>
      <c r="L538" t="n">
        <v>0</v>
      </c>
      <c r="M538" t="n">
        <v>0</v>
      </c>
      <c r="N538" t="n">
        <v>0</v>
      </c>
      <c r="O538" t="n">
        <v>0</v>
      </c>
      <c r="P538" t="n">
        <v>0</v>
      </c>
      <c r="Q538" t="n">
        <v>0</v>
      </c>
      <c r="R538" s="2" t="inlineStr"/>
    </row>
    <row r="539" ht="15" customHeight="1">
      <c r="A539" t="inlineStr">
        <is>
          <t>A 67794-2021</t>
        </is>
      </c>
      <c r="B539" s="1" t="n">
        <v>44525.42381944445</v>
      </c>
      <c r="C539" s="1" t="n">
        <v>46076</v>
      </c>
      <c r="D539" t="inlineStr">
        <is>
          <t>GÄVLEBORGS LÄN</t>
        </is>
      </c>
      <c r="E539" t="inlineStr">
        <is>
          <t>LJUSDAL</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33347-2024</t>
        </is>
      </c>
      <c r="B540" s="1" t="n">
        <v>45519.36583333334</v>
      </c>
      <c r="C540" s="1" t="n">
        <v>46076</v>
      </c>
      <c r="D540" t="inlineStr">
        <is>
          <t>GÄVLEBORGS LÄN</t>
        </is>
      </c>
      <c r="E540" t="inlineStr">
        <is>
          <t>LJUSDAL</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13884-2025</t>
        </is>
      </c>
      <c r="B541" s="1" t="n">
        <v>45737.60386574074</v>
      </c>
      <c r="C541" s="1" t="n">
        <v>46076</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46076</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57315-2024</t>
        </is>
      </c>
      <c r="B543" s="1" t="n">
        <v>45629.61274305556</v>
      </c>
      <c r="C543" s="1" t="n">
        <v>46076</v>
      </c>
      <c r="D543" t="inlineStr">
        <is>
          <t>GÄVLEBORGS LÄN</t>
        </is>
      </c>
      <c r="E543" t="inlineStr">
        <is>
          <t>LJUSDAL</t>
        </is>
      </c>
      <c r="G543" t="n">
        <v>0.9</v>
      </c>
      <c r="H543" t="n">
        <v>0</v>
      </c>
      <c r="I543" t="n">
        <v>0</v>
      </c>
      <c r="J543" t="n">
        <v>0</v>
      </c>
      <c r="K543" t="n">
        <v>0</v>
      </c>
      <c r="L543" t="n">
        <v>0</v>
      </c>
      <c r="M543" t="n">
        <v>0</v>
      </c>
      <c r="N543" t="n">
        <v>0</v>
      </c>
      <c r="O543" t="n">
        <v>0</v>
      </c>
      <c r="P543" t="n">
        <v>0</v>
      </c>
      <c r="Q543" t="n">
        <v>0</v>
      </c>
      <c r="R543" s="2" t="inlineStr"/>
    </row>
    <row r="544" ht="15" customHeight="1">
      <c r="A544" t="inlineStr">
        <is>
          <t>A 18130-2024</t>
        </is>
      </c>
      <c r="B544" s="1" t="n">
        <v>45420.56704861111</v>
      </c>
      <c r="C544" s="1" t="n">
        <v>46076</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1570-2025</t>
        </is>
      </c>
      <c r="B545" s="1" t="n">
        <v>45670.55271990741</v>
      </c>
      <c r="C545" s="1" t="n">
        <v>46076</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58113-2022</t>
        </is>
      </c>
      <c r="B546" s="1" t="n">
        <v>44900.65167824074</v>
      </c>
      <c r="C546" s="1" t="n">
        <v>46076</v>
      </c>
      <c r="D546" t="inlineStr">
        <is>
          <t>GÄVLEBORGS LÄN</t>
        </is>
      </c>
      <c r="E546" t="inlineStr">
        <is>
          <t>LJUSDAL</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18357-2024</t>
        </is>
      </c>
      <c r="B547" s="1" t="n">
        <v>45422.71068287037</v>
      </c>
      <c r="C547" s="1" t="n">
        <v>46076</v>
      </c>
      <c r="D547" t="inlineStr">
        <is>
          <t>GÄVLEBORGS LÄN</t>
        </is>
      </c>
      <c r="E547" t="inlineStr">
        <is>
          <t>LJUSDAL</t>
        </is>
      </c>
      <c r="G547" t="n">
        <v>3.8</v>
      </c>
      <c r="H547" t="n">
        <v>0</v>
      </c>
      <c r="I547" t="n">
        <v>0</v>
      </c>
      <c r="J547" t="n">
        <v>0</v>
      </c>
      <c r="K547" t="n">
        <v>0</v>
      </c>
      <c r="L547" t="n">
        <v>0</v>
      </c>
      <c r="M547" t="n">
        <v>0</v>
      </c>
      <c r="N547" t="n">
        <v>0</v>
      </c>
      <c r="O547" t="n">
        <v>0</v>
      </c>
      <c r="P547" t="n">
        <v>0</v>
      </c>
      <c r="Q547" t="n">
        <v>0</v>
      </c>
      <c r="R547" s="2" t="inlineStr"/>
    </row>
    <row r="548" ht="15" customHeight="1">
      <c r="A548" t="inlineStr">
        <is>
          <t>A 50169-2024</t>
        </is>
      </c>
      <c r="B548" s="1" t="n">
        <v>45600.46696759259</v>
      </c>
      <c r="C548" s="1" t="n">
        <v>46076</v>
      </c>
      <c r="D548" t="inlineStr">
        <is>
          <t>GÄVLEBORGS LÄN</t>
        </is>
      </c>
      <c r="E548" t="inlineStr">
        <is>
          <t>LJUSDAL</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2370-2023</t>
        </is>
      </c>
      <c r="B549" s="1" t="n">
        <v>44942</v>
      </c>
      <c r="C549" s="1" t="n">
        <v>46076</v>
      </c>
      <c r="D549" t="inlineStr">
        <is>
          <t>GÄVLEBORGS LÄN</t>
        </is>
      </c>
      <c r="E549" t="inlineStr">
        <is>
          <t>LJUSDAL</t>
        </is>
      </c>
      <c r="G549" t="n">
        <v>3.2</v>
      </c>
      <c r="H549" t="n">
        <v>0</v>
      </c>
      <c r="I549" t="n">
        <v>0</v>
      </c>
      <c r="J549" t="n">
        <v>0</v>
      </c>
      <c r="K549" t="n">
        <v>0</v>
      </c>
      <c r="L549" t="n">
        <v>0</v>
      </c>
      <c r="M549" t="n">
        <v>0</v>
      </c>
      <c r="N549" t="n">
        <v>0</v>
      </c>
      <c r="O549" t="n">
        <v>0</v>
      </c>
      <c r="P549" t="n">
        <v>0</v>
      </c>
      <c r="Q549" t="n">
        <v>0</v>
      </c>
      <c r="R549" s="2" t="inlineStr"/>
    </row>
    <row r="550" ht="15" customHeight="1">
      <c r="A550" t="inlineStr">
        <is>
          <t>A 34103-2023</t>
        </is>
      </c>
      <c r="B550" s="1" t="n">
        <v>45135.59890046297</v>
      </c>
      <c r="C550" s="1" t="n">
        <v>46076</v>
      </c>
      <c r="D550" t="inlineStr">
        <is>
          <t>GÄVLEBORGS LÄN</t>
        </is>
      </c>
      <c r="E550" t="inlineStr">
        <is>
          <t>LJUSDAL</t>
        </is>
      </c>
      <c r="F550" t="inlineStr">
        <is>
          <t>Holmen skog AB</t>
        </is>
      </c>
      <c r="G550" t="n">
        <v>4.4</v>
      </c>
      <c r="H550" t="n">
        <v>0</v>
      </c>
      <c r="I550" t="n">
        <v>0</v>
      </c>
      <c r="J550" t="n">
        <v>0</v>
      </c>
      <c r="K550" t="n">
        <v>0</v>
      </c>
      <c r="L550" t="n">
        <v>0</v>
      </c>
      <c r="M550" t="n">
        <v>0</v>
      </c>
      <c r="N550" t="n">
        <v>0</v>
      </c>
      <c r="O550" t="n">
        <v>0</v>
      </c>
      <c r="P550" t="n">
        <v>0</v>
      </c>
      <c r="Q550" t="n">
        <v>0</v>
      </c>
      <c r="R550" s="2" t="inlineStr"/>
    </row>
    <row r="551" ht="15" customHeight="1">
      <c r="A551" t="inlineStr">
        <is>
          <t>A 34113-2023</t>
        </is>
      </c>
      <c r="B551" s="1" t="n">
        <v>45135.62081018519</v>
      </c>
      <c r="C551" s="1" t="n">
        <v>46076</v>
      </c>
      <c r="D551" t="inlineStr">
        <is>
          <t>GÄVLEBORGS LÄN</t>
        </is>
      </c>
      <c r="E551" t="inlineStr">
        <is>
          <t>LJUSDAL</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15285-2023</t>
        </is>
      </c>
      <c r="B552" s="1" t="n">
        <v>45019.43928240741</v>
      </c>
      <c r="C552" s="1" t="n">
        <v>46076</v>
      </c>
      <c r="D552" t="inlineStr">
        <is>
          <t>GÄVLEBORGS LÄN</t>
        </is>
      </c>
      <c r="E552" t="inlineStr">
        <is>
          <t>LJUSDAL</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38232-2024</t>
        </is>
      </c>
      <c r="B553" s="1" t="n">
        <v>45545.55649305556</v>
      </c>
      <c r="C553" s="1" t="n">
        <v>46076</v>
      </c>
      <c r="D553" t="inlineStr">
        <is>
          <t>GÄVLEBORGS LÄN</t>
        </is>
      </c>
      <c r="E553" t="inlineStr">
        <is>
          <t>LJUSDAL</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38596-2022</t>
        </is>
      </c>
      <c r="B554" s="1" t="n">
        <v>44813.58180555556</v>
      </c>
      <c r="C554" s="1" t="n">
        <v>46076</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22155-2022</t>
        </is>
      </c>
      <c r="B555" s="1" t="n">
        <v>44712</v>
      </c>
      <c r="C555" s="1" t="n">
        <v>46076</v>
      </c>
      <c r="D555" t="inlineStr">
        <is>
          <t>GÄVLEBORGS LÄN</t>
        </is>
      </c>
      <c r="E555" t="inlineStr">
        <is>
          <t>LJUSDAL</t>
        </is>
      </c>
      <c r="G555" t="n">
        <v>0.8</v>
      </c>
      <c r="H555" t="n">
        <v>0</v>
      </c>
      <c r="I555" t="n">
        <v>0</v>
      </c>
      <c r="J555" t="n">
        <v>0</v>
      </c>
      <c r="K555" t="n">
        <v>0</v>
      </c>
      <c r="L555" t="n">
        <v>0</v>
      </c>
      <c r="M555" t="n">
        <v>0</v>
      </c>
      <c r="N555" t="n">
        <v>0</v>
      </c>
      <c r="O555" t="n">
        <v>0</v>
      </c>
      <c r="P555" t="n">
        <v>0</v>
      </c>
      <c r="Q555" t="n">
        <v>0</v>
      </c>
      <c r="R555" s="2" t="inlineStr"/>
    </row>
    <row r="556" ht="15" customHeight="1">
      <c r="A556" t="inlineStr">
        <is>
          <t>A 48654-2022</t>
        </is>
      </c>
      <c r="B556" s="1" t="n">
        <v>44859.43793981482</v>
      </c>
      <c r="C556" s="1" t="n">
        <v>46076</v>
      </c>
      <c r="D556" t="inlineStr">
        <is>
          <t>GÄVLEBORGS LÄN</t>
        </is>
      </c>
      <c r="E556" t="inlineStr">
        <is>
          <t>LJUSDAL</t>
        </is>
      </c>
      <c r="G556" t="n">
        <v>1.2</v>
      </c>
      <c r="H556" t="n">
        <v>0</v>
      </c>
      <c r="I556" t="n">
        <v>0</v>
      </c>
      <c r="J556" t="n">
        <v>0</v>
      </c>
      <c r="K556" t="n">
        <v>0</v>
      </c>
      <c r="L556" t="n">
        <v>0</v>
      </c>
      <c r="M556" t="n">
        <v>0</v>
      </c>
      <c r="N556" t="n">
        <v>0</v>
      </c>
      <c r="O556" t="n">
        <v>0</v>
      </c>
      <c r="P556" t="n">
        <v>0</v>
      </c>
      <c r="Q556" t="n">
        <v>0</v>
      </c>
      <c r="R556" s="2" t="inlineStr"/>
    </row>
    <row r="557" ht="15" customHeight="1">
      <c r="A557" t="inlineStr">
        <is>
          <t>A 59252-2024</t>
        </is>
      </c>
      <c r="B557" s="1" t="n">
        <v>45637.59668981482</v>
      </c>
      <c r="C557" s="1" t="n">
        <v>46076</v>
      </c>
      <c r="D557" t="inlineStr">
        <is>
          <t>GÄVLEBORGS LÄN</t>
        </is>
      </c>
      <c r="E557" t="inlineStr">
        <is>
          <t>LJUSDAL</t>
        </is>
      </c>
      <c r="G557" t="n">
        <v>0.2</v>
      </c>
      <c r="H557" t="n">
        <v>0</v>
      </c>
      <c r="I557" t="n">
        <v>0</v>
      </c>
      <c r="J557" t="n">
        <v>0</v>
      </c>
      <c r="K557" t="n">
        <v>0</v>
      </c>
      <c r="L557" t="n">
        <v>0</v>
      </c>
      <c r="M557" t="n">
        <v>0</v>
      </c>
      <c r="N557" t="n">
        <v>0</v>
      </c>
      <c r="O557" t="n">
        <v>0</v>
      </c>
      <c r="P557" t="n">
        <v>0</v>
      </c>
      <c r="Q557" t="n">
        <v>0</v>
      </c>
      <c r="R557" s="2" t="inlineStr"/>
    </row>
    <row r="558" ht="15" customHeight="1">
      <c r="A558" t="inlineStr">
        <is>
          <t>A 45536-2023</t>
        </is>
      </c>
      <c r="B558" s="1" t="n">
        <v>45194.5497800926</v>
      </c>
      <c r="C558" s="1" t="n">
        <v>46076</v>
      </c>
      <c r="D558" t="inlineStr">
        <is>
          <t>GÄVLEBORGS LÄN</t>
        </is>
      </c>
      <c r="E558" t="inlineStr">
        <is>
          <t>LJUSDAL</t>
        </is>
      </c>
      <c r="G558" t="n">
        <v>10.7</v>
      </c>
      <c r="H558" t="n">
        <v>0</v>
      </c>
      <c r="I558" t="n">
        <v>0</v>
      </c>
      <c r="J558" t="n">
        <v>0</v>
      </c>
      <c r="K558" t="n">
        <v>0</v>
      </c>
      <c r="L558" t="n">
        <v>0</v>
      </c>
      <c r="M558" t="n">
        <v>0</v>
      </c>
      <c r="N558" t="n">
        <v>0</v>
      </c>
      <c r="O558" t="n">
        <v>0</v>
      </c>
      <c r="P558" t="n">
        <v>0</v>
      </c>
      <c r="Q558" t="n">
        <v>0</v>
      </c>
      <c r="R558" s="2" t="inlineStr"/>
    </row>
    <row r="559" ht="15" customHeight="1">
      <c r="A559" t="inlineStr">
        <is>
          <t>A 18096-2021</t>
        </is>
      </c>
      <c r="B559" s="1" t="n">
        <v>44302.4797800926</v>
      </c>
      <c r="C559" s="1" t="n">
        <v>46076</v>
      </c>
      <c r="D559" t="inlineStr">
        <is>
          <t>GÄVLEBORGS LÄN</t>
        </is>
      </c>
      <c r="E559" t="inlineStr">
        <is>
          <t>LJUSDAL</t>
        </is>
      </c>
      <c r="G559" t="n">
        <v>2.8</v>
      </c>
      <c r="H559" t="n">
        <v>0</v>
      </c>
      <c r="I559" t="n">
        <v>0</v>
      </c>
      <c r="J559" t="n">
        <v>0</v>
      </c>
      <c r="K559" t="n">
        <v>0</v>
      </c>
      <c r="L559" t="n">
        <v>0</v>
      </c>
      <c r="M559" t="n">
        <v>0</v>
      </c>
      <c r="N559" t="n">
        <v>0</v>
      </c>
      <c r="O559" t="n">
        <v>0</v>
      </c>
      <c r="P559" t="n">
        <v>0</v>
      </c>
      <c r="Q559" t="n">
        <v>0</v>
      </c>
      <c r="R559" s="2" t="inlineStr"/>
    </row>
    <row r="560" ht="15" customHeight="1">
      <c r="A560" t="inlineStr">
        <is>
          <t>A 44092-2024</t>
        </is>
      </c>
      <c r="B560" s="1" t="n">
        <v>45572.62274305556</v>
      </c>
      <c r="C560" s="1" t="n">
        <v>46076</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28460-2022</t>
        </is>
      </c>
      <c r="B561" s="1" t="n">
        <v>44747</v>
      </c>
      <c r="C561" s="1" t="n">
        <v>46076</v>
      </c>
      <c r="D561" t="inlineStr">
        <is>
          <t>GÄVLEBORGS LÄN</t>
        </is>
      </c>
      <c r="E561" t="inlineStr">
        <is>
          <t>LJUSDAL</t>
        </is>
      </c>
      <c r="G561" t="n">
        <v>4</v>
      </c>
      <c r="H561" t="n">
        <v>0</v>
      </c>
      <c r="I561" t="n">
        <v>0</v>
      </c>
      <c r="J561" t="n">
        <v>0</v>
      </c>
      <c r="K561" t="n">
        <v>0</v>
      </c>
      <c r="L561" t="n">
        <v>0</v>
      </c>
      <c r="M561" t="n">
        <v>0</v>
      </c>
      <c r="N561" t="n">
        <v>0</v>
      </c>
      <c r="O561" t="n">
        <v>0</v>
      </c>
      <c r="P561" t="n">
        <v>0</v>
      </c>
      <c r="Q561" t="n">
        <v>0</v>
      </c>
      <c r="R561" s="2" t="inlineStr"/>
    </row>
    <row r="562" ht="15" customHeight="1">
      <c r="A562" t="inlineStr">
        <is>
          <t>A 30818-2024</t>
        </is>
      </c>
      <c r="B562" s="1" t="n">
        <v>45497.46219907407</v>
      </c>
      <c r="C562" s="1" t="n">
        <v>46076</v>
      </c>
      <c r="D562" t="inlineStr">
        <is>
          <t>GÄVLEBORGS LÄN</t>
        </is>
      </c>
      <c r="E562" t="inlineStr">
        <is>
          <t>LJUSDAL</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44020-2023</t>
        </is>
      </c>
      <c r="B563" s="1" t="n">
        <v>45188</v>
      </c>
      <c r="C563" s="1" t="n">
        <v>46076</v>
      </c>
      <c r="D563" t="inlineStr">
        <is>
          <t>GÄVLEBORGS LÄN</t>
        </is>
      </c>
      <c r="E563" t="inlineStr">
        <is>
          <t>LJUSDAL</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32579-2024</t>
        </is>
      </c>
      <c r="B564" s="1" t="n">
        <v>45513</v>
      </c>
      <c r="C564" s="1" t="n">
        <v>46076</v>
      </c>
      <c r="D564" t="inlineStr">
        <is>
          <t>GÄVLEBORGS LÄN</t>
        </is>
      </c>
      <c r="E564" t="inlineStr">
        <is>
          <t>LJUSDAL</t>
        </is>
      </c>
      <c r="F564" t="inlineStr">
        <is>
          <t>Sveaskog</t>
        </is>
      </c>
      <c r="G564" t="n">
        <v>33.7</v>
      </c>
      <c r="H564" t="n">
        <v>0</v>
      </c>
      <c r="I564" t="n">
        <v>0</v>
      </c>
      <c r="J564" t="n">
        <v>0</v>
      </c>
      <c r="K564" t="n">
        <v>0</v>
      </c>
      <c r="L564" t="n">
        <v>0</v>
      </c>
      <c r="M564" t="n">
        <v>0</v>
      </c>
      <c r="N564" t="n">
        <v>0</v>
      </c>
      <c r="O564" t="n">
        <v>0</v>
      </c>
      <c r="P564" t="n">
        <v>0</v>
      </c>
      <c r="Q564" t="n">
        <v>0</v>
      </c>
      <c r="R564" s="2" t="inlineStr"/>
    </row>
    <row r="565" ht="15" customHeight="1">
      <c r="A565" t="inlineStr">
        <is>
          <t>A 61420-2024</t>
        </is>
      </c>
      <c r="B565" s="1" t="n">
        <v>45646.45043981481</v>
      </c>
      <c r="C565" s="1" t="n">
        <v>46076</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9935-2022</t>
        </is>
      </c>
      <c r="B566" s="1" t="n">
        <v>44620.92258101852</v>
      </c>
      <c r="C566" s="1" t="n">
        <v>46076</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55983-2024</t>
        </is>
      </c>
      <c r="B567" s="1" t="n">
        <v>45623.66719907407</v>
      </c>
      <c r="C567" s="1" t="n">
        <v>46076</v>
      </c>
      <c r="D567" t="inlineStr">
        <is>
          <t>GÄVLEBORGS LÄN</t>
        </is>
      </c>
      <c r="E567" t="inlineStr">
        <is>
          <t>LJUSDAL</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11286-2022</t>
        </is>
      </c>
      <c r="B568" s="1" t="n">
        <v>44629.92833333334</v>
      </c>
      <c r="C568" s="1" t="n">
        <v>46076</v>
      </c>
      <c r="D568" t="inlineStr">
        <is>
          <t>GÄVLEBORGS LÄN</t>
        </is>
      </c>
      <c r="E568" t="inlineStr">
        <is>
          <t>LJUSDAL</t>
        </is>
      </c>
      <c r="G568" t="n">
        <v>11.5</v>
      </c>
      <c r="H568" t="n">
        <v>0</v>
      </c>
      <c r="I568" t="n">
        <v>0</v>
      </c>
      <c r="J568" t="n">
        <v>0</v>
      </c>
      <c r="K568" t="n">
        <v>0</v>
      </c>
      <c r="L568" t="n">
        <v>0</v>
      </c>
      <c r="M568" t="n">
        <v>0</v>
      </c>
      <c r="N568" t="n">
        <v>0</v>
      </c>
      <c r="O568" t="n">
        <v>0</v>
      </c>
      <c r="P568" t="n">
        <v>0</v>
      </c>
      <c r="Q568" t="n">
        <v>0</v>
      </c>
      <c r="R568" s="2" t="inlineStr"/>
    </row>
    <row r="569" ht="15" customHeight="1">
      <c r="A569" t="inlineStr">
        <is>
          <t>A 20025-2025</t>
        </is>
      </c>
      <c r="B569" s="1" t="n">
        <v>45772.34452546296</v>
      </c>
      <c r="C569" s="1" t="n">
        <v>46076</v>
      </c>
      <c r="D569" t="inlineStr">
        <is>
          <t>GÄVLEBORGS LÄN</t>
        </is>
      </c>
      <c r="E569" t="inlineStr">
        <is>
          <t>LJUSDAL</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24838-2024</t>
        </is>
      </c>
      <c r="B570" s="1" t="n">
        <v>45461.40820601852</v>
      </c>
      <c r="C570" s="1" t="n">
        <v>46076</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35683-2023</t>
        </is>
      </c>
      <c r="B571" s="1" t="n">
        <v>45147</v>
      </c>
      <c r="C571" s="1" t="n">
        <v>46076</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43423-2022</t>
        </is>
      </c>
      <c r="B572" s="1" t="n">
        <v>44834.94996527778</v>
      </c>
      <c r="C572" s="1" t="n">
        <v>46076</v>
      </c>
      <c r="D572" t="inlineStr">
        <is>
          <t>GÄVLEBORGS LÄN</t>
        </is>
      </c>
      <c r="E572" t="inlineStr">
        <is>
          <t>LJUSDAL</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46076</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46076</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64018-2023</t>
        </is>
      </c>
      <c r="B575" s="1" t="n">
        <v>45278.9264699074</v>
      </c>
      <c r="C575" s="1" t="n">
        <v>46076</v>
      </c>
      <c r="D575" t="inlineStr">
        <is>
          <t>GÄVLEBORGS LÄN</t>
        </is>
      </c>
      <c r="E575" t="inlineStr">
        <is>
          <t>LJUSDAL</t>
        </is>
      </c>
      <c r="G575" t="n">
        <v>5.4</v>
      </c>
      <c r="H575" t="n">
        <v>0</v>
      </c>
      <c r="I575" t="n">
        <v>0</v>
      </c>
      <c r="J575" t="n">
        <v>0</v>
      </c>
      <c r="K575" t="n">
        <v>0</v>
      </c>
      <c r="L575" t="n">
        <v>0</v>
      </c>
      <c r="M575" t="n">
        <v>0</v>
      </c>
      <c r="N575" t="n">
        <v>0</v>
      </c>
      <c r="O575" t="n">
        <v>0</v>
      </c>
      <c r="P575" t="n">
        <v>0</v>
      </c>
      <c r="Q575" t="n">
        <v>0</v>
      </c>
      <c r="R575" s="2" t="inlineStr"/>
    </row>
    <row r="576" ht="15" customHeight="1">
      <c r="A576" t="inlineStr">
        <is>
          <t>A 41994-2024</t>
        </is>
      </c>
      <c r="B576" s="1" t="n">
        <v>45561.64641203704</v>
      </c>
      <c r="C576" s="1" t="n">
        <v>46076</v>
      </c>
      <c r="D576" t="inlineStr">
        <is>
          <t>GÄVLEBORGS LÄN</t>
        </is>
      </c>
      <c r="E576" t="inlineStr">
        <is>
          <t>LJUSDAL</t>
        </is>
      </c>
      <c r="G576" t="n">
        <v>0.4</v>
      </c>
      <c r="H576" t="n">
        <v>0</v>
      </c>
      <c r="I576" t="n">
        <v>0</v>
      </c>
      <c r="J576" t="n">
        <v>0</v>
      </c>
      <c r="K576" t="n">
        <v>0</v>
      </c>
      <c r="L576" t="n">
        <v>0</v>
      </c>
      <c r="M576" t="n">
        <v>0</v>
      </c>
      <c r="N576" t="n">
        <v>0</v>
      </c>
      <c r="O576" t="n">
        <v>0</v>
      </c>
      <c r="P576" t="n">
        <v>0</v>
      </c>
      <c r="Q576" t="n">
        <v>0</v>
      </c>
      <c r="R576" s="2" t="inlineStr"/>
    </row>
    <row r="577" ht="15" customHeight="1">
      <c r="A577" t="inlineStr">
        <is>
          <t>A 58598-2024</t>
        </is>
      </c>
      <c r="B577" s="1" t="n">
        <v>45635.54087962963</v>
      </c>
      <c r="C577" s="1" t="n">
        <v>46076</v>
      </c>
      <c r="D577" t="inlineStr">
        <is>
          <t>GÄVLEBORGS LÄN</t>
        </is>
      </c>
      <c r="E577" t="inlineStr">
        <is>
          <t>LJUSDAL</t>
        </is>
      </c>
      <c r="F577" t="inlineStr">
        <is>
          <t>Allmännings- och besparingsskogar</t>
        </is>
      </c>
      <c r="G577" t="n">
        <v>0.5</v>
      </c>
      <c r="H577" t="n">
        <v>0</v>
      </c>
      <c r="I577" t="n">
        <v>0</v>
      </c>
      <c r="J577" t="n">
        <v>0</v>
      </c>
      <c r="K577" t="n">
        <v>0</v>
      </c>
      <c r="L577" t="n">
        <v>0</v>
      </c>
      <c r="M577" t="n">
        <v>0</v>
      </c>
      <c r="N577" t="n">
        <v>0</v>
      </c>
      <c r="O577" t="n">
        <v>0</v>
      </c>
      <c r="P577" t="n">
        <v>0</v>
      </c>
      <c r="Q577" t="n">
        <v>0</v>
      </c>
      <c r="R577" s="2" t="inlineStr"/>
    </row>
    <row r="578" ht="15" customHeight="1">
      <c r="A578" t="inlineStr">
        <is>
          <t>A 27723-2024</t>
        </is>
      </c>
      <c r="B578" s="1" t="n">
        <v>45475.4027662037</v>
      </c>
      <c r="C578" s="1" t="n">
        <v>46076</v>
      </c>
      <c r="D578" t="inlineStr">
        <is>
          <t>GÄVLEBORGS LÄN</t>
        </is>
      </c>
      <c r="E578" t="inlineStr">
        <is>
          <t>LJUSDAL</t>
        </is>
      </c>
      <c r="G578" t="n">
        <v>3.7</v>
      </c>
      <c r="H578" t="n">
        <v>0</v>
      </c>
      <c r="I578" t="n">
        <v>0</v>
      </c>
      <c r="J578" t="n">
        <v>0</v>
      </c>
      <c r="K578" t="n">
        <v>0</v>
      </c>
      <c r="L578" t="n">
        <v>0</v>
      </c>
      <c r="M578" t="n">
        <v>0</v>
      </c>
      <c r="N578" t="n">
        <v>0</v>
      </c>
      <c r="O578" t="n">
        <v>0</v>
      </c>
      <c r="P578" t="n">
        <v>0</v>
      </c>
      <c r="Q578" t="n">
        <v>0</v>
      </c>
      <c r="R578" s="2" t="inlineStr"/>
    </row>
    <row r="579" ht="15" customHeight="1">
      <c r="A579" t="inlineStr">
        <is>
          <t>A 27932-2025</t>
        </is>
      </c>
      <c r="B579" s="1" t="n">
        <v>45817.49524305556</v>
      </c>
      <c r="C579" s="1" t="n">
        <v>46076</v>
      </c>
      <c r="D579" t="inlineStr">
        <is>
          <t>GÄVLEBORGS LÄN</t>
        </is>
      </c>
      <c r="E579" t="inlineStr">
        <is>
          <t>LJUSDAL</t>
        </is>
      </c>
      <c r="F579" t="inlineStr">
        <is>
          <t>Holmen skog AB</t>
        </is>
      </c>
      <c r="G579" t="n">
        <v>18.2</v>
      </c>
      <c r="H579" t="n">
        <v>0</v>
      </c>
      <c r="I579" t="n">
        <v>0</v>
      </c>
      <c r="J579" t="n">
        <v>0</v>
      </c>
      <c r="K579" t="n">
        <v>0</v>
      </c>
      <c r="L579" t="n">
        <v>0</v>
      </c>
      <c r="M579" t="n">
        <v>0</v>
      </c>
      <c r="N579" t="n">
        <v>0</v>
      </c>
      <c r="O579" t="n">
        <v>0</v>
      </c>
      <c r="P579" t="n">
        <v>0</v>
      </c>
      <c r="Q579" t="n">
        <v>0</v>
      </c>
      <c r="R579" s="2" t="inlineStr"/>
    </row>
    <row r="580" ht="15" customHeight="1">
      <c r="A580" t="inlineStr">
        <is>
          <t>A 27976-2025</t>
        </is>
      </c>
      <c r="B580" s="1" t="n">
        <v>45817.57092592592</v>
      </c>
      <c r="C580" s="1" t="n">
        <v>46076</v>
      </c>
      <c r="D580" t="inlineStr">
        <is>
          <t>GÄVLEBORGS LÄN</t>
        </is>
      </c>
      <c r="E580" t="inlineStr">
        <is>
          <t>LJUSDAL</t>
        </is>
      </c>
      <c r="G580" t="n">
        <v>3.9</v>
      </c>
      <c r="H580" t="n">
        <v>0</v>
      </c>
      <c r="I580" t="n">
        <v>0</v>
      </c>
      <c r="J580" t="n">
        <v>0</v>
      </c>
      <c r="K580" t="n">
        <v>0</v>
      </c>
      <c r="L580" t="n">
        <v>0</v>
      </c>
      <c r="M580" t="n">
        <v>0</v>
      </c>
      <c r="N580" t="n">
        <v>0</v>
      </c>
      <c r="O580" t="n">
        <v>0</v>
      </c>
      <c r="P580" t="n">
        <v>0</v>
      </c>
      <c r="Q580" t="n">
        <v>0</v>
      </c>
      <c r="R580" s="2" t="inlineStr"/>
    </row>
    <row r="581" ht="15" customHeight="1">
      <c r="A581" t="inlineStr">
        <is>
          <t>A 27970-2025</t>
        </is>
      </c>
      <c r="B581" s="1" t="n">
        <v>45817.56043981481</v>
      </c>
      <c r="C581" s="1" t="n">
        <v>46076</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15750-2022</t>
        </is>
      </c>
      <c r="B582" s="1" t="n">
        <v>44663</v>
      </c>
      <c r="C582" s="1" t="n">
        <v>46076</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1332-2025</t>
        </is>
      </c>
      <c r="B583" s="1" t="n">
        <v>45667.57828703704</v>
      </c>
      <c r="C583" s="1" t="n">
        <v>46076</v>
      </c>
      <c r="D583" t="inlineStr">
        <is>
          <t>GÄVLEBORGS LÄN</t>
        </is>
      </c>
      <c r="E583" t="inlineStr">
        <is>
          <t>LJUSDAL</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38641-2025</t>
        </is>
      </c>
      <c r="B584" s="1" t="n">
        <v>45884.57607638889</v>
      </c>
      <c r="C584" s="1" t="n">
        <v>46076</v>
      </c>
      <c r="D584" t="inlineStr">
        <is>
          <t>GÄVLEBORGS LÄN</t>
        </is>
      </c>
      <c r="E584" t="inlineStr">
        <is>
          <t>LJUSDAL</t>
        </is>
      </c>
      <c r="G584" t="n">
        <v>9.1</v>
      </c>
      <c r="H584" t="n">
        <v>0</v>
      </c>
      <c r="I584" t="n">
        <v>0</v>
      </c>
      <c r="J584" t="n">
        <v>0</v>
      </c>
      <c r="K584" t="n">
        <v>0</v>
      </c>
      <c r="L584" t="n">
        <v>0</v>
      </c>
      <c r="M584" t="n">
        <v>0</v>
      </c>
      <c r="N584" t="n">
        <v>0</v>
      </c>
      <c r="O584" t="n">
        <v>0</v>
      </c>
      <c r="P584" t="n">
        <v>0</v>
      </c>
      <c r="Q584" t="n">
        <v>0</v>
      </c>
      <c r="R584" s="2" t="inlineStr"/>
    </row>
    <row r="585" ht="15" customHeight="1">
      <c r="A585" t="inlineStr">
        <is>
          <t>A 45703-2023</t>
        </is>
      </c>
      <c r="B585" s="1" t="n">
        <v>45195</v>
      </c>
      <c r="C585" s="1" t="n">
        <v>46076</v>
      </c>
      <c r="D585" t="inlineStr">
        <is>
          <t>GÄVLEBORGS LÄN</t>
        </is>
      </c>
      <c r="E585" t="inlineStr">
        <is>
          <t>LJUSDAL</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28648-2025</t>
        </is>
      </c>
      <c r="B586" s="1" t="n">
        <v>45819.64917824074</v>
      </c>
      <c r="C586" s="1" t="n">
        <v>46076</v>
      </c>
      <c r="D586" t="inlineStr">
        <is>
          <t>GÄVLEBORGS LÄN</t>
        </is>
      </c>
      <c r="E586" t="inlineStr">
        <is>
          <t>LJUSDAL</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10521-2025</t>
        </is>
      </c>
      <c r="B587" s="1" t="n">
        <v>45721.42797453704</v>
      </c>
      <c r="C587" s="1" t="n">
        <v>46076</v>
      </c>
      <c r="D587" t="inlineStr">
        <is>
          <t>GÄVLEBORGS LÄN</t>
        </is>
      </c>
      <c r="E587" t="inlineStr">
        <is>
          <t>LJUSDAL</t>
        </is>
      </c>
      <c r="F587" t="inlineStr">
        <is>
          <t>SCA</t>
        </is>
      </c>
      <c r="G587" t="n">
        <v>14.5</v>
      </c>
      <c r="H587" t="n">
        <v>0</v>
      </c>
      <c r="I587" t="n">
        <v>0</v>
      </c>
      <c r="J587" t="n">
        <v>0</v>
      </c>
      <c r="K587" t="n">
        <v>0</v>
      </c>
      <c r="L587" t="n">
        <v>0</v>
      </c>
      <c r="M587" t="n">
        <v>0</v>
      </c>
      <c r="N587" t="n">
        <v>0</v>
      </c>
      <c r="O587" t="n">
        <v>0</v>
      </c>
      <c r="P587" t="n">
        <v>0</v>
      </c>
      <c r="Q587" t="n">
        <v>0</v>
      </c>
      <c r="R587" s="2" t="inlineStr"/>
    </row>
    <row r="588" ht="15" customHeight="1">
      <c r="A588" t="inlineStr">
        <is>
          <t>A 25570-2024</t>
        </is>
      </c>
      <c r="B588" s="1" t="n">
        <v>45463.58728009259</v>
      </c>
      <c r="C588" s="1" t="n">
        <v>46076</v>
      </c>
      <c r="D588" t="inlineStr">
        <is>
          <t>GÄVLEBORGS LÄN</t>
        </is>
      </c>
      <c r="E588" t="inlineStr">
        <is>
          <t>LJUSDAL</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52921-2024</t>
        </is>
      </c>
      <c r="B589" s="1" t="n">
        <v>45610.71336805556</v>
      </c>
      <c r="C589" s="1" t="n">
        <v>46076</v>
      </c>
      <c r="D589" t="inlineStr">
        <is>
          <t>GÄVLEBORGS LÄN</t>
        </is>
      </c>
      <c r="E589" t="inlineStr">
        <is>
          <t>LJUSDAL</t>
        </is>
      </c>
      <c r="F589" t="inlineStr">
        <is>
          <t>Allmännings- och besparingsskogar</t>
        </is>
      </c>
      <c r="G589" t="n">
        <v>1.5</v>
      </c>
      <c r="H589" t="n">
        <v>0</v>
      </c>
      <c r="I589" t="n">
        <v>0</v>
      </c>
      <c r="J589" t="n">
        <v>0</v>
      </c>
      <c r="K589" t="n">
        <v>0</v>
      </c>
      <c r="L589" t="n">
        <v>0</v>
      </c>
      <c r="M589" t="n">
        <v>0</v>
      </c>
      <c r="N589" t="n">
        <v>0</v>
      </c>
      <c r="O589" t="n">
        <v>0</v>
      </c>
      <c r="P589" t="n">
        <v>0</v>
      </c>
      <c r="Q589" t="n">
        <v>0</v>
      </c>
      <c r="R589" s="2" t="inlineStr"/>
    </row>
    <row r="590" ht="15" customHeight="1">
      <c r="A590" t="inlineStr">
        <is>
          <t>A 35024-2024</t>
        </is>
      </c>
      <c r="B590" s="1" t="n">
        <v>45527.60289351852</v>
      </c>
      <c r="C590" s="1" t="n">
        <v>46076</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38573-2025</t>
        </is>
      </c>
      <c r="B591" s="1" t="n">
        <v>45884.46380787037</v>
      </c>
      <c r="C591" s="1" t="n">
        <v>46076</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28638-2025</t>
        </is>
      </c>
      <c r="B592" s="1" t="n">
        <v>45819.63609953703</v>
      </c>
      <c r="C592" s="1" t="n">
        <v>46076</v>
      </c>
      <c r="D592" t="inlineStr">
        <is>
          <t>GÄVLEBORGS LÄN</t>
        </is>
      </c>
      <c r="E592" t="inlineStr">
        <is>
          <t>LJUSDAL</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13094-2023</t>
        </is>
      </c>
      <c r="B593" s="1" t="n">
        <v>45002.43677083333</v>
      </c>
      <c r="C593" s="1" t="n">
        <v>46076</v>
      </c>
      <c r="D593" t="inlineStr">
        <is>
          <t>GÄVLEBORGS LÄN</t>
        </is>
      </c>
      <c r="E593" t="inlineStr">
        <is>
          <t>LJUSDAL</t>
        </is>
      </c>
      <c r="F593" t="inlineStr">
        <is>
          <t>Holmen skog AB</t>
        </is>
      </c>
      <c r="G593" t="n">
        <v>3.4</v>
      </c>
      <c r="H593" t="n">
        <v>0</v>
      </c>
      <c r="I593" t="n">
        <v>0</v>
      </c>
      <c r="J593" t="n">
        <v>0</v>
      </c>
      <c r="K593" t="n">
        <v>0</v>
      </c>
      <c r="L593" t="n">
        <v>0</v>
      </c>
      <c r="M593" t="n">
        <v>0</v>
      </c>
      <c r="N593" t="n">
        <v>0</v>
      </c>
      <c r="O593" t="n">
        <v>0</v>
      </c>
      <c r="P593" t="n">
        <v>0</v>
      </c>
      <c r="Q593" t="n">
        <v>0</v>
      </c>
      <c r="R593" s="2" t="inlineStr"/>
    </row>
    <row r="594" ht="15" customHeight="1">
      <c r="A594" t="inlineStr">
        <is>
          <t>A 38559-2025</t>
        </is>
      </c>
      <c r="B594" s="1" t="n">
        <v>45884.44716435186</v>
      </c>
      <c r="C594" s="1" t="n">
        <v>46076</v>
      </c>
      <c r="D594" t="inlineStr">
        <is>
          <t>GÄVLEBORGS LÄN</t>
        </is>
      </c>
      <c r="E594" t="inlineStr">
        <is>
          <t>LJUSDAL</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28584-2025</t>
        </is>
      </c>
      <c r="B595" s="1" t="n">
        <v>45819.57846064815</v>
      </c>
      <c r="C595" s="1" t="n">
        <v>46076</v>
      </c>
      <c r="D595" t="inlineStr">
        <is>
          <t>GÄVLEBORGS LÄN</t>
        </is>
      </c>
      <c r="E595" t="inlineStr">
        <is>
          <t>LJUSDAL</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67380-2021</t>
        </is>
      </c>
      <c r="B596" s="1" t="n">
        <v>44523</v>
      </c>
      <c r="C596" s="1" t="n">
        <v>46076</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58783-2022</t>
        </is>
      </c>
      <c r="B597" s="1" t="n">
        <v>44903</v>
      </c>
      <c r="C597" s="1" t="n">
        <v>46076</v>
      </c>
      <c r="D597" t="inlineStr">
        <is>
          <t>GÄVLEBORGS LÄN</t>
        </is>
      </c>
      <c r="E597" t="inlineStr">
        <is>
          <t>LJUSDAL</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54926-2024</t>
        </is>
      </c>
      <c r="B598" s="1" t="n">
        <v>45618.71902777778</v>
      </c>
      <c r="C598" s="1" t="n">
        <v>46076</v>
      </c>
      <c r="D598" t="inlineStr">
        <is>
          <t>GÄVLEBORGS LÄN</t>
        </is>
      </c>
      <c r="E598" t="inlineStr">
        <is>
          <t>LJUSDAL</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29014-2025</t>
        </is>
      </c>
      <c r="B599" s="1" t="n">
        <v>45821.40796296296</v>
      </c>
      <c r="C599" s="1" t="n">
        <v>46076</v>
      </c>
      <c r="D599" t="inlineStr">
        <is>
          <t>GÄVLEBORGS LÄN</t>
        </is>
      </c>
      <c r="E599" t="inlineStr">
        <is>
          <t>LJUSDAL</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28903-2025</t>
        </is>
      </c>
      <c r="B600" s="1" t="n">
        <v>45820.64299768519</v>
      </c>
      <c r="C600" s="1" t="n">
        <v>46076</v>
      </c>
      <c r="D600" t="inlineStr">
        <is>
          <t>GÄVLEBORGS LÄN</t>
        </is>
      </c>
      <c r="E600" t="inlineStr">
        <is>
          <t>LJUSDAL</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38758-2025</t>
        </is>
      </c>
      <c r="B601" s="1" t="n">
        <v>45887.39670138889</v>
      </c>
      <c r="C601" s="1" t="n">
        <v>46076</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7603-2024</t>
        </is>
      </c>
      <c r="B602" s="1" t="n">
        <v>45348.56818287037</v>
      </c>
      <c r="C602" s="1" t="n">
        <v>46076</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28955-2025</t>
        </is>
      </c>
      <c r="B603" s="1" t="n">
        <v>45821.28813657408</v>
      </c>
      <c r="C603" s="1" t="n">
        <v>46076</v>
      </c>
      <c r="D603" t="inlineStr">
        <is>
          <t>GÄVLEBORGS LÄN</t>
        </is>
      </c>
      <c r="E603" t="inlineStr">
        <is>
          <t>LJUSDAL</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32121-2025</t>
        </is>
      </c>
      <c r="B604" s="1" t="n">
        <v>45835.49260416667</v>
      </c>
      <c r="C604" s="1" t="n">
        <v>46076</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29254-2025</t>
        </is>
      </c>
      <c r="B605" s="1" t="n">
        <v>45824.38350694445</v>
      </c>
      <c r="C605" s="1" t="n">
        <v>46076</v>
      </c>
      <c r="D605" t="inlineStr">
        <is>
          <t>GÄVLEBORGS LÄN</t>
        </is>
      </c>
      <c r="E605" t="inlineStr">
        <is>
          <t>LJUSDAL</t>
        </is>
      </c>
      <c r="F605" t="inlineStr">
        <is>
          <t>Holmen skog AB</t>
        </is>
      </c>
      <c r="G605" t="n">
        <v>3.4</v>
      </c>
      <c r="H605" t="n">
        <v>0</v>
      </c>
      <c r="I605" t="n">
        <v>0</v>
      </c>
      <c r="J605" t="n">
        <v>0</v>
      </c>
      <c r="K605" t="n">
        <v>0</v>
      </c>
      <c r="L605" t="n">
        <v>0</v>
      </c>
      <c r="M605" t="n">
        <v>0</v>
      </c>
      <c r="N605" t="n">
        <v>0</v>
      </c>
      <c r="O605" t="n">
        <v>0</v>
      </c>
      <c r="P605" t="n">
        <v>0</v>
      </c>
      <c r="Q605" t="n">
        <v>0</v>
      </c>
      <c r="R605" s="2" t="inlineStr"/>
    </row>
    <row r="606" ht="15" customHeight="1">
      <c r="A606" t="inlineStr">
        <is>
          <t>A 29523-2025</t>
        </is>
      </c>
      <c r="B606" s="1" t="n">
        <v>45825.33288194444</v>
      </c>
      <c r="C606" s="1" t="n">
        <v>46076</v>
      </c>
      <c r="D606" t="inlineStr">
        <is>
          <t>GÄVLEBORGS LÄN</t>
        </is>
      </c>
      <c r="E606" t="inlineStr">
        <is>
          <t>LJUSDAL</t>
        </is>
      </c>
      <c r="G606" t="n">
        <v>1.2</v>
      </c>
      <c r="H606" t="n">
        <v>0</v>
      </c>
      <c r="I606" t="n">
        <v>0</v>
      </c>
      <c r="J606" t="n">
        <v>0</v>
      </c>
      <c r="K606" t="n">
        <v>0</v>
      </c>
      <c r="L606" t="n">
        <v>0</v>
      </c>
      <c r="M606" t="n">
        <v>0</v>
      </c>
      <c r="N606" t="n">
        <v>0</v>
      </c>
      <c r="O606" t="n">
        <v>0</v>
      </c>
      <c r="P606" t="n">
        <v>0</v>
      </c>
      <c r="Q606" t="n">
        <v>0</v>
      </c>
      <c r="R606" s="2" t="inlineStr"/>
    </row>
    <row r="607" ht="15" customHeight="1">
      <c r="A607" t="inlineStr">
        <is>
          <t>A 29415-2025</t>
        </is>
      </c>
      <c r="B607" s="1" t="n">
        <v>45824.62717592593</v>
      </c>
      <c r="C607" s="1" t="n">
        <v>46076</v>
      </c>
      <c r="D607" t="inlineStr">
        <is>
          <t>GÄVLEBORGS LÄN</t>
        </is>
      </c>
      <c r="E607" t="inlineStr">
        <is>
          <t>LJUSDAL</t>
        </is>
      </c>
      <c r="G607" t="n">
        <v>15.1</v>
      </c>
      <c r="H607" t="n">
        <v>0</v>
      </c>
      <c r="I607" t="n">
        <v>0</v>
      </c>
      <c r="J607" t="n">
        <v>0</v>
      </c>
      <c r="K607" t="n">
        <v>0</v>
      </c>
      <c r="L607" t="n">
        <v>0</v>
      </c>
      <c r="M607" t="n">
        <v>0</v>
      </c>
      <c r="N607" t="n">
        <v>0</v>
      </c>
      <c r="O607" t="n">
        <v>0</v>
      </c>
      <c r="P607" t="n">
        <v>0</v>
      </c>
      <c r="Q607" t="n">
        <v>0</v>
      </c>
      <c r="R607" s="2" t="inlineStr"/>
    </row>
    <row r="608" ht="15" customHeight="1">
      <c r="A608" t="inlineStr">
        <is>
          <t>A 29491-2025</t>
        </is>
      </c>
      <c r="B608" s="1" t="n">
        <v>45824.78724537037</v>
      </c>
      <c r="C608" s="1" t="n">
        <v>46076</v>
      </c>
      <c r="D608" t="inlineStr">
        <is>
          <t>GÄVLEBORGS LÄN</t>
        </is>
      </c>
      <c r="E608" t="inlineStr">
        <is>
          <t>LJUSDAL</t>
        </is>
      </c>
      <c r="G608" t="n">
        <v>1.4</v>
      </c>
      <c r="H608" t="n">
        <v>0</v>
      </c>
      <c r="I608" t="n">
        <v>0</v>
      </c>
      <c r="J608" t="n">
        <v>0</v>
      </c>
      <c r="K608" t="n">
        <v>0</v>
      </c>
      <c r="L608" t="n">
        <v>0</v>
      </c>
      <c r="M608" t="n">
        <v>0</v>
      </c>
      <c r="N608" t="n">
        <v>0</v>
      </c>
      <c r="O608" t="n">
        <v>0</v>
      </c>
      <c r="P608" t="n">
        <v>0</v>
      </c>
      <c r="Q608" t="n">
        <v>0</v>
      </c>
      <c r="R608" s="2" t="inlineStr"/>
    </row>
    <row r="609" ht="15" customHeight="1">
      <c r="A609" t="inlineStr">
        <is>
          <t>A 27440-2025</t>
        </is>
      </c>
      <c r="B609" s="1" t="n">
        <v>45813.3159375</v>
      </c>
      <c r="C609" s="1" t="n">
        <v>46076</v>
      </c>
      <c r="D609" t="inlineStr">
        <is>
          <t>GÄVLEBORGS LÄN</t>
        </is>
      </c>
      <c r="E609" t="inlineStr">
        <is>
          <t>LJUSDAL</t>
        </is>
      </c>
      <c r="G609" t="n">
        <v>3.3</v>
      </c>
      <c r="H609" t="n">
        <v>0</v>
      </c>
      <c r="I609" t="n">
        <v>0</v>
      </c>
      <c r="J609" t="n">
        <v>0</v>
      </c>
      <c r="K609" t="n">
        <v>0</v>
      </c>
      <c r="L609" t="n">
        <v>0</v>
      </c>
      <c r="M609" t="n">
        <v>0</v>
      </c>
      <c r="N609" t="n">
        <v>0</v>
      </c>
      <c r="O609" t="n">
        <v>0</v>
      </c>
      <c r="P609" t="n">
        <v>0</v>
      </c>
      <c r="Q609" t="n">
        <v>0</v>
      </c>
      <c r="R609" s="2" t="inlineStr"/>
    </row>
    <row r="610" ht="15" customHeight="1">
      <c r="A610" t="inlineStr">
        <is>
          <t>A 22627-2023</t>
        </is>
      </c>
      <c r="B610" s="1" t="n">
        <v>45071.58001157407</v>
      </c>
      <c r="C610" s="1" t="n">
        <v>46076</v>
      </c>
      <c r="D610" t="inlineStr">
        <is>
          <t>GÄVLEBORGS LÄN</t>
        </is>
      </c>
      <c r="E610" t="inlineStr">
        <is>
          <t>LJUSDAL</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30673-2025</t>
        </is>
      </c>
      <c r="B611" s="1" t="n">
        <v>45831.51881944444</v>
      </c>
      <c r="C611" s="1" t="n">
        <v>46076</v>
      </c>
      <c r="D611" t="inlineStr">
        <is>
          <t>GÄVLEBORGS LÄN</t>
        </is>
      </c>
      <c r="E611" t="inlineStr">
        <is>
          <t>LJUSDAL</t>
        </is>
      </c>
      <c r="G611" t="n">
        <v>3.9</v>
      </c>
      <c r="H611" t="n">
        <v>0</v>
      </c>
      <c r="I611" t="n">
        <v>0</v>
      </c>
      <c r="J611" t="n">
        <v>0</v>
      </c>
      <c r="K611" t="n">
        <v>0</v>
      </c>
      <c r="L611" t="n">
        <v>0</v>
      </c>
      <c r="M611" t="n">
        <v>0</v>
      </c>
      <c r="N611" t="n">
        <v>0</v>
      </c>
      <c r="O611" t="n">
        <v>0</v>
      </c>
      <c r="P611" t="n">
        <v>0</v>
      </c>
      <c r="Q611" t="n">
        <v>0</v>
      </c>
      <c r="R611" s="2" t="inlineStr"/>
    </row>
    <row r="612" ht="15" customHeight="1">
      <c r="A612" t="inlineStr">
        <is>
          <t>A 2396-2024</t>
        </is>
      </c>
      <c r="B612" s="1" t="n">
        <v>45310</v>
      </c>
      <c r="C612" s="1" t="n">
        <v>46076</v>
      </c>
      <c r="D612" t="inlineStr">
        <is>
          <t>GÄVLEBORGS LÄN</t>
        </is>
      </c>
      <c r="E612" t="inlineStr">
        <is>
          <t>LJUSDAL</t>
        </is>
      </c>
      <c r="G612" t="n">
        <v>3</v>
      </c>
      <c r="H612" t="n">
        <v>0</v>
      </c>
      <c r="I612" t="n">
        <v>0</v>
      </c>
      <c r="J612" t="n">
        <v>0</v>
      </c>
      <c r="K612" t="n">
        <v>0</v>
      </c>
      <c r="L612" t="n">
        <v>0</v>
      </c>
      <c r="M612" t="n">
        <v>0</v>
      </c>
      <c r="N612" t="n">
        <v>0</v>
      </c>
      <c r="O612" t="n">
        <v>0</v>
      </c>
      <c r="P612" t="n">
        <v>0</v>
      </c>
      <c r="Q612" t="n">
        <v>0</v>
      </c>
      <c r="R612" s="2" t="inlineStr"/>
    </row>
    <row r="613" ht="15" customHeight="1">
      <c r="A613" t="inlineStr">
        <is>
          <t>A 19190-2024</t>
        </is>
      </c>
      <c r="B613" s="1" t="n">
        <v>45428</v>
      </c>
      <c r="C613" s="1" t="n">
        <v>46076</v>
      </c>
      <c r="D613" t="inlineStr">
        <is>
          <t>GÄVLEBORGS LÄN</t>
        </is>
      </c>
      <c r="E613" t="inlineStr">
        <is>
          <t>LJUSDAL</t>
        </is>
      </c>
      <c r="G613" t="n">
        <v>4.8</v>
      </c>
      <c r="H613" t="n">
        <v>0</v>
      </c>
      <c r="I613" t="n">
        <v>0</v>
      </c>
      <c r="J613" t="n">
        <v>0</v>
      </c>
      <c r="K613" t="n">
        <v>0</v>
      </c>
      <c r="L613" t="n">
        <v>0</v>
      </c>
      <c r="M613" t="n">
        <v>0</v>
      </c>
      <c r="N613" t="n">
        <v>0</v>
      </c>
      <c r="O613" t="n">
        <v>0</v>
      </c>
      <c r="P613" t="n">
        <v>0</v>
      </c>
      <c r="Q613" t="n">
        <v>0</v>
      </c>
      <c r="R613" s="2" t="inlineStr"/>
    </row>
    <row r="614" ht="15" customHeight="1">
      <c r="A614" t="inlineStr">
        <is>
          <t>A 29252-2025</t>
        </is>
      </c>
      <c r="B614" s="1" t="n">
        <v>45824.37804398148</v>
      </c>
      <c r="C614" s="1" t="n">
        <v>46076</v>
      </c>
      <c r="D614" t="inlineStr">
        <is>
          <t>GÄVLEBORGS LÄN</t>
        </is>
      </c>
      <c r="E614" t="inlineStr">
        <is>
          <t>LJUSDAL</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39108-2025</t>
        </is>
      </c>
      <c r="B615" s="1" t="n">
        <v>45888.53942129629</v>
      </c>
      <c r="C615" s="1" t="n">
        <v>46076</v>
      </c>
      <c r="D615" t="inlineStr">
        <is>
          <t>GÄVLEBORGS LÄN</t>
        </is>
      </c>
      <c r="E615" t="inlineStr">
        <is>
          <t>LJUSDAL</t>
        </is>
      </c>
      <c r="F615" t="inlineStr">
        <is>
          <t>Allmännings- och besparingsskogar</t>
        </is>
      </c>
      <c r="G615" t="n">
        <v>3.7</v>
      </c>
      <c r="H615" t="n">
        <v>0</v>
      </c>
      <c r="I615" t="n">
        <v>0</v>
      </c>
      <c r="J615" t="n">
        <v>0</v>
      </c>
      <c r="K615" t="n">
        <v>0</v>
      </c>
      <c r="L615" t="n">
        <v>0</v>
      </c>
      <c r="M615" t="n">
        <v>0</v>
      </c>
      <c r="N615" t="n">
        <v>0</v>
      </c>
      <c r="O615" t="n">
        <v>0</v>
      </c>
      <c r="P615" t="n">
        <v>0</v>
      </c>
      <c r="Q615" t="n">
        <v>0</v>
      </c>
      <c r="R615" s="2" t="inlineStr"/>
    </row>
    <row r="616" ht="15" customHeight="1">
      <c r="A616" t="inlineStr">
        <is>
          <t>A 44048-2022</t>
        </is>
      </c>
      <c r="B616" s="1" t="n">
        <v>44838.94913194444</v>
      </c>
      <c r="C616" s="1" t="n">
        <v>46076</v>
      </c>
      <c r="D616" t="inlineStr">
        <is>
          <t>GÄVLEBORGS LÄN</t>
        </is>
      </c>
      <c r="E616" t="inlineStr">
        <is>
          <t>LJUSDAL</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52729-2023</t>
        </is>
      </c>
      <c r="B617" s="1" t="n">
        <v>45225.92707175926</v>
      </c>
      <c r="C617" s="1" t="n">
        <v>46076</v>
      </c>
      <c r="D617" t="inlineStr">
        <is>
          <t>GÄVLEBORGS LÄN</t>
        </is>
      </c>
      <c r="E617" t="inlineStr">
        <is>
          <t>LJUSDAL</t>
        </is>
      </c>
      <c r="G617" t="n">
        <v>3.1</v>
      </c>
      <c r="H617" t="n">
        <v>0</v>
      </c>
      <c r="I617" t="n">
        <v>0</v>
      </c>
      <c r="J617" t="n">
        <v>0</v>
      </c>
      <c r="K617" t="n">
        <v>0</v>
      </c>
      <c r="L617" t="n">
        <v>0</v>
      </c>
      <c r="M617" t="n">
        <v>0</v>
      </c>
      <c r="N617" t="n">
        <v>0</v>
      </c>
      <c r="O617" t="n">
        <v>0</v>
      </c>
      <c r="P617" t="n">
        <v>0</v>
      </c>
      <c r="Q617" t="n">
        <v>0</v>
      </c>
      <c r="R617" s="2" t="inlineStr"/>
    </row>
    <row r="618" ht="15" customHeight="1">
      <c r="A618" t="inlineStr">
        <is>
          <t>A 29358-2025</t>
        </is>
      </c>
      <c r="B618" s="1" t="n">
        <v>45824.55981481481</v>
      </c>
      <c r="C618" s="1" t="n">
        <v>46076</v>
      </c>
      <c r="D618" t="inlineStr">
        <is>
          <t>GÄVLEBORGS LÄN</t>
        </is>
      </c>
      <c r="E618" t="inlineStr">
        <is>
          <t>LJUSDAL</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29493-2025</t>
        </is>
      </c>
      <c r="B619" s="1" t="n">
        <v>45824.80202546297</v>
      </c>
      <c r="C619" s="1" t="n">
        <v>46076</v>
      </c>
      <c r="D619" t="inlineStr">
        <is>
          <t>GÄVLEBORGS LÄN</t>
        </is>
      </c>
      <c r="E619" t="inlineStr">
        <is>
          <t>LJUSDAL</t>
        </is>
      </c>
      <c r="G619" t="n">
        <v>3.2</v>
      </c>
      <c r="H619" t="n">
        <v>0</v>
      </c>
      <c r="I619" t="n">
        <v>0</v>
      </c>
      <c r="J619" t="n">
        <v>0</v>
      </c>
      <c r="K619" t="n">
        <v>0</v>
      </c>
      <c r="L619" t="n">
        <v>0</v>
      </c>
      <c r="M619" t="n">
        <v>0</v>
      </c>
      <c r="N619" t="n">
        <v>0</v>
      </c>
      <c r="O619" t="n">
        <v>0</v>
      </c>
      <c r="P619" t="n">
        <v>0</v>
      </c>
      <c r="Q619" t="n">
        <v>0</v>
      </c>
      <c r="R619" s="2" t="inlineStr"/>
    </row>
    <row r="620" ht="15" customHeight="1">
      <c r="A620" t="inlineStr">
        <is>
          <t>A 53544-2023</t>
        </is>
      </c>
      <c r="B620" s="1" t="n">
        <v>45230.46125</v>
      </c>
      <c r="C620" s="1" t="n">
        <v>46076</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39012-2025</t>
        </is>
      </c>
      <c r="B621" s="1" t="n">
        <v>45888.35570601852</v>
      </c>
      <c r="C621" s="1" t="n">
        <v>46076</v>
      </c>
      <c r="D621" t="inlineStr">
        <is>
          <t>GÄVLEBORGS LÄN</t>
        </is>
      </c>
      <c r="E621" t="inlineStr">
        <is>
          <t>LJUSDAL</t>
        </is>
      </c>
      <c r="F621" t="inlineStr">
        <is>
          <t>Allmännings- och besparingsskogar</t>
        </is>
      </c>
      <c r="G621" t="n">
        <v>1.2</v>
      </c>
      <c r="H621" t="n">
        <v>0</v>
      </c>
      <c r="I621" t="n">
        <v>0</v>
      </c>
      <c r="J621" t="n">
        <v>0</v>
      </c>
      <c r="K621" t="n">
        <v>0</v>
      </c>
      <c r="L621" t="n">
        <v>0</v>
      </c>
      <c r="M621" t="n">
        <v>0</v>
      </c>
      <c r="N621" t="n">
        <v>0</v>
      </c>
      <c r="O621" t="n">
        <v>0</v>
      </c>
      <c r="P621" t="n">
        <v>0</v>
      </c>
      <c r="Q621" t="n">
        <v>0</v>
      </c>
      <c r="R621" s="2" t="inlineStr"/>
    </row>
    <row r="622" ht="15" customHeight="1">
      <c r="A622" t="inlineStr">
        <is>
          <t>A 29013-2025</t>
        </is>
      </c>
      <c r="B622" s="1" t="n">
        <v>45821.40672453704</v>
      </c>
      <c r="C622" s="1" t="n">
        <v>46076</v>
      </c>
      <c r="D622" t="inlineStr">
        <is>
          <t>GÄVLEBORGS LÄN</t>
        </is>
      </c>
      <c r="E622" t="inlineStr">
        <is>
          <t>LJUSDAL</t>
        </is>
      </c>
      <c r="F622" t="inlineStr">
        <is>
          <t>SCA</t>
        </is>
      </c>
      <c r="G622" t="n">
        <v>13.5</v>
      </c>
      <c r="H622" t="n">
        <v>0</v>
      </c>
      <c r="I622" t="n">
        <v>0</v>
      </c>
      <c r="J622" t="n">
        <v>0</v>
      </c>
      <c r="K622" t="n">
        <v>0</v>
      </c>
      <c r="L622" t="n">
        <v>0</v>
      </c>
      <c r="M622" t="n">
        <v>0</v>
      </c>
      <c r="N622" t="n">
        <v>0</v>
      </c>
      <c r="O622" t="n">
        <v>0</v>
      </c>
      <c r="P622" t="n">
        <v>0</v>
      </c>
      <c r="Q622" t="n">
        <v>0</v>
      </c>
      <c r="R622" s="2" t="inlineStr"/>
    </row>
    <row r="623" ht="15" customHeight="1">
      <c r="A623" t="inlineStr">
        <is>
          <t>A 39215-2025</t>
        </is>
      </c>
      <c r="B623" s="1" t="n">
        <v>45888.79549768518</v>
      </c>
      <c r="C623" s="1" t="n">
        <v>46076</v>
      </c>
      <c r="D623" t="inlineStr">
        <is>
          <t>GÄVLEBORGS LÄN</t>
        </is>
      </c>
      <c r="E623" t="inlineStr">
        <is>
          <t>LJUSDAL</t>
        </is>
      </c>
      <c r="G623" t="n">
        <v>1.9</v>
      </c>
      <c r="H623" t="n">
        <v>0</v>
      </c>
      <c r="I623" t="n">
        <v>0</v>
      </c>
      <c r="J623" t="n">
        <v>0</v>
      </c>
      <c r="K623" t="n">
        <v>0</v>
      </c>
      <c r="L623" t="n">
        <v>0</v>
      </c>
      <c r="M623" t="n">
        <v>0</v>
      </c>
      <c r="N623" t="n">
        <v>0</v>
      </c>
      <c r="O623" t="n">
        <v>0</v>
      </c>
      <c r="P623" t="n">
        <v>0</v>
      </c>
      <c r="Q623" t="n">
        <v>0</v>
      </c>
      <c r="R623" s="2" t="inlineStr"/>
    </row>
    <row r="624" ht="15" customHeight="1">
      <c r="A624" t="inlineStr">
        <is>
          <t>A 29526-2025</t>
        </is>
      </c>
      <c r="B624" s="1" t="n">
        <v>45825.34037037037</v>
      </c>
      <c r="C624" s="1" t="n">
        <v>46076</v>
      </c>
      <c r="D624" t="inlineStr">
        <is>
          <t>GÄVLEBORGS LÄN</t>
        </is>
      </c>
      <c r="E624" t="inlineStr">
        <is>
          <t>LJUSDAL</t>
        </is>
      </c>
      <c r="G624" t="n">
        <v>1.3</v>
      </c>
      <c r="H624" t="n">
        <v>0</v>
      </c>
      <c r="I624" t="n">
        <v>0</v>
      </c>
      <c r="J624" t="n">
        <v>0</v>
      </c>
      <c r="K624" t="n">
        <v>0</v>
      </c>
      <c r="L624" t="n">
        <v>0</v>
      </c>
      <c r="M624" t="n">
        <v>0</v>
      </c>
      <c r="N624" t="n">
        <v>0</v>
      </c>
      <c r="O624" t="n">
        <v>0</v>
      </c>
      <c r="P624" t="n">
        <v>0</v>
      </c>
      <c r="Q624" t="n">
        <v>0</v>
      </c>
      <c r="R624" s="2" t="inlineStr"/>
    </row>
    <row r="625" ht="15" customHeight="1">
      <c r="A625" t="inlineStr">
        <is>
          <t>A 17475-2025</t>
        </is>
      </c>
      <c r="B625" s="1" t="n">
        <v>45757.48234953704</v>
      </c>
      <c r="C625" s="1" t="n">
        <v>46076</v>
      </c>
      <c r="D625" t="inlineStr">
        <is>
          <t>GÄVLEBORGS LÄN</t>
        </is>
      </c>
      <c r="E625" t="inlineStr">
        <is>
          <t>LJUSDAL</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30961-2025</t>
        </is>
      </c>
      <c r="B626" s="1" t="n">
        <v>45832.44423611111</v>
      </c>
      <c r="C626" s="1" t="n">
        <v>46076</v>
      </c>
      <c r="D626" t="inlineStr">
        <is>
          <t>GÄVLEBORGS LÄN</t>
        </is>
      </c>
      <c r="E626" t="inlineStr">
        <is>
          <t>LJUSDAL</t>
        </is>
      </c>
      <c r="G626" t="n">
        <v>3.2</v>
      </c>
      <c r="H626" t="n">
        <v>0</v>
      </c>
      <c r="I626" t="n">
        <v>0</v>
      </c>
      <c r="J626" t="n">
        <v>0</v>
      </c>
      <c r="K626" t="n">
        <v>0</v>
      </c>
      <c r="L626" t="n">
        <v>0</v>
      </c>
      <c r="M626" t="n">
        <v>0</v>
      </c>
      <c r="N626" t="n">
        <v>0</v>
      </c>
      <c r="O626" t="n">
        <v>0</v>
      </c>
      <c r="P626" t="n">
        <v>0</v>
      </c>
      <c r="Q626" t="n">
        <v>0</v>
      </c>
      <c r="R626" s="2" t="inlineStr"/>
    </row>
    <row r="627" ht="15" customHeight="1">
      <c r="A627" t="inlineStr">
        <is>
          <t>A 52837-2023</t>
        </is>
      </c>
      <c r="B627" s="1" t="n">
        <v>45226.41961805556</v>
      </c>
      <c r="C627" s="1" t="n">
        <v>46076</v>
      </c>
      <c r="D627" t="inlineStr">
        <is>
          <t>GÄVLEBORGS LÄN</t>
        </is>
      </c>
      <c r="E627" t="inlineStr">
        <is>
          <t>LJUSDAL</t>
        </is>
      </c>
      <c r="G627" t="n">
        <v>3</v>
      </c>
      <c r="H627" t="n">
        <v>0</v>
      </c>
      <c r="I627" t="n">
        <v>0</v>
      </c>
      <c r="J627" t="n">
        <v>0</v>
      </c>
      <c r="K627" t="n">
        <v>0</v>
      </c>
      <c r="L627" t="n">
        <v>0</v>
      </c>
      <c r="M627" t="n">
        <v>0</v>
      </c>
      <c r="N627" t="n">
        <v>0</v>
      </c>
      <c r="O627" t="n">
        <v>0</v>
      </c>
      <c r="P627" t="n">
        <v>0</v>
      </c>
      <c r="Q627" t="n">
        <v>0</v>
      </c>
      <c r="R627" s="2" t="inlineStr"/>
    </row>
    <row r="628" ht="15" customHeight="1">
      <c r="A628" t="inlineStr">
        <is>
          <t>A 47292-2023</t>
        </is>
      </c>
      <c r="B628" s="1" t="n">
        <v>45202.47064814815</v>
      </c>
      <c r="C628" s="1" t="n">
        <v>46076</v>
      </c>
      <c r="D628" t="inlineStr">
        <is>
          <t>GÄVLEBORGS LÄN</t>
        </is>
      </c>
      <c r="E628" t="inlineStr">
        <is>
          <t>LJUSDAL</t>
        </is>
      </c>
      <c r="G628" t="n">
        <v>2.1</v>
      </c>
      <c r="H628" t="n">
        <v>0</v>
      </c>
      <c r="I628" t="n">
        <v>0</v>
      </c>
      <c r="J628" t="n">
        <v>0</v>
      </c>
      <c r="K628" t="n">
        <v>0</v>
      </c>
      <c r="L628" t="n">
        <v>0</v>
      </c>
      <c r="M628" t="n">
        <v>0</v>
      </c>
      <c r="N628" t="n">
        <v>0</v>
      </c>
      <c r="O628" t="n">
        <v>0</v>
      </c>
      <c r="P628" t="n">
        <v>0</v>
      </c>
      <c r="Q628" t="n">
        <v>0</v>
      </c>
      <c r="R628" s="2" t="inlineStr"/>
    </row>
    <row r="629" ht="15" customHeight="1">
      <c r="A629" t="inlineStr">
        <is>
          <t>A 39051-2025</t>
        </is>
      </c>
      <c r="B629" s="1" t="n">
        <v>45888.44715277778</v>
      </c>
      <c r="C629" s="1" t="n">
        <v>46076</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39076-2025</t>
        </is>
      </c>
      <c r="B630" s="1" t="n">
        <v>45888.47826388889</v>
      </c>
      <c r="C630" s="1" t="n">
        <v>46076</v>
      </c>
      <c r="D630" t="inlineStr">
        <is>
          <t>GÄVLEBORGS LÄN</t>
        </is>
      </c>
      <c r="E630" t="inlineStr">
        <is>
          <t>LJUSDAL</t>
        </is>
      </c>
      <c r="F630" t="inlineStr">
        <is>
          <t>Allmännings- och besparingsskogar</t>
        </is>
      </c>
      <c r="G630" t="n">
        <v>1.9</v>
      </c>
      <c r="H630" t="n">
        <v>0</v>
      </c>
      <c r="I630" t="n">
        <v>0</v>
      </c>
      <c r="J630" t="n">
        <v>0</v>
      </c>
      <c r="K630" t="n">
        <v>0</v>
      </c>
      <c r="L630" t="n">
        <v>0</v>
      </c>
      <c r="M630" t="n">
        <v>0</v>
      </c>
      <c r="N630" t="n">
        <v>0</v>
      </c>
      <c r="O630" t="n">
        <v>0</v>
      </c>
      <c r="P630" t="n">
        <v>0</v>
      </c>
      <c r="Q630" t="n">
        <v>0</v>
      </c>
      <c r="R630" s="2" t="inlineStr"/>
    </row>
    <row r="631" ht="15" customHeight="1">
      <c r="A631" t="inlineStr">
        <is>
          <t>A 39840-2025</t>
        </is>
      </c>
      <c r="B631" s="1" t="n">
        <v>45891.57127314815</v>
      </c>
      <c r="C631" s="1" t="n">
        <v>46076</v>
      </c>
      <c r="D631" t="inlineStr">
        <is>
          <t>GÄVLEBORGS LÄN</t>
        </is>
      </c>
      <c r="E631" t="inlineStr">
        <is>
          <t>LJUSDAL</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26611-2023</t>
        </is>
      </c>
      <c r="B632" s="1" t="n">
        <v>45092.69458333333</v>
      </c>
      <c r="C632" s="1" t="n">
        <v>46076</v>
      </c>
      <c r="D632" t="inlineStr">
        <is>
          <t>GÄVLEBORGS LÄN</t>
        </is>
      </c>
      <c r="E632" t="inlineStr">
        <is>
          <t>LJUSDAL</t>
        </is>
      </c>
      <c r="G632" t="n">
        <v>1.5</v>
      </c>
      <c r="H632" t="n">
        <v>0</v>
      </c>
      <c r="I632" t="n">
        <v>0</v>
      </c>
      <c r="J632" t="n">
        <v>0</v>
      </c>
      <c r="K632" t="n">
        <v>0</v>
      </c>
      <c r="L632" t="n">
        <v>0</v>
      </c>
      <c r="M632" t="n">
        <v>0</v>
      </c>
      <c r="N632" t="n">
        <v>0</v>
      </c>
      <c r="O632" t="n">
        <v>0</v>
      </c>
      <c r="P632" t="n">
        <v>0</v>
      </c>
      <c r="Q632" t="n">
        <v>0</v>
      </c>
      <c r="R632" s="2" t="inlineStr"/>
    </row>
    <row r="633" ht="15" customHeight="1">
      <c r="A633" t="inlineStr">
        <is>
          <t>A 29790-2023</t>
        </is>
      </c>
      <c r="B633" s="1" t="n">
        <v>45107.52090277777</v>
      </c>
      <c r="C633" s="1" t="n">
        <v>46076</v>
      </c>
      <c r="D633" t="inlineStr">
        <is>
          <t>GÄVLEBORGS LÄN</t>
        </is>
      </c>
      <c r="E633" t="inlineStr">
        <is>
          <t>LJUSDAL</t>
        </is>
      </c>
      <c r="G633" t="n">
        <v>4.8</v>
      </c>
      <c r="H633" t="n">
        <v>0</v>
      </c>
      <c r="I633" t="n">
        <v>0</v>
      </c>
      <c r="J633" t="n">
        <v>0</v>
      </c>
      <c r="K633" t="n">
        <v>0</v>
      </c>
      <c r="L633" t="n">
        <v>0</v>
      </c>
      <c r="M633" t="n">
        <v>0</v>
      </c>
      <c r="N633" t="n">
        <v>0</v>
      </c>
      <c r="O633" t="n">
        <v>0</v>
      </c>
      <c r="P633" t="n">
        <v>0</v>
      </c>
      <c r="Q633" t="n">
        <v>0</v>
      </c>
      <c r="R633" s="2" t="inlineStr"/>
    </row>
    <row r="634" ht="15" customHeight="1">
      <c r="A634" t="inlineStr">
        <is>
          <t>A 27512-2023</t>
        </is>
      </c>
      <c r="B634" s="1" t="n">
        <v>45097</v>
      </c>
      <c r="C634" s="1" t="n">
        <v>46076</v>
      </c>
      <c r="D634" t="inlineStr">
        <is>
          <t>GÄVLEBORGS LÄN</t>
        </is>
      </c>
      <c r="E634" t="inlineStr">
        <is>
          <t>LJUSDAL</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46076</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30082-2025</t>
        </is>
      </c>
      <c r="B636" s="1" t="n">
        <v>45826.6516550926</v>
      </c>
      <c r="C636" s="1" t="n">
        <v>46076</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39537-2025</t>
        </is>
      </c>
      <c r="B637" s="1" t="n">
        <v>45890.44887731481</v>
      </c>
      <c r="C637" s="1" t="n">
        <v>46076</v>
      </c>
      <c r="D637" t="inlineStr">
        <is>
          <t>GÄVLEBORGS LÄN</t>
        </is>
      </c>
      <c r="E637" t="inlineStr">
        <is>
          <t>LJUSDAL</t>
        </is>
      </c>
      <c r="G637" t="n">
        <v>2.7</v>
      </c>
      <c r="H637" t="n">
        <v>0</v>
      </c>
      <c r="I637" t="n">
        <v>0</v>
      </c>
      <c r="J637" t="n">
        <v>0</v>
      </c>
      <c r="K637" t="n">
        <v>0</v>
      </c>
      <c r="L637" t="n">
        <v>0</v>
      </c>
      <c r="M637" t="n">
        <v>0</v>
      </c>
      <c r="N637" t="n">
        <v>0</v>
      </c>
      <c r="O637" t="n">
        <v>0</v>
      </c>
      <c r="P637" t="n">
        <v>0</v>
      </c>
      <c r="Q637" t="n">
        <v>0</v>
      </c>
      <c r="R637" s="2" t="inlineStr"/>
    </row>
    <row r="638" ht="15" customHeight="1">
      <c r="A638" t="inlineStr">
        <is>
          <t>A 5850-2023</t>
        </is>
      </c>
      <c r="B638" s="1" t="n">
        <v>44963.58248842593</v>
      </c>
      <c r="C638" s="1" t="n">
        <v>46076</v>
      </c>
      <c r="D638" t="inlineStr">
        <is>
          <t>GÄVLEBORGS LÄN</t>
        </is>
      </c>
      <c r="E638" t="inlineStr">
        <is>
          <t>LJUSDAL</t>
        </is>
      </c>
      <c r="F638" t="inlineStr">
        <is>
          <t>Allmännings- och besparingsskogar</t>
        </is>
      </c>
      <c r="G638" t="n">
        <v>20.5</v>
      </c>
      <c r="H638" t="n">
        <v>0</v>
      </c>
      <c r="I638" t="n">
        <v>0</v>
      </c>
      <c r="J638" t="n">
        <v>0</v>
      </c>
      <c r="K638" t="n">
        <v>0</v>
      </c>
      <c r="L638" t="n">
        <v>0</v>
      </c>
      <c r="M638" t="n">
        <v>0</v>
      </c>
      <c r="N638" t="n">
        <v>0</v>
      </c>
      <c r="O638" t="n">
        <v>0</v>
      </c>
      <c r="P638" t="n">
        <v>0</v>
      </c>
      <c r="Q638" t="n">
        <v>0</v>
      </c>
      <c r="R638" s="2" t="inlineStr"/>
    </row>
    <row r="639" ht="15" customHeight="1">
      <c r="A639" t="inlineStr">
        <is>
          <t>A 29314-2024</t>
        </is>
      </c>
      <c r="B639" s="1" t="n">
        <v>45483.40184027778</v>
      </c>
      <c r="C639" s="1" t="n">
        <v>46076</v>
      </c>
      <c r="D639" t="inlineStr">
        <is>
          <t>GÄVLEBORGS LÄN</t>
        </is>
      </c>
      <c r="E639" t="inlineStr">
        <is>
          <t>LJUSDAL</t>
        </is>
      </c>
      <c r="G639" t="n">
        <v>4.4</v>
      </c>
      <c r="H639" t="n">
        <v>0</v>
      </c>
      <c r="I639" t="n">
        <v>0</v>
      </c>
      <c r="J639" t="n">
        <v>0</v>
      </c>
      <c r="K639" t="n">
        <v>0</v>
      </c>
      <c r="L639" t="n">
        <v>0</v>
      </c>
      <c r="M639" t="n">
        <v>0</v>
      </c>
      <c r="N639" t="n">
        <v>0</v>
      </c>
      <c r="O639" t="n">
        <v>0</v>
      </c>
      <c r="P639" t="n">
        <v>0</v>
      </c>
      <c r="Q639" t="n">
        <v>0</v>
      </c>
      <c r="R639" s="2" t="inlineStr"/>
    </row>
    <row r="640" ht="15" customHeight="1">
      <c r="A640" t="inlineStr">
        <is>
          <t>A 39551-2025</t>
        </is>
      </c>
      <c r="B640" s="1" t="n">
        <v>45890.4650925926</v>
      </c>
      <c r="C640" s="1" t="n">
        <v>46076</v>
      </c>
      <c r="D640" t="inlineStr">
        <is>
          <t>GÄVLEBORGS LÄN</t>
        </is>
      </c>
      <c r="E640" t="inlineStr">
        <is>
          <t>LJUSDAL</t>
        </is>
      </c>
      <c r="G640" t="n">
        <v>1.8</v>
      </c>
      <c r="H640" t="n">
        <v>0</v>
      </c>
      <c r="I640" t="n">
        <v>0</v>
      </c>
      <c r="J640" t="n">
        <v>0</v>
      </c>
      <c r="K640" t="n">
        <v>0</v>
      </c>
      <c r="L640" t="n">
        <v>0</v>
      </c>
      <c r="M640" t="n">
        <v>0</v>
      </c>
      <c r="N640" t="n">
        <v>0</v>
      </c>
      <c r="O640" t="n">
        <v>0</v>
      </c>
      <c r="P640" t="n">
        <v>0</v>
      </c>
      <c r="Q640" t="n">
        <v>0</v>
      </c>
      <c r="R640" s="2" t="inlineStr"/>
    </row>
    <row r="641" ht="15" customHeight="1">
      <c r="A641" t="inlineStr">
        <is>
          <t>A 24256-2025</t>
        </is>
      </c>
      <c r="B641" s="1" t="n">
        <v>45797.40541666667</v>
      </c>
      <c r="C641" s="1" t="n">
        <v>46076</v>
      </c>
      <c r="D641" t="inlineStr">
        <is>
          <t>GÄVLEBORGS LÄN</t>
        </is>
      </c>
      <c r="E641" t="inlineStr">
        <is>
          <t>LJUSDAL</t>
        </is>
      </c>
      <c r="G641" t="n">
        <v>14.9</v>
      </c>
      <c r="H641" t="n">
        <v>0</v>
      </c>
      <c r="I641" t="n">
        <v>0</v>
      </c>
      <c r="J641" t="n">
        <v>0</v>
      </c>
      <c r="K641" t="n">
        <v>0</v>
      </c>
      <c r="L641" t="n">
        <v>0</v>
      </c>
      <c r="M641" t="n">
        <v>0</v>
      </c>
      <c r="N641" t="n">
        <v>0</v>
      </c>
      <c r="O641" t="n">
        <v>0</v>
      </c>
      <c r="P641" t="n">
        <v>0</v>
      </c>
      <c r="Q641" t="n">
        <v>0</v>
      </c>
      <c r="R641" s="2" t="inlineStr"/>
    </row>
    <row r="642" ht="15" customHeight="1">
      <c r="A642" t="inlineStr">
        <is>
          <t>A 39695-2025</t>
        </is>
      </c>
      <c r="B642" s="1" t="n">
        <v>45890</v>
      </c>
      <c r="C642" s="1" t="n">
        <v>46076</v>
      </c>
      <c r="D642" t="inlineStr">
        <is>
          <t>GÄVLEBORGS LÄN</t>
        </is>
      </c>
      <c r="E642" t="inlineStr">
        <is>
          <t>LJUSDAL</t>
        </is>
      </c>
      <c r="G642" t="n">
        <v>4.3</v>
      </c>
      <c r="H642" t="n">
        <v>0</v>
      </c>
      <c r="I642" t="n">
        <v>0</v>
      </c>
      <c r="J642" t="n">
        <v>0</v>
      </c>
      <c r="K642" t="n">
        <v>0</v>
      </c>
      <c r="L642" t="n">
        <v>0</v>
      </c>
      <c r="M642" t="n">
        <v>0</v>
      </c>
      <c r="N642" t="n">
        <v>0</v>
      </c>
      <c r="O642" t="n">
        <v>0</v>
      </c>
      <c r="P642" t="n">
        <v>0</v>
      </c>
      <c r="Q642" t="n">
        <v>0</v>
      </c>
      <c r="R642" s="2" t="inlineStr"/>
    </row>
    <row r="643" ht="15" customHeight="1">
      <c r="A643" t="inlineStr">
        <is>
          <t>A 39621-2025</t>
        </is>
      </c>
      <c r="B643" s="1" t="n">
        <v>45890.5737962963</v>
      </c>
      <c r="C643" s="1" t="n">
        <v>46076</v>
      </c>
      <c r="D643" t="inlineStr">
        <is>
          <t>GÄVLEBORGS LÄN</t>
        </is>
      </c>
      <c r="E643" t="inlineStr">
        <is>
          <t>LJUSDAL</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39708-2025</t>
        </is>
      </c>
      <c r="B644" s="1" t="n">
        <v>45890.83747685186</v>
      </c>
      <c r="C644" s="1" t="n">
        <v>46076</v>
      </c>
      <c r="D644" t="inlineStr">
        <is>
          <t>GÄVLEBORGS LÄN</t>
        </is>
      </c>
      <c r="E644" t="inlineStr">
        <is>
          <t>LJUSDAL</t>
        </is>
      </c>
      <c r="F644" t="inlineStr">
        <is>
          <t>Holmen skog AB</t>
        </is>
      </c>
      <c r="G644" t="n">
        <v>10.4</v>
      </c>
      <c r="H644" t="n">
        <v>0</v>
      </c>
      <c r="I644" t="n">
        <v>0</v>
      </c>
      <c r="J644" t="n">
        <v>0</v>
      </c>
      <c r="K644" t="n">
        <v>0</v>
      </c>
      <c r="L644" t="n">
        <v>0</v>
      </c>
      <c r="M644" t="n">
        <v>0</v>
      </c>
      <c r="N644" t="n">
        <v>0</v>
      </c>
      <c r="O644" t="n">
        <v>0</v>
      </c>
      <c r="P644" t="n">
        <v>0</v>
      </c>
      <c r="Q644" t="n">
        <v>0</v>
      </c>
      <c r="R644" s="2" t="inlineStr"/>
    </row>
    <row r="645" ht="15" customHeight="1">
      <c r="A645" t="inlineStr">
        <is>
          <t>A 34058-2022</t>
        </is>
      </c>
      <c r="B645" s="1" t="n">
        <v>44791.37611111111</v>
      </c>
      <c r="C645" s="1" t="n">
        <v>46076</v>
      </c>
      <c r="D645" t="inlineStr">
        <is>
          <t>GÄVLEBORGS LÄN</t>
        </is>
      </c>
      <c r="E645" t="inlineStr">
        <is>
          <t>LJUSDAL</t>
        </is>
      </c>
      <c r="G645" t="n">
        <v>2.2</v>
      </c>
      <c r="H645" t="n">
        <v>0</v>
      </c>
      <c r="I645" t="n">
        <v>0</v>
      </c>
      <c r="J645" t="n">
        <v>0</v>
      </c>
      <c r="K645" t="n">
        <v>0</v>
      </c>
      <c r="L645" t="n">
        <v>0</v>
      </c>
      <c r="M645" t="n">
        <v>0</v>
      </c>
      <c r="N645" t="n">
        <v>0</v>
      </c>
      <c r="O645" t="n">
        <v>0</v>
      </c>
      <c r="P645" t="n">
        <v>0</v>
      </c>
      <c r="Q645" t="n">
        <v>0</v>
      </c>
      <c r="R645" s="2" t="inlineStr"/>
    </row>
    <row r="646" ht="15" customHeight="1">
      <c r="A646" t="inlineStr">
        <is>
          <t>A 4195-2023</t>
        </is>
      </c>
      <c r="B646" s="1" t="n">
        <v>44953.43362268519</v>
      </c>
      <c r="C646" s="1" t="n">
        <v>46076</v>
      </c>
      <c r="D646" t="inlineStr">
        <is>
          <t>GÄVLEBORGS LÄN</t>
        </is>
      </c>
      <c r="E646" t="inlineStr">
        <is>
          <t>LJUSDAL</t>
        </is>
      </c>
      <c r="F646" t="inlineStr">
        <is>
          <t>Holmen skog AB</t>
        </is>
      </c>
      <c r="G646" t="n">
        <v>3.3</v>
      </c>
      <c r="H646" t="n">
        <v>0</v>
      </c>
      <c r="I646" t="n">
        <v>0</v>
      </c>
      <c r="J646" t="n">
        <v>0</v>
      </c>
      <c r="K646" t="n">
        <v>0</v>
      </c>
      <c r="L646" t="n">
        <v>0</v>
      </c>
      <c r="M646" t="n">
        <v>0</v>
      </c>
      <c r="N646" t="n">
        <v>0</v>
      </c>
      <c r="O646" t="n">
        <v>0</v>
      </c>
      <c r="P646" t="n">
        <v>0</v>
      </c>
      <c r="Q646" t="n">
        <v>0</v>
      </c>
      <c r="R646" s="2" t="inlineStr"/>
    </row>
    <row r="647" ht="15" customHeight="1">
      <c r="A647" t="inlineStr">
        <is>
          <t>A 835-2023</t>
        </is>
      </c>
      <c r="B647" s="1" t="n">
        <v>44931</v>
      </c>
      <c r="C647" s="1" t="n">
        <v>46076</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29686-2023</t>
        </is>
      </c>
      <c r="B648" s="1" t="n">
        <v>45107.38175925926</v>
      </c>
      <c r="C648" s="1" t="n">
        <v>46076</v>
      </c>
      <c r="D648" t="inlineStr">
        <is>
          <t>GÄVLEBORGS LÄN</t>
        </is>
      </c>
      <c r="E648" t="inlineStr">
        <is>
          <t>LJUSDAL</t>
        </is>
      </c>
      <c r="G648" t="n">
        <v>1.6</v>
      </c>
      <c r="H648" t="n">
        <v>0</v>
      </c>
      <c r="I648" t="n">
        <v>0</v>
      </c>
      <c r="J648" t="n">
        <v>0</v>
      </c>
      <c r="K648" t="n">
        <v>0</v>
      </c>
      <c r="L648" t="n">
        <v>0</v>
      </c>
      <c r="M648" t="n">
        <v>0</v>
      </c>
      <c r="N648" t="n">
        <v>0</v>
      </c>
      <c r="O648" t="n">
        <v>0</v>
      </c>
      <c r="P648" t="n">
        <v>0</v>
      </c>
      <c r="Q648" t="n">
        <v>0</v>
      </c>
      <c r="R648" s="2" t="inlineStr"/>
    </row>
    <row r="649" ht="15" customHeight="1">
      <c r="A649" t="inlineStr">
        <is>
          <t>A 40362-2025</t>
        </is>
      </c>
      <c r="B649" s="1" t="n">
        <v>45895.49094907408</v>
      </c>
      <c r="C649" s="1" t="n">
        <v>46076</v>
      </c>
      <c r="D649" t="inlineStr">
        <is>
          <t>GÄVLEBORGS LÄN</t>
        </is>
      </c>
      <c r="E649" t="inlineStr">
        <is>
          <t>LJUSDAL</t>
        </is>
      </c>
      <c r="G649" t="n">
        <v>0.9</v>
      </c>
      <c r="H649" t="n">
        <v>0</v>
      </c>
      <c r="I649" t="n">
        <v>0</v>
      </c>
      <c r="J649" t="n">
        <v>0</v>
      </c>
      <c r="K649" t="n">
        <v>0</v>
      </c>
      <c r="L649" t="n">
        <v>0</v>
      </c>
      <c r="M649" t="n">
        <v>0</v>
      </c>
      <c r="N649" t="n">
        <v>0</v>
      </c>
      <c r="O649" t="n">
        <v>0</v>
      </c>
      <c r="P649" t="n">
        <v>0</v>
      </c>
      <c r="Q649" t="n">
        <v>0</v>
      </c>
      <c r="R649" s="2" t="inlineStr"/>
    </row>
    <row r="650" ht="15" customHeight="1">
      <c r="A650" t="inlineStr">
        <is>
          <t>A 54897-2024</t>
        </is>
      </c>
      <c r="B650" s="1" t="n">
        <v>45618</v>
      </c>
      <c r="C650" s="1" t="n">
        <v>46076</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48953-2021</t>
        </is>
      </c>
      <c r="B651" s="1" t="n">
        <v>44453.37505787037</v>
      </c>
      <c r="C651" s="1" t="n">
        <v>46076</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40019-2025</t>
        </is>
      </c>
      <c r="B652" s="1" t="n">
        <v>45894.35270833333</v>
      </c>
      <c r="C652" s="1" t="n">
        <v>46076</v>
      </c>
      <c r="D652" t="inlineStr">
        <is>
          <t>GÄVLEBORGS LÄN</t>
        </is>
      </c>
      <c r="E652" t="inlineStr">
        <is>
          <t>LJUSDAL</t>
        </is>
      </c>
      <c r="F652" t="inlineStr">
        <is>
          <t>Allmännings- och besparingsskogar</t>
        </is>
      </c>
      <c r="G652" t="n">
        <v>12.2</v>
      </c>
      <c r="H652" t="n">
        <v>0</v>
      </c>
      <c r="I652" t="n">
        <v>0</v>
      </c>
      <c r="J652" t="n">
        <v>0</v>
      </c>
      <c r="K652" t="n">
        <v>0</v>
      </c>
      <c r="L652" t="n">
        <v>0</v>
      </c>
      <c r="M652" t="n">
        <v>0</v>
      </c>
      <c r="N652" t="n">
        <v>0</v>
      </c>
      <c r="O652" t="n">
        <v>0</v>
      </c>
      <c r="P652" t="n">
        <v>0</v>
      </c>
      <c r="Q652" t="n">
        <v>0</v>
      </c>
      <c r="R652" s="2" t="inlineStr"/>
    </row>
    <row r="653" ht="15" customHeight="1">
      <c r="A653" t="inlineStr">
        <is>
          <t>A 40355-2025</t>
        </is>
      </c>
      <c r="B653" s="1" t="n">
        <v>45895.48716435185</v>
      </c>
      <c r="C653" s="1" t="n">
        <v>46076</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36170-2023</t>
        </is>
      </c>
      <c r="B654" s="1" t="n">
        <v>45149.6374074074</v>
      </c>
      <c r="C654" s="1" t="n">
        <v>46076</v>
      </c>
      <c r="D654" t="inlineStr">
        <is>
          <t>GÄVLEBORGS LÄN</t>
        </is>
      </c>
      <c r="E654" t="inlineStr">
        <is>
          <t>LJUSDAL</t>
        </is>
      </c>
      <c r="F654" t="inlineStr">
        <is>
          <t>Sveaskog</t>
        </is>
      </c>
      <c r="G654" t="n">
        <v>9.4</v>
      </c>
      <c r="H654" t="n">
        <v>0</v>
      </c>
      <c r="I654" t="n">
        <v>0</v>
      </c>
      <c r="J654" t="n">
        <v>0</v>
      </c>
      <c r="K654" t="n">
        <v>0</v>
      </c>
      <c r="L654" t="n">
        <v>0</v>
      </c>
      <c r="M654" t="n">
        <v>0</v>
      </c>
      <c r="N654" t="n">
        <v>0</v>
      </c>
      <c r="O654" t="n">
        <v>0</v>
      </c>
      <c r="P654" t="n">
        <v>0</v>
      </c>
      <c r="Q654" t="n">
        <v>0</v>
      </c>
      <c r="R654" s="2" t="inlineStr"/>
    </row>
    <row r="655" ht="15" customHeight="1">
      <c r="A655" t="inlineStr">
        <is>
          <t>A 30665-2025</t>
        </is>
      </c>
      <c r="B655" s="1" t="n">
        <v>45831.51395833334</v>
      </c>
      <c r="C655" s="1" t="n">
        <v>46076</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59931-2023</t>
        </is>
      </c>
      <c r="B656" s="1" t="n">
        <v>45257.66400462963</v>
      </c>
      <c r="C656" s="1" t="n">
        <v>46076</v>
      </c>
      <c r="D656" t="inlineStr">
        <is>
          <t>GÄVLEBORGS LÄN</t>
        </is>
      </c>
      <c r="E656" t="inlineStr">
        <is>
          <t>LJUSDAL</t>
        </is>
      </c>
      <c r="G656" t="n">
        <v>4.2</v>
      </c>
      <c r="H656" t="n">
        <v>0</v>
      </c>
      <c r="I656" t="n">
        <v>0</v>
      </c>
      <c r="J656" t="n">
        <v>0</v>
      </c>
      <c r="K656" t="n">
        <v>0</v>
      </c>
      <c r="L656" t="n">
        <v>0</v>
      </c>
      <c r="M656" t="n">
        <v>0</v>
      </c>
      <c r="N656" t="n">
        <v>0</v>
      </c>
      <c r="O656" t="n">
        <v>0</v>
      </c>
      <c r="P656" t="n">
        <v>0</v>
      </c>
      <c r="Q656" t="n">
        <v>0</v>
      </c>
      <c r="R656" s="2" t="inlineStr"/>
    </row>
    <row r="657" ht="15" customHeight="1">
      <c r="A657" t="inlineStr">
        <is>
          <t>A 18008-2025</t>
        </is>
      </c>
      <c r="B657" s="1" t="n">
        <v>45761.42759259259</v>
      </c>
      <c r="C657" s="1" t="n">
        <v>46076</v>
      </c>
      <c r="D657" t="inlineStr">
        <is>
          <t>GÄVLEBORGS LÄN</t>
        </is>
      </c>
      <c r="E657" t="inlineStr">
        <is>
          <t>LJUSDAL</t>
        </is>
      </c>
      <c r="G657" t="n">
        <v>4.5</v>
      </c>
      <c r="H657" t="n">
        <v>0</v>
      </c>
      <c r="I657" t="n">
        <v>0</v>
      </c>
      <c r="J657" t="n">
        <v>0</v>
      </c>
      <c r="K657" t="n">
        <v>0</v>
      </c>
      <c r="L657" t="n">
        <v>0</v>
      </c>
      <c r="M657" t="n">
        <v>0</v>
      </c>
      <c r="N657" t="n">
        <v>0</v>
      </c>
      <c r="O657" t="n">
        <v>0</v>
      </c>
      <c r="P657" t="n">
        <v>0</v>
      </c>
      <c r="Q657" t="n">
        <v>0</v>
      </c>
      <c r="R657" s="2" t="inlineStr"/>
    </row>
    <row r="658" ht="15" customHeight="1">
      <c r="A658" t="inlineStr">
        <is>
          <t>A 18108-2021</t>
        </is>
      </c>
      <c r="B658" s="1" t="n">
        <v>44302.49407407407</v>
      </c>
      <c r="C658" s="1" t="n">
        <v>46076</v>
      </c>
      <c r="D658" t="inlineStr">
        <is>
          <t>GÄVLEBORGS LÄN</t>
        </is>
      </c>
      <c r="E658" t="inlineStr">
        <is>
          <t>LJUSDAL</t>
        </is>
      </c>
      <c r="G658" t="n">
        <v>3.9</v>
      </c>
      <c r="H658" t="n">
        <v>0</v>
      </c>
      <c r="I658" t="n">
        <v>0</v>
      </c>
      <c r="J658" t="n">
        <v>0</v>
      </c>
      <c r="K658" t="n">
        <v>0</v>
      </c>
      <c r="L658" t="n">
        <v>0</v>
      </c>
      <c r="M658" t="n">
        <v>0</v>
      </c>
      <c r="N658" t="n">
        <v>0</v>
      </c>
      <c r="O658" t="n">
        <v>0</v>
      </c>
      <c r="P658" t="n">
        <v>0</v>
      </c>
      <c r="Q658" t="n">
        <v>0</v>
      </c>
      <c r="R658" s="2" t="inlineStr"/>
    </row>
    <row r="659" ht="15" customHeight="1">
      <c r="A659" t="inlineStr">
        <is>
          <t>A 30496-2025</t>
        </is>
      </c>
      <c r="B659" s="1" t="n">
        <v>45830.71666666667</v>
      </c>
      <c r="C659" s="1" t="n">
        <v>46076</v>
      </c>
      <c r="D659" t="inlineStr">
        <is>
          <t>GÄVLEBORGS LÄN</t>
        </is>
      </c>
      <c r="E659" t="inlineStr">
        <is>
          <t>LJUSDAL</t>
        </is>
      </c>
      <c r="G659" t="n">
        <v>7.8</v>
      </c>
      <c r="H659" t="n">
        <v>0</v>
      </c>
      <c r="I659" t="n">
        <v>0</v>
      </c>
      <c r="J659" t="n">
        <v>0</v>
      </c>
      <c r="K659" t="n">
        <v>0</v>
      </c>
      <c r="L659" t="n">
        <v>0</v>
      </c>
      <c r="M659" t="n">
        <v>0</v>
      </c>
      <c r="N659" t="n">
        <v>0</v>
      </c>
      <c r="O659" t="n">
        <v>0</v>
      </c>
      <c r="P659" t="n">
        <v>0</v>
      </c>
      <c r="Q659" t="n">
        <v>0</v>
      </c>
      <c r="R659" s="2" t="inlineStr"/>
    </row>
    <row r="660" ht="15" customHeight="1">
      <c r="A660" t="inlineStr">
        <is>
          <t>A 30577-2025</t>
        </is>
      </c>
      <c r="B660" s="1" t="n">
        <v>45831.41457175926</v>
      </c>
      <c r="C660" s="1" t="n">
        <v>46076</v>
      </c>
      <c r="D660" t="inlineStr">
        <is>
          <t>GÄVLEBORGS LÄN</t>
        </is>
      </c>
      <c r="E660" t="inlineStr">
        <is>
          <t>LJUSDAL</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30589-2025</t>
        </is>
      </c>
      <c r="B661" s="1" t="n">
        <v>45831.43140046296</v>
      </c>
      <c r="C661" s="1" t="n">
        <v>46076</v>
      </c>
      <c r="D661" t="inlineStr">
        <is>
          <t>GÄVLEBORGS LÄN</t>
        </is>
      </c>
      <c r="E661" t="inlineStr">
        <is>
          <t>LJUSDAL</t>
        </is>
      </c>
      <c r="F661" t="inlineStr">
        <is>
          <t>Holmen skog AB</t>
        </is>
      </c>
      <c r="G661" t="n">
        <v>32.3</v>
      </c>
      <c r="H661" t="n">
        <v>0</v>
      </c>
      <c r="I661" t="n">
        <v>0</v>
      </c>
      <c r="J661" t="n">
        <v>0</v>
      </c>
      <c r="K661" t="n">
        <v>0</v>
      </c>
      <c r="L661" t="n">
        <v>0</v>
      </c>
      <c r="M661" t="n">
        <v>0</v>
      </c>
      <c r="N661" t="n">
        <v>0</v>
      </c>
      <c r="O661" t="n">
        <v>0</v>
      </c>
      <c r="P661" t="n">
        <v>0</v>
      </c>
      <c r="Q661" t="n">
        <v>0</v>
      </c>
      <c r="R661" s="2" t="inlineStr"/>
    </row>
    <row r="662" ht="15" customHeight="1">
      <c r="A662" t="inlineStr">
        <is>
          <t>A 40790-2025</t>
        </is>
      </c>
      <c r="B662" s="1" t="n">
        <v>45897.44836805556</v>
      </c>
      <c r="C662" s="1" t="n">
        <v>46076</v>
      </c>
      <c r="D662" t="inlineStr">
        <is>
          <t>GÄVLEBORGS LÄN</t>
        </is>
      </c>
      <c r="E662" t="inlineStr">
        <is>
          <t>LJUSDAL</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49527-2025</t>
        </is>
      </c>
      <c r="B663" s="1" t="n">
        <v>45939.40607638889</v>
      </c>
      <c r="C663" s="1" t="n">
        <v>46076</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30677-2025</t>
        </is>
      </c>
      <c r="B664" s="1" t="n">
        <v>45831.52335648148</v>
      </c>
      <c r="C664" s="1" t="n">
        <v>46076</v>
      </c>
      <c r="D664" t="inlineStr">
        <is>
          <t>GÄVLEBORGS LÄN</t>
        </is>
      </c>
      <c r="E664" t="inlineStr">
        <is>
          <t>LJUSDAL</t>
        </is>
      </c>
      <c r="G664" t="n">
        <v>5.4</v>
      </c>
      <c r="H664" t="n">
        <v>0</v>
      </c>
      <c r="I664" t="n">
        <v>0</v>
      </c>
      <c r="J664" t="n">
        <v>0</v>
      </c>
      <c r="K664" t="n">
        <v>0</v>
      </c>
      <c r="L664" t="n">
        <v>0</v>
      </c>
      <c r="M664" t="n">
        <v>0</v>
      </c>
      <c r="N664" t="n">
        <v>0</v>
      </c>
      <c r="O664" t="n">
        <v>0</v>
      </c>
      <c r="P664" t="n">
        <v>0</v>
      </c>
      <c r="Q664" t="n">
        <v>0</v>
      </c>
      <c r="R664" s="2" t="inlineStr"/>
    </row>
    <row r="665" ht="15" customHeight="1">
      <c r="A665" t="inlineStr">
        <is>
          <t>A 30681-2025</t>
        </is>
      </c>
      <c r="B665" s="1" t="n">
        <v>45831.52996527778</v>
      </c>
      <c r="C665" s="1" t="n">
        <v>46076</v>
      </c>
      <c r="D665" t="inlineStr">
        <is>
          <t>GÄVLEBORGS LÄN</t>
        </is>
      </c>
      <c r="E665" t="inlineStr">
        <is>
          <t>LJUSDAL</t>
        </is>
      </c>
      <c r="G665" t="n">
        <v>1.1</v>
      </c>
      <c r="H665" t="n">
        <v>0</v>
      </c>
      <c r="I665" t="n">
        <v>0</v>
      </c>
      <c r="J665" t="n">
        <v>0</v>
      </c>
      <c r="K665" t="n">
        <v>0</v>
      </c>
      <c r="L665" t="n">
        <v>0</v>
      </c>
      <c r="M665" t="n">
        <v>0</v>
      </c>
      <c r="N665" t="n">
        <v>0</v>
      </c>
      <c r="O665" t="n">
        <v>0</v>
      </c>
      <c r="P665" t="n">
        <v>0</v>
      </c>
      <c r="Q665" t="n">
        <v>0</v>
      </c>
      <c r="R665" s="2" t="inlineStr"/>
    </row>
    <row r="666" ht="15" customHeight="1">
      <c r="A666" t="inlineStr">
        <is>
          <t>A 30686-2025</t>
        </is>
      </c>
      <c r="B666" s="1" t="n">
        <v>45831.53361111111</v>
      </c>
      <c r="C666" s="1" t="n">
        <v>46076</v>
      </c>
      <c r="D666" t="inlineStr">
        <is>
          <t>GÄVLEBORGS LÄN</t>
        </is>
      </c>
      <c r="E666" t="inlineStr">
        <is>
          <t>LJUSDAL</t>
        </is>
      </c>
      <c r="F666" t="inlineStr">
        <is>
          <t>Bergvik skog väst AB</t>
        </is>
      </c>
      <c r="G666" t="n">
        <v>9.9</v>
      </c>
      <c r="H666" t="n">
        <v>0</v>
      </c>
      <c r="I666" t="n">
        <v>0</v>
      </c>
      <c r="J666" t="n">
        <v>0</v>
      </c>
      <c r="K666" t="n">
        <v>0</v>
      </c>
      <c r="L666" t="n">
        <v>0</v>
      </c>
      <c r="M666" t="n">
        <v>0</v>
      </c>
      <c r="N666" t="n">
        <v>0</v>
      </c>
      <c r="O666" t="n">
        <v>0</v>
      </c>
      <c r="P666" t="n">
        <v>0</v>
      </c>
      <c r="Q666" t="n">
        <v>0</v>
      </c>
      <c r="R666" s="2" t="inlineStr"/>
    </row>
    <row r="667" ht="15" customHeight="1">
      <c r="A667" t="inlineStr">
        <is>
          <t>A 40689-2025</t>
        </is>
      </c>
      <c r="B667" s="1" t="n">
        <v>45896.92719907407</v>
      </c>
      <c r="C667" s="1" t="n">
        <v>46076</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31140-2025</t>
        </is>
      </c>
      <c r="B668" s="1" t="n">
        <v>45832.63648148148</v>
      </c>
      <c r="C668" s="1" t="n">
        <v>46076</v>
      </c>
      <c r="D668" t="inlineStr">
        <is>
          <t>GÄVLEBORGS LÄN</t>
        </is>
      </c>
      <c r="E668" t="inlineStr">
        <is>
          <t>LJUSDAL</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40747-2025</t>
        </is>
      </c>
      <c r="B669" s="1" t="n">
        <v>45897.37946759259</v>
      </c>
      <c r="C669" s="1" t="n">
        <v>46076</v>
      </c>
      <c r="D669" t="inlineStr">
        <is>
          <t>GÄVLEBORGS LÄN</t>
        </is>
      </c>
      <c r="E669" t="inlineStr">
        <is>
          <t>LJUSDAL</t>
        </is>
      </c>
      <c r="F669" t="inlineStr">
        <is>
          <t>Kommuner</t>
        </is>
      </c>
      <c r="G669" t="n">
        <v>4.1</v>
      </c>
      <c r="H669" t="n">
        <v>0</v>
      </c>
      <c r="I669" t="n">
        <v>0</v>
      </c>
      <c r="J669" t="n">
        <v>0</v>
      </c>
      <c r="K669" t="n">
        <v>0</v>
      </c>
      <c r="L669" t="n">
        <v>0</v>
      </c>
      <c r="M669" t="n">
        <v>0</v>
      </c>
      <c r="N669" t="n">
        <v>0</v>
      </c>
      <c r="O669" t="n">
        <v>0</v>
      </c>
      <c r="P669" t="n">
        <v>0</v>
      </c>
      <c r="Q669" t="n">
        <v>0</v>
      </c>
      <c r="R669" s="2" t="inlineStr"/>
    </row>
    <row r="670" ht="15" customHeight="1">
      <c r="A670" t="inlineStr">
        <is>
          <t>A 30937-2025</t>
        </is>
      </c>
      <c r="B670" s="1" t="n">
        <v>45832.40670138889</v>
      </c>
      <c r="C670" s="1" t="n">
        <v>46076</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23429-2025</t>
        </is>
      </c>
      <c r="B671" s="1" t="n">
        <v>45792</v>
      </c>
      <c r="C671" s="1" t="n">
        <v>46076</v>
      </c>
      <c r="D671" t="inlineStr">
        <is>
          <t>GÄVLEBORGS LÄN</t>
        </is>
      </c>
      <c r="E671" t="inlineStr">
        <is>
          <t>LJUSDAL</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31064-2025</t>
        </is>
      </c>
      <c r="B672" s="1" t="n">
        <v>45832.57532407407</v>
      </c>
      <c r="C672" s="1" t="n">
        <v>46076</v>
      </c>
      <c r="D672" t="inlineStr">
        <is>
          <t>GÄVLEBORGS LÄN</t>
        </is>
      </c>
      <c r="E672" t="inlineStr">
        <is>
          <t>LJUSDAL</t>
        </is>
      </c>
      <c r="F672" t="inlineStr">
        <is>
          <t>Allmännings- och besparingsskogar</t>
        </is>
      </c>
      <c r="G672" t="n">
        <v>1.3</v>
      </c>
      <c r="H672" t="n">
        <v>0</v>
      </c>
      <c r="I672" t="n">
        <v>0</v>
      </c>
      <c r="J672" t="n">
        <v>0</v>
      </c>
      <c r="K672" t="n">
        <v>0</v>
      </c>
      <c r="L672" t="n">
        <v>0</v>
      </c>
      <c r="M672" t="n">
        <v>0</v>
      </c>
      <c r="N672" t="n">
        <v>0</v>
      </c>
      <c r="O672" t="n">
        <v>0</v>
      </c>
      <c r="P672" t="n">
        <v>0</v>
      </c>
      <c r="Q672" t="n">
        <v>0</v>
      </c>
      <c r="R672" s="2" t="inlineStr"/>
    </row>
    <row r="673" ht="15" customHeight="1">
      <c r="A673" t="inlineStr">
        <is>
          <t>A 31126-2025</t>
        </is>
      </c>
      <c r="B673" s="1" t="n">
        <v>45832.62875</v>
      </c>
      <c r="C673" s="1" t="n">
        <v>46076</v>
      </c>
      <c r="D673" t="inlineStr">
        <is>
          <t>GÄVLEBORGS LÄN</t>
        </is>
      </c>
      <c r="E673" t="inlineStr">
        <is>
          <t>LJUSDAL</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31130-2025</t>
        </is>
      </c>
      <c r="B674" s="1" t="n">
        <v>45832.63040509259</v>
      </c>
      <c r="C674" s="1" t="n">
        <v>46076</v>
      </c>
      <c r="D674" t="inlineStr">
        <is>
          <t>GÄVLEBORGS LÄN</t>
        </is>
      </c>
      <c r="E674" t="inlineStr">
        <is>
          <t>LJUSDAL</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34964-2024</t>
        </is>
      </c>
      <c r="B675" s="1" t="n">
        <v>45527.49265046296</v>
      </c>
      <c r="C675" s="1" t="n">
        <v>46076</v>
      </c>
      <c r="D675" t="inlineStr">
        <is>
          <t>GÄVLEBORGS LÄN</t>
        </is>
      </c>
      <c r="E675" t="inlineStr">
        <is>
          <t>LJUSDAL</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14036-2023</t>
        </is>
      </c>
      <c r="B676" s="1" t="n">
        <v>45008.6358912037</v>
      </c>
      <c r="C676" s="1" t="n">
        <v>46076</v>
      </c>
      <c r="D676" t="inlineStr">
        <is>
          <t>GÄVLEBORGS LÄN</t>
        </is>
      </c>
      <c r="E676" t="inlineStr">
        <is>
          <t>LJUSDAL</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46076</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46076</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15197-2025</t>
        </is>
      </c>
      <c r="B679" s="1" t="n">
        <v>45744.56331018519</v>
      </c>
      <c r="C679" s="1" t="n">
        <v>46076</v>
      </c>
      <c r="D679" t="inlineStr">
        <is>
          <t>GÄVLEBORGS LÄN</t>
        </is>
      </c>
      <c r="E679" t="inlineStr">
        <is>
          <t>LJUSDAL</t>
        </is>
      </c>
      <c r="F679" t="inlineStr">
        <is>
          <t>Bergvik skog väst AB</t>
        </is>
      </c>
      <c r="G679" t="n">
        <v>31.3</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46076</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46076</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31040-2025</t>
        </is>
      </c>
      <c r="B682" s="1" t="n">
        <v>45832.55109953704</v>
      </c>
      <c r="C682" s="1" t="n">
        <v>46076</v>
      </c>
      <c r="D682" t="inlineStr">
        <is>
          <t>GÄVLEBORGS LÄN</t>
        </is>
      </c>
      <c r="E682" t="inlineStr">
        <is>
          <t>LJUSDAL</t>
        </is>
      </c>
      <c r="G682" t="n">
        <v>1.9</v>
      </c>
      <c r="H682" t="n">
        <v>0</v>
      </c>
      <c r="I682" t="n">
        <v>0</v>
      </c>
      <c r="J682" t="n">
        <v>0</v>
      </c>
      <c r="K682" t="n">
        <v>0</v>
      </c>
      <c r="L682" t="n">
        <v>0</v>
      </c>
      <c r="M682" t="n">
        <v>0</v>
      </c>
      <c r="N682" t="n">
        <v>0</v>
      </c>
      <c r="O682" t="n">
        <v>0</v>
      </c>
      <c r="P682" t="n">
        <v>0</v>
      </c>
      <c r="Q682" t="n">
        <v>0</v>
      </c>
      <c r="R682" s="2" t="inlineStr"/>
    </row>
    <row r="683" ht="15" customHeight="1">
      <c r="A683" t="inlineStr">
        <is>
          <t>A 30926-2025</t>
        </is>
      </c>
      <c r="B683" s="1" t="n">
        <v>45832.38623842593</v>
      </c>
      <c r="C683" s="1" t="n">
        <v>46076</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46076</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40510-2025</t>
        </is>
      </c>
      <c r="B685" s="1" t="n">
        <v>45896.34497685185</v>
      </c>
      <c r="C685" s="1" t="n">
        <v>46076</v>
      </c>
      <c r="D685" t="inlineStr">
        <is>
          <t>GÄVLEBORGS LÄN</t>
        </is>
      </c>
      <c r="E685" t="inlineStr">
        <is>
          <t>LJUSDAL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40512-2025</t>
        </is>
      </c>
      <c r="B686" s="1" t="n">
        <v>45896.3477662037</v>
      </c>
      <c r="C686" s="1" t="n">
        <v>46076</v>
      </c>
      <c r="D686" t="inlineStr">
        <is>
          <t>GÄVLEBORGS LÄN</t>
        </is>
      </c>
      <c r="E686" t="inlineStr">
        <is>
          <t>LJUSDAL</t>
        </is>
      </c>
      <c r="G686" t="n">
        <v>26.4</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46076</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31028-2025</t>
        </is>
      </c>
      <c r="B688" s="1" t="n">
        <v>45832.53422453703</v>
      </c>
      <c r="C688" s="1" t="n">
        <v>46076</v>
      </c>
      <c r="D688" t="inlineStr">
        <is>
          <t>GÄVLEBORGS LÄN</t>
        </is>
      </c>
      <c r="E688" t="inlineStr">
        <is>
          <t>LJUSDAL</t>
        </is>
      </c>
      <c r="G688" t="n">
        <v>20.5</v>
      </c>
      <c r="H688" t="n">
        <v>0</v>
      </c>
      <c r="I688" t="n">
        <v>0</v>
      </c>
      <c r="J688" t="n">
        <v>0</v>
      </c>
      <c r="K688" t="n">
        <v>0</v>
      </c>
      <c r="L688" t="n">
        <v>0</v>
      </c>
      <c r="M688" t="n">
        <v>0</v>
      </c>
      <c r="N688" t="n">
        <v>0</v>
      </c>
      <c r="O688" t="n">
        <v>0</v>
      </c>
      <c r="P688" t="n">
        <v>0</v>
      </c>
      <c r="Q688" t="n">
        <v>0</v>
      </c>
      <c r="R688" s="2" t="inlineStr"/>
    </row>
    <row r="689" ht="15" customHeight="1">
      <c r="A689" t="inlineStr">
        <is>
          <t>A 30979-2025</t>
        </is>
      </c>
      <c r="B689" s="1" t="n">
        <v>45832.4678587963</v>
      </c>
      <c r="C689" s="1" t="n">
        <v>46076</v>
      </c>
      <c r="D689" t="inlineStr">
        <is>
          <t>GÄVLEBORGS LÄN</t>
        </is>
      </c>
      <c r="E689" t="inlineStr">
        <is>
          <t>LJUSDAL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31072-2025</t>
        </is>
      </c>
      <c r="B690" s="1" t="n">
        <v>45832.57938657407</v>
      </c>
      <c r="C690" s="1" t="n">
        <v>46076</v>
      </c>
      <c r="D690" t="inlineStr">
        <is>
          <t>GÄVLEBORGS LÄN</t>
        </is>
      </c>
      <c r="E690" t="inlineStr">
        <is>
          <t>LJUSDAL</t>
        </is>
      </c>
      <c r="F690" t="inlineStr">
        <is>
          <t>Holmen skog AB</t>
        </is>
      </c>
      <c r="G690" t="n">
        <v>6.8</v>
      </c>
      <c r="H690" t="n">
        <v>0</v>
      </c>
      <c r="I690" t="n">
        <v>0</v>
      </c>
      <c r="J690" t="n">
        <v>0</v>
      </c>
      <c r="K690" t="n">
        <v>0</v>
      </c>
      <c r="L690" t="n">
        <v>0</v>
      </c>
      <c r="M690" t="n">
        <v>0</v>
      </c>
      <c r="N690" t="n">
        <v>0</v>
      </c>
      <c r="O690" t="n">
        <v>0</v>
      </c>
      <c r="P690" t="n">
        <v>0</v>
      </c>
      <c r="Q690" t="n">
        <v>0</v>
      </c>
      <c r="R690" s="2" t="inlineStr"/>
    </row>
    <row r="691" ht="15" customHeight="1">
      <c r="A691" t="inlineStr">
        <is>
          <t>A 31035-2025</t>
        </is>
      </c>
      <c r="B691" s="1" t="n">
        <v>45832.544375</v>
      </c>
      <c r="C691" s="1" t="n">
        <v>46076</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30938-2025</t>
        </is>
      </c>
      <c r="B692" s="1" t="n">
        <v>45832.40675925926</v>
      </c>
      <c r="C692" s="1" t="n">
        <v>46076</v>
      </c>
      <c r="D692" t="inlineStr">
        <is>
          <t>GÄVLEBORGS LÄN</t>
        </is>
      </c>
      <c r="E692" t="inlineStr">
        <is>
          <t>LJUSDAL</t>
        </is>
      </c>
      <c r="G692" t="n">
        <v>1.4</v>
      </c>
      <c r="H692" t="n">
        <v>0</v>
      </c>
      <c r="I692" t="n">
        <v>0</v>
      </c>
      <c r="J692" t="n">
        <v>0</v>
      </c>
      <c r="K692" t="n">
        <v>0</v>
      </c>
      <c r="L692" t="n">
        <v>0</v>
      </c>
      <c r="M692" t="n">
        <v>0</v>
      </c>
      <c r="N692" t="n">
        <v>0</v>
      </c>
      <c r="O692" t="n">
        <v>0</v>
      </c>
      <c r="P692" t="n">
        <v>0</v>
      </c>
      <c r="Q692" t="n">
        <v>0</v>
      </c>
      <c r="R692" s="2" t="inlineStr"/>
    </row>
    <row r="693" ht="15" customHeight="1">
      <c r="A693" t="inlineStr">
        <is>
          <t>A 41214-2025</t>
        </is>
      </c>
      <c r="B693" s="1" t="n">
        <v>45898.58079861111</v>
      </c>
      <c r="C693" s="1" t="n">
        <v>46076</v>
      </c>
      <c r="D693" t="inlineStr">
        <is>
          <t>GÄVLEBORGS LÄN</t>
        </is>
      </c>
      <c r="E693" t="inlineStr">
        <is>
          <t>LJUSDAL</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31500-2025</t>
        </is>
      </c>
      <c r="B694" s="1" t="n">
        <v>45833.58673611111</v>
      </c>
      <c r="C694" s="1" t="n">
        <v>46076</v>
      </c>
      <c r="D694" t="inlineStr">
        <is>
          <t>GÄVLEBORGS LÄN</t>
        </is>
      </c>
      <c r="E694" t="inlineStr">
        <is>
          <t>LJUSDAL</t>
        </is>
      </c>
      <c r="G694" t="n">
        <v>5.7</v>
      </c>
      <c r="H694" t="n">
        <v>0</v>
      </c>
      <c r="I694" t="n">
        <v>0</v>
      </c>
      <c r="J694" t="n">
        <v>0</v>
      </c>
      <c r="K694" t="n">
        <v>0</v>
      </c>
      <c r="L694" t="n">
        <v>0</v>
      </c>
      <c r="M694" t="n">
        <v>0</v>
      </c>
      <c r="N694" t="n">
        <v>0</v>
      </c>
      <c r="O694" t="n">
        <v>0</v>
      </c>
      <c r="P694" t="n">
        <v>0</v>
      </c>
      <c r="Q694" t="n">
        <v>0</v>
      </c>
      <c r="R694" s="2" t="inlineStr"/>
    </row>
    <row r="695" ht="15" customHeight="1">
      <c r="A695" t="inlineStr">
        <is>
          <t>A 31515-2025</t>
        </is>
      </c>
      <c r="B695" s="1" t="n">
        <v>45833.60422453703</v>
      </c>
      <c r="C695" s="1" t="n">
        <v>46076</v>
      </c>
      <c r="D695" t="inlineStr">
        <is>
          <t>GÄVLEBORGS LÄN</t>
        </is>
      </c>
      <c r="E695" t="inlineStr">
        <is>
          <t>LJUSDAL</t>
        </is>
      </c>
      <c r="G695" t="n">
        <v>4.6</v>
      </c>
      <c r="H695" t="n">
        <v>0</v>
      </c>
      <c r="I695" t="n">
        <v>0</v>
      </c>
      <c r="J695" t="n">
        <v>0</v>
      </c>
      <c r="K695" t="n">
        <v>0</v>
      </c>
      <c r="L695" t="n">
        <v>0</v>
      </c>
      <c r="M695" t="n">
        <v>0</v>
      </c>
      <c r="N695" t="n">
        <v>0</v>
      </c>
      <c r="O695" t="n">
        <v>0</v>
      </c>
      <c r="P695" t="n">
        <v>0</v>
      </c>
      <c r="Q695" t="n">
        <v>0</v>
      </c>
      <c r="R695" s="2" t="inlineStr"/>
    </row>
    <row r="696" ht="15" customHeight="1">
      <c r="A696" t="inlineStr">
        <is>
          <t>A 41084-2025</t>
        </is>
      </c>
      <c r="B696" s="1" t="n">
        <v>45898.43175925926</v>
      </c>
      <c r="C696" s="1" t="n">
        <v>46076</v>
      </c>
      <c r="D696" t="inlineStr">
        <is>
          <t>GÄVLEBORGS LÄN</t>
        </is>
      </c>
      <c r="E696" t="inlineStr">
        <is>
          <t>LJUSDAL</t>
        </is>
      </c>
      <c r="F696" t="inlineStr">
        <is>
          <t>Sveaskog</t>
        </is>
      </c>
      <c r="G696" t="n">
        <v>5.9</v>
      </c>
      <c r="H696" t="n">
        <v>0</v>
      </c>
      <c r="I696" t="n">
        <v>0</v>
      </c>
      <c r="J696" t="n">
        <v>0</v>
      </c>
      <c r="K696" t="n">
        <v>0</v>
      </c>
      <c r="L696" t="n">
        <v>0</v>
      </c>
      <c r="M696" t="n">
        <v>0</v>
      </c>
      <c r="N696" t="n">
        <v>0</v>
      </c>
      <c r="O696" t="n">
        <v>0</v>
      </c>
      <c r="P696" t="n">
        <v>0</v>
      </c>
      <c r="Q696" t="n">
        <v>0</v>
      </c>
      <c r="R696" s="2" t="inlineStr"/>
    </row>
    <row r="697" ht="15" customHeight="1">
      <c r="A697" t="inlineStr">
        <is>
          <t>A 41086-2025</t>
        </is>
      </c>
      <c r="B697" s="1" t="n">
        <v>45898.4344212963</v>
      </c>
      <c r="C697" s="1" t="n">
        <v>46076</v>
      </c>
      <c r="D697" t="inlineStr">
        <is>
          <t>GÄVLEBORGS LÄN</t>
        </is>
      </c>
      <c r="E697" t="inlineStr">
        <is>
          <t>LJUSDAL</t>
        </is>
      </c>
      <c r="F697" t="inlineStr">
        <is>
          <t>Sveaskog</t>
        </is>
      </c>
      <c r="G697" t="n">
        <v>2.7</v>
      </c>
      <c r="H697" t="n">
        <v>0</v>
      </c>
      <c r="I697" t="n">
        <v>0</v>
      </c>
      <c r="J697" t="n">
        <v>0</v>
      </c>
      <c r="K697" t="n">
        <v>0</v>
      </c>
      <c r="L697" t="n">
        <v>0</v>
      </c>
      <c r="M697" t="n">
        <v>0</v>
      </c>
      <c r="N697" t="n">
        <v>0</v>
      </c>
      <c r="O697" t="n">
        <v>0</v>
      </c>
      <c r="P697" t="n">
        <v>0</v>
      </c>
      <c r="Q697" t="n">
        <v>0</v>
      </c>
      <c r="R697" s="2" t="inlineStr"/>
    </row>
    <row r="698" ht="15" customHeight="1">
      <c r="A698" t="inlineStr">
        <is>
          <t>A 31511-2025</t>
        </is>
      </c>
      <c r="B698" s="1" t="n">
        <v>45833.59689814815</v>
      </c>
      <c r="C698" s="1" t="n">
        <v>46076</v>
      </c>
      <c r="D698" t="inlineStr">
        <is>
          <t>GÄVLEBORGS LÄN</t>
        </is>
      </c>
      <c r="E698" t="inlineStr">
        <is>
          <t>LJUSDAL</t>
        </is>
      </c>
      <c r="G698" t="n">
        <v>7.7</v>
      </c>
      <c r="H698" t="n">
        <v>0</v>
      </c>
      <c r="I698" t="n">
        <v>0</v>
      </c>
      <c r="J698" t="n">
        <v>0</v>
      </c>
      <c r="K698" t="n">
        <v>0</v>
      </c>
      <c r="L698" t="n">
        <v>0</v>
      </c>
      <c r="M698" t="n">
        <v>0</v>
      </c>
      <c r="N698" t="n">
        <v>0</v>
      </c>
      <c r="O698" t="n">
        <v>0</v>
      </c>
      <c r="P698" t="n">
        <v>0</v>
      </c>
      <c r="Q698" t="n">
        <v>0</v>
      </c>
      <c r="R698" s="2" t="inlineStr"/>
    </row>
    <row r="699" ht="15" customHeight="1">
      <c r="A699" t="inlineStr">
        <is>
          <t>A 71305-2021</t>
        </is>
      </c>
      <c r="B699" s="1" t="n">
        <v>44539.64944444445</v>
      </c>
      <c r="C699" s="1" t="n">
        <v>46076</v>
      </c>
      <c r="D699" t="inlineStr">
        <is>
          <t>GÄVLEBORGS LÄN</t>
        </is>
      </c>
      <c r="E699" t="inlineStr">
        <is>
          <t>LJUSDAL</t>
        </is>
      </c>
      <c r="F699" t="inlineStr">
        <is>
          <t>Kommuner</t>
        </is>
      </c>
      <c r="G699" t="n">
        <v>3.8</v>
      </c>
      <c r="H699" t="n">
        <v>0</v>
      </c>
      <c r="I699" t="n">
        <v>0</v>
      </c>
      <c r="J699" t="n">
        <v>0</v>
      </c>
      <c r="K699" t="n">
        <v>0</v>
      </c>
      <c r="L699" t="n">
        <v>0</v>
      </c>
      <c r="M699" t="n">
        <v>0</v>
      </c>
      <c r="N699" t="n">
        <v>0</v>
      </c>
      <c r="O699" t="n">
        <v>0</v>
      </c>
      <c r="P699" t="n">
        <v>0</v>
      </c>
      <c r="Q699" t="n">
        <v>0</v>
      </c>
      <c r="R699" s="2" t="inlineStr"/>
    </row>
    <row r="700" ht="15" customHeight="1">
      <c r="A700" t="inlineStr">
        <is>
          <t>A 31123-2025</t>
        </is>
      </c>
      <c r="B700" s="1" t="n">
        <v>45832.62681712963</v>
      </c>
      <c r="C700" s="1" t="n">
        <v>46076</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28594-2025</t>
        </is>
      </c>
      <c r="B701" s="1" t="n">
        <v>45819.59415509259</v>
      </c>
      <c r="C701" s="1" t="n">
        <v>46076</v>
      </c>
      <c r="D701" t="inlineStr">
        <is>
          <t>GÄVLEBORGS LÄN</t>
        </is>
      </c>
      <c r="E701" t="inlineStr">
        <is>
          <t>LJUSDAL</t>
        </is>
      </c>
      <c r="F701" t="inlineStr">
        <is>
          <t>SCA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41205-2025</t>
        </is>
      </c>
      <c r="B702" s="1" t="n">
        <v>45898.57606481481</v>
      </c>
      <c r="C702" s="1" t="n">
        <v>46076</v>
      </c>
      <c r="D702" t="inlineStr">
        <is>
          <t>GÄVLEBORGS LÄN</t>
        </is>
      </c>
      <c r="E702" t="inlineStr">
        <is>
          <t>LJUSDAL</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41463-2025</t>
        </is>
      </c>
      <c r="B703" s="1" t="n">
        <v>45901.45023148148</v>
      </c>
      <c r="C703" s="1" t="n">
        <v>46076</v>
      </c>
      <c r="D703" t="inlineStr">
        <is>
          <t>GÄVLEBORGS LÄN</t>
        </is>
      </c>
      <c r="E703" t="inlineStr">
        <is>
          <t>LJUSDAL</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36657-2025</t>
        </is>
      </c>
      <c r="B704" s="1" t="n">
        <v>45873</v>
      </c>
      <c r="C704" s="1" t="n">
        <v>46076</v>
      </c>
      <c r="D704" t="inlineStr">
        <is>
          <t>GÄVLEBORGS LÄN</t>
        </is>
      </c>
      <c r="E704" t="inlineStr">
        <is>
          <t>LJUSDAL</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41208-2025</t>
        </is>
      </c>
      <c r="B705" s="1" t="n">
        <v>45898.57782407408</v>
      </c>
      <c r="C705" s="1" t="n">
        <v>46076</v>
      </c>
      <c r="D705" t="inlineStr">
        <is>
          <t>GÄVLEBORGS LÄN</t>
        </is>
      </c>
      <c r="E705" t="inlineStr">
        <is>
          <t>LJUSDAL</t>
        </is>
      </c>
      <c r="F705" t="inlineStr">
        <is>
          <t>Sveaskog</t>
        </is>
      </c>
      <c r="G705" t="n">
        <v>10.3</v>
      </c>
      <c r="H705" t="n">
        <v>0</v>
      </c>
      <c r="I705" t="n">
        <v>0</v>
      </c>
      <c r="J705" t="n">
        <v>0</v>
      </c>
      <c r="K705" t="n">
        <v>0</v>
      </c>
      <c r="L705" t="n">
        <v>0</v>
      </c>
      <c r="M705" t="n">
        <v>0</v>
      </c>
      <c r="N705" t="n">
        <v>0</v>
      </c>
      <c r="O705" t="n">
        <v>0</v>
      </c>
      <c r="P705" t="n">
        <v>0</v>
      </c>
      <c r="Q705" t="n">
        <v>0</v>
      </c>
      <c r="R705" s="2" t="inlineStr"/>
    </row>
    <row r="706" ht="15" customHeight="1">
      <c r="A706" t="inlineStr">
        <is>
          <t>A 19035-2023</t>
        </is>
      </c>
      <c r="B706" s="1" t="n">
        <v>45047.53366898148</v>
      </c>
      <c r="C706" s="1" t="n">
        <v>46076</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31529-2025</t>
        </is>
      </c>
      <c r="B707" s="1" t="n">
        <v>45833</v>
      </c>
      <c r="C707" s="1" t="n">
        <v>46076</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31679-2025</t>
        </is>
      </c>
      <c r="B708" s="1" t="n">
        <v>45834.38021990741</v>
      </c>
      <c r="C708" s="1" t="n">
        <v>46076</v>
      </c>
      <c r="D708" t="inlineStr">
        <is>
          <t>GÄVLEBORGS LÄN</t>
        </is>
      </c>
      <c r="E708" t="inlineStr">
        <is>
          <t>LJUSDAL</t>
        </is>
      </c>
      <c r="G708" t="n">
        <v>1.2</v>
      </c>
      <c r="H708" t="n">
        <v>0</v>
      </c>
      <c r="I708" t="n">
        <v>0</v>
      </c>
      <c r="J708" t="n">
        <v>0</v>
      </c>
      <c r="K708" t="n">
        <v>0</v>
      </c>
      <c r="L708" t="n">
        <v>0</v>
      </c>
      <c r="M708" t="n">
        <v>0</v>
      </c>
      <c r="N708" t="n">
        <v>0</v>
      </c>
      <c r="O708" t="n">
        <v>0</v>
      </c>
      <c r="P708" t="n">
        <v>0</v>
      </c>
      <c r="Q708" t="n">
        <v>0</v>
      </c>
      <c r="R708" s="2" t="inlineStr"/>
    </row>
    <row r="709" ht="15" customHeight="1">
      <c r="A709" t="inlineStr">
        <is>
          <t>A 32200-2025</t>
        </is>
      </c>
      <c r="B709" s="1" t="n">
        <v>45835.57697916667</v>
      </c>
      <c r="C709" s="1" t="n">
        <v>46076</v>
      </c>
      <c r="D709" t="inlineStr">
        <is>
          <t>GÄVLEBORGS LÄN</t>
        </is>
      </c>
      <c r="E709" t="inlineStr">
        <is>
          <t>LJUSDAL</t>
        </is>
      </c>
      <c r="F709" t="inlineStr">
        <is>
          <t>Bergvik skog väst AB</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18250-2024</t>
        </is>
      </c>
      <c r="B710" s="1" t="n">
        <v>45421.44064814815</v>
      </c>
      <c r="C710" s="1" t="n">
        <v>46076</v>
      </c>
      <c r="D710" t="inlineStr">
        <is>
          <t>GÄVLEBORGS LÄN</t>
        </is>
      </c>
      <c r="E710" t="inlineStr">
        <is>
          <t>LJUSDAL</t>
        </is>
      </c>
      <c r="F710" t="inlineStr">
        <is>
          <t>Sveaskog</t>
        </is>
      </c>
      <c r="G710" t="n">
        <v>7.2</v>
      </c>
      <c r="H710" t="n">
        <v>0</v>
      </c>
      <c r="I710" t="n">
        <v>0</v>
      </c>
      <c r="J710" t="n">
        <v>0</v>
      </c>
      <c r="K710" t="n">
        <v>0</v>
      </c>
      <c r="L710" t="n">
        <v>0</v>
      </c>
      <c r="M710" t="n">
        <v>0</v>
      </c>
      <c r="N710" t="n">
        <v>0</v>
      </c>
      <c r="O710" t="n">
        <v>0</v>
      </c>
      <c r="P710" t="n">
        <v>0</v>
      </c>
      <c r="Q710" t="n">
        <v>0</v>
      </c>
      <c r="R710" s="2" t="inlineStr"/>
    </row>
    <row r="711" ht="15" customHeight="1">
      <c r="A711" t="inlineStr">
        <is>
          <t>A 32179-2025</t>
        </is>
      </c>
      <c r="B711" s="1" t="n">
        <v>45835.55981481481</v>
      </c>
      <c r="C711" s="1" t="n">
        <v>46076</v>
      </c>
      <c r="D711" t="inlineStr">
        <is>
          <t>GÄVLEBORGS LÄN</t>
        </is>
      </c>
      <c r="E711" t="inlineStr">
        <is>
          <t>LJUSDAL</t>
        </is>
      </c>
      <c r="F711" t="inlineStr">
        <is>
          <t>Bergvik skog väst AB</t>
        </is>
      </c>
      <c r="G711" t="n">
        <v>7</v>
      </c>
      <c r="H711" t="n">
        <v>0</v>
      </c>
      <c r="I711" t="n">
        <v>0</v>
      </c>
      <c r="J711" t="n">
        <v>0</v>
      </c>
      <c r="K711" t="n">
        <v>0</v>
      </c>
      <c r="L711" t="n">
        <v>0</v>
      </c>
      <c r="M711" t="n">
        <v>0</v>
      </c>
      <c r="N711" t="n">
        <v>0</v>
      </c>
      <c r="O711" t="n">
        <v>0</v>
      </c>
      <c r="P711" t="n">
        <v>0</v>
      </c>
      <c r="Q711" t="n">
        <v>0</v>
      </c>
      <c r="R711" s="2" t="inlineStr"/>
    </row>
    <row r="712" ht="15" customHeight="1">
      <c r="A712" t="inlineStr">
        <is>
          <t>A 41865-2025</t>
        </is>
      </c>
      <c r="B712" s="1" t="n">
        <v>45903.33694444445</v>
      </c>
      <c r="C712" s="1" t="n">
        <v>46076</v>
      </c>
      <c r="D712" t="inlineStr">
        <is>
          <t>GÄVLEBORGS LÄN</t>
        </is>
      </c>
      <c r="E712" t="inlineStr">
        <is>
          <t>LJUSDAL</t>
        </is>
      </c>
      <c r="F712" t="inlineStr">
        <is>
          <t>Bergvik skog väst AB</t>
        </is>
      </c>
      <c r="G712" t="n">
        <v>16.6</v>
      </c>
      <c r="H712" t="n">
        <v>0</v>
      </c>
      <c r="I712" t="n">
        <v>0</v>
      </c>
      <c r="J712" t="n">
        <v>0</v>
      </c>
      <c r="K712" t="n">
        <v>0</v>
      </c>
      <c r="L712" t="n">
        <v>0</v>
      </c>
      <c r="M712" t="n">
        <v>0</v>
      </c>
      <c r="N712" t="n">
        <v>0</v>
      </c>
      <c r="O712" t="n">
        <v>0</v>
      </c>
      <c r="P712" t="n">
        <v>0</v>
      </c>
      <c r="Q712" t="n">
        <v>0</v>
      </c>
      <c r="R712" s="2" t="inlineStr"/>
    </row>
    <row r="713" ht="15" customHeight="1">
      <c r="A713" t="inlineStr">
        <is>
          <t>A 41878-2025</t>
        </is>
      </c>
      <c r="B713" s="1" t="n">
        <v>45903.34972222222</v>
      </c>
      <c r="C713" s="1" t="n">
        <v>46076</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41745-2025</t>
        </is>
      </c>
      <c r="B714" s="1" t="n">
        <v>45902.48480324074</v>
      </c>
      <c r="C714" s="1" t="n">
        <v>46076</v>
      </c>
      <c r="D714" t="inlineStr">
        <is>
          <t>GÄVLEBORGS LÄN</t>
        </is>
      </c>
      <c r="E714" t="inlineStr">
        <is>
          <t>LJUSDAL</t>
        </is>
      </c>
      <c r="G714" t="n">
        <v>7.8</v>
      </c>
      <c r="H714" t="n">
        <v>0</v>
      </c>
      <c r="I714" t="n">
        <v>0</v>
      </c>
      <c r="J714" t="n">
        <v>0</v>
      </c>
      <c r="K714" t="n">
        <v>0</v>
      </c>
      <c r="L714" t="n">
        <v>0</v>
      </c>
      <c r="M714" t="n">
        <v>0</v>
      </c>
      <c r="N714" t="n">
        <v>0</v>
      </c>
      <c r="O714" t="n">
        <v>0</v>
      </c>
      <c r="P714" t="n">
        <v>0</v>
      </c>
      <c r="Q714" t="n">
        <v>0</v>
      </c>
      <c r="R714" s="2" t="inlineStr"/>
    </row>
    <row r="715" ht="15" customHeight="1">
      <c r="A715" t="inlineStr">
        <is>
          <t>A 31810-2025</t>
        </is>
      </c>
      <c r="B715" s="1" t="n">
        <v>45834.55946759259</v>
      </c>
      <c r="C715" s="1" t="n">
        <v>46076</v>
      </c>
      <c r="D715" t="inlineStr">
        <is>
          <t>GÄVLEBORGS LÄN</t>
        </is>
      </c>
      <c r="E715" t="inlineStr">
        <is>
          <t>LJUSDAL</t>
        </is>
      </c>
      <c r="G715" t="n">
        <v>17.2</v>
      </c>
      <c r="H715" t="n">
        <v>0</v>
      </c>
      <c r="I715" t="n">
        <v>0</v>
      </c>
      <c r="J715" t="n">
        <v>0</v>
      </c>
      <c r="K715" t="n">
        <v>0</v>
      </c>
      <c r="L715" t="n">
        <v>0</v>
      </c>
      <c r="M715" t="n">
        <v>0</v>
      </c>
      <c r="N715" t="n">
        <v>0</v>
      </c>
      <c r="O715" t="n">
        <v>0</v>
      </c>
      <c r="P715" t="n">
        <v>0</v>
      </c>
      <c r="Q715" t="n">
        <v>0</v>
      </c>
      <c r="R715" s="2" t="inlineStr"/>
    </row>
    <row r="716" ht="15" customHeight="1">
      <c r="A716" t="inlineStr">
        <is>
          <t>A 41947-2025</t>
        </is>
      </c>
      <c r="B716" s="1" t="n">
        <v>45903.44925925926</v>
      </c>
      <c r="C716" s="1" t="n">
        <v>46076</v>
      </c>
      <c r="D716" t="inlineStr">
        <is>
          <t>GÄVLEBORGS LÄN</t>
        </is>
      </c>
      <c r="E716" t="inlineStr">
        <is>
          <t>LJUSDAL</t>
        </is>
      </c>
      <c r="F716" t="inlineStr">
        <is>
          <t>Allmännings- och besparingsskogar</t>
        </is>
      </c>
      <c r="G716" t="n">
        <v>21.2</v>
      </c>
      <c r="H716" t="n">
        <v>0</v>
      </c>
      <c r="I716" t="n">
        <v>0</v>
      </c>
      <c r="J716" t="n">
        <v>0</v>
      </c>
      <c r="K716" t="n">
        <v>0</v>
      </c>
      <c r="L716" t="n">
        <v>0</v>
      </c>
      <c r="M716" t="n">
        <v>0</v>
      </c>
      <c r="N716" t="n">
        <v>0</v>
      </c>
      <c r="O716" t="n">
        <v>0</v>
      </c>
      <c r="P716" t="n">
        <v>0</v>
      </c>
      <c r="Q716" t="n">
        <v>0</v>
      </c>
      <c r="R716" s="2" t="inlineStr"/>
    </row>
    <row r="717" ht="15" customHeight="1">
      <c r="A717" t="inlineStr">
        <is>
          <t>A 31890-2023</t>
        </is>
      </c>
      <c r="B717" s="1" t="n">
        <v>45118</v>
      </c>
      <c r="C717" s="1" t="n">
        <v>46076</v>
      </c>
      <c r="D717" t="inlineStr">
        <is>
          <t>GÄVLEBORGS LÄN</t>
        </is>
      </c>
      <c r="E717" t="inlineStr">
        <is>
          <t>LJUSDAL</t>
        </is>
      </c>
      <c r="G717" t="n">
        <v>0.8</v>
      </c>
      <c r="H717" t="n">
        <v>0</v>
      </c>
      <c r="I717" t="n">
        <v>0</v>
      </c>
      <c r="J717" t="n">
        <v>0</v>
      </c>
      <c r="K717" t="n">
        <v>0</v>
      </c>
      <c r="L717" t="n">
        <v>0</v>
      </c>
      <c r="M717" t="n">
        <v>0</v>
      </c>
      <c r="N717" t="n">
        <v>0</v>
      </c>
      <c r="O717" t="n">
        <v>0</v>
      </c>
      <c r="P717" t="n">
        <v>0</v>
      </c>
      <c r="Q717" t="n">
        <v>0</v>
      </c>
      <c r="R717" s="2" t="inlineStr"/>
    </row>
    <row r="718" ht="15" customHeight="1">
      <c r="A718" t="inlineStr">
        <is>
          <t>A 41935-2025</t>
        </is>
      </c>
      <c r="B718" s="1" t="n">
        <v>45903.43677083333</v>
      </c>
      <c r="C718" s="1" t="n">
        <v>46076</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41928-2025</t>
        </is>
      </c>
      <c r="B719" s="1" t="n">
        <v>45903.42954861111</v>
      </c>
      <c r="C719" s="1" t="n">
        <v>46076</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41936-2025</t>
        </is>
      </c>
      <c r="B720" s="1" t="n">
        <v>45903.44037037037</v>
      </c>
      <c r="C720" s="1" t="n">
        <v>46076</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41918-2025</t>
        </is>
      </c>
      <c r="B721" s="1" t="n">
        <v>45903.42224537037</v>
      </c>
      <c r="C721" s="1" t="n">
        <v>46076</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41923-2025</t>
        </is>
      </c>
      <c r="B722" s="1" t="n">
        <v>45903.42614583333</v>
      </c>
      <c r="C722" s="1" t="n">
        <v>46076</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32282-2025</t>
        </is>
      </c>
      <c r="B723" s="1" t="n">
        <v>45835.67854166667</v>
      </c>
      <c r="C723" s="1" t="n">
        <v>46076</v>
      </c>
      <c r="D723" t="inlineStr">
        <is>
          <t>GÄVLEBORGS LÄN</t>
        </is>
      </c>
      <c r="E723" t="inlineStr">
        <is>
          <t>LJUSDAL</t>
        </is>
      </c>
      <c r="F723" t="inlineStr">
        <is>
          <t>Allmännings- och besparingsskogar</t>
        </is>
      </c>
      <c r="G723" t="n">
        <v>1.7</v>
      </c>
      <c r="H723" t="n">
        <v>0</v>
      </c>
      <c r="I723" t="n">
        <v>0</v>
      </c>
      <c r="J723" t="n">
        <v>0</v>
      </c>
      <c r="K723" t="n">
        <v>0</v>
      </c>
      <c r="L723" t="n">
        <v>0</v>
      </c>
      <c r="M723" t="n">
        <v>0</v>
      </c>
      <c r="N723" t="n">
        <v>0</v>
      </c>
      <c r="O723" t="n">
        <v>0</v>
      </c>
      <c r="P723" t="n">
        <v>0</v>
      </c>
      <c r="Q723" t="n">
        <v>0</v>
      </c>
      <c r="R723" s="2" t="inlineStr"/>
    </row>
    <row r="724" ht="15" customHeight="1">
      <c r="A724" t="inlineStr">
        <is>
          <t>A 41285-2022</t>
        </is>
      </c>
      <c r="B724" s="1" t="n">
        <v>44826.42060185185</v>
      </c>
      <c r="C724" s="1" t="n">
        <v>46076</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41942-2025</t>
        </is>
      </c>
      <c r="B725" s="1" t="n">
        <v>45903.44543981482</v>
      </c>
      <c r="C725" s="1" t="n">
        <v>46076</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41886-2025</t>
        </is>
      </c>
      <c r="B726" s="1" t="n">
        <v>45903.36819444445</v>
      </c>
      <c r="C726" s="1" t="n">
        <v>46076</v>
      </c>
      <c r="D726" t="inlineStr">
        <is>
          <t>GÄVLEBORGS LÄN</t>
        </is>
      </c>
      <c r="E726" t="inlineStr">
        <is>
          <t>LJUSDAL</t>
        </is>
      </c>
      <c r="F726" t="inlineStr">
        <is>
          <t>Allmännings- och besparingsskogar</t>
        </is>
      </c>
      <c r="G726" t="n">
        <v>37</v>
      </c>
      <c r="H726" t="n">
        <v>0</v>
      </c>
      <c r="I726" t="n">
        <v>0</v>
      </c>
      <c r="J726" t="n">
        <v>0</v>
      </c>
      <c r="K726" t="n">
        <v>0</v>
      </c>
      <c r="L726" t="n">
        <v>0</v>
      </c>
      <c r="M726" t="n">
        <v>0</v>
      </c>
      <c r="N726" t="n">
        <v>0</v>
      </c>
      <c r="O726" t="n">
        <v>0</v>
      </c>
      <c r="P726" t="n">
        <v>0</v>
      </c>
      <c r="Q726" t="n">
        <v>0</v>
      </c>
      <c r="R726" s="2" t="inlineStr"/>
    </row>
    <row r="727" ht="15" customHeight="1">
      <c r="A727" t="inlineStr">
        <is>
          <t>A 41861-2025</t>
        </is>
      </c>
      <c r="B727" s="1" t="n">
        <v>45903.25648148148</v>
      </c>
      <c r="C727" s="1" t="n">
        <v>46076</v>
      </c>
      <c r="D727" t="inlineStr">
        <is>
          <t>GÄVLEBORGS LÄN</t>
        </is>
      </c>
      <c r="E727" t="inlineStr">
        <is>
          <t>LJUSDAL</t>
        </is>
      </c>
      <c r="G727" t="n">
        <v>9</v>
      </c>
      <c r="H727" t="n">
        <v>0</v>
      </c>
      <c r="I727" t="n">
        <v>0</v>
      </c>
      <c r="J727" t="n">
        <v>0</v>
      </c>
      <c r="K727" t="n">
        <v>0</v>
      </c>
      <c r="L727" t="n">
        <v>0</v>
      </c>
      <c r="M727" t="n">
        <v>0</v>
      </c>
      <c r="N727" t="n">
        <v>0</v>
      </c>
      <c r="O727" t="n">
        <v>0</v>
      </c>
      <c r="P727" t="n">
        <v>0</v>
      </c>
      <c r="Q727" t="n">
        <v>0</v>
      </c>
      <c r="R727" s="2" t="inlineStr"/>
    </row>
    <row r="728" ht="15" customHeight="1">
      <c r="A728" t="inlineStr">
        <is>
          <t>A 41938-2025</t>
        </is>
      </c>
      <c r="B728" s="1" t="n">
        <v>45903.44322916667</v>
      </c>
      <c r="C728" s="1" t="n">
        <v>46076</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32918-2023</t>
        </is>
      </c>
      <c r="B729" s="1" t="n">
        <v>45125.34423611111</v>
      </c>
      <c r="C729" s="1" t="n">
        <v>46076</v>
      </c>
      <c r="D729" t="inlineStr">
        <is>
          <t>GÄVLEBORGS LÄN</t>
        </is>
      </c>
      <c r="E729" t="inlineStr">
        <is>
          <t>LJUSDAL</t>
        </is>
      </c>
      <c r="F729" t="inlineStr">
        <is>
          <t>Holmen skog AB</t>
        </is>
      </c>
      <c r="G729" t="n">
        <v>4.1</v>
      </c>
      <c r="H729" t="n">
        <v>0</v>
      </c>
      <c r="I729" t="n">
        <v>0</v>
      </c>
      <c r="J729" t="n">
        <v>0</v>
      </c>
      <c r="K729" t="n">
        <v>0</v>
      </c>
      <c r="L729" t="n">
        <v>0</v>
      </c>
      <c r="M729" t="n">
        <v>0</v>
      </c>
      <c r="N729" t="n">
        <v>0</v>
      </c>
      <c r="O729" t="n">
        <v>0</v>
      </c>
      <c r="P729" t="n">
        <v>0</v>
      </c>
      <c r="Q729" t="n">
        <v>0</v>
      </c>
      <c r="R729" s="2" t="inlineStr"/>
    </row>
    <row r="730" ht="15" customHeight="1">
      <c r="A730" t="inlineStr">
        <is>
          <t>A 42002-2025</t>
        </is>
      </c>
      <c r="B730" s="1" t="n">
        <v>45903.55368055555</v>
      </c>
      <c r="C730" s="1" t="n">
        <v>46076</v>
      </c>
      <c r="D730" t="inlineStr">
        <is>
          <t>GÄVLEBORGS LÄN</t>
        </is>
      </c>
      <c r="E730" t="inlineStr">
        <is>
          <t>LJUSDAL</t>
        </is>
      </c>
      <c r="F730" t="inlineStr">
        <is>
          <t>Bergvik skog väst AB</t>
        </is>
      </c>
      <c r="G730" t="n">
        <v>4.6</v>
      </c>
      <c r="H730" t="n">
        <v>0</v>
      </c>
      <c r="I730" t="n">
        <v>0</v>
      </c>
      <c r="J730" t="n">
        <v>0</v>
      </c>
      <c r="K730" t="n">
        <v>0</v>
      </c>
      <c r="L730" t="n">
        <v>0</v>
      </c>
      <c r="M730" t="n">
        <v>0</v>
      </c>
      <c r="N730" t="n">
        <v>0</v>
      </c>
      <c r="O730" t="n">
        <v>0</v>
      </c>
      <c r="P730" t="n">
        <v>0</v>
      </c>
      <c r="Q730" t="n">
        <v>0</v>
      </c>
      <c r="R730" s="2" t="inlineStr"/>
    </row>
    <row r="731" ht="15" customHeight="1">
      <c r="A731" t="inlineStr">
        <is>
          <t>A 13885-2025</t>
        </is>
      </c>
      <c r="B731" s="1" t="n">
        <v>45737.6065625</v>
      </c>
      <c r="C731" s="1" t="n">
        <v>46076</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41786-2025</t>
        </is>
      </c>
      <c r="B732" s="1" t="n">
        <v>45902.5905787037</v>
      </c>
      <c r="C732" s="1" t="n">
        <v>46076</v>
      </c>
      <c r="D732" t="inlineStr">
        <is>
          <t>GÄVLEBORGS LÄN</t>
        </is>
      </c>
      <c r="E732" t="inlineStr">
        <is>
          <t>LJUSDAL</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41860-2025</t>
        </is>
      </c>
      <c r="B733" s="1" t="n">
        <v>45903.25199074074</v>
      </c>
      <c r="C733" s="1" t="n">
        <v>46076</v>
      </c>
      <c r="D733" t="inlineStr">
        <is>
          <t>GÄVLEBORGS LÄN</t>
        </is>
      </c>
      <c r="E733" t="inlineStr">
        <is>
          <t>LJUSDAL</t>
        </is>
      </c>
      <c r="G733" t="n">
        <v>3.8</v>
      </c>
      <c r="H733" t="n">
        <v>0</v>
      </c>
      <c r="I733" t="n">
        <v>0</v>
      </c>
      <c r="J733" t="n">
        <v>0</v>
      </c>
      <c r="K733" t="n">
        <v>0</v>
      </c>
      <c r="L733" t="n">
        <v>0</v>
      </c>
      <c r="M733" t="n">
        <v>0</v>
      </c>
      <c r="N733" t="n">
        <v>0</v>
      </c>
      <c r="O733" t="n">
        <v>0</v>
      </c>
      <c r="P733" t="n">
        <v>0</v>
      </c>
      <c r="Q733" t="n">
        <v>0</v>
      </c>
      <c r="R733" s="2" t="inlineStr"/>
    </row>
    <row r="734" ht="15" customHeight="1">
      <c r="A734" t="inlineStr">
        <is>
          <t>A 32694-2025</t>
        </is>
      </c>
      <c r="B734" s="1" t="n">
        <v>45839.30681712963</v>
      </c>
      <c r="C734" s="1" t="n">
        <v>46076</v>
      </c>
      <c r="D734" t="inlineStr">
        <is>
          <t>GÄVLEBORGS LÄN</t>
        </is>
      </c>
      <c r="E734" t="inlineStr">
        <is>
          <t>LJUSDAL</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40000-2021</t>
        </is>
      </c>
      <c r="B735" s="1" t="n">
        <v>44418.36865740741</v>
      </c>
      <c r="C735" s="1" t="n">
        <v>46076</v>
      </c>
      <c r="D735" t="inlineStr">
        <is>
          <t>GÄVLEBORGS LÄN</t>
        </is>
      </c>
      <c r="E735" t="inlineStr">
        <is>
          <t>LJUSDAL</t>
        </is>
      </c>
      <c r="G735" t="n">
        <v>0.6</v>
      </c>
      <c r="H735" t="n">
        <v>0</v>
      </c>
      <c r="I735" t="n">
        <v>0</v>
      </c>
      <c r="J735" t="n">
        <v>0</v>
      </c>
      <c r="K735" t="n">
        <v>0</v>
      </c>
      <c r="L735" t="n">
        <v>0</v>
      </c>
      <c r="M735" t="n">
        <v>0</v>
      </c>
      <c r="N735" t="n">
        <v>0</v>
      </c>
      <c r="O735" t="n">
        <v>0</v>
      </c>
      <c r="P735" t="n">
        <v>0</v>
      </c>
      <c r="Q735" t="n">
        <v>0</v>
      </c>
      <c r="R735" s="2" t="inlineStr"/>
    </row>
    <row r="736" ht="15" customHeight="1">
      <c r="A736" t="inlineStr">
        <is>
          <t>A 16666-2024</t>
        </is>
      </c>
      <c r="B736" s="1" t="n">
        <v>45408</v>
      </c>
      <c r="C736" s="1" t="n">
        <v>46076</v>
      </c>
      <c r="D736" t="inlineStr">
        <is>
          <t>GÄVLEBORGS LÄN</t>
        </is>
      </c>
      <c r="E736" t="inlineStr">
        <is>
          <t>LJUSDAL</t>
        </is>
      </c>
      <c r="G736" t="n">
        <v>22.8</v>
      </c>
      <c r="H736" t="n">
        <v>0</v>
      </c>
      <c r="I736" t="n">
        <v>0</v>
      </c>
      <c r="J736" t="n">
        <v>0</v>
      </c>
      <c r="K736" t="n">
        <v>0</v>
      </c>
      <c r="L736" t="n">
        <v>0</v>
      </c>
      <c r="M736" t="n">
        <v>0</v>
      </c>
      <c r="N736" t="n">
        <v>0</v>
      </c>
      <c r="O736" t="n">
        <v>0</v>
      </c>
      <c r="P736" t="n">
        <v>0</v>
      </c>
      <c r="Q736" t="n">
        <v>0</v>
      </c>
      <c r="R736" s="2" t="inlineStr"/>
    </row>
    <row r="737" ht="15" customHeight="1">
      <c r="A737" t="inlineStr">
        <is>
          <t>A 15015-2023</t>
        </is>
      </c>
      <c r="B737" s="1" t="n">
        <v>45015.61263888889</v>
      </c>
      <c r="C737" s="1" t="n">
        <v>46076</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42463-2025</t>
        </is>
      </c>
      <c r="B738" s="1" t="n">
        <v>45905.4575</v>
      </c>
      <c r="C738" s="1" t="n">
        <v>46076</v>
      </c>
      <c r="D738" t="inlineStr">
        <is>
          <t>GÄVLEBORGS LÄN</t>
        </is>
      </c>
      <c r="E738" t="inlineStr">
        <is>
          <t>LJUSDAL</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26114-2024</t>
        </is>
      </c>
      <c r="B739" s="1" t="n">
        <v>45468</v>
      </c>
      <c r="C739" s="1" t="n">
        <v>46076</v>
      </c>
      <c r="D739" t="inlineStr">
        <is>
          <t>GÄVLEBORGS LÄN</t>
        </is>
      </c>
      <c r="E739" t="inlineStr">
        <is>
          <t>LJUSDAL</t>
        </is>
      </c>
      <c r="G739" t="n">
        <v>22.6</v>
      </c>
      <c r="H739" t="n">
        <v>0</v>
      </c>
      <c r="I739" t="n">
        <v>0</v>
      </c>
      <c r="J739" t="n">
        <v>0</v>
      </c>
      <c r="K739" t="n">
        <v>0</v>
      </c>
      <c r="L739" t="n">
        <v>0</v>
      </c>
      <c r="M739" t="n">
        <v>0</v>
      </c>
      <c r="N739" t="n">
        <v>0</v>
      </c>
      <c r="O739" t="n">
        <v>0</v>
      </c>
      <c r="P739" t="n">
        <v>0</v>
      </c>
      <c r="Q739" t="n">
        <v>0</v>
      </c>
      <c r="R739" s="2" t="inlineStr"/>
    </row>
    <row r="740" ht="15" customHeight="1">
      <c r="A740" t="inlineStr">
        <is>
          <t>A 50613-2024</t>
        </is>
      </c>
      <c r="B740" s="1" t="n">
        <v>45601.63219907408</v>
      </c>
      <c r="C740" s="1" t="n">
        <v>46076</v>
      </c>
      <c r="D740" t="inlineStr">
        <is>
          <t>GÄVLEBORGS LÄN</t>
        </is>
      </c>
      <c r="E740" t="inlineStr">
        <is>
          <t>LJUSDAL</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55046-2022</t>
        </is>
      </c>
      <c r="B741" s="1" t="n">
        <v>44886</v>
      </c>
      <c r="C741" s="1" t="n">
        <v>46076</v>
      </c>
      <c r="D741" t="inlineStr">
        <is>
          <t>GÄVLEBORGS LÄN</t>
        </is>
      </c>
      <c r="E741" t="inlineStr">
        <is>
          <t>LJUSDAL</t>
        </is>
      </c>
      <c r="F741" t="inlineStr">
        <is>
          <t>Bergvik skog väst AB</t>
        </is>
      </c>
      <c r="G741" t="n">
        <v>43.8</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46076</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32533-2025</t>
        </is>
      </c>
      <c r="B743" s="1" t="n">
        <v>45838.49317129629</v>
      </c>
      <c r="C743" s="1" t="n">
        <v>46076</v>
      </c>
      <c r="D743" t="inlineStr">
        <is>
          <t>GÄVLEBORGS LÄN</t>
        </is>
      </c>
      <c r="E743" t="inlineStr">
        <is>
          <t>LJUSDAL</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35364-2024</t>
        </is>
      </c>
      <c r="B744" s="1" t="n">
        <v>45531.34303240741</v>
      </c>
      <c r="C744" s="1" t="n">
        <v>46076</v>
      </c>
      <c r="D744" t="inlineStr">
        <is>
          <t>GÄVLEBORGS LÄN</t>
        </is>
      </c>
      <c r="E744" t="inlineStr">
        <is>
          <t>LJUSDAL</t>
        </is>
      </c>
      <c r="G744" t="n">
        <v>5.1</v>
      </c>
      <c r="H744" t="n">
        <v>0</v>
      </c>
      <c r="I744" t="n">
        <v>0</v>
      </c>
      <c r="J744" t="n">
        <v>0</v>
      </c>
      <c r="K744" t="n">
        <v>0</v>
      </c>
      <c r="L744" t="n">
        <v>0</v>
      </c>
      <c r="M744" t="n">
        <v>0</v>
      </c>
      <c r="N744" t="n">
        <v>0</v>
      </c>
      <c r="O744" t="n">
        <v>0</v>
      </c>
      <c r="P744" t="n">
        <v>0</v>
      </c>
      <c r="Q744" t="n">
        <v>0</v>
      </c>
      <c r="R744" s="2" t="inlineStr"/>
    </row>
    <row r="745" ht="15" customHeight="1">
      <c r="A745" t="inlineStr">
        <is>
          <t>A 24659-2024</t>
        </is>
      </c>
      <c r="B745" s="1" t="n">
        <v>45460.57925925926</v>
      </c>
      <c r="C745" s="1" t="n">
        <v>46076</v>
      </c>
      <c r="D745" t="inlineStr">
        <is>
          <t>GÄVLEBORGS LÄN</t>
        </is>
      </c>
      <c r="E745" t="inlineStr">
        <is>
          <t>LJUSDAL</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44856-2024</t>
        </is>
      </c>
      <c r="B746" s="1" t="n">
        <v>45575.25853009259</v>
      </c>
      <c r="C746" s="1" t="n">
        <v>46076</v>
      </c>
      <c r="D746" t="inlineStr">
        <is>
          <t>GÄVLEBORGS LÄN</t>
        </is>
      </c>
      <c r="E746" t="inlineStr">
        <is>
          <t>LJUSDAL</t>
        </is>
      </c>
      <c r="G746" t="n">
        <v>2.3</v>
      </c>
      <c r="H746" t="n">
        <v>0</v>
      </c>
      <c r="I746" t="n">
        <v>0</v>
      </c>
      <c r="J746" t="n">
        <v>0</v>
      </c>
      <c r="K746" t="n">
        <v>0</v>
      </c>
      <c r="L746" t="n">
        <v>0</v>
      </c>
      <c r="M746" t="n">
        <v>0</v>
      </c>
      <c r="N746" t="n">
        <v>0</v>
      </c>
      <c r="O746" t="n">
        <v>0</v>
      </c>
      <c r="P746" t="n">
        <v>0</v>
      </c>
      <c r="Q746" t="n">
        <v>0</v>
      </c>
      <c r="R746" s="2" t="inlineStr"/>
    </row>
    <row r="747" ht="15" customHeight="1">
      <c r="A747" t="inlineStr">
        <is>
          <t>A 19276-2025</t>
        </is>
      </c>
      <c r="B747" s="1" t="n">
        <v>45769.5315625</v>
      </c>
      <c r="C747" s="1" t="n">
        <v>46076</v>
      </c>
      <c r="D747" t="inlineStr">
        <is>
          <t>GÄVLEBORGS LÄN</t>
        </is>
      </c>
      <c r="E747" t="inlineStr">
        <is>
          <t>LJUSDAL</t>
        </is>
      </c>
      <c r="F747" t="inlineStr">
        <is>
          <t>SCA</t>
        </is>
      </c>
      <c r="G747" t="n">
        <v>5</v>
      </c>
      <c r="H747" t="n">
        <v>0</v>
      </c>
      <c r="I747" t="n">
        <v>0</v>
      </c>
      <c r="J747" t="n">
        <v>0</v>
      </c>
      <c r="K747" t="n">
        <v>0</v>
      </c>
      <c r="L747" t="n">
        <v>0</v>
      </c>
      <c r="M747" t="n">
        <v>0</v>
      </c>
      <c r="N747" t="n">
        <v>0</v>
      </c>
      <c r="O747" t="n">
        <v>0</v>
      </c>
      <c r="P747" t="n">
        <v>0</v>
      </c>
      <c r="Q747" t="n">
        <v>0</v>
      </c>
      <c r="R747" s="2" t="inlineStr"/>
    </row>
    <row r="748" ht="15" customHeight="1">
      <c r="A748" t="inlineStr">
        <is>
          <t>A 32412-2025</t>
        </is>
      </c>
      <c r="B748" s="1" t="n">
        <v>45838</v>
      </c>
      <c r="C748" s="1" t="n">
        <v>46076</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42398-2025</t>
        </is>
      </c>
      <c r="B749" s="1" t="n">
        <v>45905.36827546296</v>
      </c>
      <c r="C749" s="1" t="n">
        <v>46076</v>
      </c>
      <c r="D749" t="inlineStr">
        <is>
          <t>GÄVLEBORGS LÄN</t>
        </is>
      </c>
      <c r="E749" t="inlineStr">
        <is>
          <t>LJUSDAL</t>
        </is>
      </c>
      <c r="F749" t="inlineStr">
        <is>
          <t>Holmen skog AB</t>
        </is>
      </c>
      <c r="G749" t="n">
        <v>2.3</v>
      </c>
      <c r="H749" t="n">
        <v>0</v>
      </c>
      <c r="I749" t="n">
        <v>0</v>
      </c>
      <c r="J749" t="n">
        <v>0</v>
      </c>
      <c r="K749" t="n">
        <v>0</v>
      </c>
      <c r="L749" t="n">
        <v>0</v>
      </c>
      <c r="M749" t="n">
        <v>0</v>
      </c>
      <c r="N749" t="n">
        <v>0</v>
      </c>
      <c r="O749" t="n">
        <v>0</v>
      </c>
      <c r="P749" t="n">
        <v>0</v>
      </c>
      <c r="Q749" t="n">
        <v>0</v>
      </c>
      <c r="R749" s="2" t="inlineStr"/>
    </row>
    <row r="750" ht="15" customHeight="1">
      <c r="A750" t="inlineStr">
        <is>
          <t>A 42591-2025</t>
        </is>
      </c>
      <c r="B750" s="1" t="n">
        <v>45905.64267361111</v>
      </c>
      <c r="C750" s="1" t="n">
        <v>46076</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1222-2025</t>
        </is>
      </c>
      <c r="B751" s="1" t="n">
        <v>45667</v>
      </c>
      <c r="C751" s="1" t="n">
        <v>46076</v>
      </c>
      <c r="D751" t="inlineStr">
        <is>
          <t>GÄVLEBORGS LÄN</t>
        </is>
      </c>
      <c r="E751" t="inlineStr">
        <is>
          <t>LJUSDAL</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42603-2025</t>
        </is>
      </c>
      <c r="B752" s="1" t="n">
        <v>45905.67424768519</v>
      </c>
      <c r="C752" s="1" t="n">
        <v>46076</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42097-2025</t>
        </is>
      </c>
      <c r="B753" s="1" t="n">
        <v>45903.75074074074</v>
      </c>
      <c r="C753" s="1" t="n">
        <v>46076</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42601-2025</t>
        </is>
      </c>
      <c r="B754" s="1" t="n">
        <v>45905.6715625</v>
      </c>
      <c r="C754" s="1" t="n">
        <v>46076</v>
      </c>
      <c r="D754" t="inlineStr">
        <is>
          <t>GÄVLEBORGS LÄN</t>
        </is>
      </c>
      <c r="E754" t="inlineStr">
        <is>
          <t>LJUSDAL</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19314-2025</t>
        </is>
      </c>
      <c r="B755" s="1" t="n">
        <v>45769.57359953703</v>
      </c>
      <c r="C755" s="1" t="n">
        <v>46076</v>
      </c>
      <c r="D755" t="inlineStr">
        <is>
          <t>GÄVLEBORGS LÄN</t>
        </is>
      </c>
      <c r="E755" t="inlineStr">
        <is>
          <t>LJUSDAL</t>
        </is>
      </c>
      <c r="F755" t="inlineStr">
        <is>
          <t>SCA</t>
        </is>
      </c>
      <c r="G755" t="n">
        <v>6.6</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46076</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13246-2025</t>
        </is>
      </c>
      <c r="B757" s="1" t="n">
        <v>45735.4815162037</v>
      </c>
      <c r="C757" s="1" t="n">
        <v>46076</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42353-2025</t>
        </is>
      </c>
      <c r="B758" s="1" t="n">
        <v>45904.84546296296</v>
      </c>
      <c r="C758" s="1" t="n">
        <v>46076</v>
      </c>
      <c r="D758" t="inlineStr">
        <is>
          <t>GÄVLEBORGS LÄN</t>
        </is>
      </c>
      <c r="E758" t="inlineStr">
        <is>
          <t>LJUSDAL</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42670-2025</t>
        </is>
      </c>
      <c r="B759" s="1" t="n">
        <v>45908.28011574074</v>
      </c>
      <c r="C759" s="1" t="n">
        <v>46076</v>
      </c>
      <c r="D759" t="inlineStr">
        <is>
          <t>GÄVLEBORGS LÄN</t>
        </is>
      </c>
      <c r="E759" t="inlineStr">
        <is>
          <t>LJUSDAL</t>
        </is>
      </c>
      <c r="G759" t="n">
        <v>7</v>
      </c>
      <c r="H759" t="n">
        <v>0</v>
      </c>
      <c r="I759" t="n">
        <v>0</v>
      </c>
      <c r="J759" t="n">
        <v>0</v>
      </c>
      <c r="K759" t="n">
        <v>0</v>
      </c>
      <c r="L759" t="n">
        <v>0</v>
      </c>
      <c r="M759" t="n">
        <v>0</v>
      </c>
      <c r="N759" t="n">
        <v>0</v>
      </c>
      <c r="O759" t="n">
        <v>0</v>
      </c>
      <c r="P759" t="n">
        <v>0</v>
      </c>
      <c r="Q759" t="n">
        <v>0</v>
      </c>
      <c r="R759" s="2" t="inlineStr"/>
    </row>
    <row r="760" ht="15" customHeight="1">
      <c r="A760" t="inlineStr">
        <is>
          <t>A 17461-2025</t>
        </is>
      </c>
      <c r="B760" s="1" t="n">
        <v>45757.4566550926</v>
      </c>
      <c r="C760" s="1" t="n">
        <v>46076</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42701-2025</t>
        </is>
      </c>
      <c r="B761" s="1" t="n">
        <v>45908.36534722222</v>
      </c>
      <c r="C761" s="1" t="n">
        <v>46076</v>
      </c>
      <c r="D761" t="inlineStr">
        <is>
          <t>GÄVLEBORGS LÄN</t>
        </is>
      </c>
      <c r="E761" t="inlineStr">
        <is>
          <t>LJUSDAL</t>
        </is>
      </c>
      <c r="G761" t="n">
        <v>2.9</v>
      </c>
      <c r="H761" t="n">
        <v>0</v>
      </c>
      <c r="I761" t="n">
        <v>0</v>
      </c>
      <c r="J761" t="n">
        <v>0</v>
      </c>
      <c r="K761" t="n">
        <v>0</v>
      </c>
      <c r="L761" t="n">
        <v>0</v>
      </c>
      <c r="M761" t="n">
        <v>0</v>
      </c>
      <c r="N761" t="n">
        <v>0</v>
      </c>
      <c r="O761" t="n">
        <v>0</v>
      </c>
      <c r="P761" t="n">
        <v>0</v>
      </c>
      <c r="Q761" t="n">
        <v>0</v>
      </c>
      <c r="R761" s="2" t="inlineStr"/>
    </row>
    <row r="762" ht="15" customHeight="1">
      <c r="A762" t="inlineStr">
        <is>
          <t>A 42866-2025</t>
        </is>
      </c>
      <c r="B762" s="1" t="n">
        <v>45908.61733796296</v>
      </c>
      <c r="C762" s="1" t="n">
        <v>46076</v>
      </c>
      <c r="D762" t="inlineStr">
        <is>
          <t>GÄVLEBORGS LÄN</t>
        </is>
      </c>
      <c r="E762" t="inlineStr">
        <is>
          <t>LJUSDAL</t>
        </is>
      </c>
      <c r="F762" t="inlineStr">
        <is>
          <t>Allmännings- och besparingsskogar</t>
        </is>
      </c>
      <c r="G762" t="n">
        <v>6.2</v>
      </c>
      <c r="H762" t="n">
        <v>0</v>
      </c>
      <c r="I762" t="n">
        <v>0</v>
      </c>
      <c r="J762" t="n">
        <v>0</v>
      </c>
      <c r="K762" t="n">
        <v>0</v>
      </c>
      <c r="L762" t="n">
        <v>0</v>
      </c>
      <c r="M762" t="n">
        <v>0</v>
      </c>
      <c r="N762" t="n">
        <v>0</v>
      </c>
      <c r="O762" t="n">
        <v>0</v>
      </c>
      <c r="P762" t="n">
        <v>0</v>
      </c>
      <c r="Q762" t="n">
        <v>0</v>
      </c>
      <c r="R762" s="2" t="inlineStr"/>
    </row>
    <row r="763" ht="15" customHeight="1">
      <c r="A763" t="inlineStr">
        <is>
          <t>A 32815-2025</t>
        </is>
      </c>
      <c r="B763" s="1" t="n">
        <v>45839.53114583333</v>
      </c>
      <c r="C763" s="1" t="n">
        <v>46076</v>
      </c>
      <c r="D763" t="inlineStr">
        <is>
          <t>GÄVLEBORGS LÄN</t>
        </is>
      </c>
      <c r="E763" t="inlineStr">
        <is>
          <t>LJUSDAL</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42822-2025</t>
        </is>
      </c>
      <c r="B764" s="1" t="n">
        <v>45908.5725</v>
      </c>
      <c r="C764" s="1" t="n">
        <v>46076</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33594-2025</t>
        </is>
      </c>
      <c r="B765" s="1" t="n">
        <v>45841</v>
      </c>
      <c r="C765" s="1" t="n">
        <v>46076</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42913-2025</t>
        </is>
      </c>
      <c r="B766" s="1" t="n">
        <v>45908.71673611111</v>
      </c>
      <c r="C766" s="1" t="n">
        <v>46076</v>
      </c>
      <c r="D766" t="inlineStr">
        <is>
          <t>GÄVLEBORGS LÄN</t>
        </is>
      </c>
      <c r="E766" t="inlineStr">
        <is>
          <t>LJUSDAL</t>
        </is>
      </c>
      <c r="G766" t="n">
        <v>3.5</v>
      </c>
      <c r="H766" t="n">
        <v>0</v>
      </c>
      <c r="I766" t="n">
        <v>0</v>
      </c>
      <c r="J766" t="n">
        <v>0</v>
      </c>
      <c r="K766" t="n">
        <v>0</v>
      </c>
      <c r="L766" t="n">
        <v>0</v>
      </c>
      <c r="M766" t="n">
        <v>0</v>
      </c>
      <c r="N766" t="n">
        <v>0</v>
      </c>
      <c r="O766" t="n">
        <v>0</v>
      </c>
      <c r="P766" t="n">
        <v>0</v>
      </c>
      <c r="Q766" t="n">
        <v>0</v>
      </c>
      <c r="R766" s="2" t="inlineStr"/>
    </row>
    <row r="767" ht="15" customHeight="1">
      <c r="A767" t="inlineStr">
        <is>
          <t>A 43094-2025</t>
        </is>
      </c>
      <c r="B767" s="1" t="n">
        <v>45909.62625</v>
      </c>
      <c r="C767" s="1" t="n">
        <v>46076</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42878-2025</t>
        </is>
      </c>
      <c r="B768" s="1" t="n">
        <v>45908.6357175926</v>
      </c>
      <c r="C768" s="1" t="n">
        <v>46076</v>
      </c>
      <c r="D768" t="inlineStr">
        <is>
          <t>GÄVLEBORGS LÄN</t>
        </is>
      </c>
      <c r="E768" t="inlineStr">
        <is>
          <t>LJUSDAL</t>
        </is>
      </c>
      <c r="G768" t="n">
        <v>1.3</v>
      </c>
      <c r="H768" t="n">
        <v>0</v>
      </c>
      <c r="I768" t="n">
        <v>0</v>
      </c>
      <c r="J768" t="n">
        <v>0</v>
      </c>
      <c r="K768" t="n">
        <v>0</v>
      </c>
      <c r="L768" t="n">
        <v>0</v>
      </c>
      <c r="M768" t="n">
        <v>0</v>
      </c>
      <c r="N768" t="n">
        <v>0</v>
      </c>
      <c r="O768" t="n">
        <v>0</v>
      </c>
      <c r="P768" t="n">
        <v>0</v>
      </c>
      <c r="Q768" t="n">
        <v>0</v>
      </c>
      <c r="R768" s="2" t="inlineStr"/>
    </row>
    <row r="769" ht="15" customHeight="1">
      <c r="A769" t="inlineStr">
        <is>
          <t>A 24881-2021</t>
        </is>
      </c>
      <c r="B769" s="1" t="n">
        <v>44341.32192129629</v>
      </c>
      <c r="C769" s="1" t="n">
        <v>46076</v>
      </c>
      <c r="D769" t="inlineStr">
        <is>
          <t>GÄVLEBORGS LÄN</t>
        </is>
      </c>
      <c r="E769" t="inlineStr">
        <is>
          <t>LJUSDAL</t>
        </is>
      </c>
      <c r="F769" t="inlineStr">
        <is>
          <t>Kommuner</t>
        </is>
      </c>
      <c r="G769" t="n">
        <v>2.8</v>
      </c>
      <c r="H769" t="n">
        <v>0</v>
      </c>
      <c r="I769" t="n">
        <v>0</v>
      </c>
      <c r="J769" t="n">
        <v>0</v>
      </c>
      <c r="K769" t="n">
        <v>0</v>
      </c>
      <c r="L769" t="n">
        <v>0</v>
      </c>
      <c r="M769" t="n">
        <v>0</v>
      </c>
      <c r="N769" t="n">
        <v>0</v>
      </c>
      <c r="O769" t="n">
        <v>0</v>
      </c>
      <c r="P769" t="n">
        <v>0</v>
      </c>
      <c r="Q769" t="n">
        <v>0</v>
      </c>
      <c r="R769" s="2" t="inlineStr"/>
    </row>
    <row r="770" ht="15" customHeight="1">
      <c r="A770" t="inlineStr">
        <is>
          <t>A 24655-2024</t>
        </is>
      </c>
      <c r="B770" s="1" t="n">
        <v>45460.57638888889</v>
      </c>
      <c r="C770" s="1" t="n">
        <v>46076</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33051-2025</t>
        </is>
      </c>
      <c r="B771" s="1" t="n">
        <v>45840.42487268519</v>
      </c>
      <c r="C771" s="1" t="n">
        <v>46076</v>
      </c>
      <c r="D771" t="inlineStr">
        <is>
          <t>GÄVLEBORGS LÄN</t>
        </is>
      </c>
      <c r="E771" t="inlineStr">
        <is>
          <t>LJUSDAL</t>
        </is>
      </c>
      <c r="F771" t="inlineStr">
        <is>
          <t>Allmännings- och besparingsskogar</t>
        </is>
      </c>
      <c r="G771" t="n">
        <v>9.1</v>
      </c>
      <c r="H771" t="n">
        <v>0</v>
      </c>
      <c r="I771" t="n">
        <v>0</v>
      </c>
      <c r="J771" t="n">
        <v>0</v>
      </c>
      <c r="K771" t="n">
        <v>0</v>
      </c>
      <c r="L771" t="n">
        <v>0</v>
      </c>
      <c r="M771" t="n">
        <v>0</v>
      </c>
      <c r="N771" t="n">
        <v>0</v>
      </c>
      <c r="O771" t="n">
        <v>0</v>
      </c>
      <c r="P771" t="n">
        <v>0</v>
      </c>
      <c r="Q771" t="n">
        <v>0</v>
      </c>
      <c r="R771" s="2" t="inlineStr"/>
    </row>
    <row r="772" ht="15" customHeight="1">
      <c r="A772" t="inlineStr">
        <is>
          <t>A 26180-2023</t>
        </is>
      </c>
      <c r="B772" s="1" t="n">
        <v>45091.52903935185</v>
      </c>
      <c r="C772" s="1" t="n">
        <v>46076</v>
      </c>
      <c r="D772" t="inlineStr">
        <is>
          <t>GÄVLEBORGS LÄN</t>
        </is>
      </c>
      <c r="E772" t="inlineStr">
        <is>
          <t>LJUSDAL</t>
        </is>
      </c>
      <c r="F772" t="inlineStr">
        <is>
          <t>Sveaskog</t>
        </is>
      </c>
      <c r="G772" t="n">
        <v>3.7</v>
      </c>
      <c r="H772" t="n">
        <v>0</v>
      </c>
      <c r="I772" t="n">
        <v>0</v>
      </c>
      <c r="J772" t="n">
        <v>0</v>
      </c>
      <c r="K772" t="n">
        <v>0</v>
      </c>
      <c r="L772" t="n">
        <v>0</v>
      </c>
      <c r="M772" t="n">
        <v>0</v>
      </c>
      <c r="N772" t="n">
        <v>0</v>
      </c>
      <c r="O772" t="n">
        <v>0</v>
      </c>
      <c r="P772" t="n">
        <v>0</v>
      </c>
      <c r="Q772" t="n">
        <v>0</v>
      </c>
      <c r="R772" s="2" t="inlineStr"/>
    </row>
    <row r="773" ht="15" customHeight="1">
      <c r="A773" t="inlineStr">
        <is>
          <t>A 17230-2023</t>
        </is>
      </c>
      <c r="B773" s="1" t="n">
        <v>45035.31333333333</v>
      </c>
      <c r="C773" s="1" t="n">
        <v>46076</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33585-2025</t>
        </is>
      </c>
      <c r="B774" s="1" t="n">
        <v>45841.59462962963</v>
      </c>
      <c r="C774" s="1" t="n">
        <v>46076</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50271-2023</t>
        </is>
      </c>
      <c r="B775" s="1" t="n">
        <v>45216.39822916667</v>
      </c>
      <c r="C775" s="1" t="n">
        <v>46076</v>
      </c>
      <c r="D775" t="inlineStr">
        <is>
          <t>GÄVLEBORGS LÄN</t>
        </is>
      </c>
      <c r="E775" t="inlineStr">
        <is>
          <t>LJUSDAL</t>
        </is>
      </c>
      <c r="G775" t="n">
        <v>27.4</v>
      </c>
      <c r="H775" t="n">
        <v>0</v>
      </c>
      <c r="I775" t="n">
        <v>0</v>
      </c>
      <c r="J775" t="n">
        <v>0</v>
      </c>
      <c r="K775" t="n">
        <v>0</v>
      </c>
      <c r="L775" t="n">
        <v>0</v>
      </c>
      <c r="M775" t="n">
        <v>0</v>
      </c>
      <c r="N775" t="n">
        <v>0</v>
      </c>
      <c r="O775" t="n">
        <v>0</v>
      </c>
      <c r="P775" t="n">
        <v>0</v>
      </c>
      <c r="Q775" t="n">
        <v>0</v>
      </c>
      <c r="R775" s="2" t="inlineStr"/>
    </row>
    <row r="776" ht="15" customHeight="1">
      <c r="A776" t="inlineStr">
        <is>
          <t>A 58173-2024</t>
        </is>
      </c>
      <c r="B776" s="1" t="n">
        <v>45632.46581018518</v>
      </c>
      <c r="C776" s="1" t="n">
        <v>46076</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33333-2025</t>
        </is>
      </c>
      <c r="B777" s="1" t="n">
        <v>45841.35502314815</v>
      </c>
      <c r="C777" s="1" t="n">
        <v>46076</v>
      </c>
      <c r="D777" t="inlineStr">
        <is>
          <t>GÄVLEBORGS LÄN</t>
        </is>
      </c>
      <c r="E777" t="inlineStr">
        <is>
          <t>LJUSDAL</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33337-2025</t>
        </is>
      </c>
      <c r="B778" s="1" t="n">
        <v>45841.35680555556</v>
      </c>
      <c r="C778" s="1" t="n">
        <v>46076</v>
      </c>
      <c r="D778" t="inlineStr">
        <is>
          <t>GÄVLEBORGS LÄN</t>
        </is>
      </c>
      <c r="E778" t="inlineStr">
        <is>
          <t>LJUSDAL</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6724-2024</t>
        </is>
      </c>
      <c r="B779" s="1" t="n">
        <v>45342.3765162037</v>
      </c>
      <c r="C779" s="1" t="n">
        <v>46076</v>
      </c>
      <c r="D779" t="inlineStr">
        <is>
          <t>GÄVLEBORGS LÄN</t>
        </is>
      </c>
      <c r="E779" t="inlineStr">
        <is>
          <t>LJUSDAL</t>
        </is>
      </c>
      <c r="F779" t="inlineStr">
        <is>
          <t>Bergvik skog väst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33427-2025</t>
        </is>
      </c>
      <c r="B780" s="1" t="n">
        <v>45841.44578703704</v>
      </c>
      <c r="C780" s="1" t="n">
        <v>46076</v>
      </c>
      <c r="D780" t="inlineStr">
        <is>
          <t>GÄVLEBORGS LÄN</t>
        </is>
      </c>
      <c r="E780" t="inlineStr">
        <is>
          <t>LJUSDAL</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60822-2022</t>
        </is>
      </c>
      <c r="B781" s="1" t="n">
        <v>44904</v>
      </c>
      <c r="C781" s="1" t="n">
        <v>46076</v>
      </c>
      <c r="D781" t="inlineStr">
        <is>
          <t>GÄVLEBORGS LÄN</t>
        </is>
      </c>
      <c r="E781" t="inlineStr">
        <is>
          <t>LJUSDAL</t>
        </is>
      </c>
      <c r="G781" t="n">
        <v>0.8</v>
      </c>
      <c r="H781" t="n">
        <v>0</v>
      </c>
      <c r="I781" t="n">
        <v>0</v>
      </c>
      <c r="J781" t="n">
        <v>0</v>
      </c>
      <c r="K781" t="n">
        <v>0</v>
      </c>
      <c r="L781" t="n">
        <v>0</v>
      </c>
      <c r="M781" t="n">
        <v>0</v>
      </c>
      <c r="N781" t="n">
        <v>0</v>
      </c>
      <c r="O781" t="n">
        <v>0</v>
      </c>
      <c r="P781" t="n">
        <v>0</v>
      </c>
      <c r="Q781" t="n">
        <v>0</v>
      </c>
      <c r="R781" s="2" t="inlineStr"/>
    </row>
    <row r="782" ht="15" customHeight="1">
      <c r="A782" t="inlineStr">
        <is>
          <t>A 29807-2023</t>
        </is>
      </c>
      <c r="B782" s="1" t="n">
        <v>45099</v>
      </c>
      <c r="C782" s="1" t="n">
        <v>46076</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2584-2025</t>
        </is>
      </c>
      <c r="B783" s="1" t="n">
        <v>45674</v>
      </c>
      <c r="C783" s="1" t="n">
        <v>46076</v>
      </c>
      <c r="D783" t="inlineStr">
        <is>
          <t>GÄVLEBORGS LÄN</t>
        </is>
      </c>
      <c r="E783" t="inlineStr">
        <is>
          <t>LJUSDAL</t>
        </is>
      </c>
      <c r="F783" t="inlineStr">
        <is>
          <t>Sveaskog</t>
        </is>
      </c>
      <c r="G783" t="n">
        <v>4.1</v>
      </c>
      <c r="H783" t="n">
        <v>0</v>
      </c>
      <c r="I783" t="n">
        <v>0</v>
      </c>
      <c r="J783" t="n">
        <v>0</v>
      </c>
      <c r="K783" t="n">
        <v>0</v>
      </c>
      <c r="L783" t="n">
        <v>0</v>
      </c>
      <c r="M783" t="n">
        <v>0</v>
      </c>
      <c r="N783" t="n">
        <v>0</v>
      </c>
      <c r="O783" t="n">
        <v>0</v>
      </c>
      <c r="P783" t="n">
        <v>0</v>
      </c>
      <c r="Q783" t="n">
        <v>0</v>
      </c>
      <c r="R783" s="2" t="inlineStr"/>
    </row>
    <row r="784" ht="15" customHeight="1">
      <c r="A784" t="inlineStr">
        <is>
          <t>A 33803-2025</t>
        </is>
      </c>
      <c r="B784" s="1" t="n">
        <v>45842.44728009259</v>
      </c>
      <c r="C784" s="1" t="n">
        <v>46076</v>
      </c>
      <c r="D784" t="inlineStr">
        <is>
          <t>GÄVLEBORGS LÄN</t>
        </is>
      </c>
      <c r="E784" t="inlineStr">
        <is>
          <t>LJUSDAL</t>
        </is>
      </c>
      <c r="F784" t="inlineStr">
        <is>
          <t>Sveaskog</t>
        </is>
      </c>
      <c r="G784" t="n">
        <v>5.7</v>
      </c>
      <c r="H784" t="n">
        <v>0</v>
      </c>
      <c r="I784" t="n">
        <v>0</v>
      </c>
      <c r="J784" t="n">
        <v>0</v>
      </c>
      <c r="K784" t="n">
        <v>0</v>
      </c>
      <c r="L784" t="n">
        <v>0</v>
      </c>
      <c r="M784" t="n">
        <v>0</v>
      </c>
      <c r="N784" t="n">
        <v>0</v>
      </c>
      <c r="O784" t="n">
        <v>0</v>
      </c>
      <c r="P784" t="n">
        <v>0</v>
      </c>
      <c r="Q784" t="n">
        <v>0</v>
      </c>
      <c r="R784" s="2" t="inlineStr"/>
    </row>
    <row r="785" ht="15" customHeight="1">
      <c r="A785" t="inlineStr">
        <is>
          <t>A 1226-2025</t>
        </is>
      </c>
      <c r="B785" s="1" t="n">
        <v>45667.43862268519</v>
      </c>
      <c r="C785" s="1" t="n">
        <v>46076</v>
      </c>
      <c r="D785" t="inlineStr">
        <is>
          <t>GÄVLEBORGS LÄN</t>
        </is>
      </c>
      <c r="E785" t="inlineStr">
        <is>
          <t>LJUSDAL</t>
        </is>
      </c>
      <c r="F785" t="inlineStr">
        <is>
          <t>Bergvik skog väst AB</t>
        </is>
      </c>
      <c r="G785" t="n">
        <v>0.7</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46076</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29841-2023</t>
        </is>
      </c>
      <c r="B787" s="1" t="n">
        <v>45099</v>
      </c>
      <c r="C787" s="1" t="n">
        <v>46076</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35022-2025</t>
        </is>
      </c>
      <c r="B788" s="1" t="n">
        <v>45851.95064814815</v>
      </c>
      <c r="C788" s="1" t="n">
        <v>46076</v>
      </c>
      <c r="D788" t="inlineStr">
        <is>
          <t>GÄVLEBORGS LÄN</t>
        </is>
      </c>
      <c r="E788" t="inlineStr">
        <is>
          <t>LJUSDAL</t>
        </is>
      </c>
      <c r="G788" t="n">
        <v>2.1</v>
      </c>
      <c r="H788" t="n">
        <v>0</v>
      </c>
      <c r="I788" t="n">
        <v>0</v>
      </c>
      <c r="J788" t="n">
        <v>0</v>
      </c>
      <c r="K788" t="n">
        <v>0</v>
      </c>
      <c r="L788" t="n">
        <v>0</v>
      </c>
      <c r="M788" t="n">
        <v>0</v>
      </c>
      <c r="N788" t="n">
        <v>0</v>
      </c>
      <c r="O788" t="n">
        <v>0</v>
      </c>
      <c r="P788" t="n">
        <v>0</v>
      </c>
      <c r="Q788" t="n">
        <v>0</v>
      </c>
      <c r="R788" s="2" t="inlineStr"/>
    </row>
    <row r="789" ht="15" customHeight="1">
      <c r="A789" t="inlineStr">
        <is>
          <t>A 18681-2022</t>
        </is>
      </c>
      <c r="B789" s="1" t="n">
        <v>44687.5766087963</v>
      </c>
      <c r="C789" s="1" t="n">
        <v>46076</v>
      </c>
      <c r="D789" t="inlineStr">
        <is>
          <t>GÄVLEBORGS LÄN</t>
        </is>
      </c>
      <c r="E789" t="inlineStr">
        <is>
          <t>LJUSDAL</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43413-2025</t>
        </is>
      </c>
      <c r="B790" s="1" t="n">
        <v>45911.40479166667</v>
      </c>
      <c r="C790" s="1" t="n">
        <v>46076</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43277-2025</t>
        </is>
      </c>
      <c r="B791" s="1" t="n">
        <v>45910.59302083333</v>
      </c>
      <c r="C791" s="1" t="n">
        <v>46076</v>
      </c>
      <c r="D791" t="inlineStr">
        <is>
          <t>GÄVLEBORGS LÄN</t>
        </is>
      </c>
      <c r="E791" t="inlineStr">
        <is>
          <t>LJUSDAL</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43848-2025</t>
        </is>
      </c>
      <c r="B792" s="1" t="n">
        <v>45912.63829861111</v>
      </c>
      <c r="C792" s="1" t="n">
        <v>46076</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43853-2025</t>
        </is>
      </c>
      <c r="B793" s="1" t="n">
        <v>45912.64043981482</v>
      </c>
      <c r="C793" s="1" t="n">
        <v>46076</v>
      </c>
      <c r="D793" t="inlineStr">
        <is>
          <t>GÄVLEBORGS LÄN</t>
        </is>
      </c>
      <c r="E793" t="inlineStr">
        <is>
          <t>LJUSDAL</t>
        </is>
      </c>
      <c r="F793" t="inlineStr">
        <is>
          <t>Sveaskog</t>
        </is>
      </c>
      <c r="G793" t="n">
        <v>10.3</v>
      </c>
      <c r="H793" t="n">
        <v>0</v>
      </c>
      <c r="I793" t="n">
        <v>0</v>
      </c>
      <c r="J793" t="n">
        <v>0</v>
      </c>
      <c r="K793" t="n">
        <v>0</v>
      </c>
      <c r="L793" t="n">
        <v>0</v>
      </c>
      <c r="M793" t="n">
        <v>0</v>
      </c>
      <c r="N793" t="n">
        <v>0</v>
      </c>
      <c r="O793" t="n">
        <v>0</v>
      </c>
      <c r="P793" t="n">
        <v>0</v>
      </c>
      <c r="Q793" t="n">
        <v>0</v>
      </c>
      <c r="R793" s="2" t="inlineStr"/>
    </row>
    <row r="794" ht="15" customHeight="1">
      <c r="A794" t="inlineStr">
        <is>
          <t>A 43969-2025</t>
        </is>
      </c>
      <c r="B794" s="1" t="n">
        <v>45915.40497685185</v>
      </c>
      <c r="C794" s="1" t="n">
        <v>46076</v>
      </c>
      <c r="D794" t="inlineStr">
        <is>
          <t>GÄVLEBORGS LÄN</t>
        </is>
      </c>
      <c r="E794" t="inlineStr">
        <is>
          <t>LJUSDAL</t>
        </is>
      </c>
      <c r="G794" t="n">
        <v>7.1</v>
      </c>
      <c r="H794" t="n">
        <v>0</v>
      </c>
      <c r="I794" t="n">
        <v>0</v>
      </c>
      <c r="J794" t="n">
        <v>0</v>
      </c>
      <c r="K794" t="n">
        <v>0</v>
      </c>
      <c r="L794" t="n">
        <v>0</v>
      </c>
      <c r="M794" t="n">
        <v>0</v>
      </c>
      <c r="N794" t="n">
        <v>0</v>
      </c>
      <c r="O794" t="n">
        <v>0</v>
      </c>
      <c r="P794" t="n">
        <v>0</v>
      </c>
      <c r="Q794" t="n">
        <v>0</v>
      </c>
      <c r="R794" s="2" t="inlineStr"/>
    </row>
    <row r="795" ht="15" customHeight="1">
      <c r="A795" t="inlineStr">
        <is>
          <t>A 43718-2023</t>
        </is>
      </c>
      <c r="B795" s="1" t="n">
        <v>45187.44440972222</v>
      </c>
      <c r="C795" s="1" t="n">
        <v>46076</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43796-2025</t>
        </is>
      </c>
      <c r="B796" s="1" t="n">
        <v>45912.56341435185</v>
      </c>
      <c r="C796" s="1" t="n">
        <v>46076</v>
      </c>
      <c r="D796" t="inlineStr">
        <is>
          <t>GÄVLEBORGS LÄN</t>
        </is>
      </c>
      <c r="E796" t="inlineStr">
        <is>
          <t>LJUSDAL</t>
        </is>
      </c>
      <c r="G796" t="n">
        <v>1.8</v>
      </c>
      <c r="H796" t="n">
        <v>0</v>
      </c>
      <c r="I796" t="n">
        <v>0</v>
      </c>
      <c r="J796" t="n">
        <v>0</v>
      </c>
      <c r="K796" t="n">
        <v>0</v>
      </c>
      <c r="L796" t="n">
        <v>0</v>
      </c>
      <c r="M796" t="n">
        <v>0</v>
      </c>
      <c r="N796" t="n">
        <v>0</v>
      </c>
      <c r="O796" t="n">
        <v>0</v>
      </c>
      <c r="P796" t="n">
        <v>0</v>
      </c>
      <c r="Q796" t="n">
        <v>0</v>
      </c>
      <c r="R796" s="2" t="inlineStr"/>
    </row>
    <row r="797" ht="15" customHeight="1">
      <c r="A797" t="inlineStr">
        <is>
          <t>A 32098-2023</t>
        </is>
      </c>
      <c r="B797" s="1" t="n">
        <v>45119</v>
      </c>
      <c r="C797" s="1" t="n">
        <v>46076</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37202-2023</t>
        </is>
      </c>
      <c r="B798" s="1" t="n">
        <v>45155</v>
      </c>
      <c r="C798" s="1" t="n">
        <v>46076</v>
      </c>
      <c r="D798" t="inlineStr">
        <is>
          <t>GÄVLEBORGS LÄN</t>
        </is>
      </c>
      <c r="E798" t="inlineStr">
        <is>
          <t>LJUSDAL</t>
        </is>
      </c>
      <c r="F798" t="inlineStr">
        <is>
          <t>Sveaskog</t>
        </is>
      </c>
      <c r="G798" t="n">
        <v>7.1</v>
      </c>
      <c r="H798" t="n">
        <v>0</v>
      </c>
      <c r="I798" t="n">
        <v>0</v>
      </c>
      <c r="J798" t="n">
        <v>0</v>
      </c>
      <c r="K798" t="n">
        <v>0</v>
      </c>
      <c r="L798" t="n">
        <v>0</v>
      </c>
      <c r="M798" t="n">
        <v>0</v>
      </c>
      <c r="N798" t="n">
        <v>0</v>
      </c>
      <c r="O798" t="n">
        <v>0</v>
      </c>
      <c r="P798" t="n">
        <v>0</v>
      </c>
      <c r="Q798" t="n">
        <v>0</v>
      </c>
      <c r="R798" s="2" t="inlineStr"/>
    </row>
    <row r="799" ht="15" customHeight="1">
      <c r="A799" t="inlineStr">
        <is>
          <t>A 42712-2024</t>
        </is>
      </c>
      <c r="B799" s="1" t="n">
        <v>45566.44934027778</v>
      </c>
      <c r="C799" s="1" t="n">
        <v>46076</v>
      </c>
      <c r="D799" t="inlineStr">
        <is>
          <t>GÄVLEBORGS LÄN</t>
        </is>
      </c>
      <c r="E799" t="inlineStr">
        <is>
          <t>LJUSDAL</t>
        </is>
      </c>
      <c r="F799" t="inlineStr">
        <is>
          <t>Kommuner</t>
        </is>
      </c>
      <c r="G799" t="n">
        <v>6.9</v>
      </c>
      <c r="H799" t="n">
        <v>0</v>
      </c>
      <c r="I799" t="n">
        <v>0</v>
      </c>
      <c r="J799" t="n">
        <v>0</v>
      </c>
      <c r="K799" t="n">
        <v>0</v>
      </c>
      <c r="L799" t="n">
        <v>0</v>
      </c>
      <c r="M799" t="n">
        <v>0</v>
      </c>
      <c r="N799" t="n">
        <v>0</v>
      </c>
      <c r="O799" t="n">
        <v>0</v>
      </c>
      <c r="P799" t="n">
        <v>0</v>
      </c>
      <c r="Q799" t="n">
        <v>0</v>
      </c>
      <c r="R799" s="2" t="inlineStr"/>
    </row>
    <row r="800" ht="15" customHeight="1">
      <c r="A800" t="inlineStr">
        <is>
          <t>A 42720-2024</t>
        </is>
      </c>
      <c r="B800" s="1" t="n">
        <v>45566.459375</v>
      </c>
      <c r="C800" s="1" t="n">
        <v>46076</v>
      </c>
      <c r="D800" t="inlineStr">
        <is>
          <t>GÄVLEBORGS LÄN</t>
        </is>
      </c>
      <c r="E800" t="inlineStr">
        <is>
          <t>LJUSDAL</t>
        </is>
      </c>
      <c r="F800" t="inlineStr">
        <is>
          <t>Kommuner</t>
        </is>
      </c>
      <c r="G800" t="n">
        <v>5.9</v>
      </c>
      <c r="H800" t="n">
        <v>0</v>
      </c>
      <c r="I800" t="n">
        <v>0</v>
      </c>
      <c r="J800" t="n">
        <v>0</v>
      </c>
      <c r="K800" t="n">
        <v>0</v>
      </c>
      <c r="L800" t="n">
        <v>0</v>
      </c>
      <c r="M800" t="n">
        <v>0</v>
      </c>
      <c r="N800" t="n">
        <v>0</v>
      </c>
      <c r="O800" t="n">
        <v>0</v>
      </c>
      <c r="P800" t="n">
        <v>0</v>
      </c>
      <c r="Q800" t="n">
        <v>0</v>
      </c>
      <c r="R800" s="2" t="inlineStr"/>
    </row>
    <row r="801" ht="15" customHeight="1">
      <c r="A801" t="inlineStr">
        <is>
          <t>A 42726-2024</t>
        </is>
      </c>
      <c r="B801" s="1" t="n">
        <v>45566</v>
      </c>
      <c r="C801" s="1" t="n">
        <v>46076</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34276-2025</t>
        </is>
      </c>
      <c r="B802" s="1" t="n">
        <v>45845.9084375</v>
      </c>
      <c r="C802" s="1" t="n">
        <v>46076</v>
      </c>
      <c r="D802" t="inlineStr">
        <is>
          <t>GÄVLEBORGS LÄN</t>
        </is>
      </c>
      <c r="E802" t="inlineStr">
        <is>
          <t>LJUSDAL</t>
        </is>
      </c>
      <c r="F802" t="inlineStr">
        <is>
          <t>Holmen skog AB</t>
        </is>
      </c>
      <c r="G802" t="n">
        <v>33.7</v>
      </c>
      <c r="H802" t="n">
        <v>0</v>
      </c>
      <c r="I802" t="n">
        <v>0</v>
      </c>
      <c r="J802" t="n">
        <v>0</v>
      </c>
      <c r="K802" t="n">
        <v>0</v>
      </c>
      <c r="L802" t="n">
        <v>0</v>
      </c>
      <c r="M802" t="n">
        <v>0</v>
      </c>
      <c r="N802" t="n">
        <v>0</v>
      </c>
      <c r="O802" t="n">
        <v>0</v>
      </c>
      <c r="P802" t="n">
        <v>0</v>
      </c>
      <c r="Q802" t="n">
        <v>0</v>
      </c>
      <c r="R802" s="2" t="inlineStr"/>
    </row>
    <row r="803" ht="15" customHeight="1">
      <c r="A803" t="inlineStr">
        <is>
          <t>A 34330-2025</t>
        </is>
      </c>
      <c r="B803" s="1" t="n">
        <v>45846.44659722222</v>
      </c>
      <c r="C803" s="1" t="n">
        <v>46076</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44201-2025</t>
        </is>
      </c>
      <c r="B804" s="1" t="n">
        <v>45915.62305555555</v>
      </c>
      <c r="C804" s="1" t="n">
        <v>46076</v>
      </c>
      <c r="D804" t="inlineStr">
        <is>
          <t>GÄVLEBORGS LÄN</t>
        </is>
      </c>
      <c r="E804" t="inlineStr">
        <is>
          <t>LJUSDAL</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43801-2025</t>
        </is>
      </c>
      <c r="B805" s="1" t="n">
        <v>45912.5725</v>
      </c>
      <c r="C805" s="1" t="n">
        <v>46076</v>
      </c>
      <c r="D805" t="inlineStr">
        <is>
          <t>GÄVLEBORGS LÄN</t>
        </is>
      </c>
      <c r="E805" t="inlineStr">
        <is>
          <t>LJUSDAL</t>
        </is>
      </c>
      <c r="G805" t="n">
        <v>4</v>
      </c>
      <c r="H805" t="n">
        <v>0</v>
      </c>
      <c r="I805" t="n">
        <v>0</v>
      </c>
      <c r="J805" t="n">
        <v>0</v>
      </c>
      <c r="K805" t="n">
        <v>0</v>
      </c>
      <c r="L805" t="n">
        <v>0</v>
      </c>
      <c r="M805" t="n">
        <v>0</v>
      </c>
      <c r="N805" t="n">
        <v>0</v>
      </c>
      <c r="O805" t="n">
        <v>0</v>
      </c>
      <c r="P805" t="n">
        <v>0</v>
      </c>
      <c r="Q805" t="n">
        <v>0</v>
      </c>
      <c r="R805" s="2" t="inlineStr"/>
    </row>
    <row r="806" ht="15" customHeight="1">
      <c r="A806" t="inlineStr">
        <is>
          <t>A 43733-2025</t>
        </is>
      </c>
      <c r="B806" s="1" t="n">
        <v>45912.43981481482</v>
      </c>
      <c r="C806" s="1" t="n">
        <v>46076</v>
      </c>
      <c r="D806" t="inlineStr">
        <is>
          <t>GÄVLEBORGS LÄN</t>
        </is>
      </c>
      <c r="E806" t="inlineStr">
        <is>
          <t>LJUSDAL</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46075-2024</t>
        </is>
      </c>
      <c r="B807" s="1" t="n">
        <v>45581.32696759259</v>
      </c>
      <c r="C807" s="1" t="n">
        <v>46076</v>
      </c>
      <c r="D807" t="inlineStr">
        <is>
          <t>GÄVLEBORGS LÄN</t>
        </is>
      </c>
      <c r="E807" t="inlineStr">
        <is>
          <t>LJUSDAL</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44460-2025</t>
        </is>
      </c>
      <c r="B808" s="1" t="n">
        <v>45916.61855324074</v>
      </c>
      <c r="C808" s="1" t="n">
        <v>46076</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44445-2025</t>
        </is>
      </c>
      <c r="B809" s="1" t="n">
        <v>45916.59761574074</v>
      </c>
      <c r="C809" s="1" t="n">
        <v>46076</v>
      </c>
      <c r="D809" t="inlineStr">
        <is>
          <t>GÄVLEBORGS LÄN</t>
        </is>
      </c>
      <c r="E809" t="inlineStr">
        <is>
          <t>LJUSDAL</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44550-2025</t>
        </is>
      </c>
      <c r="B810" s="1" t="n">
        <v>45917.33612268518</v>
      </c>
      <c r="C810" s="1" t="n">
        <v>46076</v>
      </c>
      <c r="D810" t="inlineStr">
        <is>
          <t>GÄVLEBORGS LÄN</t>
        </is>
      </c>
      <c r="E810" t="inlineStr">
        <is>
          <t>LJUSDAL</t>
        </is>
      </c>
      <c r="G810" t="n">
        <v>4.7</v>
      </c>
      <c r="H810" t="n">
        <v>0</v>
      </c>
      <c r="I810" t="n">
        <v>0</v>
      </c>
      <c r="J810" t="n">
        <v>0</v>
      </c>
      <c r="K810" t="n">
        <v>0</v>
      </c>
      <c r="L810" t="n">
        <v>0</v>
      </c>
      <c r="M810" t="n">
        <v>0</v>
      </c>
      <c r="N810" t="n">
        <v>0</v>
      </c>
      <c r="O810" t="n">
        <v>0</v>
      </c>
      <c r="P810" t="n">
        <v>0</v>
      </c>
      <c r="Q810" t="n">
        <v>0</v>
      </c>
      <c r="R810" s="2" t="inlineStr"/>
    </row>
    <row r="811" ht="15" customHeight="1">
      <c r="A811" t="inlineStr">
        <is>
          <t>A 44737-2025</t>
        </is>
      </c>
      <c r="B811" s="1" t="n">
        <v>45917.65894675926</v>
      </c>
      <c r="C811" s="1" t="n">
        <v>46076</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34652-2025</t>
        </is>
      </c>
      <c r="B812" s="1" t="n">
        <v>45848.35363425926</v>
      </c>
      <c r="C812" s="1" t="n">
        <v>46076</v>
      </c>
      <c r="D812" t="inlineStr">
        <is>
          <t>GÄVLEBORGS LÄN</t>
        </is>
      </c>
      <c r="E812" t="inlineStr">
        <is>
          <t>LJUSDAL</t>
        </is>
      </c>
      <c r="G812" t="n">
        <v>1</v>
      </c>
      <c r="H812" t="n">
        <v>0</v>
      </c>
      <c r="I812" t="n">
        <v>0</v>
      </c>
      <c r="J812" t="n">
        <v>0</v>
      </c>
      <c r="K812" t="n">
        <v>0</v>
      </c>
      <c r="L812" t="n">
        <v>0</v>
      </c>
      <c r="M812" t="n">
        <v>0</v>
      </c>
      <c r="N812" t="n">
        <v>0</v>
      </c>
      <c r="O812" t="n">
        <v>0</v>
      </c>
      <c r="P812" t="n">
        <v>0</v>
      </c>
      <c r="Q812" t="n">
        <v>0</v>
      </c>
      <c r="R812" s="2" t="inlineStr"/>
    </row>
    <row r="813" ht="15" customHeight="1">
      <c r="A813" t="inlineStr">
        <is>
          <t>A 44557-2025</t>
        </is>
      </c>
      <c r="B813" s="1" t="n">
        <v>45917.34443287037</v>
      </c>
      <c r="C813" s="1" t="n">
        <v>46076</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44559-2025</t>
        </is>
      </c>
      <c r="B814" s="1" t="n">
        <v>45917.34458333333</v>
      </c>
      <c r="C814" s="1" t="n">
        <v>46076</v>
      </c>
      <c r="D814" t="inlineStr">
        <is>
          <t>GÄVLEBORGS LÄN</t>
        </is>
      </c>
      <c r="E814" t="inlineStr">
        <is>
          <t>LJUSDAL</t>
        </is>
      </c>
      <c r="G814" t="n">
        <v>2.7</v>
      </c>
      <c r="H814" t="n">
        <v>0</v>
      </c>
      <c r="I814" t="n">
        <v>0</v>
      </c>
      <c r="J814" t="n">
        <v>0</v>
      </c>
      <c r="K814" t="n">
        <v>0</v>
      </c>
      <c r="L814" t="n">
        <v>0</v>
      </c>
      <c r="M814" t="n">
        <v>0</v>
      </c>
      <c r="N814" t="n">
        <v>0</v>
      </c>
      <c r="O814" t="n">
        <v>0</v>
      </c>
      <c r="P814" t="n">
        <v>0</v>
      </c>
      <c r="Q814" t="n">
        <v>0</v>
      </c>
      <c r="R814" s="2" t="inlineStr"/>
    </row>
    <row r="815" ht="15" customHeight="1">
      <c r="A815" t="inlineStr">
        <is>
          <t>A 34658-2025</t>
        </is>
      </c>
      <c r="B815" s="1" t="n">
        <v>45848.36520833334</v>
      </c>
      <c r="C815" s="1" t="n">
        <v>46076</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30562-2024</t>
        </is>
      </c>
      <c r="B816" s="1" t="n">
        <v>45492.92842592593</v>
      </c>
      <c r="C816" s="1" t="n">
        <v>46076</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32360-2024</t>
        </is>
      </c>
      <c r="B817" s="1" t="n">
        <v>45512.56657407407</v>
      </c>
      <c r="C817" s="1" t="n">
        <v>46076</v>
      </c>
      <c r="D817" t="inlineStr">
        <is>
          <t>GÄVLEBORGS LÄN</t>
        </is>
      </c>
      <c r="E817" t="inlineStr">
        <is>
          <t>LJUSDAL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35037-2025</t>
        </is>
      </c>
      <c r="B818" s="1" t="n">
        <v>45852</v>
      </c>
      <c r="C818" s="1" t="n">
        <v>46076</v>
      </c>
      <c r="D818" t="inlineStr">
        <is>
          <t>GÄVLEBORGS LÄN</t>
        </is>
      </c>
      <c r="E818" t="inlineStr">
        <is>
          <t>LJUSDAL</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18763-2025</t>
        </is>
      </c>
      <c r="B819" s="1" t="n">
        <v>45764.29385416667</v>
      </c>
      <c r="C819" s="1" t="n">
        <v>46076</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35357-2025</t>
        </is>
      </c>
      <c r="B820" s="1" t="n">
        <v>45853</v>
      </c>
      <c r="C820" s="1" t="n">
        <v>46076</v>
      </c>
      <c r="D820" t="inlineStr">
        <is>
          <t>GÄVLEBORGS LÄN</t>
        </is>
      </c>
      <c r="E820" t="inlineStr">
        <is>
          <t>LJUSDAL</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46076</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44844-2025</t>
        </is>
      </c>
      <c r="B822" s="1" t="n">
        <v>45918.43725694445</v>
      </c>
      <c r="C822" s="1" t="n">
        <v>46076</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35088-2025</t>
        </is>
      </c>
      <c r="B823" s="1" t="n">
        <v>45852.51938657407</v>
      </c>
      <c r="C823" s="1" t="n">
        <v>46076</v>
      </c>
      <c r="D823" t="inlineStr">
        <is>
          <t>GÄVLEBORGS LÄN</t>
        </is>
      </c>
      <c r="E823" t="inlineStr">
        <is>
          <t>LJUSDAL</t>
        </is>
      </c>
      <c r="G823" t="n">
        <v>3.3</v>
      </c>
      <c r="H823" t="n">
        <v>0</v>
      </c>
      <c r="I823" t="n">
        <v>0</v>
      </c>
      <c r="J823" t="n">
        <v>0</v>
      </c>
      <c r="K823" t="n">
        <v>0</v>
      </c>
      <c r="L823" t="n">
        <v>0</v>
      </c>
      <c r="M823" t="n">
        <v>0</v>
      </c>
      <c r="N823" t="n">
        <v>0</v>
      </c>
      <c r="O823" t="n">
        <v>0</v>
      </c>
      <c r="P823" t="n">
        <v>0</v>
      </c>
      <c r="Q823" t="n">
        <v>0</v>
      </c>
      <c r="R823" s="2" t="inlineStr"/>
    </row>
    <row r="824" ht="15" customHeight="1">
      <c r="A824" t="inlineStr">
        <is>
          <t>A 35222-2025</t>
        </is>
      </c>
      <c r="B824" s="1" t="n">
        <v>45853.54243055556</v>
      </c>
      <c r="C824" s="1" t="n">
        <v>46076</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51238-2023</t>
        </is>
      </c>
      <c r="B825" s="1" t="n">
        <v>45219.46576388889</v>
      </c>
      <c r="C825" s="1" t="n">
        <v>46076</v>
      </c>
      <c r="D825" t="inlineStr">
        <is>
          <t>GÄVLEBORGS LÄN</t>
        </is>
      </c>
      <c r="E825" t="inlineStr">
        <is>
          <t>LJUSDAL</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45189-2025</t>
        </is>
      </c>
      <c r="B826" s="1" t="n">
        <v>45919.54337962963</v>
      </c>
      <c r="C826" s="1" t="n">
        <v>46076</v>
      </c>
      <c r="D826" t="inlineStr">
        <is>
          <t>GÄVLEBORGS LÄN</t>
        </is>
      </c>
      <c r="E826" t="inlineStr">
        <is>
          <t>LJUSDAL</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45198-2025</t>
        </is>
      </c>
      <c r="B827" s="1" t="n">
        <v>45919.56082175926</v>
      </c>
      <c r="C827" s="1" t="n">
        <v>46076</v>
      </c>
      <c r="D827" t="inlineStr">
        <is>
          <t>GÄVLEBORGS LÄN</t>
        </is>
      </c>
      <c r="E827" t="inlineStr">
        <is>
          <t>LJUSDAL</t>
        </is>
      </c>
      <c r="G827" t="n">
        <v>4.2</v>
      </c>
      <c r="H827" t="n">
        <v>0</v>
      </c>
      <c r="I827" t="n">
        <v>0</v>
      </c>
      <c r="J827" t="n">
        <v>0</v>
      </c>
      <c r="K827" t="n">
        <v>0</v>
      </c>
      <c r="L827" t="n">
        <v>0</v>
      </c>
      <c r="M827" t="n">
        <v>0</v>
      </c>
      <c r="N827" t="n">
        <v>0</v>
      </c>
      <c r="O827" t="n">
        <v>0</v>
      </c>
      <c r="P827" t="n">
        <v>0</v>
      </c>
      <c r="Q827" t="n">
        <v>0</v>
      </c>
      <c r="R827" s="2" t="inlineStr"/>
    </row>
    <row r="828" ht="15" customHeight="1">
      <c r="A828" t="inlineStr">
        <is>
          <t>A 35255-2025</t>
        </is>
      </c>
      <c r="B828" s="1" t="n">
        <v>45853</v>
      </c>
      <c r="C828" s="1" t="n">
        <v>46076</v>
      </c>
      <c r="D828" t="inlineStr">
        <is>
          <t>GÄVLEBORGS LÄN</t>
        </is>
      </c>
      <c r="E828" t="inlineStr">
        <is>
          <t>LJUSDAL</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45272-2025</t>
        </is>
      </c>
      <c r="B829" s="1" t="n">
        <v>45919.69231481481</v>
      </c>
      <c r="C829" s="1" t="n">
        <v>46076</v>
      </c>
      <c r="D829" t="inlineStr">
        <is>
          <t>GÄVLEBORGS LÄN</t>
        </is>
      </c>
      <c r="E829" t="inlineStr">
        <is>
          <t>LJUSDAL</t>
        </is>
      </c>
      <c r="G829" t="n">
        <v>2.5</v>
      </c>
      <c r="H829" t="n">
        <v>0</v>
      </c>
      <c r="I829" t="n">
        <v>0</v>
      </c>
      <c r="J829" t="n">
        <v>0</v>
      </c>
      <c r="K829" t="n">
        <v>0</v>
      </c>
      <c r="L829" t="n">
        <v>0</v>
      </c>
      <c r="M829" t="n">
        <v>0</v>
      </c>
      <c r="N829" t="n">
        <v>0</v>
      </c>
      <c r="O829" t="n">
        <v>0</v>
      </c>
      <c r="P829" t="n">
        <v>0</v>
      </c>
      <c r="Q829" t="n">
        <v>0</v>
      </c>
      <c r="R829" s="2" t="inlineStr"/>
    </row>
    <row r="830" ht="15" customHeight="1">
      <c r="A830" t="inlineStr">
        <is>
          <t>A 35052-2025</t>
        </is>
      </c>
      <c r="B830" s="1" t="n">
        <v>45852.36641203704</v>
      </c>
      <c r="C830" s="1" t="n">
        <v>46076</v>
      </c>
      <c r="D830" t="inlineStr">
        <is>
          <t>GÄVLEBORGS LÄN</t>
        </is>
      </c>
      <c r="E830" t="inlineStr">
        <is>
          <t>LJUSDAL</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206-2025</t>
        </is>
      </c>
      <c r="B831" s="1" t="n">
        <v>45660.3234837963</v>
      </c>
      <c r="C831" s="1" t="n">
        <v>46076</v>
      </c>
      <c r="D831" t="inlineStr">
        <is>
          <t>GÄVLEBORGS LÄN</t>
        </is>
      </c>
      <c r="E831" t="inlineStr">
        <is>
          <t>LJUSDAL</t>
        </is>
      </c>
      <c r="G831" t="n">
        <v>5.8</v>
      </c>
      <c r="H831" t="n">
        <v>0</v>
      </c>
      <c r="I831" t="n">
        <v>0</v>
      </c>
      <c r="J831" t="n">
        <v>0</v>
      </c>
      <c r="K831" t="n">
        <v>0</v>
      </c>
      <c r="L831" t="n">
        <v>0</v>
      </c>
      <c r="M831" t="n">
        <v>0</v>
      </c>
      <c r="N831" t="n">
        <v>0</v>
      </c>
      <c r="O831" t="n">
        <v>0</v>
      </c>
      <c r="P831" t="n">
        <v>0</v>
      </c>
      <c r="Q831" t="n">
        <v>0</v>
      </c>
      <c r="R831" s="2" t="inlineStr"/>
    </row>
    <row r="832" ht="15" customHeight="1">
      <c r="A832" t="inlineStr">
        <is>
          <t>A 209-2025</t>
        </is>
      </c>
      <c r="B832" s="1" t="n">
        <v>45660.33010416666</v>
      </c>
      <c r="C832" s="1" t="n">
        <v>46076</v>
      </c>
      <c r="D832" t="inlineStr">
        <is>
          <t>GÄVLEBORGS LÄN</t>
        </is>
      </c>
      <c r="E832" t="inlineStr">
        <is>
          <t>LJUSDAL</t>
        </is>
      </c>
      <c r="G832" t="n">
        <v>2</v>
      </c>
      <c r="H832" t="n">
        <v>0</v>
      </c>
      <c r="I832" t="n">
        <v>0</v>
      </c>
      <c r="J832" t="n">
        <v>0</v>
      </c>
      <c r="K832" t="n">
        <v>0</v>
      </c>
      <c r="L832" t="n">
        <v>0</v>
      </c>
      <c r="M832" t="n">
        <v>0</v>
      </c>
      <c r="N832" t="n">
        <v>0</v>
      </c>
      <c r="O832" t="n">
        <v>0</v>
      </c>
      <c r="P832" t="n">
        <v>0</v>
      </c>
      <c r="Q832" t="n">
        <v>0</v>
      </c>
      <c r="R832" s="2" t="inlineStr"/>
    </row>
    <row r="833" ht="15" customHeight="1">
      <c r="A833" t="inlineStr">
        <is>
          <t>A 268-2025</t>
        </is>
      </c>
      <c r="B833" s="1" t="n">
        <v>45660</v>
      </c>
      <c r="C833" s="1" t="n">
        <v>46076</v>
      </c>
      <c r="D833" t="inlineStr">
        <is>
          <t>GÄVLEBORGS LÄN</t>
        </is>
      </c>
      <c r="E833" t="inlineStr">
        <is>
          <t>LJUSDAL</t>
        </is>
      </c>
      <c r="G833" t="n">
        <v>4</v>
      </c>
      <c r="H833" t="n">
        <v>0</v>
      </c>
      <c r="I833" t="n">
        <v>0</v>
      </c>
      <c r="J833" t="n">
        <v>0</v>
      </c>
      <c r="K833" t="n">
        <v>0</v>
      </c>
      <c r="L833" t="n">
        <v>0</v>
      </c>
      <c r="M833" t="n">
        <v>0</v>
      </c>
      <c r="N833" t="n">
        <v>0</v>
      </c>
      <c r="O833" t="n">
        <v>0</v>
      </c>
      <c r="P833" t="n">
        <v>0</v>
      </c>
      <c r="Q833" t="n">
        <v>0</v>
      </c>
      <c r="R833" s="2" t="inlineStr"/>
    </row>
    <row r="834" ht="15" customHeight="1">
      <c r="A834" t="inlineStr">
        <is>
          <t>A 18800-2025</t>
        </is>
      </c>
      <c r="B834" s="1" t="n">
        <v>45764.34707175926</v>
      </c>
      <c r="C834" s="1" t="n">
        <v>46076</v>
      </c>
      <c r="D834" t="inlineStr">
        <is>
          <t>GÄVLEBORGS LÄN</t>
        </is>
      </c>
      <c r="E834" t="inlineStr">
        <is>
          <t>LJUSDAL</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57673-2024</t>
        </is>
      </c>
      <c r="B835" s="1" t="n">
        <v>45630.62938657407</v>
      </c>
      <c r="C835" s="1" t="n">
        <v>46076</v>
      </c>
      <c r="D835" t="inlineStr">
        <is>
          <t>GÄVLEBORGS LÄN</t>
        </is>
      </c>
      <c r="E835" t="inlineStr">
        <is>
          <t>LJUSDAL</t>
        </is>
      </c>
      <c r="G835" t="n">
        <v>1.1</v>
      </c>
      <c r="H835" t="n">
        <v>0</v>
      </c>
      <c r="I835" t="n">
        <v>0</v>
      </c>
      <c r="J835" t="n">
        <v>0</v>
      </c>
      <c r="K835" t="n">
        <v>0</v>
      </c>
      <c r="L835" t="n">
        <v>0</v>
      </c>
      <c r="M835" t="n">
        <v>0</v>
      </c>
      <c r="N835" t="n">
        <v>0</v>
      </c>
      <c r="O835" t="n">
        <v>0</v>
      </c>
      <c r="P835" t="n">
        <v>0</v>
      </c>
      <c r="Q835" t="n">
        <v>0</v>
      </c>
      <c r="R835" s="2" t="inlineStr"/>
    </row>
    <row r="836" ht="15" customHeight="1">
      <c r="A836" t="inlineStr">
        <is>
          <t>A 28024-2024</t>
        </is>
      </c>
      <c r="B836" s="1" t="n">
        <v>45476.48216435185</v>
      </c>
      <c r="C836" s="1" t="n">
        <v>46076</v>
      </c>
      <c r="D836" t="inlineStr">
        <is>
          <t>GÄVLEBORGS LÄN</t>
        </is>
      </c>
      <c r="E836" t="inlineStr">
        <is>
          <t>LJUSDAL</t>
        </is>
      </c>
      <c r="G836" t="n">
        <v>2.4</v>
      </c>
      <c r="H836" t="n">
        <v>0</v>
      </c>
      <c r="I836" t="n">
        <v>0</v>
      </c>
      <c r="J836" t="n">
        <v>0</v>
      </c>
      <c r="K836" t="n">
        <v>0</v>
      </c>
      <c r="L836" t="n">
        <v>0</v>
      </c>
      <c r="M836" t="n">
        <v>0</v>
      </c>
      <c r="N836" t="n">
        <v>0</v>
      </c>
      <c r="O836" t="n">
        <v>0</v>
      </c>
      <c r="P836" t="n">
        <v>0</v>
      </c>
      <c r="Q836" t="n">
        <v>0</v>
      </c>
      <c r="R836" s="2" t="inlineStr"/>
    </row>
    <row r="837" ht="15" customHeight="1">
      <c r="A837" t="inlineStr">
        <is>
          <t>A 44955-2025</t>
        </is>
      </c>
      <c r="B837" s="1" t="n">
        <v>45918.61378472222</v>
      </c>
      <c r="C837" s="1" t="n">
        <v>46076</v>
      </c>
      <c r="D837" t="inlineStr">
        <is>
          <t>GÄVLEBORGS LÄN</t>
        </is>
      </c>
      <c r="E837" t="inlineStr">
        <is>
          <t>LJUSDAL</t>
        </is>
      </c>
      <c r="G837" t="n">
        <v>1.7</v>
      </c>
      <c r="H837" t="n">
        <v>0</v>
      </c>
      <c r="I837" t="n">
        <v>0</v>
      </c>
      <c r="J837" t="n">
        <v>0</v>
      </c>
      <c r="K837" t="n">
        <v>0</v>
      </c>
      <c r="L837" t="n">
        <v>0</v>
      </c>
      <c r="M837" t="n">
        <v>0</v>
      </c>
      <c r="N837" t="n">
        <v>0</v>
      </c>
      <c r="O837" t="n">
        <v>0</v>
      </c>
      <c r="P837" t="n">
        <v>0</v>
      </c>
      <c r="Q837" t="n">
        <v>0</v>
      </c>
      <c r="R837" s="2" t="inlineStr"/>
    </row>
    <row r="838" ht="15" customHeight="1">
      <c r="A838" t="inlineStr">
        <is>
          <t>A 33386-2024</t>
        </is>
      </c>
      <c r="B838" s="1" t="n">
        <v>45519.47221064815</v>
      </c>
      <c r="C838" s="1" t="n">
        <v>46076</v>
      </c>
      <c r="D838" t="inlineStr">
        <is>
          <t>GÄVLEBORGS LÄN</t>
        </is>
      </c>
      <c r="E838" t="inlineStr">
        <is>
          <t>LJUSDAL</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38557-2025</t>
        </is>
      </c>
      <c r="B839" s="1" t="n">
        <v>45884.44524305555</v>
      </c>
      <c r="C839" s="1" t="n">
        <v>46076</v>
      </c>
      <c r="D839" t="inlineStr">
        <is>
          <t>GÄVLEBORGS LÄN</t>
        </is>
      </c>
      <c r="E839" t="inlineStr">
        <is>
          <t>LJUSDAL</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12886-2025</t>
        </is>
      </c>
      <c r="B840" s="1" t="n">
        <v>45733.69862268519</v>
      </c>
      <c r="C840" s="1" t="n">
        <v>46076</v>
      </c>
      <c r="D840" t="inlineStr">
        <is>
          <t>GÄVLEBORGS LÄN</t>
        </is>
      </c>
      <c r="E840" t="inlineStr">
        <is>
          <t>LJUSDAL</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44994-2025</t>
        </is>
      </c>
      <c r="B841" s="1" t="n">
        <v>45918.65791666666</v>
      </c>
      <c r="C841" s="1" t="n">
        <v>46076</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57269-2022</t>
        </is>
      </c>
      <c r="B842" s="1" t="n">
        <v>44895</v>
      </c>
      <c r="C842" s="1" t="n">
        <v>46076</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45142-2025</t>
        </is>
      </c>
      <c r="B843" s="1" t="n">
        <v>45919.45673611111</v>
      </c>
      <c r="C843" s="1" t="n">
        <v>46076</v>
      </c>
      <c r="D843" t="inlineStr">
        <is>
          <t>GÄVLEBORGS LÄN</t>
        </is>
      </c>
      <c r="E843" t="inlineStr">
        <is>
          <t>LJUSDAL</t>
        </is>
      </c>
      <c r="G843" t="n">
        <v>3.8</v>
      </c>
      <c r="H843" t="n">
        <v>0</v>
      </c>
      <c r="I843" t="n">
        <v>0</v>
      </c>
      <c r="J843" t="n">
        <v>0</v>
      </c>
      <c r="K843" t="n">
        <v>0</v>
      </c>
      <c r="L843" t="n">
        <v>0</v>
      </c>
      <c r="M843" t="n">
        <v>0</v>
      </c>
      <c r="N843" t="n">
        <v>0</v>
      </c>
      <c r="O843" t="n">
        <v>0</v>
      </c>
      <c r="P843" t="n">
        <v>0</v>
      </c>
      <c r="Q843" t="n">
        <v>0</v>
      </c>
      <c r="R843" s="2" t="inlineStr"/>
    </row>
    <row r="844" ht="15" customHeight="1">
      <c r="A844" t="inlineStr">
        <is>
          <t>A 35615-2025</t>
        </is>
      </c>
      <c r="B844" s="1" t="n">
        <v>45859.38130787037</v>
      </c>
      <c r="C844" s="1" t="n">
        <v>46076</v>
      </c>
      <c r="D844" t="inlineStr">
        <is>
          <t>GÄVLEBORGS LÄN</t>
        </is>
      </c>
      <c r="E844" t="inlineStr">
        <is>
          <t>LJUSDAL</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55291-2024</t>
        </is>
      </c>
      <c r="B845" s="1" t="n">
        <v>45621.63578703703</v>
      </c>
      <c r="C845" s="1" t="n">
        <v>46076</v>
      </c>
      <c r="D845" t="inlineStr">
        <is>
          <t>GÄVLEBORGS LÄN</t>
        </is>
      </c>
      <c r="E845" t="inlineStr">
        <is>
          <t>LJUSDAL</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45847-2025</t>
        </is>
      </c>
      <c r="B846" s="1" t="n">
        <v>45923.6159837963</v>
      </c>
      <c r="C846" s="1" t="n">
        <v>46076</v>
      </c>
      <c r="D846" t="inlineStr">
        <is>
          <t>GÄVLEBORGS LÄN</t>
        </is>
      </c>
      <c r="E846" t="inlineStr">
        <is>
          <t>LJUSDAL</t>
        </is>
      </c>
      <c r="F846" t="inlineStr">
        <is>
          <t>Allmännings- och besparingsskogar</t>
        </is>
      </c>
      <c r="G846" t="n">
        <v>16.4</v>
      </c>
      <c r="H846" t="n">
        <v>0</v>
      </c>
      <c r="I846" t="n">
        <v>0</v>
      </c>
      <c r="J846" t="n">
        <v>0</v>
      </c>
      <c r="K846" t="n">
        <v>0</v>
      </c>
      <c r="L846" t="n">
        <v>0</v>
      </c>
      <c r="M846" t="n">
        <v>0</v>
      </c>
      <c r="N846" t="n">
        <v>0</v>
      </c>
      <c r="O846" t="n">
        <v>0</v>
      </c>
      <c r="P846" t="n">
        <v>0</v>
      </c>
      <c r="Q846" t="n">
        <v>0</v>
      </c>
      <c r="R846" s="2" t="inlineStr"/>
    </row>
    <row r="847" ht="15" customHeight="1">
      <c r="A847" t="inlineStr">
        <is>
          <t>A 25093-2024</t>
        </is>
      </c>
      <c r="B847" s="1" t="n">
        <v>45462</v>
      </c>
      <c r="C847" s="1" t="n">
        <v>46076</v>
      </c>
      <c r="D847" t="inlineStr">
        <is>
          <t>GÄVLEBORGS LÄN</t>
        </is>
      </c>
      <c r="E847" t="inlineStr">
        <is>
          <t>LJUSDAL</t>
        </is>
      </c>
      <c r="F847" t="inlineStr">
        <is>
          <t>Bergvik skog väst AB</t>
        </is>
      </c>
      <c r="G847" t="n">
        <v>10.6</v>
      </c>
      <c r="H847" t="n">
        <v>0</v>
      </c>
      <c r="I847" t="n">
        <v>0</v>
      </c>
      <c r="J847" t="n">
        <v>0</v>
      </c>
      <c r="K847" t="n">
        <v>0</v>
      </c>
      <c r="L847" t="n">
        <v>0</v>
      </c>
      <c r="M847" t="n">
        <v>0</v>
      </c>
      <c r="N847" t="n">
        <v>0</v>
      </c>
      <c r="O847" t="n">
        <v>0</v>
      </c>
      <c r="P847" t="n">
        <v>0</v>
      </c>
      <c r="Q847" t="n">
        <v>0</v>
      </c>
      <c r="R847" s="2" t="inlineStr"/>
    </row>
    <row r="848" ht="15" customHeight="1">
      <c r="A848" t="inlineStr">
        <is>
          <t>A 6844-2024</t>
        </is>
      </c>
      <c r="B848" s="1" t="n">
        <v>45342.62732638889</v>
      </c>
      <c r="C848" s="1" t="n">
        <v>46076</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35804-2025</t>
        </is>
      </c>
      <c r="B849" s="1" t="n">
        <v>45861.39952546296</v>
      </c>
      <c r="C849" s="1" t="n">
        <v>46076</v>
      </c>
      <c r="D849" t="inlineStr">
        <is>
          <t>GÄVLEBORGS LÄN</t>
        </is>
      </c>
      <c r="E849" t="inlineStr">
        <is>
          <t>LJUSDAL</t>
        </is>
      </c>
      <c r="G849" t="n">
        <v>15.3</v>
      </c>
      <c r="H849" t="n">
        <v>0</v>
      </c>
      <c r="I849" t="n">
        <v>0</v>
      </c>
      <c r="J849" t="n">
        <v>0</v>
      </c>
      <c r="K849" t="n">
        <v>0</v>
      </c>
      <c r="L849" t="n">
        <v>0</v>
      </c>
      <c r="M849" t="n">
        <v>0</v>
      </c>
      <c r="N849" t="n">
        <v>0</v>
      </c>
      <c r="O849" t="n">
        <v>0</v>
      </c>
      <c r="P849" t="n">
        <v>0</v>
      </c>
      <c r="Q849" t="n">
        <v>0</v>
      </c>
      <c r="R849" s="2" t="inlineStr"/>
    </row>
    <row r="850" ht="15" customHeight="1">
      <c r="A850" t="inlineStr">
        <is>
          <t>A 35835-2025</t>
        </is>
      </c>
      <c r="B850" s="1" t="n">
        <v>45861.53181712963</v>
      </c>
      <c r="C850" s="1" t="n">
        <v>46076</v>
      </c>
      <c r="D850" t="inlineStr">
        <is>
          <t>GÄVLEBORGS LÄN</t>
        </is>
      </c>
      <c r="E850" t="inlineStr">
        <is>
          <t>LJUSDAL</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46502-2024</t>
        </is>
      </c>
      <c r="B851" s="1" t="n">
        <v>45582.60079861111</v>
      </c>
      <c r="C851" s="1" t="n">
        <v>46076</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51247-2024</t>
        </is>
      </c>
      <c r="B852" s="1" t="n">
        <v>45603.68180555556</v>
      </c>
      <c r="C852" s="1" t="n">
        <v>46076</v>
      </c>
      <c r="D852" t="inlineStr">
        <is>
          <t>GÄVLEBORGS LÄN</t>
        </is>
      </c>
      <c r="E852" t="inlineStr">
        <is>
          <t>LJUSDAL</t>
        </is>
      </c>
      <c r="F852" t="inlineStr">
        <is>
          <t>Kommuner</t>
        </is>
      </c>
      <c r="G852" t="n">
        <v>6.1</v>
      </c>
      <c r="H852" t="n">
        <v>0</v>
      </c>
      <c r="I852" t="n">
        <v>0</v>
      </c>
      <c r="J852" t="n">
        <v>0</v>
      </c>
      <c r="K852" t="n">
        <v>0</v>
      </c>
      <c r="L852" t="n">
        <v>0</v>
      </c>
      <c r="M852" t="n">
        <v>0</v>
      </c>
      <c r="N852" t="n">
        <v>0</v>
      </c>
      <c r="O852" t="n">
        <v>0</v>
      </c>
      <c r="P852" t="n">
        <v>0</v>
      </c>
      <c r="Q852" t="n">
        <v>0</v>
      </c>
      <c r="R852" s="2" t="inlineStr"/>
    </row>
    <row r="853" ht="15" customHeight="1">
      <c r="A853" t="inlineStr">
        <is>
          <t>A 45819-2025</t>
        </is>
      </c>
      <c r="B853" s="1" t="n">
        <v>45923.59686342593</v>
      </c>
      <c r="C853" s="1" t="n">
        <v>46076</v>
      </c>
      <c r="D853" t="inlineStr">
        <is>
          <t>GÄVLEBORGS LÄN</t>
        </is>
      </c>
      <c r="E853" t="inlineStr">
        <is>
          <t>LJUSDAL</t>
        </is>
      </c>
      <c r="G853" t="n">
        <v>6.5</v>
      </c>
      <c r="H853" t="n">
        <v>0</v>
      </c>
      <c r="I853" t="n">
        <v>0</v>
      </c>
      <c r="J853" t="n">
        <v>0</v>
      </c>
      <c r="K853" t="n">
        <v>0</v>
      </c>
      <c r="L853" t="n">
        <v>0</v>
      </c>
      <c r="M853" t="n">
        <v>0</v>
      </c>
      <c r="N853" t="n">
        <v>0</v>
      </c>
      <c r="O853" t="n">
        <v>0</v>
      </c>
      <c r="P853" t="n">
        <v>0</v>
      </c>
      <c r="Q853" t="n">
        <v>0</v>
      </c>
      <c r="R853" s="2" t="inlineStr"/>
    </row>
    <row r="854" ht="15" customHeight="1">
      <c r="A854" t="inlineStr">
        <is>
          <t>A 45450-2025</t>
        </is>
      </c>
      <c r="B854" s="1" t="n">
        <v>45922</v>
      </c>
      <c r="C854" s="1" t="n">
        <v>46076</v>
      </c>
      <c r="D854" t="inlineStr">
        <is>
          <t>GÄVLEBORGS LÄN</t>
        </is>
      </c>
      <c r="E854" t="inlineStr">
        <is>
          <t>LJUSDAL</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33420-2025</t>
        </is>
      </c>
      <c r="B855" s="1" t="n">
        <v>45841.44123842593</v>
      </c>
      <c r="C855" s="1" t="n">
        <v>46076</v>
      </c>
      <c r="D855" t="inlineStr">
        <is>
          <t>GÄVLEBORGS LÄN</t>
        </is>
      </c>
      <c r="E855" t="inlineStr">
        <is>
          <t>LJUSDAL</t>
        </is>
      </c>
      <c r="G855" t="n">
        <v>13.5</v>
      </c>
      <c r="H855" t="n">
        <v>0</v>
      </c>
      <c r="I855" t="n">
        <v>0</v>
      </c>
      <c r="J855" t="n">
        <v>0</v>
      </c>
      <c r="K855" t="n">
        <v>0</v>
      </c>
      <c r="L855" t="n">
        <v>0</v>
      </c>
      <c r="M855" t="n">
        <v>0</v>
      </c>
      <c r="N855" t="n">
        <v>0</v>
      </c>
      <c r="O855" t="n">
        <v>0</v>
      </c>
      <c r="P855" t="n">
        <v>0</v>
      </c>
      <c r="Q855" t="n">
        <v>0</v>
      </c>
      <c r="R855" s="2" t="inlineStr"/>
    </row>
    <row r="856" ht="15" customHeight="1">
      <c r="A856" t="inlineStr">
        <is>
          <t>A 4095-2024</t>
        </is>
      </c>
      <c r="B856" s="1" t="n">
        <v>45323</v>
      </c>
      <c r="C856" s="1" t="n">
        <v>46076</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18914-2024</t>
        </is>
      </c>
      <c r="B857" s="1" t="n">
        <v>45427.383125</v>
      </c>
      <c r="C857" s="1" t="n">
        <v>46076</v>
      </c>
      <c r="D857" t="inlineStr">
        <is>
          <t>GÄVLEBORGS LÄN</t>
        </is>
      </c>
      <c r="E857" t="inlineStr">
        <is>
          <t>LJUSDAL</t>
        </is>
      </c>
      <c r="G857" t="n">
        <v>1</v>
      </c>
      <c r="H857" t="n">
        <v>0</v>
      </c>
      <c r="I857" t="n">
        <v>0</v>
      </c>
      <c r="J857" t="n">
        <v>0</v>
      </c>
      <c r="K857" t="n">
        <v>0</v>
      </c>
      <c r="L857" t="n">
        <v>0</v>
      </c>
      <c r="M857" t="n">
        <v>0</v>
      </c>
      <c r="N857" t="n">
        <v>0</v>
      </c>
      <c r="O857" t="n">
        <v>0</v>
      </c>
      <c r="P857" t="n">
        <v>0</v>
      </c>
      <c r="Q857" t="n">
        <v>0</v>
      </c>
      <c r="R857" s="2" t="inlineStr"/>
    </row>
    <row r="858" ht="15" customHeight="1">
      <c r="A858" t="inlineStr">
        <is>
          <t>A 36251-2025</t>
        </is>
      </c>
      <c r="B858" s="1" t="n">
        <v>45867.57475694444</v>
      </c>
      <c r="C858" s="1" t="n">
        <v>46076</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36061-2025</t>
        </is>
      </c>
      <c r="B859" s="1" t="n">
        <v>45866.3949074074</v>
      </c>
      <c r="C859" s="1" t="n">
        <v>46076</v>
      </c>
      <c r="D859" t="inlineStr">
        <is>
          <t>GÄVLEBORGS LÄN</t>
        </is>
      </c>
      <c r="E859" t="inlineStr">
        <is>
          <t>LJUSDAL</t>
        </is>
      </c>
      <c r="G859" t="n">
        <v>3.6</v>
      </c>
      <c r="H859" t="n">
        <v>0</v>
      </c>
      <c r="I859" t="n">
        <v>0</v>
      </c>
      <c r="J859" t="n">
        <v>0</v>
      </c>
      <c r="K859" t="n">
        <v>0</v>
      </c>
      <c r="L859" t="n">
        <v>0</v>
      </c>
      <c r="M859" t="n">
        <v>0</v>
      </c>
      <c r="N859" t="n">
        <v>0</v>
      </c>
      <c r="O859" t="n">
        <v>0</v>
      </c>
      <c r="P859" t="n">
        <v>0</v>
      </c>
      <c r="Q859" t="n">
        <v>0</v>
      </c>
      <c r="R859" s="2" t="inlineStr"/>
    </row>
    <row r="860" ht="15" customHeight="1">
      <c r="A860" t="inlineStr">
        <is>
          <t>A 36250-2025</t>
        </is>
      </c>
      <c r="B860" s="1" t="n">
        <v>45867.57358796296</v>
      </c>
      <c r="C860" s="1" t="n">
        <v>46076</v>
      </c>
      <c r="D860" t="inlineStr">
        <is>
          <t>GÄVLEBORGS LÄN</t>
        </is>
      </c>
      <c r="E860" t="inlineStr">
        <is>
          <t>LJUSDAL</t>
        </is>
      </c>
      <c r="F860" t="inlineStr">
        <is>
          <t>Naturvårdsverket</t>
        </is>
      </c>
      <c r="G860" t="n">
        <v>4.2</v>
      </c>
      <c r="H860" t="n">
        <v>0</v>
      </c>
      <c r="I860" t="n">
        <v>0</v>
      </c>
      <c r="J860" t="n">
        <v>0</v>
      </c>
      <c r="K860" t="n">
        <v>0</v>
      </c>
      <c r="L860" t="n">
        <v>0</v>
      </c>
      <c r="M860" t="n">
        <v>0</v>
      </c>
      <c r="N860" t="n">
        <v>0</v>
      </c>
      <c r="O860" t="n">
        <v>0</v>
      </c>
      <c r="P860" t="n">
        <v>0</v>
      </c>
      <c r="Q860" t="n">
        <v>0</v>
      </c>
      <c r="R860" s="2" t="inlineStr"/>
    </row>
    <row r="861" ht="15" customHeight="1">
      <c r="A861" t="inlineStr">
        <is>
          <t>A 36263-2025</t>
        </is>
      </c>
      <c r="B861" s="1" t="n">
        <v>45867.61510416667</v>
      </c>
      <c r="C861" s="1" t="n">
        <v>46076</v>
      </c>
      <c r="D861" t="inlineStr">
        <is>
          <t>GÄVLEBORGS LÄN</t>
        </is>
      </c>
      <c r="E861" t="inlineStr">
        <is>
          <t>LJUSDAL</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36058-2025</t>
        </is>
      </c>
      <c r="B862" s="1" t="n">
        <v>45866.39219907407</v>
      </c>
      <c r="C862" s="1" t="n">
        <v>46076</v>
      </c>
      <c r="D862" t="inlineStr">
        <is>
          <t>GÄVLEBORGS LÄN</t>
        </is>
      </c>
      <c r="E862" t="inlineStr">
        <is>
          <t>LJUSDAL</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36069-2025</t>
        </is>
      </c>
      <c r="B863" s="1" t="n">
        <v>45866.42765046296</v>
      </c>
      <c r="C863" s="1" t="n">
        <v>46076</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13508-2025</t>
        </is>
      </c>
      <c r="B864" s="1" t="n">
        <v>45736.46922453704</v>
      </c>
      <c r="C864" s="1" t="n">
        <v>46076</v>
      </c>
      <c r="D864" t="inlineStr">
        <is>
          <t>GÄVLEBORGS LÄN</t>
        </is>
      </c>
      <c r="E864" t="inlineStr">
        <is>
          <t>LJUSDAL</t>
        </is>
      </c>
      <c r="G864" t="n">
        <v>3.6</v>
      </c>
      <c r="H864" t="n">
        <v>0</v>
      </c>
      <c r="I864" t="n">
        <v>0</v>
      </c>
      <c r="J864" t="n">
        <v>0</v>
      </c>
      <c r="K864" t="n">
        <v>0</v>
      </c>
      <c r="L864" t="n">
        <v>0</v>
      </c>
      <c r="M864" t="n">
        <v>0</v>
      </c>
      <c r="N864" t="n">
        <v>0</v>
      </c>
      <c r="O864" t="n">
        <v>0</v>
      </c>
      <c r="P864" t="n">
        <v>0</v>
      </c>
      <c r="Q864" t="n">
        <v>0</v>
      </c>
      <c r="R864" s="2" t="inlineStr"/>
    </row>
    <row r="865" ht="15" customHeight="1">
      <c r="A865" t="inlineStr">
        <is>
          <t>A 36213-2025</t>
        </is>
      </c>
      <c r="B865" s="1" t="n">
        <v>45867.48995370371</v>
      </c>
      <c r="C865" s="1" t="n">
        <v>46076</v>
      </c>
      <c r="D865" t="inlineStr">
        <is>
          <t>GÄVLEBORGS LÄN</t>
        </is>
      </c>
      <c r="E865" t="inlineStr">
        <is>
          <t>LJUSDAL</t>
        </is>
      </c>
      <c r="G865" t="n">
        <v>0.6</v>
      </c>
      <c r="H865" t="n">
        <v>0</v>
      </c>
      <c r="I865" t="n">
        <v>0</v>
      </c>
      <c r="J865" t="n">
        <v>0</v>
      </c>
      <c r="K865" t="n">
        <v>0</v>
      </c>
      <c r="L865" t="n">
        <v>0</v>
      </c>
      <c r="M865" t="n">
        <v>0</v>
      </c>
      <c r="N865" t="n">
        <v>0</v>
      </c>
      <c r="O865" t="n">
        <v>0</v>
      </c>
      <c r="P865" t="n">
        <v>0</v>
      </c>
      <c r="Q865" t="n">
        <v>0</v>
      </c>
      <c r="R865" s="2" t="inlineStr"/>
    </row>
    <row r="866" ht="15" customHeight="1">
      <c r="A866" t="inlineStr">
        <is>
          <t>A 56016-2021</t>
        </is>
      </c>
      <c r="B866" s="1" t="n">
        <v>44477.44796296296</v>
      </c>
      <c r="C866" s="1" t="n">
        <v>46076</v>
      </c>
      <c r="D866" t="inlineStr">
        <is>
          <t>GÄVLEBORGS LÄN</t>
        </is>
      </c>
      <c r="E866" t="inlineStr">
        <is>
          <t>LJUSDAL</t>
        </is>
      </c>
      <c r="G866" t="n">
        <v>1.2</v>
      </c>
      <c r="H866" t="n">
        <v>0</v>
      </c>
      <c r="I866" t="n">
        <v>0</v>
      </c>
      <c r="J866" t="n">
        <v>0</v>
      </c>
      <c r="K866" t="n">
        <v>0</v>
      </c>
      <c r="L866" t="n">
        <v>0</v>
      </c>
      <c r="M866" t="n">
        <v>0</v>
      </c>
      <c r="N866" t="n">
        <v>0</v>
      </c>
      <c r="O866" t="n">
        <v>0</v>
      </c>
      <c r="P866" t="n">
        <v>0</v>
      </c>
      <c r="Q866" t="n">
        <v>0</v>
      </c>
      <c r="R866" s="2" t="inlineStr"/>
    </row>
    <row r="867" ht="15" customHeight="1">
      <c r="A867" t="inlineStr">
        <is>
          <t>A 36047-2025</t>
        </is>
      </c>
      <c r="B867" s="1" t="n">
        <v>45866.36804398148</v>
      </c>
      <c r="C867" s="1" t="n">
        <v>46076</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36227-2025</t>
        </is>
      </c>
      <c r="B868" s="1" t="n">
        <v>45867.53137731482</v>
      </c>
      <c r="C868" s="1" t="n">
        <v>46076</v>
      </c>
      <c r="D868" t="inlineStr">
        <is>
          <t>GÄVLEBORGS LÄN</t>
        </is>
      </c>
      <c r="E868" t="inlineStr">
        <is>
          <t>LJUSDAL</t>
        </is>
      </c>
      <c r="G868" t="n">
        <v>13.5</v>
      </c>
      <c r="H868" t="n">
        <v>0</v>
      </c>
      <c r="I868" t="n">
        <v>0</v>
      </c>
      <c r="J868" t="n">
        <v>0</v>
      </c>
      <c r="K868" t="n">
        <v>0</v>
      </c>
      <c r="L868" t="n">
        <v>0</v>
      </c>
      <c r="M868" t="n">
        <v>0</v>
      </c>
      <c r="N868" t="n">
        <v>0</v>
      </c>
      <c r="O868" t="n">
        <v>0</v>
      </c>
      <c r="P868" t="n">
        <v>0</v>
      </c>
      <c r="Q868" t="n">
        <v>0</v>
      </c>
      <c r="R868" s="2" t="inlineStr"/>
    </row>
    <row r="869" ht="15" customHeight="1">
      <c r="A869" t="inlineStr">
        <is>
          <t>A 36079-2025</t>
        </is>
      </c>
      <c r="B869" s="1" t="n">
        <v>45866.4482175926</v>
      </c>
      <c r="C869" s="1" t="n">
        <v>46076</v>
      </c>
      <c r="D869" t="inlineStr">
        <is>
          <t>GÄVLEBORGS LÄN</t>
        </is>
      </c>
      <c r="E869" t="inlineStr">
        <is>
          <t>LJUSDAL</t>
        </is>
      </c>
      <c r="G869" t="n">
        <v>4.3</v>
      </c>
      <c r="H869" t="n">
        <v>0</v>
      </c>
      <c r="I869" t="n">
        <v>0</v>
      </c>
      <c r="J869" t="n">
        <v>0</v>
      </c>
      <c r="K869" t="n">
        <v>0</v>
      </c>
      <c r="L869" t="n">
        <v>0</v>
      </c>
      <c r="M869" t="n">
        <v>0</v>
      </c>
      <c r="N869" t="n">
        <v>0</v>
      </c>
      <c r="O869" t="n">
        <v>0</v>
      </c>
      <c r="P869" t="n">
        <v>0</v>
      </c>
      <c r="Q869" t="n">
        <v>0</v>
      </c>
      <c r="R869" s="2" t="inlineStr"/>
    </row>
    <row r="870" ht="15" customHeight="1">
      <c r="A870" t="inlineStr">
        <is>
          <t>A 46466-2025</t>
        </is>
      </c>
      <c r="B870" s="1" t="n">
        <v>45925.67804398148</v>
      </c>
      <c r="C870" s="1" t="n">
        <v>46076</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31673-2024</t>
        </is>
      </c>
      <c r="B871" s="1" t="n">
        <v>45506.94846064815</v>
      </c>
      <c r="C871" s="1" t="n">
        <v>46076</v>
      </c>
      <c r="D871" t="inlineStr">
        <is>
          <t>GÄVLEBORGS LÄN</t>
        </is>
      </c>
      <c r="E871" t="inlineStr">
        <is>
          <t>LJUSDAL</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5912-2023</t>
        </is>
      </c>
      <c r="B872" s="1" t="n">
        <v>44963.67834490741</v>
      </c>
      <c r="C872" s="1" t="n">
        <v>46076</v>
      </c>
      <c r="D872" t="inlineStr">
        <is>
          <t>GÄVLEBORGS LÄN</t>
        </is>
      </c>
      <c r="E872" t="inlineStr">
        <is>
          <t>LJUSDAL</t>
        </is>
      </c>
      <c r="G872" t="n">
        <v>2.4</v>
      </c>
      <c r="H872" t="n">
        <v>0</v>
      </c>
      <c r="I872" t="n">
        <v>0</v>
      </c>
      <c r="J872" t="n">
        <v>0</v>
      </c>
      <c r="K872" t="n">
        <v>0</v>
      </c>
      <c r="L872" t="n">
        <v>0</v>
      </c>
      <c r="M872" t="n">
        <v>0</v>
      </c>
      <c r="N872" t="n">
        <v>0</v>
      </c>
      <c r="O872" t="n">
        <v>0</v>
      </c>
      <c r="P872" t="n">
        <v>0</v>
      </c>
      <c r="Q872" t="n">
        <v>0</v>
      </c>
      <c r="R872" s="2" t="inlineStr"/>
    </row>
    <row r="873" ht="15" customHeight="1">
      <c r="A873" t="inlineStr">
        <is>
          <t>A 46342-2025</t>
        </is>
      </c>
      <c r="B873" s="1" t="n">
        <v>45925.46821759259</v>
      </c>
      <c r="C873" s="1" t="n">
        <v>46076</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12224-2025</t>
        </is>
      </c>
      <c r="B874" s="1" t="n">
        <v>45729.55165509259</v>
      </c>
      <c r="C874" s="1" t="n">
        <v>46076</v>
      </c>
      <c r="D874" t="inlineStr">
        <is>
          <t>GÄVLEBORGS LÄN</t>
        </is>
      </c>
      <c r="E874" t="inlineStr">
        <is>
          <t>LJUSDAL</t>
        </is>
      </c>
      <c r="G874" t="n">
        <v>2</v>
      </c>
      <c r="H874" t="n">
        <v>0</v>
      </c>
      <c r="I874" t="n">
        <v>0</v>
      </c>
      <c r="J874" t="n">
        <v>0</v>
      </c>
      <c r="K874" t="n">
        <v>0</v>
      </c>
      <c r="L874" t="n">
        <v>0</v>
      </c>
      <c r="M874" t="n">
        <v>0</v>
      </c>
      <c r="N874" t="n">
        <v>0</v>
      </c>
      <c r="O874" t="n">
        <v>0</v>
      </c>
      <c r="P874" t="n">
        <v>0</v>
      </c>
      <c r="Q874" t="n">
        <v>0</v>
      </c>
      <c r="R874" s="2" t="inlineStr"/>
    </row>
    <row r="875" ht="15" customHeight="1">
      <c r="A875" t="inlineStr">
        <is>
          <t>A 46313-2025</t>
        </is>
      </c>
      <c r="B875" s="1" t="n">
        <v>45925.44195601852</v>
      </c>
      <c r="C875" s="1" t="n">
        <v>46076</v>
      </c>
      <c r="D875" t="inlineStr">
        <is>
          <t>GÄVLEBORGS LÄN</t>
        </is>
      </c>
      <c r="E875" t="inlineStr">
        <is>
          <t>LJUSDAL</t>
        </is>
      </c>
      <c r="G875" t="n">
        <v>3.3</v>
      </c>
      <c r="H875" t="n">
        <v>0</v>
      </c>
      <c r="I875" t="n">
        <v>0</v>
      </c>
      <c r="J875" t="n">
        <v>0</v>
      </c>
      <c r="K875" t="n">
        <v>0</v>
      </c>
      <c r="L875" t="n">
        <v>0</v>
      </c>
      <c r="M875" t="n">
        <v>0</v>
      </c>
      <c r="N875" t="n">
        <v>0</v>
      </c>
      <c r="O875" t="n">
        <v>0</v>
      </c>
      <c r="P875" t="n">
        <v>0</v>
      </c>
      <c r="Q875" t="n">
        <v>0</v>
      </c>
      <c r="R875" s="2" t="inlineStr"/>
    </row>
    <row r="876" ht="15" customHeight="1">
      <c r="A876" t="inlineStr">
        <is>
          <t>A 46323-2025</t>
        </is>
      </c>
      <c r="B876" s="1" t="n">
        <v>45925.45171296296</v>
      </c>
      <c r="C876" s="1" t="n">
        <v>46076</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46328-2025</t>
        </is>
      </c>
      <c r="B877" s="1" t="n">
        <v>45925.45390046296</v>
      </c>
      <c r="C877" s="1" t="n">
        <v>46076</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46376-2025</t>
        </is>
      </c>
      <c r="B878" s="1" t="n">
        <v>45925</v>
      </c>
      <c r="C878" s="1" t="n">
        <v>46076</v>
      </c>
      <c r="D878" t="inlineStr">
        <is>
          <t>GÄVLEBORGS LÄN</t>
        </is>
      </c>
      <c r="E878" t="inlineStr">
        <is>
          <t>LJUSDAL</t>
        </is>
      </c>
      <c r="G878" t="n">
        <v>5</v>
      </c>
      <c r="H878" t="n">
        <v>0</v>
      </c>
      <c r="I878" t="n">
        <v>0</v>
      </c>
      <c r="J878" t="n">
        <v>0</v>
      </c>
      <c r="K878" t="n">
        <v>0</v>
      </c>
      <c r="L878" t="n">
        <v>0</v>
      </c>
      <c r="M878" t="n">
        <v>0</v>
      </c>
      <c r="N878" t="n">
        <v>0</v>
      </c>
      <c r="O878" t="n">
        <v>0</v>
      </c>
      <c r="P878" t="n">
        <v>0</v>
      </c>
      <c r="Q878" t="n">
        <v>0</v>
      </c>
      <c r="R878" s="2" t="inlineStr"/>
    </row>
    <row r="879" ht="15" customHeight="1">
      <c r="A879" t="inlineStr">
        <is>
          <t>A 36317-2025</t>
        </is>
      </c>
      <c r="B879" s="1" t="n">
        <v>45868.37267361111</v>
      </c>
      <c r="C879" s="1" t="n">
        <v>46076</v>
      </c>
      <c r="D879" t="inlineStr">
        <is>
          <t>GÄVLEBORGS LÄN</t>
        </is>
      </c>
      <c r="E879" t="inlineStr">
        <is>
          <t>LJUSDAL</t>
        </is>
      </c>
      <c r="G879" t="n">
        <v>7.7</v>
      </c>
      <c r="H879" t="n">
        <v>0</v>
      </c>
      <c r="I879" t="n">
        <v>0</v>
      </c>
      <c r="J879" t="n">
        <v>0</v>
      </c>
      <c r="K879" t="n">
        <v>0</v>
      </c>
      <c r="L879" t="n">
        <v>0</v>
      </c>
      <c r="M879" t="n">
        <v>0</v>
      </c>
      <c r="N879" t="n">
        <v>0</v>
      </c>
      <c r="O879" t="n">
        <v>0</v>
      </c>
      <c r="P879" t="n">
        <v>0</v>
      </c>
      <c r="Q879" t="n">
        <v>0</v>
      </c>
      <c r="R879" s="2" t="inlineStr"/>
    </row>
    <row r="880" ht="15" customHeight="1">
      <c r="A880" t="inlineStr">
        <is>
          <t>A 36318-2025</t>
        </is>
      </c>
      <c r="B880" s="1" t="n">
        <v>45868.37643518519</v>
      </c>
      <c r="C880" s="1" t="n">
        <v>46076</v>
      </c>
      <c r="D880" t="inlineStr">
        <is>
          <t>GÄVLEBORGS LÄN</t>
        </is>
      </c>
      <c r="E880" t="inlineStr">
        <is>
          <t>LJUSDAL</t>
        </is>
      </c>
      <c r="G880" t="n">
        <v>10.2</v>
      </c>
      <c r="H880" t="n">
        <v>0</v>
      </c>
      <c r="I880" t="n">
        <v>0</v>
      </c>
      <c r="J880" t="n">
        <v>0</v>
      </c>
      <c r="K880" t="n">
        <v>0</v>
      </c>
      <c r="L880" t="n">
        <v>0</v>
      </c>
      <c r="M880" t="n">
        <v>0</v>
      </c>
      <c r="N880" t="n">
        <v>0</v>
      </c>
      <c r="O880" t="n">
        <v>0</v>
      </c>
      <c r="P880" t="n">
        <v>0</v>
      </c>
      <c r="Q880" t="n">
        <v>0</v>
      </c>
      <c r="R880" s="2" t="inlineStr"/>
    </row>
    <row r="881" ht="15" customHeight="1">
      <c r="A881" t="inlineStr">
        <is>
          <t>A 36354-2025</t>
        </is>
      </c>
      <c r="B881" s="1" t="n">
        <v>45868.48991898148</v>
      </c>
      <c r="C881" s="1" t="n">
        <v>46076</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7495-2025</t>
        </is>
      </c>
      <c r="B882" s="1" t="n">
        <v>45705.48628472222</v>
      </c>
      <c r="C882" s="1" t="n">
        <v>46076</v>
      </c>
      <c r="D882" t="inlineStr">
        <is>
          <t>GÄVLEBORGS LÄN</t>
        </is>
      </c>
      <c r="E882" t="inlineStr">
        <is>
          <t>LJUSDAL</t>
        </is>
      </c>
      <c r="G882" t="n">
        <v>2.5</v>
      </c>
      <c r="H882" t="n">
        <v>0</v>
      </c>
      <c r="I882" t="n">
        <v>0</v>
      </c>
      <c r="J882" t="n">
        <v>0</v>
      </c>
      <c r="K882" t="n">
        <v>0</v>
      </c>
      <c r="L882" t="n">
        <v>0</v>
      </c>
      <c r="M882" t="n">
        <v>0</v>
      </c>
      <c r="N882" t="n">
        <v>0</v>
      </c>
      <c r="O882" t="n">
        <v>0</v>
      </c>
      <c r="P882" t="n">
        <v>0</v>
      </c>
      <c r="Q882" t="n">
        <v>0</v>
      </c>
      <c r="R882" s="2" t="inlineStr"/>
    </row>
    <row r="883" ht="15" customHeight="1">
      <c r="A883" t="inlineStr">
        <is>
          <t>A 29367-2025</t>
        </is>
      </c>
      <c r="B883" s="1" t="n">
        <v>45824.57157407407</v>
      </c>
      <c r="C883" s="1" t="n">
        <v>46076</v>
      </c>
      <c r="D883" t="inlineStr">
        <is>
          <t>GÄVLEBORGS LÄN</t>
        </is>
      </c>
      <c r="E883" t="inlineStr">
        <is>
          <t>LJUSDAL</t>
        </is>
      </c>
      <c r="G883" t="n">
        <v>7.2</v>
      </c>
      <c r="H883" t="n">
        <v>0</v>
      </c>
      <c r="I883" t="n">
        <v>0</v>
      </c>
      <c r="J883" t="n">
        <v>0</v>
      </c>
      <c r="K883" t="n">
        <v>0</v>
      </c>
      <c r="L883" t="n">
        <v>0</v>
      </c>
      <c r="M883" t="n">
        <v>0</v>
      </c>
      <c r="N883" t="n">
        <v>0</v>
      </c>
      <c r="O883" t="n">
        <v>0</v>
      </c>
      <c r="P883" t="n">
        <v>0</v>
      </c>
      <c r="Q883" t="n">
        <v>0</v>
      </c>
      <c r="R883" s="2" t="inlineStr"/>
    </row>
    <row r="884" ht="15" customHeight="1">
      <c r="A884" t="inlineStr">
        <is>
          <t>A 36352-2025</t>
        </is>
      </c>
      <c r="B884" s="1" t="n">
        <v>45868.48983796296</v>
      </c>
      <c r="C884" s="1" t="n">
        <v>46076</v>
      </c>
      <c r="D884" t="inlineStr">
        <is>
          <t>GÄVLEBORGS LÄN</t>
        </is>
      </c>
      <c r="E884" t="inlineStr">
        <is>
          <t>LJUSDAL</t>
        </is>
      </c>
      <c r="G884" t="n">
        <v>5.7</v>
      </c>
      <c r="H884" t="n">
        <v>0</v>
      </c>
      <c r="I884" t="n">
        <v>0</v>
      </c>
      <c r="J884" t="n">
        <v>0</v>
      </c>
      <c r="K884" t="n">
        <v>0</v>
      </c>
      <c r="L884" t="n">
        <v>0</v>
      </c>
      <c r="M884" t="n">
        <v>0</v>
      </c>
      <c r="N884" t="n">
        <v>0</v>
      </c>
      <c r="O884" t="n">
        <v>0</v>
      </c>
      <c r="P884" t="n">
        <v>0</v>
      </c>
      <c r="Q884" t="n">
        <v>0</v>
      </c>
      <c r="R884" s="2" t="inlineStr"/>
    </row>
    <row r="885" ht="15" customHeight="1">
      <c r="A885" t="inlineStr">
        <is>
          <t>A 36353-2025</t>
        </is>
      </c>
      <c r="B885" s="1" t="n">
        <v>45868.48988425926</v>
      </c>
      <c r="C885" s="1" t="n">
        <v>46076</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31011-2024</t>
        </is>
      </c>
      <c r="B886" s="1" t="n">
        <v>45499.67101851852</v>
      </c>
      <c r="C886" s="1" t="n">
        <v>46076</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34641-2025</t>
        </is>
      </c>
      <c r="B887" s="1" t="n">
        <v>45848</v>
      </c>
      <c r="C887" s="1" t="n">
        <v>46076</v>
      </c>
      <c r="D887" t="inlineStr">
        <is>
          <t>GÄVLEBORGS LÄN</t>
        </is>
      </c>
      <c r="E887" t="inlineStr">
        <is>
          <t>LJUSDAL</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19498-2025</t>
        </is>
      </c>
      <c r="B888" s="1" t="n">
        <v>45770.39714120371</v>
      </c>
      <c r="C888" s="1" t="n">
        <v>46076</v>
      </c>
      <c r="D888" t="inlineStr">
        <is>
          <t>GÄVLEBORGS LÄN</t>
        </is>
      </c>
      <c r="E888" t="inlineStr">
        <is>
          <t>LJUSDAL</t>
        </is>
      </c>
      <c r="G888" t="n">
        <v>6.4</v>
      </c>
      <c r="H888" t="n">
        <v>0</v>
      </c>
      <c r="I888" t="n">
        <v>0</v>
      </c>
      <c r="J888" t="n">
        <v>0</v>
      </c>
      <c r="K888" t="n">
        <v>0</v>
      </c>
      <c r="L888" t="n">
        <v>0</v>
      </c>
      <c r="M888" t="n">
        <v>0</v>
      </c>
      <c r="N888" t="n">
        <v>0</v>
      </c>
      <c r="O888" t="n">
        <v>0</v>
      </c>
      <c r="P888" t="n">
        <v>0</v>
      </c>
      <c r="Q888" t="n">
        <v>0</v>
      </c>
      <c r="R888" s="2" t="inlineStr"/>
    </row>
    <row r="889" ht="15" customHeight="1">
      <c r="A889" t="inlineStr">
        <is>
          <t>A 36378-2023</t>
        </is>
      </c>
      <c r="B889" s="1" t="n">
        <v>45152.51251157407</v>
      </c>
      <c r="C889" s="1" t="n">
        <v>46076</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46715-2025</t>
        </is>
      </c>
      <c r="B890" s="1" t="n">
        <v>45926.57803240741</v>
      </c>
      <c r="C890" s="1" t="n">
        <v>46076</v>
      </c>
      <c r="D890" t="inlineStr">
        <is>
          <t>GÄVLEBORGS LÄN</t>
        </is>
      </c>
      <c r="E890" t="inlineStr">
        <is>
          <t>LJUSDAL</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46678-2025</t>
        </is>
      </c>
      <c r="B891" s="1" t="n">
        <v>45926.54435185185</v>
      </c>
      <c r="C891" s="1" t="n">
        <v>46076</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46719-2025</t>
        </is>
      </c>
      <c r="B892" s="1" t="n">
        <v>45926.58216435185</v>
      </c>
      <c r="C892" s="1" t="n">
        <v>46076</v>
      </c>
      <c r="D892" t="inlineStr">
        <is>
          <t>GÄVLEBORGS LÄN</t>
        </is>
      </c>
      <c r="E892" t="inlineStr">
        <is>
          <t>LJUSDAL</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52778-2021</t>
        </is>
      </c>
      <c r="B893" s="1" t="n">
        <v>44467.35164351852</v>
      </c>
      <c r="C893" s="1" t="n">
        <v>46076</v>
      </c>
      <c r="D893" t="inlineStr">
        <is>
          <t>GÄVLEBORGS LÄN</t>
        </is>
      </c>
      <c r="E893" t="inlineStr">
        <is>
          <t>LJUSDAL</t>
        </is>
      </c>
      <c r="F893" t="inlineStr">
        <is>
          <t>Sveaskog</t>
        </is>
      </c>
      <c r="G893" t="n">
        <v>3.5</v>
      </c>
      <c r="H893" t="n">
        <v>0</v>
      </c>
      <c r="I893" t="n">
        <v>0</v>
      </c>
      <c r="J893" t="n">
        <v>0</v>
      </c>
      <c r="K893" t="n">
        <v>0</v>
      </c>
      <c r="L893" t="n">
        <v>0</v>
      </c>
      <c r="M893" t="n">
        <v>0</v>
      </c>
      <c r="N893" t="n">
        <v>0</v>
      </c>
      <c r="O893" t="n">
        <v>0</v>
      </c>
      <c r="P893" t="n">
        <v>0</v>
      </c>
      <c r="Q893" t="n">
        <v>0</v>
      </c>
      <c r="R893" s="2" t="inlineStr"/>
    </row>
    <row r="894" ht="15" customHeight="1">
      <c r="A894" t="inlineStr">
        <is>
          <t>A 46739-2025</t>
        </is>
      </c>
      <c r="B894" s="1" t="n">
        <v>45926.60650462963</v>
      </c>
      <c r="C894" s="1" t="n">
        <v>46076</v>
      </c>
      <c r="D894" t="inlineStr">
        <is>
          <t>GÄVLEBORGS LÄN</t>
        </is>
      </c>
      <c r="E894" t="inlineStr">
        <is>
          <t>LJUSDAL</t>
        </is>
      </c>
      <c r="F894" t="inlineStr">
        <is>
          <t>Holmen skog AB</t>
        </is>
      </c>
      <c r="G894" t="n">
        <v>11.7</v>
      </c>
      <c r="H894" t="n">
        <v>0</v>
      </c>
      <c r="I894" t="n">
        <v>0</v>
      </c>
      <c r="J894" t="n">
        <v>0</v>
      </c>
      <c r="K894" t="n">
        <v>0</v>
      </c>
      <c r="L894" t="n">
        <v>0</v>
      </c>
      <c r="M894" t="n">
        <v>0</v>
      </c>
      <c r="N894" t="n">
        <v>0</v>
      </c>
      <c r="O894" t="n">
        <v>0</v>
      </c>
      <c r="P894" t="n">
        <v>0</v>
      </c>
      <c r="Q894" t="n">
        <v>0</v>
      </c>
      <c r="R894" s="2" t="inlineStr"/>
    </row>
    <row r="895" ht="15" customHeight="1">
      <c r="A895" t="inlineStr">
        <is>
          <t>A 26849-2024</t>
        </is>
      </c>
      <c r="B895" s="1" t="n">
        <v>45470</v>
      </c>
      <c r="C895" s="1" t="n">
        <v>46076</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36745-2025</t>
        </is>
      </c>
      <c r="B896" s="1" t="n">
        <v>45873.54413194444</v>
      </c>
      <c r="C896" s="1" t="n">
        <v>46076</v>
      </c>
      <c r="D896" t="inlineStr">
        <is>
          <t>GÄVLEBORGS LÄN</t>
        </is>
      </c>
      <c r="E896" t="inlineStr">
        <is>
          <t>LJUSDAL</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36784-2025</t>
        </is>
      </c>
      <c r="B897" s="1" t="n">
        <v>45873.6207175926</v>
      </c>
      <c r="C897" s="1" t="n">
        <v>46076</v>
      </c>
      <c r="D897" t="inlineStr">
        <is>
          <t>GÄVLEBORGS LÄN</t>
        </is>
      </c>
      <c r="E897" t="inlineStr">
        <is>
          <t>LJUSDAL</t>
        </is>
      </c>
      <c r="F897" t="inlineStr">
        <is>
          <t>Bergvik skog väst AB</t>
        </is>
      </c>
      <c r="G897" t="n">
        <v>0.8</v>
      </c>
      <c r="H897" t="n">
        <v>0</v>
      </c>
      <c r="I897" t="n">
        <v>0</v>
      </c>
      <c r="J897" t="n">
        <v>0</v>
      </c>
      <c r="K897" t="n">
        <v>0</v>
      </c>
      <c r="L897" t="n">
        <v>0</v>
      </c>
      <c r="M897" t="n">
        <v>0</v>
      </c>
      <c r="N897" t="n">
        <v>0</v>
      </c>
      <c r="O897" t="n">
        <v>0</v>
      </c>
      <c r="P897" t="n">
        <v>0</v>
      </c>
      <c r="Q897" t="n">
        <v>0</v>
      </c>
      <c r="R897" s="2" t="inlineStr"/>
    </row>
    <row r="898" ht="15" customHeight="1">
      <c r="A898" t="inlineStr">
        <is>
          <t>A 54595-2023</t>
        </is>
      </c>
      <c r="B898" s="1" t="n">
        <v>45233</v>
      </c>
      <c r="C898" s="1" t="n">
        <v>46076</v>
      </c>
      <c r="D898" t="inlineStr">
        <is>
          <t>GÄVLEBORGS LÄN</t>
        </is>
      </c>
      <c r="E898" t="inlineStr">
        <is>
          <t>LJUSDAL</t>
        </is>
      </c>
      <c r="G898" t="n">
        <v>2.4</v>
      </c>
      <c r="H898" t="n">
        <v>0</v>
      </c>
      <c r="I898" t="n">
        <v>0</v>
      </c>
      <c r="J898" t="n">
        <v>0</v>
      </c>
      <c r="K898" t="n">
        <v>0</v>
      </c>
      <c r="L898" t="n">
        <v>0</v>
      </c>
      <c r="M898" t="n">
        <v>0</v>
      </c>
      <c r="N898" t="n">
        <v>0</v>
      </c>
      <c r="O898" t="n">
        <v>0</v>
      </c>
      <c r="P898" t="n">
        <v>0</v>
      </c>
      <c r="Q898" t="n">
        <v>0</v>
      </c>
      <c r="R898" s="2" t="inlineStr"/>
    </row>
    <row r="899" ht="15" customHeight="1">
      <c r="A899" t="inlineStr">
        <is>
          <t>A 1259-2023</t>
        </is>
      </c>
      <c r="B899" s="1" t="n">
        <v>44936.38371527778</v>
      </c>
      <c r="C899" s="1" t="n">
        <v>46076</v>
      </c>
      <c r="D899" t="inlineStr">
        <is>
          <t>GÄVLEBORGS LÄN</t>
        </is>
      </c>
      <c r="E899" t="inlineStr">
        <is>
          <t>LJUSDAL</t>
        </is>
      </c>
      <c r="G899" t="n">
        <v>1.7</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46076</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23284-2024</t>
        </is>
      </c>
      <c r="B901" s="1" t="n">
        <v>45453</v>
      </c>
      <c r="C901" s="1" t="n">
        <v>46076</v>
      </c>
      <c r="D901" t="inlineStr">
        <is>
          <t>GÄVLEBORGS LÄN</t>
        </is>
      </c>
      <c r="E901" t="inlineStr">
        <is>
          <t>LJUSDAL</t>
        </is>
      </c>
      <c r="G901" t="n">
        <v>2.5</v>
      </c>
      <c r="H901" t="n">
        <v>0</v>
      </c>
      <c r="I901" t="n">
        <v>0</v>
      </c>
      <c r="J901" t="n">
        <v>0</v>
      </c>
      <c r="K901" t="n">
        <v>0</v>
      </c>
      <c r="L901" t="n">
        <v>0</v>
      </c>
      <c r="M901" t="n">
        <v>0</v>
      </c>
      <c r="N901" t="n">
        <v>0</v>
      </c>
      <c r="O901" t="n">
        <v>0</v>
      </c>
      <c r="P901" t="n">
        <v>0</v>
      </c>
      <c r="Q901" t="n">
        <v>0</v>
      </c>
      <c r="R901" s="2" t="inlineStr"/>
    </row>
    <row r="902" ht="15" customHeight="1">
      <c r="A902" t="inlineStr">
        <is>
          <t>A 47591-2025</t>
        </is>
      </c>
      <c r="B902" s="1" t="n">
        <v>45931.44518518518</v>
      </c>
      <c r="C902" s="1" t="n">
        <v>46076</v>
      </c>
      <c r="D902" t="inlineStr">
        <is>
          <t>GÄVLEBORGS LÄN</t>
        </is>
      </c>
      <c r="E902" t="inlineStr">
        <is>
          <t>LJUSDAL</t>
        </is>
      </c>
      <c r="G902" t="n">
        <v>1</v>
      </c>
      <c r="H902" t="n">
        <v>0</v>
      </c>
      <c r="I902" t="n">
        <v>0</v>
      </c>
      <c r="J902" t="n">
        <v>0</v>
      </c>
      <c r="K902" t="n">
        <v>0</v>
      </c>
      <c r="L902" t="n">
        <v>0</v>
      </c>
      <c r="M902" t="n">
        <v>0</v>
      </c>
      <c r="N902" t="n">
        <v>0</v>
      </c>
      <c r="O902" t="n">
        <v>0</v>
      </c>
      <c r="P902" t="n">
        <v>0</v>
      </c>
      <c r="Q902" t="n">
        <v>0</v>
      </c>
      <c r="R902" s="2" t="inlineStr"/>
    </row>
    <row r="903" ht="15" customHeight="1">
      <c r="A903" t="inlineStr">
        <is>
          <t>A 47607-2025</t>
        </is>
      </c>
      <c r="B903" s="1" t="n">
        <v>45931.46563657407</v>
      </c>
      <c r="C903" s="1" t="n">
        <v>46076</v>
      </c>
      <c r="D903" t="inlineStr">
        <is>
          <t>GÄVLEBORGS LÄN</t>
        </is>
      </c>
      <c r="E903" t="inlineStr">
        <is>
          <t>LJUSDAL</t>
        </is>
      </c>
      <c r="G903" t="n">
        <v>0.7</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46076</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47324-2025</t>
        </is>
      </c>
      <c r="B905" s="1" t="n">
        <v>45930.55458333333</v>
      </c>
      <c r="C905" s="1" t="n">
        <v>46076</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28240-2023</t>
        </is>
      </c>
      <c r="B906" s="1" t="n">
        <v>45099.58393518518</v>
      </c>
      <c r="C906" s="1" t="n">
        <v>46076</v>
      </c>
      <c r="D906" t="inlineStr">
        <is>
          <t>GÄVLEBORGS LÄN</t>
        </is>
      </c>
      <c r="E906" t="inlineStr">
        <is>
          <t>LJUSDAL</t>
        </is>
      </c>
      <c r="F906" t="inlineStr">
        <is>
          <t>Holmen skog AB</t>
        </is>
      </c>
      <c r="G906" t="n">
        <v>5.8</v>
      </c>
      <c r="H906" t="n">
        <v>0</v>
      </c>
      <c r="I906" t="n">
        <v>0</v>
      </c>
      <c r="J906" t="n">
        <v>0</v>
      </c>
      <c r="K906" t="n">
        <v>0</v>
      </c>
      <c r="L906" t="n">
        <v>0</v>
      </c>
      <c r="M906" t="n">
        <v>0</v>
      </c>
      <c r="N906" t="n">
        <v>0</v>
      </c>
      <c r="O906" t="n">
        <v>0</v>
      </c>
      <c r="P906" t="n">
        <v>0</v>
      </c>
      <c r="Q906" t="n">
        <v>0</v>
      </c>
      <c r="R906" s="2" t="inlineStr"/>
    </row>
    <row r="907" ht="15" customHeight="1">
      <c r="A907" t="inlineStr">
        <is>
          <t>A 28248-2023</t>
        </is>
      </c>
      <c r="B907" s="1" t="n">
        <v>45099.59758101852</v>
      </c>
      <c r="C907" s="1" t="n">
        <v>46076</v>
      </c>
      <c r="D907" t="inlineStr">
        <is>
          <t>GÄVLEBORGS LÄN</t>
        </is>
      </c>
      <c r="E907" t="inlineStr">
        <is>
          <t>LJUSDAL</t>
        </is>
      </c>
      <c r="G907" t="n">
        <v>1.3</v>
      </c>
      <c r="H907" t="n">
        <v>0</v>
      </c>
      <c r="I907" t="n">
        <v>0</v>
      </c>
      <c r="J907" t="n">
        <v>0</v>
      </c>
      <c r="K907" t="n">
        <v>0</v>
      </c>
      <c r="L907" t="n">
        <v>0</v>
      </c>
      <c r="M907" t="n">
        <v>0</v>
      </c>
      <c r="N907" t="n">
        <v>0</v>
      </c>
      <c r="O907" t="n">
        <v>0</v>
      </c>
      <c r="P907" t="n">
        <v>0</v>
      </c>
      <c r="Q907" t="n">
        <v>0</v>
      </c>
      <c r="R907" s="2" t="inlineStr"/>
    </row>
    <row r="908" ht="15" customHeight="1">
      <c r="A908" t="inlineStr">
        <is>
          <t>A 40253-2023</t>
        </is>
      </c>
      <c r="B908" s="1" t="n">
        <v>45169</v>
      </c>
      <c r="C908" s="1" t="n">
        <v>46076</v>
      </c>
      <c r="D908" t="inlineStr">
        <is>
          <t>GÄVLEBORGS LÄN</t>
        </is>
      </c>
      <c r="E908" t="inlineStr">
        <is>
          <t>LJUSDAL</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36660-2025</t>
        </is>
      </c>
      <c r="B909" s="1" t="n">
        <v>45873.35680555556</v>
      </c>
      <c r="C909" s="1" t="n">
        <v>46076</v>
      </c>
      <c r="D909" t="inlineStr">
        <is>
          <t>GÄVLEBORGS LÄN</t>
        </is>
      </c>
      <c r="E909" t="inlineStr">
        <is>
          <t>LJUSDAL</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55943-2025</t>
        </is>
      </c>
      <c r="B910" s="1" t="n">
        <v>45973.45535879629</v>
      </c>
      <c r="C910" s="1" t="n">
        <v>46076</v>
      </c>
      <c r="D910" t="inlineStr">
        <is>
          <t>GÄVLEBORGS LÄN</t>
        </is>
      </c>
      <c r="E910" t="inlineStr">
        <is>
          <t>LJUSDAL</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36981-2025</t>
        </is>
      </c>
      <c r="B911" s="1" t="n">
        <v>45874.64697916667</v>
      </c>
      <c r="C911" s="1" t="n">
        <v>46076</v>
      </c>
      <c r="D911" t="inlineStr">
        <is>
          <t>GÄVLEBORGS LÄN</t>
        </is>
      </c>
      <c r="E911" t="inlineStr">
        <is>
          <t>LJUSDAL</t>
        </is>
      </c>
      <c r="F911" t="inlineStr">
        <is>
          <t>Sveaskog</t>
        </is>
      </c>
      <c r="G911" t="n">
        <v>6.2</v>
      </c>
      <c r="H911" t="n">
        <v>0</v>
      </c>
      <c r="I911" t="n">
        <v>0</v>
      </c>
      <c r="J911" t="n">
        <v>0</v>
      </c>
      <c r="K911" t="n">
        <v>0</v>
      </c>
      <c r="L911" t="n">
        <v>0</v>
      </c>
      <c r="M911" t="n">
        <v>0</v>
      </c>
      <c r="N911" t="n">
        <v>0</v>
      </c>
      <c r="O911" t="n">
        <v>0</v>
      </c>
      <c r="P911" t="n">
        <v>0</v>
      </c>
      <c r="Q911" t="n">
        <v>0</v>
      </c>
      <c r="R911" s="2" t="inlineStr"/>
    </row>
    <row r="912" ht="15" customHeight="1">
      <c r="A912" t="inlineStr">
        <is>
          <t>A 37064-2025</t>
        </is>
      </c>
      <c r="B912" s="1" t="n">
        <v>45875.38607638889</v>
      </c>
      <c r="C912" s="1" t="n">
        <v>46076</v>
      </c>
      <c r="D912" t="inlineStr">
        <is>
          <t>GÄVLEBORGS LÄN</t>
        </is>
      </c>
      <c r="E912" t="inlineStr">
        <is>
          <t>LJUSDAL</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47747-2025</t>
        </is>
      </c>
      <c r="B913" s="1" t="n">
        <v>45931.65436342593</v>
      </c>
      <c r="C913" s="1" t="n">
        <v>46076</v>
      </c>
      <c r="D913" t="inlineStr">
        <is>
          <t>GÄVLEBORGS LÄN</t>
        </is>
      </c>
      <c r="E913" t="inlineStr">
        <is>
          <t>LJUSDAL</t>
        </is>
      </c>
      <c r="G913" t="n">
        <v>7.9</v>
      </c>
      <c r="H913" t="n">
        <v>0</v>
      </c>
      <c r="I913" t="n">
        <v>0</v>
      </c>
      <c r="J913" t="n">
        <v>0</v>
      </c>
      <c r="K913" t="n">
        <v>0</v>
      </c>
      <c r="L913" t="n">
        <v>0</v>
      </c>
      <c r="M913" t="n">
        <v>0</v>
      </c>
      <c r="N913" t="n">
        <v>0</v>
      </c>
      <c r="O913" t="n">
        <v>0</v>
      </c>
      <c r="P913" t="n">
        <v>0</v>
      </c>
      <c r="Q913" t="n">
        <v>0</v>
      </c>
      <c r="R913" s="2" t="inlineStr"/>
    </row>
    <row r="914" ht="15" customHeight="1">
      <c r="A914" t="inlineStr">
        <is>
          <t>A 37115-2025</t>
        </is>
      </c>
      <c r="B914" s="1" t="n">
        <v>45875.51137731481</v>
      </c>
      <c r="C914" s="1" t="n">
        <v>46076</v>
      </c>
      <c r="D914" t="inlineStr">
        <is>
          <t>GÄVLEBORGS LÄN</t>
        </is>
      </c>
      <c r="E914" t="inlineStr">
        <is>
          <t>LJUSDAL</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47643-2025</t>
        </is>
      </c>
      <c r="B915" s="1" t="n">
        <v>45931.51381944444</v>
      </c>
      <c r="C915" s="1" t="n">
        <v>46076</v>
      </c>
      <c r="D915" t="inlineStr">
        <is>
          <t>GÄVLEBORGS LÄN</t>
        </is>
      </c>
      <c r="E915" t="inlineStr">
        <is>
          <t>LJUSDAL</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47653-2025</t>
        </is>
      </c>
      <c r="B916" s="1" t="n">
        <v>45931.54061342592</v>
      </c>
      <c r="C916" s="1" t="n">
        <v>46076</v>
      </c>
      <c r="D916" t="inlineStr">
        <is>
          <t>GÄVLEBORGS LÄN</t>
        </is>
      </c>
      <c r="E916" t="inlineStr">
        <is>
          <t>LJUSDAL</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37095-2025</t>
        </is>
      </c>
      <c r="B917" s="1" t="n">
        <v>45875.46927083333</v>
      </c>
      <c r="C917" s="1" t="n">
        <v>46076</v>
      </c>
      <c r="D917" t="inlineStr">
        <is>
          <t>GÄVLEBORGS LÄN</t>
        </is>
      </c>
      <c r="E917" t="inlineStr">
        <is>
          <t>LJUSDAL</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37112-2025</t>
        </is>
      </c>
      <c r="B918" s="1" t="n">
        <v>45875.51082175926</v>
      </c>
      <c r="C918" s="1" t="n">
        <v>46076</v>
      </c>
      <c r="D918" t="inlineStr">
        <is>
          <t>GÄVLEBORGS LÄN</t>
        </is>
      </c>
      <c r="E918" t="inlineStr">
        <is>
          <t>LJUSDAL</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47941-2025</t>
        </is>
      </c>
      <c r="B919" s="1" t="n">
        <v>45932.56681712963</v>
      </c>
      <c r="C919" s="1" t="n">
        <v>46076</v>
      </c>
      <c r="D919" t="inlineStr">
        <is>
          <t>GÄVLEBORGS LÄN</t>
        </is>
      </c>
      <c r="E919" t="inlineStr">
        <is>
          <t>LJUSDAL</t>
        </is>
      </c>
      <c r="G919" t="n">
        <v>3.1</v>
      </c>
      <c r="H919" t="n">
        <v>0</v>
      </c>
      <c r="I919" t="n">
        <v>0</v>
      </c>
      <c r="J919" t="n">
        <v>0</v>
      </c>
      <c r="K919" t="n">
        <v>0</v>
      </c>
      <c r="L919" t="n">
        <v>0</v>
      </c>
      <c r="M919" t="n">
        <v>0</v>
      </c>
      <c r="N919" t="n">
        <v>0</v>
      </c>
      <c r="O919" t="n">
        <v>0</v>
      </c>
      <c r="P919" t="n">
        <v>0</v>
      </c>
      <c r="Q919" t="n">
        <v>0</v>
      </c>
      <c r="R919" s="2" t="inlineStr"/>
    </row>
    <row r="920" ht="15" customHeight="1">
      <c r="A920" t="inlineStr">
        <is>
          <t>A 42540-2024</t>
        </is>
      </c>
      <c r="B920" s="1" t="n">
        <v>45565.58765046296</v>
      </c>
      <c r="C920" s="1" t="n">
        <v>46076</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52787-2024</t>
        </is>
      </c>
      <c r="B921" s="1" t="n">
        <v>45610.55293981481</v>
      </c>
      <c r="C921" s="1" t="n">
        <v>46076</v>
      </c>
      <c r="D921" t="inlineStr">
        <is>
          <t>GÄVLEBORGS LÄN</t>
        </is>
      </c>
      <c r="E921" t="inlineStr">
        <is>
          <t>LJUSDAL</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64019-2023</t>
        </is>
      </c>
      <c r="B922" s="1" t="n">
        <v>45278.92652777778</v>
      </c>
      <c r="C922" s="1" t="n">
        <v>46076</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46076</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48318-2025</t>
        </is>
      </c>
      <c r="B924" s="1" t="n">
        <v>45933.6234375</v>
      </c>
      <c r="C924" s="1" t="n">
        <v>46076</v>
      </c>
      <c r="D924" t="inlineStr">
        <is>
          <t>GÄVLEBORGS LÄN</t>
        </is>
      </c>
      <c r="E924" t="inlineStr">
        <is>
          <t>LJUSDAL</t>
        </is>
      </c>
      <c r="G924" t="n">
        <v>3.9</v>
      </c>
      <c r="H924" t="n">
        <v>0</v>
      </c>
      <c r="I924" t="n">
        <v>0</v>
      </c>
      <c r="J924" t="n">
        <v>0</v>
      </c>
      <c r="K924" t="n">
        <v>0</v>
      </c>
      <c r="L924" t="n">
        <v>0</v>
      </c>
      <c r="M924" t="n">
        <v>0</v>
      </c>
      <c r="N924" t="n">
        <v>0</v>
      </c>
      <c r="O924" t="n">
        <v>0</v>
      </c>
      <c r="P924" t="n">
        <v>0</v>
      </c>
      <c r="Q924" t="n">
        <v>0</v>
      </c>
      <c r="R924" s="2" t="inlineStr"/>
    </row>
    <row r="925" ht="15" customHeight="1">
      <c r="A925" t="inlineStr">
        <is>
          <t>A 48333-2025</t>
        </is>
      </c>
      <c r="B925" s="1" t="n">
        <v>45933.63505787037</v>
      </c>
      <c r="C925" s="1" t="n">
        <v>46076</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46445-2025</t>
        </is>
      </c>
      <c r="B926" s="1" t="n">
        <v>45925.64638888889</v>
      </c>
      <c r="C926" s="1" t="n">
        <v>46076</v>
      </c>
      <c r="D926" t="inlineStr">
        <is>
          <t>GÄVLEBORGS LÄN</t>
        </is>
      </c>
      <c r="E926" t="inlineStr">
        <is>
          <t>LJUSDAL</t>
        </is>
      </c>
      <c r="G926" t="n">
        <v>4.3</v>
      </c>
      <c r="H926" t="n">
        <v>0</v>
      </c>
      <c r="I926" t="n">
        <v>0</v>
      </c>
      <c r="J926" t="n">
        <v>0</v>
      </c>
      <c r="K926" t="n">
        <v>0</v>
      </c>
      <c r="L926" t="n">
        <v>0</v>
      </c>
      <c r="M926" t="n">
        <v>0</v>
      </c>
      <c r="N926" t="n">
        <v>0</v>
      </c>
      <c r="O926" t="n">
        <v>0</v>
      </c>
      <c r="P926" t="n">
        <v>0</v>
      </c>
      <c r="Q926" t="n">
        <v>0</v>
      </c>
      <c r="R926" s="2" t="inlineStr"/>
    </row>
    <row r="927" ht="15" customHeight="1">
      <c r="A927" t="inlineStr">
        <is>
          <t>A 48354-2025</t>
        </is>
      </c>
      <c r="B927" s="1" t="n">
        <v>45933.65809027778</v>
      </c>
      <c r="C927" s="1" t="n">
        <v>46076</v>
      </c>
      <c r="D927" t="inlineStr">
        <is>
          <t>GÄVLEBORGS LÄN</t>
        </is>
      </c>
      <c r="E927" t="inlineStr">
        <is>
          <t>LJUSDAL</t>
        </is>
      </c>
      <c r="G927" t="n">
        <v>10.3</v>
      </c>
      <c r="H927" t="n">
        <v>0</v>
      </c>
      <c r="I927" t="n">
        <v>0</v>
      </c>
      <c r="J927" t="n">
        <v>0</v>
      </c>
      <c r="K927" t="n">
        <v>0</v>
      </c>
      <c r="L927" t="n">
        <v>0</v>
      </c>
      <c r="M927" t="n">
        <v>0</v>
      </c>
      <c r="N927" t="n">
        <v>0</v>
      </c>
      <c r="O927" t="n">
        <v>0</v>
      </c>
      <c r="P927" t="n">
        <v>0</v>
      </c>
      <c r="Q927" t="n">
        <v>0</v>
      </c>
      <c r="R927" s="2" t="inlineStr"/>
    </row>
    <row r="928" ht="15" customHeight="1">
      <c r="A928" t="inlineStr">
        <is>
          <t>A 6016-2025</t>
        </is>
      </c>
      <c r="B928" s="1" t="n">
        <v>45695</v>
      </c>
      <c r="C928" s="1" t="n">
        <v>46076</v>
      </c>
      <c r="D928" t="inlineStr">
        <is>
          <t>GÄVLEBORGS LÄN</t>
        </is>
      </c>
      <c r="E928" t="inlineStr">
        <is>
          <t>LJUSDAL</t>
        </is>
      </c>
      <c r="G928" t="n">
        <v>8</v>
      </c>
      <c r="H928" t="n">
        <v>0</v>
      </c>
      <c r="I928" t="n">
        <v>0</v>
      </c>
      <c r="J928" t="n">
        <v>0</v>
      </c>
      <c r="K928" t="n">
        <v>0</v>
      </c>
      <c r="L928" t="n">
        <v>0</v>
      </c>
      <c r="M928" t="n">
        <v>0</v>
      </c>
      <c r="N928" t="n">
        <v>0</v>
      </c>
      <c r="O928" t="n">
        <v>0</v>
      </c>
      <c r="P928" t="n">
        <v>0</v>
      </c>
      <c r="Q928" t="n">
        <v>0</v>
      </c>
      <c r="R928" s="2" t="inlineStr"/>
    </row>
    <row r="929" ht="15" customHeight="1">
      <c r="A929" t="inlineStr">
        <is>
          <t>A 47923-2025</t>
        </is>
      </c>
      <c r="B929" s="1" t="n">
        <v>45932.53732638889</v>
      </c>
      <c r="C929" s="1" t="n">
        <v>46076</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33344-2025</t>
        </is>
      </c>
      <c r="B930" s="1" t="n">
        <v>45841</v>
      </c>
      <c r="C930" s="1" t="n">
        <v>46076</v>
      </c>
      <c r="D930" t="inlineStr">
        <is>
          <t>GÄVLEBORGS LÄN</t>
        </is>
      </c>
      <c r="E930" t="inlineStr">
        <is>
          <t>LJUSDAL</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37317-2025</t>
        </is>
      </c>
      <c r="B931" s="1" t="n">
        <v>45876.61798611111</v>
      </c>
      <c r="C931" s="1" t="n">
        <v>46076</v>
      </c>
      <c r="D931" t="inlineStr">
        <is>
          <t>GÄVLEBORGS LÄN</t>
        </is>
      </c>
      <c r="E931" t="inlineStr">
        <is>
          <t>LJUSDAL</t>
        </is>
      </c>
      <c r="G931" t="n">
        <v>5.7</v>
      </c>
      <c r="H931" t="n">
        <v>0</v>
      </c>
      <c r="I931" t="n">
        <v>0</v>
      </c>
      <c r="J931" t="n">
        <v>0</v>
      </c>
      <c r="K931" t="n">
        <v>0</v>
      </c>
      <c r="L931" t="n">
        <v>0</v>
      </c>
      <c r="M931" t="n">
        <v>0</v>
      </c>
      <c r="N931" t="n">
        <v>0</v>
      </c>
      <c r="O931" t="n">
        <v>0</v>
      </c>
      <c r="P931" t="n">
        <v>0</v>
      </c>
      <c r="Q931" t="n">
        <v>0</v>
      </c>
      <c r="R931" s="2" t="inlineStr"/>
    </row>
    <row r="932" ht="15" customHeight="1">
      <c r="A932" t="inlineStr">
        <is>
          <t>A 41882-2024</t>
        </is>
      </c>
      <c r="B932" s="1" t="n">
        <v>45561.4859375</v>
      </c>
      <c r="C932" s="1" t="n">
        <v>46076</v>
      </c>
      <c r="D932" t="inlineStr">
        <is>
          <t>GÄVLEBORGS LÄN</t>
        </is>
      </c>
      <c r="E932" t="inlineStr">
        <is>
          <t>LJUSDAL</t>
        </is>
      </c>
      <c r="G932" t="n">
        <v>11.9</v>
      </c>
      <c r="H932" t="n">
        <v>0</v>
      </c>
      <c r="I932" t="n">
        <v>0</v>
      </c>
      <c r="J932" t="n">
        <v>0</v>
      </c>
      <c r="K932" t="n">
        <v>0</v>
      </c>
      <c r="L932" t="n">
        <v>0</v>
      </c>
      <c r="M932" t="n">
        <v>0</v>
      </c>
      <c r="N932" t="n">
        <v>0</v>
      </c>
      <c r="O932" t="n">
        <v>0</v>
      </c>
      <c r="P932" t="n">
        <v>0</v>
      </c>
      <c r="Q932" t="n">
        <v>0</v>
      </c>
      <c r="R932" s="2" t="inlineStr"/>
    </row>
    <row r="933" ht="15" customHeight="1">
      <c r="A933" t="inlineStr">
        <is>
          <t>A 46524-2021</t>
        </is>
      </c>
      <c r="B933" s="1" t="n">
        <v>44445.45006944444</v>
      </c>
      <c r="C933" s="1" t="n">
        <v>46076</v>
      </c>
      <c r="D933" t="inlineStr">
        <is>
          <t>GÄVLEBORGS LÄN</t>
        </is>
      </c>
      <c r="E933" t="inlineStr">
        <is>
          <t>LJUSDAL</t>
        </is>
      </c>
      <c r="F933" t="inlineStr">
        <is>
          <t>Allmännings- och besparingsskogar</t>
        </is>
      </c>
      <c r="G933" t="n">
        <v>1</v>
      </c>
      <c r="H933" t="n">
        <v>0</v>
      </c>
      <c r="I933" t="n">
        <v>0</v>
      </c>
      <c r="J933" t="n">
        <v>0</v>
      </c>
      <c r="K933" t="n">
        <v>0</v>
      </c>
      <c r="L933" t="n">
        <v>0</v>
      </c>
      <c r="M933" t="n">
        <v>0</v>
      </c>
      <c r="N933" t="n">
        <v>0</v>
      </c>
      <c r="O933" t="n">
        <v>0</v>
      </c>
      <c r="P933" t="n">
        <v>0</v>
      </c>
      <c r="Q933" t="n">
        <v>0</v>
      </c>
      <c r="R933" s="2" t="inlineStr"/>
    </row>
    <row r="934" ht="15" customHeight="1">
      <c r="A934" t="inlineStr">
        <is>
          <t>A 34919-2024</t>
        </is>
      </c>
      <c r="B934" s="1" t="n">
        <v>45527</v>
      </c>
      <c r="C934" s="1" t="n">
        <v>46076</v>
      </c>
      <c r="D934" t="inlineStr">
        <is>
          <t>GÄVLEBORGS LÄN</t>
        </is>
      </c>
      <c r="E934" t="inlineStr">
        <is>
          <t>LJUSDAL</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24512-2024</t>
        </is>
      </c>
      <c r="B935" s="1" t="n">
        <v>45460.34677083333</v>
      </c>
      <c r="C935" s="1" t="n">
        <v>46076</v>
      </c>
      <c r="D935" t="inlineStr">
        <is>
          <t>GÄVLEBORGS LÄN</t>
        </is>
      </c>
      <c r="E935" t="inlineStr">
        <is>
          <t>LJUSDAL</t>
        </is>
      </c>
      <c r="G935" t="n">
        <v>13.7</v>
      </c>
      <c r="H935" t="n">
        <v>0</v>
      </c>
      <c r="I935" t="n">
        <v>0</v>
      </c>
      <c r="J935" t="n">
        <v>0</v>
      </c>
      <c r="K935" t="n">
        <v>0</v>
      </c>
      <c r="L935" t="n">
        <v>0</v>
      </c>
      <c r="M935" t="n">
        <v>0</v>
      </c>
      <c r="N935" t="n">
        <v>0</v>
      </c>
      <c r="O935" t="n">
        <v>0</v>
      </c>
      <c r="P935" t="n">
        <v>0</v>
      </c>
      <c r="Q935" t="n">
        <v>0</v>
      </c>
      <c r="R935" s="2" t="inlineStr"/>
    </row>
    <row r="936" ht="15" customHeight="1">
      <c r="A936" t="inlineStr">
        <is>
          <t>A 58900-2024</t>
        </is>
      </c>
      <c r="B936" s="1" t="n">
        <v>45636.47081018519</v>
      </c>
      <c r="C936" s="1" t="n">
        <v>46076</v>
      </c>
      <c r="D936" t="inlineStr">
        <is>
          <t>GÄVLEBORGS LÄN</t>
        </is>
      </c>
      <c r="E936" t="inlineStr">
        <is>
          <t>LJUSDAL</t>
        </is>
      </c>
      <c r="G936" t="n">
        <v>9.9</v>
      </c>
      <c r="H936" t="n">
        <v>0</v>
      </c>
      <c r="I936" t="n">
        <v>0</v>
      </c>
      <c r="J936" t="n">
        <v>0</v>
      </c>
      <c r="K936" t="n">
        <v>0</v>
      </c>
      <c r="L936" t="n">
        <v>0</v>
      </c>
      <c r="M936" t="n">
        <v>0</v>
      </c>
      <c r="N936" t="n">
        <v>0</v>
      </c>
      <c r="O936" t="n">
        <v>0</v>
      </c>
      <c r="P936" t="n">
        <v>0</v>
      </c>
      <c r="Q936" t="n">
        <v>0</v>
      </c>
      <c r="R936" s="2" t="inlineStr"/>
    </row>
    <row r="937" ht="15" customHeight="1">
      <c r="A937" t="inlineStr">
        <is>
          <t>A 4818-2023</t>
        </is>
      </c>
      <c r="B937" s="1" t="n">
        <v>44957.6449537037</v>
      </c>
      <c r="C937" s="1" t="n">
        <v>46076</v>
      </c>
      <c r="D937" t="inlineStr">
        <is>
          <t>GÄVLEBORGS LÄN</t>
        </is>
      </c>
      <c r="E937" t="inlineStr">
        <is>
          <t>LJUSDAL</t>
        </is>
      </c>
      <c r="F937" t="inlineStr">
        <is>
          <t>Holmen skog AB</t>
        </is>
      </c>
      <c r="G937" t="n">
        <v>5.1</v>
      </c>
      <c r="H937" t="n">
        <v>0</v>
      </c>
      <c r="I937" t="n">
        <v>0</v>
      </c>
      <c r="J937" t="n">
        <v>0</v>
      </c>
      <c r="K937" t="n">
        <v>0</v>
      </c>
      <c r="L937" t="n">
        <v>0</v>
      </c>
      <c r="M937" t="n">
        <v>0</v>
      </c>
      <c r="N937" t="n">
        <v>0</v>
      </c>
      <c r="O937" t="n">
        <v>0</v>
      </c>
      <c r="P937" t="n">
        <v>0</v>
      </c>
      <c r="Q937" t="n">
        <v>0</v>
      </c>
      <c r="R937" s="2" t="inlineStr"/>
    </row>
    <row r="938" ht="15" customHeight="1">
      <c r="A938" t="inlineStr">
        <is>
          <t>A 47925-2025</t>
        </is>
      </c>
      <c r="B938" s="1" t="n">
        <v>45932.54445601852</v>
      </c>
      <c r="C938" s="1" t="n">
        <v>46076</v>
      </c>
      <c r="D938" t="inlineStr">
        <is>
          <t>GÄVLEBORGS LÄN</t>
        </is>
      </c>
      <c r="E938" t="inlineStr">
        <is>
          <t>LJUSDAL</t>
        </is>
      </c>
      <c r="G938" t="n">
        <v>0.9</v>
      </c>
      <c r="H938" t="n">
        <v>0</v>
      </c>
      <c r="I938" t="n">
        <v>0</v>
      </c>
      <c r="J938" t="n">
        <v>0</v>
      </c>
      <c r="K938" t="n">
        <v>0</v>
      </c>
      <c r="L938" t="n">
        <v>0</v>
      </c>
      <c r="M938" t="n">
        <v>0</v>
      </c>
      <c r="N938" t="n">
        <v>0</v>
      </c>
      <c r="O938" t="n">
        <v>0</v>
      </c>
      <c r="P938" t="n">
        <v>0</v>
      </c>
      <c r="Q938" t="n">
        <v>0</v>
      </c>
      <c r="R938" s="2" t="inlineStr"/>
    </row>
    <row r="939" ht="15" customHeight="1">
      <c r="A939" t="inlineStr">
        <is>
          <t>A 37786-2025</t>
        </is>
      </c>
      <c r="B939" s="1" t="n">
        <v>45881.29412037037</v>
      </c>
      <c r="C939" s="1" t="n">
        <v>46076</v>
      </c>
      <c r="D939" t="inlineStr">
        <is>
          <t>GÄVLEBORGS LÄN</t>
        </is>
      </c>
      <c r="E939" t="inlineStr">
        <is>
          <t>LJUSDAL</t>
        </is>
      </c>
      <c r="F939" t="inlineStr">
        <is>
          <t>Bergvik skog väst AB</t>
        </is>
      </c>
      <c r="G939" t="n">
        <v>7.9</v>
      </c>
      <c r="H939" t="n">
        <v>0</v>
      </c>
      <c r="I939" t="n">
        <v>0</v>
      </c>
      <c r="J939" t="n">
        <v>0</v>
      </c>
      <c r="K939" t="n">
        <v>0</v>
      </c>
      <c r="L939" t="n">
        <v>0</v>
      </c>
      <c r="M939" t="n">
        <v>0</v>
      </c>
      <c r="N939" t="n">
        <v>0</v>
      </c>
      <c r="O939" t="n">
        <v>0</v>
      </c>
      <c r="P939" t="n">
        <v>0</v>
      </c>
      <c r="Q939" t="n">
        <v>0</v>
      </c>
      <c r="R939" s="2" t="inlineStr"/>
    </row>
    <row r="940" ht="15" customHeight="1">
      <c r="A940" t="inlineStr">
        <is>
          <t>A 57164-2024</t>
        </is>
      </c>
      <c r="B940" s="1" t="n">
        <v>45629.41516203704</v>
      </c>
      <c r="C940" s="1" t="n">
        <v>46076</v>
      </c>
      <c r="D940" t="inlineStr">
        <is>
          <t>GÄVLEBORGS LÄN</t>
        </is>
      </c>
      <c r="E940" t="inlineStr">
        <is>
          <t>LJUSDAL</t>
        </is>
      </c>
      <c r="F940" t="inlineStr">
        <is>
          <t>Naturvårdsverket</t>
        </is>
      </c>
      <c r="G940" t="n">
        <v>18.5</v>
      </c>
      <c r="H940" t="n">
        <v>0</v>
      </c>
      <c r="I940" t="n">
        <v>0</v>
      </c>
      <c r="J940" t="n">
        <v>0</v>
      </c>
      <c r="K940" t="n">
        <v>0</v>
      </c>
      <c r="L940" t="n">
        <v>0</v>
      </c>
      <c r="M940" t="n">
        <v>0</v>
      </c>
      <c r="N940" t="n">
        <v>0</v>
      </c>
      <c r="O940" t="n">
        <v>0</v>
      </c>
      <c r="P940" t="n">
        <v>0</v>
      </c>
      <c r="Q940" t="n">
        <v>0</v>
      </c>
      <c r="R940" s="2" t="inlineStr"/>
    </row>
    <row r="941" ht="15" customHeight="1">
      <c r="A941" t="inlineStr">
        <is>
          <t>A 48729-2025</t>
        </is>
      </c>
      <c r="B941" s="1" t="n">
        <v>45936.65863425926</v>
      </c>
      <c r="C941" s="1" t="n">
        <v>46076</v>
      </c>
      <c r="D941" t="inlineStr">
        <is>
          <t>GÄVLEBORGS LÄN</t>
        </is>
      </c>
      <c r="E941" t="inlineStr">
        <is>
          <t>LJUSDAL</t>
        </is>
      </c>
      <c r="G941" t="n">
        <v>3.5</v>
      </c>
      <c r="H941" t="n">
        <v>0</v>
      </c>
      <c r="I941" t="n">
        <v>0</v>
      </c>
      <c r="J941" t="n">
        <v>0</v>
      </c>
      <c r="K941" t="n">
        <v>0</v>
      </c>
      <c r="L941" t="n">
        <v>0</v>
      </c>
      <c r="M941" t="n">
        <v>0</v>
      </c>
      <c r="N941" t="n">
        <v>0</v>
      </c>
      <c r="O941" t="n">
        <v>0</v>
      </c>
      <c r="P941" t="n">
        <v>0</v>
      </c>
      <c r="Q941" t="n">
        <v>0</v>
      </c>
      <c r="R941" s="2" t="inlineStr"/>
    </row>
    <row r="942" ht="15" customHeight="1">
      <c r="A942" t="inlineStr">
        <is>
          <t>A 36182-2024</t>
        </is>
      </c>
      <c r="B942" s="1" t="n">
        <v>45534.41583333333</v>
      </c>
      <c r="C942" s="1" t="n">
        <v>46076</v>
      </c>
      <c r="D942" t="inlineStr">
        <is>
          <t>GÄVLEBORGS LÄN</t>
        </is>
      </c>
      <c r="E942" t="inlineStr">
        <is>
          <t>LJUSDAL</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48694-2025</t>
        </is>
      </c>
      <c r="B943" s="1" t="n">
        <v>45936.61392361111</v>
      </c>
      <c r="C943" s="1" t="n">
        <v>46076</v>
      </c>
      <c r="D943" t="inlineStr">
        <is>
          <t>GÄVLEBORGS LÄN</t>
        </is>
      </c>
      <c r="E943" t="inlineStr">
        <is>
          <t>LJUSDAL</t>
        </is>
      </c>
      <c r="G943" t="n">
        <v>7.5</v>
      </c>
      <c r="H943" t="n">
        <v>0</v>
      </c>
      <c r="I943" t="n">
        <v>0</v>
      </c>
      <c r="J943" t="n">
        <v>0</v>
      </c>
      <c r="K943" t="n">
        <v>0</v>
      </c>
      <c r="L943" t="n">
        <v>0</v>
      </c>
      <c r="M943" t="n">
        <v>0</v>
      </c>
      <c r="N943" t="n">
        <v>0</v>
      </c>
      <c r="O943" t="n">
        <v>0</v>
      </c>
      <c r="P943" t="n">
        <v>0</v>
      </c>
      <c r="Q943" t="n">
        <v>0</v>
      </c>
      <c r="R943" s="2" t="inlineStr"/>
    </row>
    <row r="944" ht="15" customHeight="1">
      <c r="A944" t="inlineStr">
        <is>
          <t>A 48634-2025</t>
        </is>
      </c>
      <c r="B944" s="1" t="n">
        <v>45936.5131712963</v>
      </c>
      <c r="C944" s="1" t="n">
        <v>46076</v>
      </c>
      <c r="D944" t="inlineStr">
        <is>
          <t>GÄVLEBORGS LÄN</t>
        </is>
      </c>
      <c r="E944" t="inlineStr">
        <is>
          <t>LJUSDAL</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48635-2025</t>
        </is>
      </c>
      <c r="B945" s="1" t="n">
        <v>45936.51425925926</v>
      </c>
      <c r="C945" s="1" t="n">
        <v>46076</v>
      </c>
      <c r="D945" t="inlineStr">
        <is>
          <t>GÄVLEBORGS LÄN</t>
        </is>
      </c>
      <c r="E945" t="inlineStr">
        <is>
          <t>LJUSDAL</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37903-2025</t>
        </is>
      </c>
      <c r="B946" s="1" t="n">
        <v>45881.56465277778</v>
      </c>
      <c r="C946" s="1" t="n">
        <v>46076</v>
      </c>
      <c r="D946" t="inlineStr">
        <is>
          <t>GÄVLEBORGS LÄN</t>
        </is>
      </c>
      <c r="E946" t="inlineStr">
        <is>
          <t>LJUSDAL</t>
        </is>
      </c>
      <c r="F946" t="inlineStr">
        <is>
          <t>Bergvik skog väst AB</t>
        </is>
      </c>
      <c r="G946" t="n">
        <v>3.9</v>
      </c>
      <c r="H946" t="n">
        <v>0</v>
      </c>
      <c r="I946" t="n">
        <v>0</v>
      </c>
      <c r="J946" t="n">
        <v>0</v>
      </c>
      <c r="K946" t="n">
        <v>0</v>
      </c>
      <c r="L946" t="n">
        <v>0</v>
      </c>
      <c r="M946" t="n">
        <v>0</v>
      </c>
      <c r="N946" t="n">
        <v>0</v>
      </c>
      <c r="O946" t="n">
        <v>0</v>
      </c>
      <c r="P946" t="n">
        <v>0</v>
      </c>
      <c r="Q946" t="n">
        <v>0</v>
      </c>
      <c r="R946" s="2" t="inlineStr"/>
    </row>
    <row r="947" ht="15" customHeight="1">
      <c r="A947" t="inlineStr">
        <is>
          <t>A 33819-2023</t>
        </is>
      </c>
      <c r="B947" s="1" t="n">
        <v>45133.6052662037</v>
      </c>
      <c r="C947" s="1" t="n">
        <v>46076</v>
      </c>
      <c r="D947" t="inlineStr">
        <is>
          <t>GÄVLEBORGS LÄN</t>
        </is>
      </c>
      <c r="E947" t="inlineStr">
        <is>
          <t>LJUSDAL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37978-2025</t>
        </is>
      </c>
      <c r="B948" s="1" t="n">
        <v>45881.67885416667</v>
      </c>
      <c r="C948" s="1" t="n">
        <v>46076</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58103-2023</t>
        </is>
      </c>
      <c r="B949" s="1" t="n">
        <v>45249.55481481482</v>
      </c>
      <c r="C949" s="1" t="n">
        <v>46076</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48580-2025</t>
        </is>
      </c>
      <c r="B950" s="1" t="n">
        <v>45936.45487268519</v>
      </c>
      <c r="C950" s="1" t="n">
        <v>46076</v>
      </c>
      <c r="D950" t="inlineStr">
        <is>
          <t>GÄVLEBORGS LÄN</t>
        </is>
      </c>
      <c r="E950" t="inlineStr">
        <is>
          <t>LJUSDAL</t>
        </is>
      </c>
      <c r="G950" t="n">
        <v>3</v>
      </c>
      <c r="H950" t="n">
        <v>0</v>
      </c>
      <c r="I950" t="n">
        <v>0</v>
      </c>
      <c r="J950" t="n">
        <v>0</v>
      </c>
      <c r="K950" t="n">
        <v>0</v>
      </c>
      <c r="L950" t="n">
        <v>0</v>
      </c>
      <c r="M950" t="n">
        <v>0</v>
      </c>
      <c r="N950" t="n">
        <v>0</v>
      </c>
      <c r="O950" t="n">
        <v>0</v>
      </c>
      <c r="P950" t="n">
        <v>0</v>
      </c>
      <c r="Q950" t="n">
        <v>0</v>
      </c>
      <c r="R950" s="2" t="inlineStr"/>
    </row>
    <row r="951" ht="15" customHeight="1">
      <c r="A951" t="inlineStr">
        <is>
          <t>A 37991-2025</t>
        </is>
      </c>
      <c r="B951" s="1" t="n">
        <v>45881.7143287037</v>
      </c>
      <c r="C951" s="1" t="n">
        <v>46076</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6987-2025</t>
        </is>
      </c>
      <c r="B952" s="1" t="n">
        <v>45701</v>
      </c>
      <c r="C952" s="1" t="n">
        <v>46076</v>
      </c>
      <c r="D952" t="inlineStr">
        <is>
          <t>GÄVLEBORGS LÄN</t>
        </is>
      </c>
      <c r="E952" t="inlineStr">
        <is>
          <t>LJUSDAL</t>
        </is>
      </c>
      <c r="G952" t="n">
        <v>7.7</v>
      </c>
      <c r="H952" t="n">
        <v>0</v>
      </c>
      <c r="I952" t="n">
        <v>0</v>
      </c>
      <c r="J952" t="n">
        <v>0</v>
      </c>
      <c r="K952" t="n">
        <v>0</v>
      </c>
      <c r="L952" t="n">
        <v>0</v>
      </c>
      <c r="M952" t="n">
        <v>0</v>
      </c>
      <c r="N952" t="n">
        <v>0</v>
      </c>
      <c r="O952" t="n">
        <v>0</v>
      </c>
      <c r="P952" t="n">
        <v>0</v>
      </c>
      <c r="Q952" t="n">
        <v>0</v>
      </c>
      <c r="R952" s="2" t="inlineStr"/>
    </row>
    <row r="953" ht="15" customHeight="1">
      <c r="A953" t="inlineStr">
        <is>
          <t>A 48631-2025</t>
        </is>
      </c>
      <c r="B953" s="1" t="n">
        <v>45936.51170138889</v>
      </c>
      <c r="C953" s="1" t="n">
        <v>46076</v>
      </c>
      <c r="D953" t="inlineStr">
        <is>
          <t>GÄVLEBORGS LÄN</t>
        </is>
      </c>
      <c r="E953" t="inlineStr">
        <is>
          <t>LJUSDAL</t>
        </is>
      </c>
      <c r="F953" t="inlineStr">
        <is>
          <t>Holmen skog AB</t>
        </is>
      </c>
      <c r="G953" t="n">
        <v>13.7</v>
      </c>
      <c r="H953" t="n">
        <v>0</v>
      </c>
      <c r="I953" t="n">
        <v>0</v>
      </c>
      <c r="J953" t="n">
        <v>0</v>
      </c>
      <c r="K953" t="n">
        <v>0</v>
      </c>
      <c r="L953" t="n">
        <v>0</v>
      </c>
      <c r="M953" t="n">
        <v>0</v>
      </c>
      <c r="N953" t="n">
        <v>0</v>
      </c>
      <c r="O953" t="n">
        <v>0</v>
      </c>
      <c r="P953" t="n">
        <v>0</v>
      </c>
      <c r="Q953" t="n">
        <v>0</v>
      </c>
      <c r="R953" s="2" t="inlineStr"/>
    </row>
    <row r="954" ht="15" customHeight="1">
      <c r="A954" t="inlineStr">
        <is>
          <t>A 48725-2025</t>
        </is>
      </c>
      <c r="B954" s="1" t="n">
        <v>45936.65416666667</v>
      </c>
      <c r="C954" s="1" t="n">
        <v>46076</v>
      </c>
      <c r="D954" t="inlineStr">
        <is>
          <t>GÄVLEBORGS LÄN</t>
        </is>
      </c>
      <c r="E954" t="inlineStr">
        <is>
          <t>LJUSDAL</t>
        </is>
      </c>
      <c r="G954" t="n">
        <v>2.9</v>
      </c>
      <c r="H954" t="n">
        <v>0</v>
      </c>
      <c r="I954" t="n">
        <v>0</v>
      </c>
      <c r="J954" t="n">
        <v>0</v>
      </c>
      <c r="K954" t="n">
        <v>0</v>
      </c>
      <c r="L954" t="n">
        <v>0</v>
      </c>
      <c r="M954" t="n">
        <v>0</v>
      </c>
      <c r="N954" t="n">
        <v>0</v>
      </c>
      <c r="O954" t="n">
        <v>0</v>
      </c>
      <c r="P954" t="n">
        <v>0</v>
      </c>
      <c r="Q954" t="n">
        <v>0</v>
      </c>
      <c r="R954" s="2" t="inlineStr"/>
    </row>
    <row r="955" ht="15" customHeight="1">
      <c r="A955" t="inlineStr">
        <is>
          <t>A 42317-2025</t>
        </is>
      </c>
      <c r="B955" s="1" t="n">
        <v>45904.66563657407</v>
      </c>
      <c r="C955" s="1" t="n">
        <v>46076</v>
      </c>
      <c r="D955" t="inlineStr">
        <is>
          <t>GÄVLEBORGS LÄN</t>
        </is>
      </c>
      <c r="E955" t="inlineStr">
        <is>
          <t>LJUSDAL</t>
        </is>
      </c>
      <c r="G955" t="n">
        <v>4.3</v>
      </c>
      <c r="H955" t="n">
        <v>0</v>
      </c>
      <c r="I955" t="n">
        <v>0</v>
      </c>
      <c r="J955" t="n">
        <v>0</v>
      </c>
      <c r="K955" t="n">
        <v>0</v>
      </c>
      <c r="L955" t="n">
        <v>0</v>
      </c>
      <c r="M955" t="n">
        <v>0</v>
      </c>
      <c r="N955" t="n">
        <v>0</v>
      </c>
      <c r="O955" t="n">
        <v>0</v>
      </c>
      <c r="P955" t="n">
        <v>0</v>
      </c>
      <c r="Q955" t="n">
        <v>0</v>
      </c>
      <c r="R955" s="2" t="inlineStr"/>
    </row>
    <row r="956" ht="15" customHeight="1">
      <c r="A956" t="inlineStr">
        <is>
          <t>A 30294-2024</t>
        </is>
      </c>
      <c r="B956" s="1" t="n">
        <v>45490</v>
      </c>
      <c r="C956" s="1" t="n">
        <v>46076</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38007-2025</t>
        </is>
      </c>
      <c r="B957" s="1" t="n">
        <v>45882</v>
      </c>
      <c r="C957" s="1" t="n">
        <v>46076</v>
      </c>
      <c r="D957" t="inlineStr">
        <is>
          <t>GÄVLEBORGS LÄN</t>
        </is>
      </c>
      <c r="E957" t="inlineStr">
        <is>
          <t>LJUSDAL</t>
        </is>
      </c>
      <c r="F957" t="inlineStr">
        <is>
          <t>Naturvårdsverket</t>
        </is>
      </c>
      <c r="G957" t="n">
        <v>0.8</v>
      </c>
      <c r="H957" t="n">
        <v>0</v>
      </c>
      <c r="I957" t="n">
        <v>0</v>
      </c>
      <c r="J957" t="n">
        <v>0</v>
      </c>
      <c r="K957" t="n">
        <v>0</v>
      </c>
      <c r="L957" t="n">
        <v>0</v>
      </c>
      <c r="M957" t="n">
        <v>0</v>
      </c>
      <c r="N957" t="n">
        <v>0</v>
      </c>
      <c r="O957" t="n">
        <v>0</v>
      </c>
      <c r="P957" t="n">
        <v>0</v>
      </c>
      <c r="Q957" t="n">
        <v>0</v>
      </c>
      <c r="R957" s="2" t="inlineStr"/>
    </row>
    <row r="958" ht="15" customHeight="1">
      <c r="A958" t="inlineStr">
        <is>
          <t>A 48579-2025</t>
        </is>
      </c>
      <c r="B958" s="1" t="n">
        <v>45936.45458333333</v>
      </c>
      <c r="C958" s="1" t="n">
        <v>46076</v>
      </c>
      <c r="D958" t="inlineStr">
        <is>
          <t>GÄVLEBORGS LÄN</t>
        </is>
      </c>
      <c r="E958" t="inlineStr">
        <is>
          <t>LJUSDAL</t>
        </is>
      </c>
      <c r="F958" t="inlineStr">
        <is>
          <t>Allmännings- och besparingsskogar</t>
        </is>
      </c>
      <c r="G958" t="n">
        <v>7.6</v>
      </c>
      <c r="H958" t="n">
        <v>0</v>
      </c>
      <c r="I958" t="n">
        <v>0</v>
      </c>
      <c r="J958" t="n">
        <v>0</v>
      </c>
      <c r="K958" t="n">
        <v>0</v>
      </c>
      <c r="L958" t="n">
        <v>0</v>
      </c>
      <c r="M958" t="n">
        <v>0</v>
      </c>
      <c r="N958" t="n">
        <v>0</v>
      </c>
      <c r="O958" t="n">
        <v>0</v>
      </c>
      <c r="P958" t="n">
        <v>0</v>
      </c>
      <c r="Q958" t="n">
        <v>0</v>
      </c>
      <c r="R958" s="2" t="inlineStr"/>
    </row>
    <row r="959" ht="15" customHeight="1">
      <c r="A959" t="inlineStr">
        <is>
          <t>A 30503-2024</t>
        </is>
      </c>
      <c r="B959" s="1" t="n">
        <v>45492</v>
      </c>
      <c r="C959" s="1" t="n">
        <v>46076</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14871-2025</t>
        </is>
      </c>
      <c r="B960" s="1" t="n">
        <v>45743</v>
      </c>
      <c r="C960" s="1" t="n">
        <v>46076</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38316-2025</t>
        </is>
      </c>
      <c r="B961" s="1" t="n">
        <v>45883.47950231482</v>
      </c>
      <c r="C961" s="1" t="n">
        <v>46076</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38009-2025</t>
        </is>
      </c>
      <c r="B962" s="1" t="n">
        <v>45882.29594907408</v>
      </c>
      <c r="C962" s="1" t="n">
        <v>46076</v>
      </c>
      <c r="D962" t="inlineStr">
        <is>
          <t>GÄVLEBORGS LÄN</t>
        </is>
      </c>
      <c r="E962" t="inlineStr">
        <is>
          <t>LJUSDAL</t>
        </is>
      </c>
      <c r="F962" t="inlineStr">
        <is>
          <t>Naturvårdsverket</t>
        </is>
      </c>
      <c r="G962" t="n">
        <v>6.7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46076</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38359-2025</t>
        </is>
      </c>
      <c r="B964" s="1" t="n">
        <v>45883.53280092592</v>
      </c>
      <c r="C964" s="1" t="n">
        <v>46076</v>
      </c>
      <c r="D964" t="inlineStr">
        <is>
          <t>GÄVLEBORGS LÄN</t>
        </is>
      </c>
      <c r="E964" t="inlineStr">
        <is>
          <t>LJUSDAL</t>
        </is>
      </c>
      <c r="G964" t="n">
        <v>4.4</v>
      </c>
      <c r="H964" t="n">
        <v>0</v>
      </c>
      <c r="I964" t="n">
        <v>0</v>
      </c>
      <c r="J964" t="n">
        <v>0</v>
      </c>
      <c r="K964" t="n">
        <v>0</v>
      </c>
      <c r="L964" t="n">
        <v>0</v>
      </c>
      <c r="M964" t="n">
        <v>0</v>
      </c>
      <c r="N964" t="n">
        <v>0</v>
      </c>
      <c r="O964" t="n">
        <v>0</v>
      </c>
      <c r="P964" t="n">
        <v>0</v>
      </c>
      <c r="Q964" t="n">
        <v>0</v>
      </c>
      <c r="R964" s="2" t="inlineStr"/>
    </row>
    <row r="965" ht="15" customHeight="1">
      <c r="A965" t="inlineStr">
        <is>
          <t>A 40276-2023</t>
        </is>
      </c>
      <c r="B965" s="1" t="n">
        <v>45169.56296296296</v>
      </c>
      <c r="C965" s="1" t="n">
        <v>46076</v>
      </c>
      <c r="D965" t="inlineStr">
        <is>
          <t>GÄVLEBORGS LÄN</t>
        </is>
      </c>
      <c r="E965" t="inlineStr">
        <is>
          <t>LJUSDAL</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49035-2025</t>
        </is>
      </c>
      <c r="B966" s="1" t="n">
        <v>45937.62997685185</v>
      </c>
      <c r="C966" s="1" t="n">
        <v>46076</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38089-2025</t>
        </is>
      </c>
      <c r="B967" s="1" t="n">
        <v>45882.48065972222</v>
      </c>
      <c r="C967" s="1" t="n">
        <v>46076</v>
      </c>
      <c r="D967" t="inlineStr">
        <is>
          <t>GÄVLEBORGS LÄN</t>
        </is>
      </c>
      <c r="E967" t="inlineStr">
        <is>
          <t>LJUSDAL</t>
        </is>
      </c>
      <c r="G967" t="n">
        <v>5.4</v>
      </c>
      <c r="H967" t="n">
        <v>0</v>
      </c>
      <c r="I967" t="n">
        <v>0</v>
      </c>
      <c r="J967" t="n">
        <v>0</v>
      </c>
      <c r="K967" t="n">
        <v>0</v>
      </c>
      <c r="L967" t="n">
        <v>0</v>
      </c>
      <c r="M967" t="n">
        <v>0</v>
      </c>
      <c r="N967" t="n">
        <v>0</v>
      </c>
      <c r="O967" t="n">
        <v>0</v>
      </c>
      <c r="P967" t="n">
        <v>0</v>
      </c>
      <c r="Q967" t="n">
        <v>0</v>
      </c>
      <c r="R967" s="2" t="inlineStr"/>
    </row>
    <row r="968" ht="15" customHeight="1">
      <c r="A968" t="inlineStr">
        <is>
          <t>A 38187-2025</t>
        </is>
      </c>
      <c r="B968" s="1" t="n">
        <v>45882.6533449074</v>
      </c>
      <c r="C968" s="1" t="n">
        <v>46076</v>
      </c>
      <c r="D968" t="inlineStr">
        <is>
          <t>GÄVLEBORGS LÄN</t>
        </is>
      </c>
      <c r="E968" t="inlineStr">
        <is>
          <t>LJUSDAL</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51525-2023</t>
        </is>
      </c>
      <c r="B969" s="1" t="n">
        <v>45222.39458333333</v>
      </c>
      <c r="C969" s="1" t="n">
        <v>46076</v>
      </c>
      <c r="D969" t="inlineStr">
        <is>
          <t>GÄVLEBORGS LÄN</t>
        </is>
      </c>
      <c r="E969" t="inlineStr">
        <is>
          <t>LJUSDAL</t>
        </is>
      </c>
      <c r="G969" t="n">
        <v>3.7</v>
      </c>
      <c r="H969" t="n">
        <v>0</v>
      </c>
      <c r="I969" t="n">
        <v>0</v>
      </c>
      <c r="J969" t="n">
        <v>0</v>
      </c>
      <c r="K969" t="n">
        <v>0</v>
      </c>
      <c r="L969" t="n">
        <v>0</v>
      </c>
      <c r="M969" t="n">
        <v>0</v>
      </c>
      <c r="N969" t="n">
        <v>0</v>
      </c>
      <c r="O969" t="n">
        <v>0</v>
      </c>
      <c r="P969" t="n">
        <v>0</v>
      </c>
      <c r="Q969" t="n">
        <v>0</v>
      </c>
      <c r="R969" s="2" t="inlineStr"/>
    </row>
    <row r="970" ht="15" customHeight="1">
      <c r="A970" t="inlineStr">
        <is>
          <t>A 17241-2023</t>
        </is>
      </c>
      <c r="B970" s="1" t="n">
        <v>45035.35208333333</v>
      </c>
      <c r="C970" s="1" t="n">
        <v>46076</v>
      </c>
      <c r="D970" t="inlineStr">
        <is>
          <t>GÄVLEBORGS LÄN</t>
        </is>
      </c>
      <c r="E970" t="inlineStr">
        <is>
          <t>LJUSDAL</t>
        </is>
      </c>
      <c r="G970" t="n">
        <v>1.3</v>
      </c>
      <c r="H970" t="n">
        <v>0</v>
      </c>
      <c r="I970" t="n">
        <v>0</v>
      </c>
      <c r="J970" t="n">
        <v>0</v>
      </c>
      <c r="K970" t="n">
        <v>0</v>
      </c>
      <c r="L970" t="n">
        <v>0</v>
      </c>
      <c r="M970" t="n">
        <v>0</v>
      </c>
      <c r="N970" t="n">
        <v>0</v>
      </c>
      <c r="O970" t="n">
        <v>0</v>
      </c>
      <c r="P970" t="n">
        <v>0</v>
      </c>
      <c r="Q970" t="n">
        <v>0</v>
      </c>
      <c r="R970" s="2" t="inlineStr"/>
    </row>
    <row r="971" ht="15" customHeight="1">
      <c r="A971" t="inlineStr">
        <is>
          <t>A 49244-2025</t>
        </is>
      </c>
      <c r="B971" s="1" t="n">
        <v>45938.48805555556</v>
      </c>
      <c r="C971" s="1" t="n">
        <v>46076</v>
      </c>
      <c r="D971" t="inlineStr">
        <is>
          <t>GÄVLEBORGS LÄN</t>
        </is>
      </c>
      <c r="E971" t="inlineStr">
        <is>
          <t>LJUSDAL</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49275-2025</t>
        </is>
      </c>
      <c r="B972" s="1" t="n">
        <v>45938.50620370371</v>
      </c>
      <c r="C972" s="1" t="n">
        <v>46076</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58602-2024</t>
        </is>
      </c>
      <c r="B973" s="1" t="n">
        <v>45635.54371527778</v>
      </c>
      <c r="C973" s="1" t="n">
        <v>46076</v>
      </c>
      <c r="D973" t="inlineStr">
        <is>
          <t>GÄVLEBORGS LÄN</t>
        </is>
      </c>
      <c r="E973" t="inlineStr">
        <is>
          <t>LJUSDAL</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49037-2025</t>
        </is>
      </c>
      <c r="B974" s="1" t="n">
        <v>45937.63116898148</v>
      </c>
      <c r="C974" s="1" t="n">
        <v>46076</v>
      </c>
      <c r="D974" t="inlineStr">
        <is>
          <t>GÄVLEBORGS LÄN</t>
        </is>
      </c>
      <c r="E974" t="inlineStr">
        <is>
          <t>LJUSDAL</t>
        </is>
      </c>
      <c r="G974" t="n">
        <v>6.2</v>
      </c>
      <c r="H974" t="n">
        <v>0</v>
      </c>
      <c r="I974" t="n">
        <v>0</v>
      </c>
      <c r="J974" t="n">
        <v>0</v>
      </c>
      <c r="K974" t="n">
        <v>0</v>
      </c>
      <c r="L974" t="n">
        <v>0</v>
      </c>
      <c r="M974" t="n">
        <v>0</v>
      </c>
      <c r="N974" t="n">
        <v>0</v>
      </c>
      <c r="O974" t="n">
        <v>0</v>
      </c>
      <c r="P974" t="n">
        <v>0</v>
      </c>
      <c r="Q974" t="n">
        <v>0</v>
      </c>
      <c r="R974" s="2" t="inlineStr"/>
    </row>
    <row r="975" ht="15" customHeight="1">
      <c r="A975" t="inlineStr">
        <is>
          <t>A 33850-2023</t>
        </is>
      </c>
      <c r="B975" s="1" t="n">
        <v>45133.69795138889</v>
      </c>
      <c r="C975" s="1" t="n">
        <v>46076</v>
      </c>
      <c r="D975" t="inlineStr">
        <is>
          <t>GÄVLEBORGS LÄN</t>
        </is>
      </c>
      <c r="E975" t="inlineStr">
        <is>
          <t>LJUSDAL</t>
        </is>
      </c>
      <c r="F975" t="inlineStr">
        <is>
          <t>Holmen skog AB</t>
        </is>
      </c>
      <c r="G975" t="n">
        <v>5.4</v>
      </c>
      <c r="H975" t="n">
        <v>0</v>
      </c>
      <c r="I975" t="n">
        <v>0</v>
      </c>
      <c r="J975" t="n">
        <v>0</v>
      </c>
      <c r="K975" t="n">
        <v>0</v>
      </c>
      <c r="L975" t="n">
        <v>0</v>
      </c>
      <c r="M975" t="n">
        <v>0</v>
      </c>
      <c r="N975" t="n">
        <v>0</v>
      </c>
      <c r="O975" t="n">
        <v>0</v>
      </c>
      <c r="P975" t="n">
        <v>0</v>
      </c>
      <c r="Q975" t="n">
        <v>0</v>
      </c>
      <c r="R975" s="2" t="inlineStr"/>
    </row>
    <row r="976" ht="15" customHeight="1">
      <c r="A976" t="inlineStr">
        <is>
          <t>A 6417-2025</t>
        </is>
      </c>
      <c r="B976" s="1" t="n">
        <v>45699.47202546296</v>
      </c>
      <c r="C976" s="1" t="n">
        <v>46076</v>
      </c>
      <c r="D976" t="inlineStr">
        <is>
          <t>GÄVLEBORGS LÄN</t>
        </is>
      </c>
      <c r="E976" t="inlineStr">
        <is>
          <t>LJUSDAL</t>
        </is>
      </c>
      <c r="F976" t="inlineStr">
        <is>
          <t>Holmen skog AB</t>
        </is>
      </c>
      <c r="G976" t="n">
        <v>42.3</v>
      </c>
      <c r="H976" t="n">
        <v>0</v>
      </c>
      <c r="I976" t="n">
        <v>0</v>
      </c>
      <c r="J976" t="n">
        <v>0</v>
      </c>
      <c r="K976" t="n">
        <v>0</v>
      </c>
      <c r="L976" t="n">
        <v>0</v>
      </c>
      <c r="M976" t="n">
        <v>0</v>
      </c>
      <c r="N976" t="n">
        <v>0</v>
      </c>
      <c r="O976" t="n">
        <v>0</v>
      </c>
      <c r="P976" t="n">
        <v>0</v>
      </c>
      <c r="Q976" t="n">
        <v>0</v>
      </c>
      <c r="R976" s="2" t="inlineStr"/>
    </row>
    <row r="977" ht="15" customHeight="1">
      <c r="A977" t="inlineStr">
        <is>
          <t>A 48825-2025</t>
        </is>
      </c>
      <c r="B977" s="1" t="n">
        <v>45937.37980324074</v>
      </c>
      <c r="C977" s="1" t="n">
        <v>46076</v>
      </c>
      <c r="D977" t="inlineStr">
        <is>
          <t>GÄVLEBORGS LÄN</t>
        </is>
      </c>
      <c r="E977" t="inlineStr">
        <is>
          <t>LJUSDAL</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13498-2024</t>
        </is>
      </c>
      <c r="B978" s="1" t="n">
        <v>45387.63298611111</v>
      </c>
      <c r="C978" s="1" t="n">
        <v>46076</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49457-2025</t>
        </is>
      </c>
      <c r="B979" s="1" t="n">
        <v>45939.2828125</v>
      </c>
      <c r="C979" s="1" t="n">
        <v>46076</v>
      </c>
      <c r="D979" t="inlineStr">
        <is>
          <t>GÄVLEBORGS LÄN</t>
        </is>
      </c>
      <c r="E979" t="inlineStr">
        <is>
          <t>LJUSDAL</t>
        </is>
      </c>
      <c r="G979" t="n">
        <v>2.4</v>
      </c>
      <c r="H979" t="n">
        <v>0</v>
      </c>
      <c r="I979" t="n">
        <v>0</v>
      </c>
      <c r="J979" t="n">
        <v>0</v>
      </c>
      <c r="K979" t="n">
        <v>0</v>
      </c>
      <c r="L979" t="n">
        <v>0</v>
      </c>
      <c r="M979" t="n">
        <v>0</v>
      </c>
      <c r="N979" t="n">
        <v>0</v>
      </c>
      <c r="O979" t="n">
        <v>0</v>
      </c>
      <c r="P979" t="n">
        <v>0</v>
      </c>
      <c r="Q979" t="n">
        <v>0</v>
      </c>
      <c r="R979" s="2" t="inlineStr"/>
    </row>
    <row r="980" ht="15" customHeight="1">
      <c r="A980" t="inlineStr">
        <is>
          <t>A 38648-2025</t>
        </is>
      </c>
      <c r="B980" s="1" t="n">
        <v>45884.5805787037</v>
      </c>
      <c r="C980" s="1" t="n">
        <v>46076</v>
      </c>
      <c r="D980" t="inlineStr">
        <is>
          <t>GÄVLEBORGS LÄN</t>
        </is>
      </c>
      <c r="E980" t="inlineStr">
        <is>
          <t>LJUSDAL</t>
        </is>
      </c>
      <c r="F980" t="inlineStr">
        <is>
          <t>Allmännings- och besparingsskogar</t>
        </is>
      </c>
      <c r="G980" t="n">
        <v>3.2</v>
      </c>
      <c r="H980" t="n">
        <v>0</v>
      </c>
      <c r="I980" t="n">
        <v>0</v>
      </c>
      <c r="J980" t="n">
        <v>0</v>
      </c>
      <c r="K980" t="n">
        <v>0</v>
      </c>
      <c r="L980" t="n">
        <v>0</v>
      </c>
      <c r="M980" t="n">
        <v>0</v>
      </c>
      <c r="N980" t="n">
        <v>0</v>
      </c>
      <c r="O980" t="n">
        <v>0</v>
      </c>
      <c r="P980" t="n">
        <v>0</v>
      </c>
      <c r="Q980" t="n">
        <v>0</v>
      </c>
      <c r="R980" s="2" t="inlineStr"/>
    </row>
    <row r="981" ht="15" customHeight="1">
      <c r="A981" t="inlineStr">
        <is>
          <t>A 29439-2023</t>
        </is>
      </c>
      <c r="B981" s="1" t="n">
        <v>45106</v>
      </c>
      <c r="C981" s="1" t="n">
        <v>46076</v>
      </c>
      <c r="D981" t="inlineStr">
        <is>
          <t>GÄVLEBORGS LÄN</t>
        </is>
      </c>
      <c r="E981" t="inlineStr">
        <is>
          <t>LJUSDAL</t>
        </is>
      </c>
      <c r="G981" t="n">
        <v>2.8</v>
      </c>
      <c r="H981" t="n">
        <v>0</v>
      </c>
      <c r="I981" t="n">
        <v>0</v>
      </c>
      <c r="J981" t="n">
        <v>0</v>
      </c>
      <c r="K981" t="n">
        <v>0</v>
      </c>
      <c r="L981" t="n">
        <v>0</v>
      </c>
      <c r="M981" t="n">
        <v>0</v>
      </c>
      <c r="N981" t="n">
        <v>0</v>
      </c>
      <c r="O981" t="n">
        <v>0</v>
      </c>
      <c r="P981" t="n">
        <v>0</v>
      </c>
      <c r="Q981" t="n">
        <v>0</v>
      </c>
      <c r="R981" s="2" t="inlineStr"/>
    </row>
    <row r="982" ht="15" customHeight="1">
      <c r="A982" t="inlineStr">
        <is>
          <t>A 49034-2025</t>
        </is>
      </c>
      <c r="B982" s="1" t="n">
        <v>45937.62844907407</v>
      </c>
      <c r="C982" s="1" t="n">
        <v>46076</v>
      </c>
      <c r="D982" t="inlineStr">
        <is>
          <t>GÄVLEBORGS LÄN</t>
        </is>
      </c>
      <c r="E982" t="inlineStr">
        <is>
          <t>LJUSDAL</t>
        </is>
      </c>
      <c r="G982" t="n">
        <v>18</v>
      </c>
      <c r="H982" t="n">
        <v>0</v>
      </c>
      <c r="I982" t="n">
        <v>0</v>
      </c>
      <c r="J982" t="n">
        <v>0</v>
      </c>
      <c r="K982" t="n">
        <v>0</v>
      </c>
      <c r="L982" t="n">
        <v>0</v>
      </c>
      <c r="M982" t="n">
        <v>0</v>
      </c>
      <c r="N982" t="n">
        <v>0</v>
      </c>
      <c r="O982" t="n">
        <v>0</v>
      </c>
      <c r="P982" t="n">
        <v>0</v>
      </c>
      <c r="Q982" t="n">
        <v>0</v>
      </c>
      <c r="R982" s="2" t="inlineStr"/>
    </row>
    <row r="983" ht="15" customHeight="1">
      <c r="A983" t="inlineStr">
        <is>
          <t>A 27992-2025</t>
        </is>
      </c>
      <c r="B983" s="1" t="n">
        <v>45817.58949074074</v>
      </c>
      <c r="C983" s="1" t="n">
        <v>46076</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59251-2024</t>
        </is>
      </c>
      <c r="B984" s="1" t="n">
        <v>45637.59612268519</v>
      </c>
      <c r="C984" s="1" t="n">
        <v>46076</v>
      </c>
      <c r="D984" t="inlineStr">
        <is>
          <t>GÄVLEBORGS LÄN</t>
        </is>
      </c>
      <c r="E984" t="inlineStr">
        <is>
          <t>LJUSDAL</t>
        </is>
      </c>
      <c r="G984" t="n">
        <v>0.4</v>
      </c>
      <c r="H984" t="n">
        <v>0</v>
      </c>
      <c r="I984" t="n">
        <v>0</v>
      </c>
      <c r="J984" t="n">
        <v>0</v>
      </c>
      <c r="K984" t="n">
        <v>0</v>
      </c>
      <c r="L984" t="n">
        <v>0</v>
      </c>
      <c r="M984" t="n">
        <v>0</v>
      </c>
      <c r="N984" t="n">
        <v>0</v>
      </c>
      <c r="O984" t="n">
        <v>0</v>
      </c>
      <c r="P984" t="n">
        <v>0</v>
      </c>
      <c r="Q984" t="n">
        <v>0</v>
      </c>
      <c r="R984" s="2" t="inlineStr"/>
    </row>
    <row r="985" ht="15" customHeight="1">
      <c r="A985" t="inlineStr">
        <is>
          <t>A 49297-2025</t>
        </is>
      </c>
      <c r="B985" s="1" t="n">
        <v>45938.54032407407</v>
      </c>
      <c r="C985" s="1" t="n">
        <v>46076</v>
      </c>
      <c r="D985" t="inlineStr">
        <is>
          <t>GÄVLEBORGS LÄN</t>
        </is>
      </c>
      <c r="E985" t="inlineStr">
        <is>
          <t>LJUSDAL</t>
        </is>
      </c>
      <c r="G985" t="n">
        <v>4.2</v>
      </c>
      <c r="H985" t="n">
        <v>0</v>
      </c>
      <c r="I985" t="n">
        <v>0</v>
      </c>
      <c r="J985" t="n">
        <v>0</v>
      </c>
      <c r="K985" t="n">
        <v>0</v>
      </c>
      <c r="L985" t="n">
        <v>0</v>
      </c>
      <c r="M985" t="n">
        <v>0</v>
      </c>
      <c r="N985" t="n">
        <v>0</v>
      </c>
      <c r="O985" t="n">
        <v>0</v>
      </c>
      <c r="P985" t="n">
        <v>0</v>
      </c>
      <c r="Q985" t="n">
        <v>0</v>
      </c>
      <c r="R985" s="2" t="inlineStr"/>
    </row>
    <row r="986" ht="15" customHeight="1">
      <c r="A986" t="inlineStr">
        <is>
          <t>A 47580-2024</t>
        </is>
      </c>
      <c r="B986" s="1" t="n">
        <v>45587.76090277778</v>
      </c>
      <c r="C986" s="1" t="n">
        <v>46076</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22250-2024</t>
        </is>
      </c>
      <c r="B987" s="1" t="n">
        <v>45446.45796296297</v>
      </c>
      <c r="C987" s="1" t="n">
        <v>46076</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49975-2025</t>
        </is>
      </c>
      <c r="B988" s="1" t="n">
        <v>45942.50578703704</v>
      </c>
      <c r="C988" s="1" t="n">
        <v>46076</v>
      </c>
      <c r="D988" t="inlineStr">
        <is>
          <t>GÄVLEBORGS LÄN</t>
        </is>
      </c>
      <c r="E988" t="inlineStr">
        <is>
          <t>LJUSDAL</t>
        </is>
      </c>
      <c r="G988" t="n">
        <v>5.9</v>
      </c>
      <c r="H988" t="n">
        <v>0</v>
      </c>
      <c r="I988" t="n">
        <v>0</v>
      </c>
      <c r="J988" t="n">
        <v>0</v>
      </c>
      <c r="K988" t="n">
        <v>0</v>
      </c>
      <c r="L988" t="n">
        <v>0</v>
      </c>
      <c r="M988" t="n">
        <v>0</v>
      </c>
      <c r="N988" t="n">
        <v>0</v>
      </c>
      <c r="O988" t="n">
        <v>0</v>
      </c>
      <c r="P988" t="n">
        <v>0</v>
      </c>
      <c r="Q988" t="n">
        <v>0</v>
      </c>
      <c r="R988" s="2" t="inlineStr"/>
    </row>
    <row r="989" ht="15" customHeight="1">
      <c r="A989" t="inlineStr">
        <is>
          <t>A 55451-2024</t>
        </is>
      </c>
      <c r="B989" s="1" t="n">
        <v>45622</v>
      </c>
      <c r="C989" s="1" t="n">
        <v>46076</v>
      </c>
      <c r="D989" t="inlineStr">
        <is>
          <t>GÄVLEBORGS LÄN</t>
        </is>
      </c>
      <c r="E989" t="inlineStr">
        <is>
          <t>LJUSDAL</t>
        </is>
      </c>
      <c r="G989" t="n">
        <v>2.2</v>
      </c>
      <c r="H989" t="n">
        <v>0</v>
      </c>
      <c r="I989" t="n">
        <v>0</v>
      </c>
      <c r="J989" t="n">
        <v>0</v>
      </c>
      <c r="K989" t="n">
        <v>0</v>
      </c>
      <c r="L989" t="n">
        <v>0</v>
      </c>
      <c r="M989" t="n">
        <v>0</v>
      </c>
      <c r="N989" t="n">
        <v>0</v>
      </c>
      <c r="O989" t="n">
        <v>0</v>
      </c>
      <c r="P989" t="n">
        <v>0</v>
      </c>
      <c r="Q989" t="n">
        <v>0</v>
      </c>
      <c r="R989" s="2" t="inlineStr"/>
    </row>
    <row r="990" ht="15" customHeight="1">
      <c r="A990" t="inlineStr">
        <is>
          <t>A 58820-2022</t>
        </is>
      </c>
      <c r="B990" s="1" t="n">
        <v>44903</v>
      </c>
      <c r="C990" s="1" t="n">
        <v>46076</v>
      </c>
      <c r="D990" t="inlineStr">
        <is>
          <t>GÄVLEBORGS LÄN</t>
        </is>
      </c>
      <c r="E990" t="inlineStr">
        <is>
          <t>LJUSDAL</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57949-2022</t>
        </is>
      </c>
      <c r="B991" s="1" t="n">
        <v>44900.41127314815</v>
      </c>
      <c r="C991" s="1" t="n">
        <v>46076</v>
      </c>
      <c r="D991" t="inlineStr">
        <is>
          <t>GÄVLEBORGS LÄN</t>
        </is>
      </c>
      <c r="E991" t="inlineStr">
        <is>
          <t>LJUSDAL</t>
        </is>
      </c>
      <c r="F991" t="inlineStr">
        <is>
          <t>Holmen skog AB</t>
        </is>
      </c>
      <c r="G991" t="n">
        <v>6.4</v>
      </c>
      <c r="H991" t="n">
        <v>0</v>
      </c>
      <c r="I991" t="n">
        <v>0</v>
      </c>
      <c r="J991" t="n">
        <v>0</v>
      </c>
      <c r="K991" t="n">
        <v>0</v>
      </c>
      <c r="L991" t="n">
        <v>0</v>
      </c>
      <c r="M991" t="n">
        <v>0</v>
      </c>
      <c r="N991" t="n">
        <v>0</v>
      </c>
      <c r="O991" t="n">
        <v>0</v>
      </c>
      <c r="P991" t="n">
        <v>0</v>
      </c>
      <c r="Q991" t="n">
        <v>0</v>
      </c>
      <c r="R991" s="2" t="inlineStr"/>
    </row>
    <row r="992" ht="15" customHeight="1">
      <c r="A992" t="inlineStr">
        <is>
          <t>A 5853-2023</t>
        </is>
      </c>
      <c r="B992" s="1" t="n">
        <v>44963.58543981481</v>
      </c>
      <c r="C992" s="1" t="n">
        <v>46076</v>
      </c>
      <c r="D992" t="inlineStr">
        <is>
          <t>GÄVLEBORGS LÄN</t>
        </is>
      </c>
      <c r="E992" t="inlineStr">
        <is>
          <t>LJUSDAL</t>
        </is>
      </c>
      <c r="F992" t="inlineStr">
        <is>
          <t>Allmännings- och besparingsskogar</t>
        </is>
      </c>
      <c r="G992" t="n">
        <v>4.9</v>
      </c>
      <c r="H992" t="n">
        <v>0</v>
      </c>
      <c r="I992" t="n">
        <v>0</v>
      </c>
      <c r="J992" t="n">
        <v>0</v>
      </c>
      <c r="K992" t="n">
        <v>0</v>
      </c>
      <c r="L992" t="n">
        <v>0</v>
      </c>
      <c r="M992" t="n">
        <v>0</v>
      </c>
      <c r="N992" t="n">
        <v>0</v>
      </c>
      <c r="O992" t="n">
        <v>0</v>
      </c>
      <c r="P992" t="n">
        <v>0</v>
      </c>
      <c r="Q992" t="n">
        <v>0</v>
      </c>
      <c r="R992" s="2" t="inlineStr"/>
    </row>
    <row r="993" ht="15" customHeight="1">
      <c r="A993" t="inlineStr">
        <is>
          <t>A 5856-2023</t>
        </is>
      </c>
      <c r="B993" s="1" t="n">
        <v>44963.58771990741</v>
      </c>
      <c r="C993" s="1" t="n">
        <v>46076</v>
      </c>
      <c r="D993" t="inlineStr">
        <is>
          <t>GÄVLEBORGS LÄN</t>
        </is>
      </c>
      <c r="E993" t="inlineStr">
        <is>
          <t>LJUSDAL</t>
        </is>
      </c>
      <c r="F993" t="inlineStr">
        <is>
          <t>Allmännings- och besparingsskogar</t>
        </is>
      </c>
      <c r="G993" t="n">
        <v>1.7</v>
      </c>
      <c r="H993" t="n">
        <v>0</v>
      </c>
      <c r="I993" t="n">
        <v>0</v>
      </c>
      <c r="J993" t="n">
        <v>0</v>
      </c>
      <c r="K993" t="n">
        <v>0</v>
      </c>
      <c r="L993" t="n">
        <v>0</v>
      </c>
      <c r="M993" t="n">
        <v>0</v>
      </c>
      <c r="N993" t="n">
        <v>0</v>
      </c>
      <c r="O993" t="n">
        <v>0</v>
      </c>
      <c r="P993" t="n">
        <v>0</v>
      </c>
      <c r="Q993" t="n">
        <v>0</v>
      </c>
      <c r="R993" s="2" t="inlineStr"/>
    </row>
    <row r="994" ht="15" customHeight="1">
      <c r="A994" t="inlineStr">
        <is>
          <t>A 50135-2025</t>
        </is>
      </c>
      <c r="B994" s="1" t="n">
        <v>45943.56146990741</v>
      </c>
      <c r="C994" s="1" t="n">
        <v>46076</v>
      </c>
      <c r="D994" t="inlineStr">
        <is>
          <t>GÄVLEBORGS LÄN</t>
        </is>
      </c>
      <c r="E994" t="inlineStr">
        <is>
          <t>LJUSDAL</t>
        </is>
      </c>
      <c r="G994" t="n">
        <v>2</v>
      </c>
      <c r="H994" t="n">
        <v>0</v>
      </c>
      <c r="I994" t="n">
        <v>0</v>
      </c>
      <c r="J994" t="n">
        <v>0</v>
      </c>
      <c r="K994" t="n">
        <v>0</v>
      </c>
      <c r="L994" t="n">
        <v>0</v>
      </c>
      <c r="M994" t="n">
        <v>0</v>
      </c>
      <c r="N994" t="n">
        <v>0</v>
      </c>
      <c r="O994" t="n">
        <v>0</v>
      </c>
      <c r="P994" t="n">
        <v>0</v>
      </c>
      <c r="Q994" t="n">
        <v>0</v>
      </c>
      <c r="R994" s="2" t="inlineStr"/>
    </row>
    <row r="995" ht="15" customHeight="1">
      <c r="A995" t="inlineStr">
        <is>
          <t>A 61718-2023</t>
        </is>
      </c>
      <c r="B995" s="1" t="n">
        <v>45265</v>
      </c>
      <c r="C995" s="1" t="n">
        <v>46076</v>
      </c>
      <c r="D995" t="inlineStr">
        <is>
          <t>GÄVLEBORGS LÄN</t>
        </is>
      </c>
      <c r="E995" t="inlineStr">
        <is>
          <t>LJUSDAL</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49774-2025</t>
        </is>
      </c>
      <c r="B996" s="1" t="n">
        <v>45940.37777777778</v>
      </c>
      <c r="C996" s="1" t="n">
        <v>46076</v>
      </c>
      <c r="D996" t="inlineStr">
        <is>
          <t>GÄVLEBORGS LÄN</t>
        </is>
      </c>
      <c r="E996" t="inlineStr">
        <is>
          <t>LJUSDAL</t>
        </is>
      </c>
      <c r="G996" t="n">
        <v>5.7</v>
      </c>
      <c r="H996" t="n">
        <v>0</v>
      </c>
      <c r="I996" t="n">
        <v>0</v>
      </c>
      <c r="J996" t="n">
        <v>0</v>
      </c>
      <c r="K996" t="n">
        <v>0</v>
      </c>
      <c r="L996" t="n">
        <v>0</v>
      </c>
      <c r="M996" t="n">
        <v>0</v>
      </c>
      <c r="N996" t="n">
        <v>0</v>
      </c>
      <c r="O996" t="n">
        <v>0</v>
      </c>
      <c r="P996" t="n">
        <v>0</v>
      </c>
      <c r="Q996" t="n">
        <v>0</v>
      </c>
      <c r="R996" s="2" t="inlineStr"/>
    </row>
    <row r="997" ht="15" customHeight="1">
      <c r="A997" t="inlineStr">
        <is>
          <t>A 49736-2025</t>
        </is>
      </c>
      <c r="B997" s="1" t="n">
        <v>45940.2783912037</v>
      </c>
      <c r="C997" s="1" t="n">
        <v>46076</v>
      </c>
      <c r="D997" t="inlineStr">
        <is>
          <t>GÄVLEBORGS LÄN</t>
        </is>
      </c>
      <c r="E997" t="inlineStr">
        <is>
          <t>LJUSDAL</t>
        </is>
      </c>
      <c r="G997" t="n">
        <v>2</v>
      </c>
      <c r="H997" t="n">
        <v>0</v>
      </c>
      <c r="I997" t="n">
        <v>0</v>
      </c>
      <c r="J997" t="n">
        <v>0</v>
      </c>
      <c r="K997" t="n">
        <v>0</v>
      </c>
      <c r="L997" t="n">
        <v>0</v>
      </c>
      <c r="M997" t="n">
        <v>0</v>
      </c>
      <c r="N997" t="n">
        <v>0</v>
      </c>
      <c r="O997" t="n">
        <v>0</v>
      </c>
      <c r="P997" t="n">
        <v>0</v>
      </c>
      <c r="Q997" t="n">
        <v>0</v>
      </c>
      <c r="R997" s="2" t="inlineStr"/>
    </row>
    <row r="998" ht="15" customHeight="1">
      <c r="A998" t="inlineStr">
        <is>
          <t>A 48856-2023</t>
        </is>
      </c>
      <c r="B998" s="1" t="n">
        <v>45209.43892361111</v>
      </c>
      <c r="C998" s="1" t="n">
        <v>46076</v>
      </c>
      <c r="D998" t="inlineStr">
        <is>
          <t>GÄVLEBORGS LÄN</t>
        </is>
      </c>
      <c r="E998" t="inlineStr">
        <is>
          <t>LJUSDAL</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42964-2022</t>
        </is>
      </c>
      <c r="B999" s="1" t="n">
        <v>44833.41857638889</v>
      </c>
      <c r="C999" s="1" t="n">
        <v>46076</v>
      </c>
      <c r="D999" t="inlineStr">
        <is>
          <t>GÄVLEBORGS LÄN</t>
        </is>
      </c>
      <c r="E999" t="inlineStr">
        <is>
          <t>LJUSDAL</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7578-2023</t>
        </is>
      </c>
      <c r="B1000" s="1" t="n">
        <v>44972.38614583333</v>
      </c>
      <c r="C1000" s="1" t="n">
        <v>46076</v>
      </c>
      <c r="D1000" t="inlineStr">
        <is>
          <t>GÄVLEBORGS LÄN</t>
        </is>
      </c>
      <c r="E1000" t="inlineStr">
        <is>
          <t>LJUSDAL</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29240-2025</t>
        </is>
      </c>
      <c r="B1001" s="1" t="n">
        <v>45824.35913194445</v>
      </c>
      <c r="C1001" s="1" t="n">
        <v>46076</v>
      </c>
      <c r="D1001" t="inlineStr">
        <is>
          <t>GÄVLEBORGS LÄN</t>
        </is>
      </c>
      <c r="E1001" t="inlineStr">
        <is>
          <t>LJUSDAL</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50656-2025</t>
        </is>
      </c>
      <c r="B1002" s="1" t="n">
        <v>45945.68559027778</v>
      </c>
      <c r="C1002" s="1" t="n">
        <v>46076</v>
      </c>
      <c r="D1002" t="inlineStr">
        <is>
          <t>GÄVLEBORGS LÄN</t>
        </is>
      </c>
      <c r="E1002" t="inlineStr">
        <is>
          <t>LJUSDAL</t>
        </is>
      </c>
      <c r="F1002" t="inlineStr">
        <is>
          <t>Sveaskog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50549-2025</t>
        </is>
      </c>
      <c r="B1003" s="1" t="n">
        <v>45945.51229166667</v>
      </c>
      <c r="C1003" s="1" t="n">
        <v>46076</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50403-2025</t>
        </is>
      </c>
      <c r="B1004" s="1" t="n">
        <v>45944.63626157407</v>
      </c>
      <c r="C1004" s="1" t="n">
        <v>46076</v>
      </c>
      <c r="D1004" t="inlineStr">
        <is>
          <t>GÄVLEBORGS LÄN</t>
        </is>
      </c>
      <c r="E1004" t="inlineStr">
        <is>
          <t>LJUSDAL</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61603-2022</t>
        </is>
      </c>
      <c r="B1005" s="1" t="n">
        <v>44916</v>
      </c>
      <c r="C1005" s="1" t="n">
        <v>46076</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11838-2024</t>
        </is>
      </c>
      <c r="B1006" s="1" t="n">
        <v>45376.37584490741</v>
      </c>
      <c r="C1006" s="1" t="n">
        <v>46076</v>
      </c>
      <c r="D1006" t="inlineStr">
        <is>
          <t>GÄVLEBORGS LÄN</t>
        </is>
      </c>
      <c r="E1006" t="inlineStr">
        <is>
          <t>LJUSDAL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50310-2025</t>
        </is>
      </c>
      <c r="B1007" s="1" t="n">
        <v>45944.43752314815</v>
      </c>
      <c r="C1007" s="1" t="n">
        <v>46076</v>
      </c>
      <c r="D1007" t="inlineStr">
        <is>
          <t>GÄVLEBORGS LÄN</t>
        </is>
      </c>
      <c r="E1007" t="inlineStr">
        <is>
          <t>LJUSDAL</t>
        </is>
      </c>
      <c r="F1007" t="inlineStr">
        <is>
          <t>Bergvik skog väst AB</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38033-2025</t>
        </is>
      </c>
      <c r="B1008" s="1" t="n">
        <v>45881</v>
      </c>
      <c r="C1008" s="1" t="n">
        <v>46076</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38646-2025</t>
        </is>
      </c>
      <c r="B1009" s="1" t="n">
        <v>45884.57827546296</v>
      </c>
      <c r="C1009" s="1" t="n">
        <v>46076</v>
      </c>
      <c r="D1009" t="inlineStr">
        <is>
          <t>GÄVLEBORGS LÄN</t>
        </is>
      </c>
      <c r="E1009" t="inlineStr">
        <is>
          <t>LJUSDAL</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8979-2024</t>
        </is>
      </c>
      <c r="B1010" s="1" t="n">
        <v>45357</v>
      </c>
      <c r="C1010" s="1" t="n">
        <v>46076</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60098-2023</t>
        </is>
      </c>
      <c r="B1011" s="1" t="n">
        <v>45258.45493055556</v>
      </c>
      <c r="C1011" s="1" t="n">
        <v>46076</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57784-2024</t>
        </is>
      </c>
      <c r="B1012" s="1" t="n">
        <v>45631</v>
      </c>
      <c r="C1012" s="1" t="n">
        <v>46076</v>
      </c>
      <c r="D1012" t="inlineStr">
        <is>
          <t>GÄVLEBORGS LÄN</t>
        </is>
      </c>
      <c r="E1012" t="inlineStr">
        <is>
          <t>LJUSDAL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22251-2023</t>
        </is>
      </c>
      <c r="B1013" s="1" t="n">
        <v>45070</v>
      </c>
      <c r="C1013" s="1" t="n">
        <v>46076</v>
      </c>
      <c r="D1013" t="inlineStr">
        <is>
          <t>GÄVLEBORGS LÄN</t>
        </is>
      </c>
      <c r="E1013" t="inlineStr">
        <is>
          <t>LJUSDAL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38642-2025</t>
        </is>
      </c>
      <c r="B1014" s="1" t="n">
        <v>45884.57646990741</v>
      </c>
      <c r="C1014" s="1" t="n">
        <v>46076</v>
      </c>
      <c r="D1014" t="inlineStr">
        <is>
          <t>GÄVLEBORGS LÄN</t>
        </is>
      </c>
      <c r="E1014" t="inlineStr">
        <is>
          <t>LJUSDAL</t>
        </is>
      </c>
      <c r="F1014" t="inlineStr">
        <is>
          <t>Allmännings- och besparingsskogar</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26185-2023</t>
        </is>
      </c>
      <c r="B1015" s="1" t="n">
        <v>45091.53390046296</v>
      </c>
      <c r="C1015" s="1" t="n">
        <v>46076</v>
      </c>
      <c r="D1015" t="inlineStr">
        <is>
          <t>GÄVLEBORGS LÄN</t>
        </is>
      </c>
      <c r="E1015" t="inlineStr">
        <is>
          <t>LJUSDAL</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26186-2023</t>
        </is>
      </c>
      <c r="B1016" s="1" t="n">
        <v>45091.53475694444</v>
      </c>
      <c r="C1016" s="1" t="n">
        <v>46076</v>
      </c>
      <c r="D1016" t="inlineStr">
        <is>
          <t>GÄVLEBORGS LÄN</t>
        </is>
      </c>
      <c r="E1016" t="inlineStr">
        <is>
          <t>LJUSDAL</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51230-2025</t>
        </is>
      </c>
      <c r="B1017" s="1" t="n">
        <v>45947.67012731481</v>
      </c>
      <c r="C1017" s="1" t="n">
        <v>46076</v>
      </c>
      <c r="D1017" t="inlineStr">
        <is>
          <t>GÄVLEBORGS LÄN</t>
        </is>
      </c>
      <c r="E1017" t="inlineStr">
        <is>
          <t>LJUSDAL</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17667-2023</t>
        </is>
      </c>
      <c r="B1018" s="1" t="n">
        <v>45036.94440972222</v>
      </c>
      <c r="C1018" s="1" t="n">
        <v>46076</v>
      </c>
      <c r="D1018" t="inlineStr">
        <is>
          <t>GÄVLEBORGS LÄN</t>
        </is>
      </c>
      <c r="E1018" t="inlineStr">
        <is>
          <t>LJUSDAL</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50976-2025</t>
        </is>
      </c>
      <c r="B1019" s="1" t="n">
        <v>45947.3178587963</v>
      </c>
      <c r="C1019" s="1" t="n">
        <v>46076</v>
      </c>
      <c r="D1019" t="inlineStr">
        <is>
          <t>GÄVLEBORGS LÄN</t>
        </is>
      </c>
      <c r="E1019" t="inlineStr">
        <is>
          <t>LJUSDAL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23374-2024</t>
        </is>
      </c>
      <c r="B1020" s="1" t="n">
        <v>45453.55642361111</v>
      </c>
      <c r="C1020" s="1" t="n">
        <v>46076</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23386-2024</t>
        </is>
      </c>
      <c r="B1021" s="1" t="n">
        <v>45453.56219907408</v>
      </c>
      <c r="C1021" s="1" t="n">
        <v>46076</v>
      </c>
      <c r="D1021" t="inlineStr">
        <is>
          <t>GÄVLEBORGS LÄN</t>
        </is>
      </c>
      <c r="E1021" t="inlineStr">
        <is>
          <t>LJUSDAL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50684-2025</t>
        </is>
      </c>
      <c r="B1022" s="1" t="n">
        <v>45945.82202546296</v>
      </c>
      <c r="C1022" s="1" t="n">
        <v>46076</v>
      </c>
      <c r="D1022" t="inlineStr">
        <is>
          <t>GÄVLEBORGS LÄN</t>
        </is>
      </c>
      <c r="E1022" t="inlineStr">
        <is>
          <t>LJUSDAL</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5440-2023</t>
        </is>
      </c>
      <c r="B1023" s="1" t="n">
        <v>44959.92410879629</v>
      </c>
      <c r="C1023" s="1" t="n">
        <v>46076</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43800-2023</t>
        </is>
      </c>
      <c r="B1024" s="1" t="n">
        <v>45187.55690972223</v>
      </c>
      <c r="C1024" s="1" t="n">
        <v>46076</v>
      </c>
      <c r="D1024" t="inlineStr">
        <is>
          <t>GÄVLEBORGS LÄN</t>
        </is>
      </c>
      <c r="E1024" t="inlineStr">
        <is>
          <t>LJUSDAL</t>
        </is>
      </c>
      <c r="F1024" t="inlineStr">
        <is>
          <t>Bergvik skog väst AB</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67380-2021</t>
        </is>
      </c>
      <c r="B1025" s="1" t="n">
        <v>44523</v>
      </c>
      <c r="C1025" s="1" t="n">
        <v>46076</v>
      </c>
      <c r="D1025" t="inlineStr">
        <is>
          <t>GÄVLEBORGS LÄN</t>
        </is>
      </c>
      <c r="E1025" t="inlineStr">
        <is>
          <t>LJUSDAL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39927-2024</t>
        </is>
      </c>
      <c r="B1026" s="1" t="n">
        <v>45553.54829861111</v>
      </c>
      <c r="C1026" s="1" t="n">
        <v>46076</v>
      </c>
      <c r="D1026" t="inlineStr">
        <is>
          <t>GÄVLEBORGS LÄN</t>
        </is>
      </c>
      <c r="E1026" t="inlineStr">
        <is>
          <t>LJUSDAL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4110-2025</t>
        </is>
      </c>
      <c r="B1027" s="1" t="n">
        <v>45684.69658564815</v>
      </c>
      <c r="C1027" s="1" t="n">
        <v>46076</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50972-2025</t>
        </is>
      </c>
      <c r="B1028" s="1" t="n">
        <v>45947.31030092593</v>
      </c>
      <c r="C1028" s="1" t="n">
        <v>46076</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49261-2025</t>
        </is>
      </c>
      <c r="B1029" s="1" t="n">
        <v>45938.49891203704</v>
      </c>
      <c r="C1029" s="1" t="n">
        <v>46076</v>
      </c>
      <c r="D1029" t="inlineStr">
        <is>
          <t>GÄVLEBORGS LÄN</t>
        </is>
      </c>
      <c r="E1029" t="inlineStr">
        <is>
          <t>LJUSDAL</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15645-2025</t>
        </is>
      </c>
      <c r="B1030" s="1" t="n">
        <v>45748.39400462963</v>
      </c>
      <c r="C1030" s="1" t="n">
        <v>46076</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57110-2022</t>
        </is>
      </c>
      <c r="B1031" s="1" t="n">
        <v>44895.51792824074</v>
      </c>
      <c r="C1031" s="1" t="n">
        <v>46076</v>
      </c>
      <c r="D1031" t="inlineStr">
        <is>
          <t>GÄVLEBORGS LÄN</t>
        </is>
      </c>
      <c r="E1031" t="inlineStr">
        <is>
          <t>LJUSDAL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51267-2025</t>
        </is>
      </c>
      <c r="B1032" s="1" t="n">
        <v>45949.77891203704</v>
      </c>
      <c r="C1032" s="1" t="n">
        <v>46076</v>
      </c>
      <c r="D1032" t="inlineStr">
        <is>
          <t>GÄVLEBORGS LÄN</t>
        </is>
      </c>
      <c r="E1032" t="inlineStr">
        <is>
          <t>LJUSDAL</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24691-2024</t>
        </is>
      </c>
      <c r="B1033" s="1" t="n">
        <v>45460.60364583333</v>
      </c>
      <c r="C1033" s="1" t="n">
        <v>46076</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18123-2025</t>
        </is>
      </c>
      <c r="B1034" s="1" t="n">
        <v>45761.59417824074</v>
      </c>
      <c r="C1034" s="1" t="n">
        <v>46076</v>
      </c>
      <c r="D1034" t="inlineStr">
        <is>
          <t>GÄVLEBORGS LÄN</t>
        </is>
      </c>
      <c r="E1034" t="inlineStr">
        <is>
          <t>LJUSDAL</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41730-2024</t>
        </is>
      </c>
      <c r="B1035" s="1" t="n">
        <v>45560.90769675926</v>
      </c>
      <c r="C1035" s="1" t="n">
        <v>46076</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51431-2021</t>
        </is>
      </c>
      <c r="B1036" s="1" t="n">
        <v>44461</v>
      </c>
      <c r="C1036" s="1" t="n">
        <v>46076</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38634-2023</t>
        </is>
      </c>
      <c r="B1037" s="1" t="n">
        <v>45162.70454861111</v>
      </c>
      <c r="C1037" s="1" t="n">
        <v>46076</v>
      </c>
      <c r="D1037" t="inlineStr">
        <is>
          <t>GÄVLEBORGS LÄN</t>
        </is>
      </c>
      <c r="E1037" t="inlineStr">
        <is>
          <t>LJUSDAL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21724-2021</t>
        </is>
      </c>
      <c r="B1038" s="1" t="n">
        <v>44322</v>
      </c>
      <c r="C1038" s="1" t="n">
        <v>46076</v>
      </c>
      <c r="D1038" t="inlineStr">
        <is>
          <t>GÄVLEBORGS LÄN</t>
        </is>
      </c>
      <c r="E1038" t="inlineStr">
        <is>
          <t>LJUSDAL</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47933-2025</t>
        </is>
      </c>
      <c r="B1039" s="1" t="n">
        <v>45932.55664351852</v>
      </c>
      <c r="C1039" s="1" t="n">
        <v>46076</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31348-2022</t>
        </is>
      </c>
      <c r="B1040" s="1" t="n">
        <v>44774.54951388889</v>
      </c>
      <c r="C1040" s="1" t="n">
        <v>46076</v>
      </c>
      <c r="D1040" t="inlineStr">
        <is>
          <t>GÄVLEBORGS LÄN</t>
        </is>
      </c>
      <c r="E1040" t="inlineStr">
        <is>
          <t>LJUSDAL</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17228-2023</t>
        </is>
      </c>
      <c r="B1041" s="1" t="n">
        <v>45035.31238425926</v>
      </c>
      <c r="C1041" s="1" t="n">
        <v>46076</v>
      </c>
      <c r="D1041" t="inlineStr">
        <is>
          <t>GÄVLEBORGS LÄN</t>
        </is>
      </c>
      <c r="E1041" t="inlineStr">
        <is>
          <t>LJUSDAL</t>
        </is>
      </c>
      <c r="F1041" t="inlineStr">
        <is>
          <t>Holmen skog AB</t>
        </is>
      </c>
      <c r="G1041" t="n">
        <v>1.8</v>
      </c>
      <c r="H1041" t="n">
        <v>0</v>
      </c>
      <c r="I1041" t="n">
        <v>0</v>
      </c>
      <c r="J1041" t="n">
        <v>0</v>
      </c>
      <c r="K1041" t="n">
        <v>0</v>
      </c>
      <c r="L1041" t="n">
        <v>0</v>
      </c>
      <c r="M1041" t="n">
        <v>0</v>
      </c>
      <c r="N1041" t="n">
        <v>0</v>
      </c>
      <c r="O1041" t="n">
        <v>0</v>
      </c>
      <c r="P1041" t="n">
        <v>0</v>
      </c>
      <c r="Q1041" t="n">
        <v>0</v>
      </c>
      <c r="R1041" s="2" t="inlineStr"/>
      <c r="U1041">
        <f>HYPERLINK("https://klasma.github.io/Logging_2161/knärot/A 17228-2023 karta knärot.png", "A 17228-2023")</f>
        <v/>
      </c>
      <c r="V1041">
        <f>HYPERLINK("https://klasma.github.io/Logging_2161/klagomål/A 17228-2023 FSC-klagomål.docx", "A 17228-2023")</f>
        <v/>
      </c>
      <c r="W1041">
        <f>HYPERLINK("https://klasma.github.io/Logging_2161/klagomålsmail/A 17228-2023 FSC-klagomål mail.docx", "A 17228-2023")</f>
        <v/>
      </c>
      <c r="X1041">
        <f>HYPERLINK("https://klasma.github.io/Logging_2161/tillsyn/A 17228-2023 tillsynsbegäran.docx", "A 17228-2023")</f>
        <v/>
      </c>
      <c r="Y1041">
        <f>HYPERLINK("https://klasma.github.io/Logging_2161/tillsynsmail/A 17228-2023 tillsynsbegäran mail.docx", "A 17228-2023")</f>
        <v/>
      </c>
    </row>
    <row r="1042" ht="15" customHeight="1">
      <c r="A1042" t="inlineStr">
        <is>
          <t>A 28272-2023</t>
        </is>
      </c>
      <c r="B1042" s="1" t="n">
        <v>45099.62010416666</v>
      </c>
      <c r="C1042" s="1" t="n">
        <v>46076</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3233-2025</t>
        </is>
      </c>
      <c r="B1043" s="1" t="n">
        <v>45679.49009259259</v>
      </c>
      <c r="C1043" s="1" t="n">
        <v>46076</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51913-2025</t>
        </is>
      </c>
      <c r="B1044" s="1" t="n">
        <v>45952.47181712963</v>
      </c>
      <c r="C1044" s="1" t="n">
        <v>46076</v>
      </c>
      <c r="D1044" t="inlineStr">
        <is>
          <t>GÄVLEBORGS LÄN</t>
        </is>
      </c>
      <c r="E1044" t="inlineStr">
        <is>
          <t>LJUSDAL</t>
        </is>
      </c>
      <c r="F1044" t="inlineStr">
        <is>
          <t>Holmen skog AB</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19490-2025</t>
        </is>
      </c>
      <c r="B1045" s="1" t="n">
        <v>45770.38850694444</v>
      </c>
      <c r="C1045" s="1" t="n">
        <v>46076</v>
      </c>
      <c r="D1045" t="inlineStr">
        <is>
          <t>GÄVLEBORGS LÄN</t>
        </is>
      </c>
      <c r="E1045" t="inlineStr">
        <is>
          <t>LJUSDAL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51974-2025</t>
        </is>
      </c>
      <c r="B1046" s="1" t="n">
        <v>45952.5591087963</v>
      </c>
      <c r="C1046" s="1" t="n">
        <v>46076</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6339-2025</t>
        </is>
      </c>
      <c r="B1047" s="1" t="n">
        <v>45699</v>
      </c>
      <c r="C1047" s="1" t="n">
        <v>46076</v>
      </c>
      <c r="D1047" t="inlineStr">
        <is>
          <t>GÄVLEBORGS LÄN</t>
        </is>
      </c>
      <c r="E1047" t="inlineStr">
        <is>
          <t>LJUSDAL</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14002-2025</t>
        </is>
      </c>
      <c r="B1048" s="1" t="n">
        <v>45740.28945601852</v>
      </c>
      <c r="C1048" s="1" t="n">
        <v>46076</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56766-2022</t>
        </is>
      </c>
      <c r="B1049" s="1" t="n">
        <v>44894</v>
      </c>
      <c r="C1049" s="1" t="n">
        <v>46076</v>
      </c>
      <c r="D1049" t="inlineStr">
        <is>
          <t>GÄVLEBORGS LÄN</t>
        </is>
      </c>
      <c r="E1049" t="inlineStr">
        <is>
          <t>LJUSDAL</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52482-2025</t>
        </is>
      </c>
      <c r="B1050" s="1" t="n">
        <v>45954.47388888889</v>
      </c>
      <c r="C1050" s="1" t="n">
        <v>46076</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52559-2025</t>
        </is>
      </c>
      <c r="B1051" s="1" t="n">
        <v>45954.56931712963</v>
      </c>
      <c r="C1051" s="1" t="n">
        <v>46076</v>
      </c>
      <c r="D1051" t="inlineStr">
        <is>
          <t>GÄVLEBORGS LÄN</t>
        </is>
      </c>
      <c r="E1051" t="inlineStr">
        <is>
          <t>LJUSDAL</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60838-2025</t>
        </is>
      </c>
      <c r="B1052" s="1" t="n">
        <v>45999.48393518518</v>
      </c>
      <c r="C1052" s="1" t="n">
        <v>46076</v>
      </c>
      <c r="D1052" t="inlineStr">
        <is>
          <t>GÄVLEBORGS LÄN</t>
        </is>
      </c>
      <c r="E1052" t="inlineStr">
        <is>
          <t>LJUSDAL</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5779-2023</t>
        </is>
      </c>
      <c r="B1053" s="1" t="n">
        <v>44963.4146412037</v>
      </c>
      <c r="C1053" s="1" t="n">
        <v>46076</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52445-2025</t>
        </is>
      </c>
      <c r="B1054" s="1" t="n">
        <v>45954.41722222222</v>
      </c>
      <c r="C1054" s="1" t="n">
        <v>46076</v>
      </c>
      <c r="D1054" t="inlineStr">
        <is>
          <t>GÄVLEBORGS LÄN</t>
        </is>
      </c>
      <c r="E1054" t="inlineStr">
        <is>
          <t>LJUSDAL</t>
        </is>
      </c>
      <c r="F1054" t="inlineStr">
        <is>
          <t>Allmännings- och besparingsskogar</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51725-2024</t>
        </is>
      </c>
      <c r="B1055" s="1" t="n">
        <v>45607.383125</v>
      </c>
      <c r="C1055" s="1" t="n">
        <v>46076</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46076</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46076</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46076</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52487-2025</t>
        </is>
      </c>
      <c r="B1059" s="1" t="n">
        <v>45954.4796412037</v>
      </c>
      <c r="C1059" s="1" t="n">
        <v>46076</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19471-2025</t>
        </is>
      </c>
      <c r="B1060" s="1" t="n">
        <v>45770.38461805556</v>
      </c>
      <c r="C1060" s="1" t="n">
        <v>46076</v>
      </c>
      <c r="D1060" t="inlineStr">
        <is>
          <t>GÄVLEBORGS LÄN</t>
        </is>
      </c>
      <c r="E1060" t="inlineStr">
        <is>
          <t>LJUSDAL</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53277-2025</t>
        </is>
      </c>
      <c r="B1061" s="1" t="n">
        <v>45958.75643518518</v>
      </c>
      <c r="C1061" s="1" t="n">
        <v>46076</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12768-2025</t>
        </is>
      </c>
      <c r="B1062" s="1" t="n">
        <v>45733.57840277778</v>
      </c>
      <c r="C1062" s="1" t="n">
        <v>46076</v>
      </c>
      <c r="D1062" t="inlineStr">
        <is>
          <t>GÄVLEBORGS LÄN</t>
        </is>
      </c>
      <c r="E1062" t="inlineStr">
        <is>
          <t>LJUSDAL</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53380-2025</t>
        </is>
      </c>
      <c r="B1063" s="1" t="n">
        <v>45959.53606481481</v>
      </c>
      <c r="C1063" s="1" t="n">
        <v>46076</v>
      </c>
      <c r="D1063" t="inlineStr">
        <is>
          <t>GÄVLEBORGS LÄN</t>
        </is>
      </c>
      <c r="E1063" t="inlineStr">
        <is>
          <t>LJUSDAL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8081-2024</t>
        </is>
      </c>
      <c r="B1064" s="1" t="n">
        <v>45351.43940972222</v>
      </c>
      <c r="C1064" s="1" t="n">
        <v>46076</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23195-2022</t>
        </is>
      </c>
      <c r="B1065" s="1" t="n">
        <v>44719.92542824074</v>
      </c>
      <c r="C1065" s="1" t="n">
        <v>46076</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53252-2025</t>
        </is>
      </c>
      <c r="B1066" s="1" t="n">
        <v>45958.66509259259</v>
      </c>
      <c r="C1066" s="1" t="n">
        <v>46076</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58796-2022</t>
        </is>
      </c>
      <c r="B1067" s="1" t="n">
        <v>44903</v>
      </c>
      <c r="C1067" s="1" t="n">
        <v>46076</v>
      </c>
      <c r="D1067" t="inlineStr">
        <is>
          <t>GÄVLEBORGS LÄN</t>
        </is>
      </c>
      <c r="E1067" t="inlineStr">
        <is>
          <t>LJUSDAL</t>
        </is>
      </c>
      <c r="F1067" t="inlineStr">
        <is>
          <t>Kyrkan</t>
        </is>
      </c>
      <c r="G1067" t="n">
        <v>6.8</v>
      </c>
      <c r="H1067" t="n">
        <v>0</v>
      </c>
      <c r="I1067" t="n">
        <v>0</v>
      </c>
      <c r="J1067" t="n">
        <v>0</v>
      </c>
      <c r="K1067" t="n">
        <v>0</v>
      </c>
      <c r="L1067" t="n">
        <v>0</v>
      </c>
      <c r="M1067" t="n">
        <v>0</v>
      </c>
      <c r="N1067" t="n">
        <v>0</v>
      </c>
      <c r="O1067" t="n">
        <v>0</v>
      </c>
      <c r="P1067" t="n">
        <v>0</v>
      </c>
      <c r="Q1067" t="n">
        <v>0</v>
      </c>
      <c r="R1067" s="2" t="inlineStr"/>
      <c r="U1067">
        <f>HYPERLINK("https://klasma.github.io/Logging_2161/knärot/A 58796-2022 karta knärot.png", "A 58796-2022")</f>
        <v/>
      </c>
      <c r="V1067">
        <f>HYPERLINK("https://klasma.github.io/Logging_2161/klagomål/A 58796-2022 FSC-klagomål.docx", "A 58796-2022")</f>
        <v/>
      </c>
      <c r="W1067">
        <f>HYPERLINK("https://klasma.github.io/Logging_2161/klagomålsmail/A 58796-2022 FSC-klagomål mail.docx", "A 58796-2022")</f>
        <v/>
      </c>
      <c r="X1067">
        <f>HYPERLINK("https://klasma.github.io/Logging_2161/tillsyn/A 58796-2022 tillsynsbegäran.docx", "A 58796-2022")</f>
        <v/>
      </c>
      <c r="Y1067">
        <f>HYPERLINK("https://klasma.github.io/Logging_2161/tillsynsmail/A 58796-2022 tillsynsbegäran mail.docx", "A 58796-2022")</f>
        <v/>
      </c>
    </row>
    <row r="1068" ht="15" customHeight="1">
      <c r="A1068" t="inlineStr">
        <is>
          <t>A 33354-2024</t>
        </is>
      </c>
      <c r="B1068" s="1" t="n">
        <v>45519</v>
      </c>
      <c r="C1068" s="1" t="n">
        <v>46076</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14296-2024</t>
        </is>
      </c>
      <c r="B1069" s="1" t="n">
        <v>45393</v>
      </c>
      <c r="C1069" s="1" t="n">
        <v>46076</v>
      </c>
      <c r="D1069" t="inlineStr">
        <is>
          <t>GÄVLEBORGS LÄN</t>
        </is>
      </c>
      <c r="E1069" t="inlineStr">
        <is>
          <t>LJUSDAL</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53517-2025</t>
        </is>
      </c>
      <c r="B1070" s="1" t="n">
        <v>45960.35015046296</v>
      </c>
      <c r="C1070" s="1" t="n">
        <v>46076</v>
      </c>
      <c r="D1070" t="inlineStr">
        <is>
          <t>GÄVLEBORGS LÄN</t>
        </is>
      </c>
      <c r="E1070" t="inlineStr">
        <is>
          <t>LJUSDAL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53496-2025</t>
        </is>
      </c>
      <c r="B1071" s="1" t="n">
        <v>45960.32608796296</v>
      </c>
      <c r="C1071" s="1" t="n">
        <v>46076</v>
      </c>
      <c r="D1071" t="inlineStr">
        <is>
          <t>GÄVLEBORGS LÄN</t>
        </is>
      </c>
      <c r="E1071" t="inlineStr">
        <is>
          <t>LJUSDAL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53693-2025</t>
        </is>
      </c>
      <c r="B1072" s="1" t="n">
        <v>45960.58559027778</v>
      </c>
      <c r="C1072" s="1" t="n">
        <v>46076</v>
      </c>
      <c r="D1072" t="inlineStr">
        <is>
          <t>GÄVLEBORGS LÄN</t>
        </is>
      </c>
      <c r="E1072" t="inlineStr">
        <is>
          <t>LJUSDAL</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48149-2024</t>
        </is>
      </c>
      <c r="B1073" s="1" t="n">
        <v>45589.6787962963</v>
      </c>
      <c r="C1073" s="1" t="n">
        <v>46076</v>
      </c>
      <c r="D1073" t="inlineStr">
        <is>
          <t>GÄVLEBORGS LÄN</t>
        </is>
      </c>
      <c r="E1073" t="inlineStr">
        <is>
          <t>LJUSDAL</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39417-2024</t>
        </is>
      </c>
      <c r="B1074" s="1" t="n">
        <v>45551</v>
      </c>
      <c r="C1074" s="1" t="n">
        <v>46076</v>
      </c>
      <c r="D1074" t="inlineStr">
        <is>
          <t>GÄVLEBORGS LÄN</t>
        </is>
      </c>
      <c r="E1074" t="inlineStr">
        <is>
          <t>LJUSDAL</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18488-2024</t>
        </is>
      </c>
      <c r="B1075" s="1" t="n">
        <v>45425.54863425926</v>
      </c>
      <c r="C1075" s="1" t="n">
        <v>46076</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53938-2025</t>
        </is>
      </c>
      <c r="B1076" s="1" t="n">
        <v>45961.48605324074</v>
      </c>
      <c r="C1076" s="1" t="n">
        <v>46076</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53965-2025</t>
        </is>
      </c>
      <c r="B1077" s="1" t="n">
        <v>45961.54165509259</v>
      </c>
      <c r="C1077" s="1" t="n">
        <v>46076</v>
      </c>
      <c r="D1077" t="inlineStr">
        <is>
          <t>GÄVLEBORGS LÄN</t>
        </is>
      </c>
      <c r="E1077" t="inlineStr">
        <is>
          <t>LJUSDAL</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24205-2022</t>
        </is>
      </c>
      <c r="B1078" s="1" t="n">
        <v>44725.58780092592</v>
      </c>
      <c r="C1078" s="1" t="n">
        <v>46076</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45696-2024</t>
        </is>
      </c>
      <c r="B1079" s="1" t="n">
        <v>45579.55864583333</v>
      </c>
      <c r="C1079" s="1" t="n">
        <v>46076</v>
      </c>
      <c r="D1079" t="inlineStr">
        <is>
          <t>GÄVLEBORGS LÄN</t>
        </is>
      </c>
      <c r="E1079" t="inlineStr">
        <is>
          <t>LJUSDAL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54291-2025</t>
        </is>
      </c>
      <c r="B1080" s="1" t="n">
        <v>45964.82269675926</v>
      </c>
      <c r="C1080" s="1" t="n">
        <v>46076</v>
      </c>
      <c r="D1080" t="inlineStr">
        <is>
          <t>GÄVLEBORGS LÄN</t>
        </is>
      </c>
      <c r="E1080" t="inlineStr">
        <is>
          <t>LJUSDAL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54402-2025</t>
        </is>
      </c>
      <c r="B1081" s="1" t="n">
        <v>45965.45290509259</v>
      </c>
      <c r="C1081" s="1" t="n">
        <v>46076</v>
      </c>
      <c r="D1081" t="inlineStr">
        <is>
          <t>GÄVLEBORGS LÄN</t>
        </is>
      </c>
      <c r="E1081" t="inlineStr">
        <is>
          <t>LJUSDAL</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54349-2022</t>
        </is>
      </c>
      <c r="B1082" s="1" t="n">
        <v>44882.45284722222</v>
      </c>
      <c r="C1082" s="1" t="n">
        <v>46076</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54299-2025</t>
        </is>
      </c>
      <c r="B1083" s="1" t="n">
        <v>45965.27177083334</v>
      </c>
      <c r="C1083" s="1" t="n">
        <v>46076</v>
      </c>
      <c r="D1083" t="inlineStr">
        <is>
          <t>GÄVLEBORGS LÄN</t>
        </is>
      </c>
      <c r="E1083" t="inlineStr">
        <is>
          <t>LJUSDAL</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54300-2025</t>
        </is>
      </c>
      <c r="B1084" s="1" t="n">
        <v>45965.27563657407</v>
      </c>
      <c r="C1084" s="1" t="n">
        <v>46076</v>
      </c>
      <c r="D1084" t="inlineStr">
        <is>
          <t>GÄVLEBORGS LÄN</t>
        </is>
      </c>
      <c r="E1084" t="inlineStr">
        <is>
          <t>LJUSDAL</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54496-2025</t>
        </is>
      </c>
      <c r="B1085" s="1" t="n">
        <v>45965.60248842592</v>
      </c>
      <c r="C1085" s="1" t="n">
        <v>46076</v>
      </c>
      <c r="D1085" t="inlineStr">
        <is>
          <t>GÄVLEBORGS LÄN</t>
        </is>
      </c>
      <c r="E1085" t="inlineStr">
        <is>
          <t>LJUSDAL</t>
        </is>
      </c>
      <c r="F1085" t="inlineStr">
        <is>
          <t>Allmännings- och besparingsskogar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54289-2025</t>
        </is>
      </c>
      <c r="B1086" s="1" t="n">
        <v>45964.81273148148</v>
      </c>
      <c r="C1086" s="1" t="n">
        <v>46076</v>
      </c>
      <c r="D1086" t="inlineStr">
        <is>
          <t>GÄVLEBORGS LÄN</t>
        </is>
      </c>
      <c r="E1086" t="inlineStr">
        <is>
          <t>LJUSDAL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25564-2023</t>
        </is>
      </c>
      <c r="B1087" s="1" t="n">
        <v>45089.60670138889</v>
      </c>
      <c r="C1087" s="1" t="n">
        <v>46076</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15042-2022</t>
        </is>
      </c>
      <c r="B1088" s="1" t="n">
        <v>44657</v>
      </c>
      <c r="C1088" s="1" t="n">
        <v>46076</v>
      </c>
      <c r="D1088" t="inlineStr">
        <is>
          <t>GÄVLEBORGS LÄN</t>
        </is>
      </c>
      <c r="E1088" t="inlineStr">
        <is>
          <t>LJUSDAL</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48879-2023</t>
        </is>
      </c>
      <c r="B1089" s="1" t="n">
        <v>45209.46855324074</v>
      </c>
      <c r="C1089" s="1" t="n">
        <v>46076</v>
      </c>
      <c r="D1089" t="inlineStr">
        <is>
          <t>GÄVLEBORGS LÄN</t>
        </is>
      </c>
      <c r="E1089" t="inlineStr">
        <is>
          <t>LJUSDAL</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60896-2024</t>
        </is>
      </c>
      <c r="B1090" s="1" t="n">
        <v>45645.2721875</v>
      </c>
      <c r="C1090" s="1" t="n">
        <v>46076</v>
      </c>
      <c r="D1090" t="inlineStr">
        <is>
          <t>GÄVLEBORGS LÄN</t>
        </is>
      </c>
      <c r="E1090" t="inlineStr">
        <is>
          <t>LJUSDAL</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52391-2023</t>
        </is>
      </c>
      <c r="B1091" s="1" t="n">
        <v>45224.92597222222</v>
      </c>
      <c r="C1091" s="1" t="n">
        <v>46076</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9139-2025</t>
        </is>
      </c>
      <c r="B1092" s="1" t="n">
        <v>45714.29621527778</v>
      </c>
      <c r="C1092" s="1" t="n">
        <v>46076</v>
      </c>
      <c r="D1092" t="inlineStr">
        <is>
          <t>GÄVLEBORGS LÄN</t>
        </is>
      </c>
      <c r="E1092" t="inlineStr">
        <is>
          <t>LJUSDAL</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53356-2025</t>
        </is>
      </c>
      <c r="B1093" s="1" t="n">
        <v>45959.46270833333</v>
      </c>
      <c r="C1093" s="1" t="n">
        <v>46076</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10416-2025</t>
        </is>
      </c>
      <c r="B1094" s="1" t="n">
        <v>45720.63462962963</v>
      </c>
      <c r="C1094" s="1" t="n">
        <v>46076</v>
      </c>
      <c r="D1094" t="inlineStr">
        <is>
          <t>GÄVLEBORGS LÄN</t>
        </is>
      </c>
      <c r="E1094" t="inlineStr">
        <is>
          <t>LJUSDAL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52981-2024</t>
        </is>
      </c>
      <c r="B1095" s="1" t="n">
        <v>45611.35353009259</v>
      </c>
      <c r="C1095" s="1" t="n">
        <v>46076</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53007-2024</t>
        </is>
      </c>
      <c r="B1096" s="1" t="n">
        <v>45611.39570601852</v>
      </c>
      <c r="C1096" s="1" t="n">
        <v>46076</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13844-2025</t>
        </is>
      </c>
      <c r="B1097" s="1" t="n">
        <v>45737.55976851852</v>
      </c>
      <c r="C1097" s="1" t="n">
        <v>46076</v>
      </c>
      <c r="D1097" t="inlineStr">
        <is>
          <t>GÄVLEBORGS LÄN</t>
        </is>
      </c>
      <c r="E1097" t="inlineStr">
        <is>
          <t>LJUSDAL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60914-2024</t>
        </is>
      </c>
      <c r="B1098" s="1" t="n">
        <v>45645.3344212963</v>
      </c>
      <c r="C1098" s="1" t="n">
        <v>46076</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3188-2023</t>
        </is>
      </c>
      <c r="B1099" s="1" t="n">
        <v>44946</v>
      </c>
      <c r="C1099" s="1" t="n">
        <v>46076</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43517-2023</t>
        </is>
      </c>
      <c r="B1100" s="1" t="n">
        <v>45184.48697916666</v>
      </c>
      <c r="C1100" s="1" t="n">
        <v>46076</v>
      </c>
      <c r="D1100" t="inlineStr">
        <is>
          <t>GÄVLEBORGS LÄN</t>
        </is>
      </c>
      <c r="E1100" t="inlineStr">
        <is>
          <t>LJUSDAL</t>
        </is>
      </c>
      <c r="G1100" t="n">
        <v>23.5</v>
      </c>
      <c r="H1100" t="n">
        <v>0</v>
      </c>
      <c r="I1100" t="n">
        <v>0</v>
      </c>
      <c r="J1100" t="n">
        <v>0</v>
      </c>
      <c r="K1100" t="n">
        <v>0</v>
      </c>
      <c r="L1100" t="n">
        <v>0</v>
      </c>
      <c r="M1100" t="n">
        <v>0</v>
      </c>
      <c r="N1100" t="n">
        <v>0</v>
      </c>
      <c r="O1100" t="n">
        <v>0</v>
      </c>
      <c r="P1100" t="n">
        <v>0</v>
      </c>
      <c r="Q1100" t="n">
        <v>0</v>
      </c>
      <c r="R1100" s="2" t="inlineStr"/>
    </row>
    <row r="1101" ht="15" customHeight="1">
      <c r="A1101" t="inlineStr">
        <is>
          <t>A 57748-2025</t>
        </is>
      </c>
      <c r="B1101" s="1" t="n">
        <v>45981</v>
      </c>
      <c r="C1101" s="1" t="n">
        <v>46076</v>
      </c>
      <c r="D1101" t="inlineStr">
        <is>
          <t>GÄVLEBORGS LÄN</t>
        </is>
      </c>
      <c r="E1101" t="inlineStr">
        <is>
          <t>LJUSDAL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2909-2024</t>
        </is>
      </c>
      <c r="B1102" s="1" t="n">
        <v>45315</v>
      </c>
      <c r="C1102" s="1" t="n">
        <v>46076</v>
      </c>
      <c r="D1102" t="inlineStr">
        <is>
          <t>GÄVLEBORGS LÄN</t>
        </is>
      </c>
      <c r="E1102" t="inlineStr">
        <is>
          <t>LJUSDAL</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54717-2025</t>
        </is>
      </c>
      <c r="B1103" s="1" t="n">
        <v>45966.51206018519</v>
      </c>
      <c r="C1103" s="1" t="n">
        <v>46076</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41922-2024</t>
        </is>
      </c>
      <c r="B1104" s="1" t="n">
        <v>45561.55555555555</v>
      </c>
      <c r="C1104" s="1" t="n">
        <v>46076</v>
      </c>
      <c r="D1104" t="inlineStr">
        <is>
          <t>GÄVLEBORGS LÄN</t>
        </is>
      </c>
      <c r="E1104" t="inlineStr">
        <is>
          <t>LJUSDAL</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30577-2021</t>
        </is>
      </c>
      <c r="B1105" s="1" t="n">
        <v>44364</v>
      </c>
      <c r="C1105" s="1" t="n">
        <v>46076</v>
      </c>
      <c r="D1105" t="inlineStr">
        <is>
          <t>GÄVLEBORGS LÄN</t>
        </is>
      </c>
      <c r="E1105" t="inlineStr">
        <is>
          <t>LJUSDAL</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55501-2025</t>
        </is>
      </c>
      <c r="B1106" s="1" t="n">
        <v>45971.58571759259</v>
      </c>
      <c r="C1106" s="1" t="n">
        <v>46076</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55374-2025</t>
        </is>
      </c>
      <c r="B1107" s="1" t="n">
        <v>45971.42385416666</v>
      </c>
      <c r="C1107" s="1" t="n">
        <v>46076</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55100-2025</t>
        </is>
      </c>
      <c r="B1108" s="1" t="n">
        <v>45968.34864583334</v>
      </c>
      <c r="C1108" s="1" t="n">
        <v>46076</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55373-2025</t>
        </is>
      </c>
      <c r="B1109" s="1" t="n">
        <v>45971.41752314815</v>
      </c>
      <c r="C1109" s="1" t="n">
        <v>46076</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55085-2025</t>
        </is>
      </c>
      <c r="B1110" s="1" t="n">
        <v>45968.32643518518</v>
      </c>
      <c r="C1110" s="1" t="n">
        <v>46076</v>
      </c>
      <c r="D1110" t="inlineStr">
        <is>
          <t>GÄVLEBORGS LÄN</t>
        </is>
      </c>
      <c r="E1110" t="inlineStr">
        <is>
          <t>LJUSDAL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55180-2025</t>
        </is>
      </c>
      <c r="B1111" s="1" t="n">
        <v>45968.53173611111</v>
      </c>
      <c r="C1111" s="1" t="n">
        <v>46076</v>
      </c>
      <c r="D1111" t="inlineStr">
        <is>
          <t>GÄVLEBORGS LÄN</t>
        </is>
      </c>
      <c r="E1111" t="inlineStr">
        <is>
          <t>LJUSDAL</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55089-2025</t>
        </is>
      </c>
      <c r="B1112" s="1" t="n">
        <v>45968.34244212963</v>
      </c>
      <c r="C1112" s="1" t="n">
        <v>46076</v>
      </c>
      <c r="D1112" t="inlineStr">
        <is>
          <t>GÄVLEBORGS LÄN</t>
        </is>
      </c>
      <c r="E1112" t="inlineStr">
        <is>
          <t>LJUSDAL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58894-2024</t>
        </is>
      </c>
      <c r="B1113" s="1" t="n">
        <v>45636.46609953704</v>
      </c>
      <c r="C1113" s="1" t="n">
        <v>46076</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55084-2025</t>
        </is>
      </c>
      <c r="B1114" s="1" t="n">
        <v>45968.32015046296</v>
      </c>
      <c r="C1114" s="1" t="n">
        <v>46076</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26510-2023</t>
        </is>
      </c>
      <c r="B1115" s="1" t="n">
        <v>45092</v>
      </c>
      <c r="C1115" s="1" t="n">
        <v>46076</v>
      </c>
      <c r="D1115" t="inlineStr">
        <is>
          <t>GÄVLEBORGS LÄN</t>
        </is>
      </c>
      <c r="E1115" t="inlineStr">
        <is>
          <t>LJUSDAL</t>
        </is>
      </c>
      <c r="F1115" t="inlineStr">
        <is>
          <t>Sveaskog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18078-2024</t>
        </is>
      </c>
      <c r="B1116" s="1" t="n">
        <v>45420.43887731482</v>
      </c>
      <c r="C1116" s="1" t="n">
        <v>46076</v>
      </c>
      <c r="D1116" t="inlineStr">
        <is>
          <t>GÄVLEBORGS LÄN</t>
        </is>
      </c>
      <c r="E1116" t="inlineStr">
        <is>
          <t>LJUSDAL</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7192-2023</t>
        </is>
      </c>
      <c r="B1117" s="1" t="n">
        <v>44970</v>
      </c>
      <c r="C1117" s="1" t="n">
        <v>46076</v>
      </c>
      <c r="D1117" t="inlineStr">
        <is>
          <t>GÄVLEBORGS LÄN</t>
        </is>
      </c>
      <c r="E1117" t="inlineStr">
        <is>
          <t>LJUSDAL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55194-2025</t>
        </is>
      </c>
      <c r="B1118" s="1" t="n">
        <v>45968.55011574074</v>
      </c>
      <c r="C1118" s="1" t="n">
        <v>46076</v>
      </c>
      <c r="D1118" t="inlineStr">
        <is>
          <t>GÄVLEBORGS LÄN</t>
        </is>
      </c>
      <c r="E1118" t="inlineStr">
        <is>
          <t>LJUSDAL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55174-2025</t>
        </is>
      </c>
      <c r="B1119" s="1" t="n">
        <v>45968.50053240741</v>
      </c>
      <c r="C1119" s="1" t="n">
        <v>46076</v>
      </c>
      <c r="D1119" t="inlineStr">
        <is>
          <t>GÄVLEBORGS LÄN</t>
        </is>
      </c>
      <c r="E1119" t="inlineStr">
        <is>
          <t>LJUSDAL</t>
        </is>
      </c>
      <c r="F1119" t="inlineStr">
        <is>
          <t>Holmen skog AB</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13843-2025</t>
        </is>
      </c>
      <c r="B1120" s="1" t="n">
        <v>45737.55868055556</v>
      </c>
      <c r="C1120" s="1" t="n">
        <v>46076</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55968-2025</t>
        </is>
      </c>
      <c r="B1121" s="1" t="n">
        <v>45973.48645833333</v>
      </c>
      <c r="C1121" s="1" t="n">
        <v>46076</v>
      </c>
      <c r="D1121" t="inlineStr">
        <is>
          <t>GÄVLEBORGS LÄN</t>
        </is>
      </c>
      <c r="E1121" t="inlineStr">
        <is>
          <t>LJUSDAL</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15091-2025</t>
        </is>
      </c>
      <c r="B1122" s="1" t="n">
        <v>45744.3275462963</v>
      </c>
      <c r="C1122" s="1" t="n">
        <v>46076</v>
      </c>
      <c r="D1122" t="inlineStr">
        <is>
          <t>GÄVLEBORGS LÄN</t>
        </is>
      </c>
      <c r="E1122" t="inlineStr">
        <is>
          <t>LJUSDAL</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45241-2024</t>
        </is>
      </c>
      <c r="B1123" s="1" t="n">
        <v>45575.95956018518</v>
      </c>
      <c r="C1123" s="1" t="n">
        <v>46076</v>
      </c>
      <c r="D1123" t="inlineStr">
        <is>
          <t>GÄVLEBORGS LÄN</t>
        </is>
      </c>
      <c r="E1123" t="inlineStr">
        <is>
          <t>LJUSDAL</t>
        </is>
      </c>
      <c r="F1123" t="inlineStr">
        <is>
          <t>Sveaskog</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19855-2025</t>
        </is>
      </c>
      <c r="B1124" s="1" t="n">
        <v>45771</v>
      </c>
      <c r="C1124" s="1" t="n">
        <v>46076</v>
      </c>
      <c r="D1124" t="inlineStr">
        <is>
          <t>GÄVLEBORGS LÄN</t>
        </is>
      </c>
      <c r="E1124" t="inlineStr">
        <is>
          <t>LJUSDAL</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29205-2023</t>
        </is>
      </c>
      <c r="B1125" s="1" t="n">
        <v>45105.56778935185</v>
      </c>
      <c r="C1125" s="1" t="n">
        <v>46076</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56348-2025</t>
        </is>
      </c>
      <c r="B1126" s="1" t="n">
        <v>45974.65085648148</v>
      </c>
      <c r="C1126" s="1" t="n">
        <v>46076</v>
      </c>
      <c r="D1126" t="inlineStr">
        <is>
          <t>GÄVLEBORGS LÄN</t>
        </is>
      </c>
      <c r="E1126" t="inlineStr">
        <is>
          <t>LJUSDAL</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56395-2025</t>
        </is>
      </c>
      <c r="B1127" s="1" t="n">
        <v>45974.75262731482</v>
      </c>
      <c r="C1127" s="1" t="n">
        <v>46076</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56397-2025</t>
        </is>
      </c>
      <c r="B1128" s="1" t="n">
        <v>45974.77915509259</v>
      </c>
      <c r="C1128" s="1" t="n">
        <v>46076</v>
      </c>
      <c r="D1128" t="inlineStr">
        <is>
          <t>GÄVLEBORGS LÄN</t>
        </is>
      </c>
      <c r="E1128" t="inlineStr">
        <is>
          <t>LJUSDAL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56429-2025</t>
        </is>
      </c>
      <c r="B1129" s="1" t="n">
        <v>45975.34590277778</v>
      </c>
      <c r="C1129" s="1" t="n">
        <v>46076</v>
      </c>
      <c r="D1129" t="inlineStr">
        <is>
          <t>GÄVLEBORGS LÄN</t>
        </is>
      </c>
      <c r="E1129" t="inlineStr">
        <is>
          <t>LJUSDAL</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56463-2025</t>
        </is>
      </c>
      <c r="B1130" s="1" t="n">
        <v>45975.37078703703</v>
      </c>
      <c r="C1130" s="1" t="n">
        <v>46076</v>
      </c>
      <c r="D1130" t="inlineStr">
        <is>
          <t>GÄVLEBORGS LÄN</t>
        </is>
      </c>
      <c r="E1130" t="inlineStr">
        <is>
          <t>LJUSDAL</t>
        </is>
      </c>
      <c r="F1130" t="inlineStr">
        <is>
          <t>Bergvik skog väst AB</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56474-2025</t>
        </is>
      </c>
      <c r="B1131" s="1" t="n">
        <v>45975.38306712963</v>
      </c>
      <c r="C1131" s="1" t="n">
        <v>46076</v>
      </c>
      <c r="D1131" t="inlineStr">
        <is>
          <t>GÄVLEBORGS LÄN</t>
        </is>
      </c>
      <c r="E1131" t="inlineStr">
        <is>
          <t>LJUSDAL</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56276-2025</t>
        </is>
      </c>
      <c r="B1132" s="1" t="n">
        <v>45974.58774305556</v>
      </c>
      <c r="C1132" s="1" t="n">
        <v>46076</v>
      </c>
      <c r="D1132" t="inlineStr">
        <is>
          <t>GÄVLEBORGS LÄN</t>
        </is>
      </c>
      <c r="E1132" t="inlineStr">
        <is>
          <t>LJUSDAL</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56143-2025</t>
        </is>
      </c>
      <c r="B1133" s="1" t="n">
        <v>45974.34460648148</v>
      </c>
      <c r="C1133" s="1" t="n">
        <v>46076</v>
      </c>
      <c r="D1133" t="inlineStr">
        <is>
          <t>GÄVLEBORGS LÄN</t>
        </is>
      </c>
      <c r="E1133" t="inlineStr">
        <is>
          <t>LJUSDAL</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56530-2025</t>
        </is>
      </c>
      <c r="B1134" s="1" t="n">
        <v>45975.46813657408</v>
      </c>
      <c r="C1134" s="1" t="n">
        <v>46076</v>
      </c>
      <c r="D1134" t="inlineStr">
        <is>
          <t>GÄVLEBORGS LÄN</t>
        </is>
      </c>
      <c r="E1134" t="inlineStr">
        <is>
          <t>LJUSDAL</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56825-2025</t>
        </is>
      </c>
      <c r="B1135" s="1" t="n">
        <v>45978.46519675926</v>
      </c>
      <c r="C1135" s="1" t="n">
        <v>46076</v>
      </c>
      <c r="D1135" t="inlineStr">
        <is>
          <t>GÄVLEBORGS LÄN</t>
        </is>
      </c>
      <c r="E1135" t="inlineStr">
        <is>
          <t>LJUSDAL</t>
        </is>
      </c>
      <c r="F1135" t="inlineStr">
        <is>
          <t>Allmännings- och besparingsskogar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57265-2025</t>
        </is>
      </c>
      <c r="B1136" s="1" t="n">
        <v>45979.66085648148</v>
      </c>
      <c r="C1136" s="1" t="n">
        <v>46076</v>
      </c>
      <c r="D1136" t="inlineStr">
        <is>
          <t>GÄVLEBORGS LÄN</t>
        </is>
      </c>
      <c r="E1136" t="inlineStr">
        <is>
          <t>LJUSDAL</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57098-2025</t>
        </is>
      </c>
      <c r="B1137" s="1" t="n">
        <v>45979.4353125</v>
      </c>
      <c r="C1137" s="1" t="n">
        <v>46076</v>
      </c>
      <c r="D1137" t="inlineStr">
        <is>
          <t>GÄVLEBORGS LÄN</t>
        </is>
      </c>
      <c r="E1137" t="inlineStr">
        <is>
          <t>LJUSDAL</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56819-2025</t>
        </is>
      </c>
      <c r="B1138" s="1" t="n">
        <v>45978.46253472222</v>
      </c>
      <c r="C1138" s="1" t="n">
        <v>46076</v>
      </c>
      <c r="D1138" t="inlineStr">
        <is>
          <t>GÄVLEBORGS LÄN</t>
        </is>
      </c>
      <c r="E1138" t="inlineStr">
        <is>
          <t>LJUSDAL</t>
        </is>
      </c>
      <c r="F1138" t="inlineStr">
        <is>
          <t>Allmännings- och besparingsskogar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19034-2023</t>
        </is>
      </c>
      <c r="B1139" s="1" t="n">
        <v>45047.53082175926</v>
      </c>
      <c r="C1139" s="1" t="n">
        <v>46076</v>
      </c>
      <c r="D1139" t="inlineStr">
        <is>
          <t>GÄVLEBORGS LÄN</t>
        </is>
      </c>
      <c r="E1139" t="inlineStr">
        <is>
          <t>LJUSDAL</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25415-2022</t>
        </is>
      </c>
      <c r="B1140" s="1" t="n">
        <v>44732.45652777778</v>
      </c>
      <c r="C1140" s="1" t="n">
        <v>46076</v>
      </c>
      <c r="D1140" t="inlineStr">
        <is>
          <t>GÄVLEBORGS LÄN</t>
        </is>
      </c>
      <c r="E1140" t="inlineStr">
        <is>
          <t>LJUSDAL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45509-2024</t>
        </is>
      </c>
      <c r="B1141" s="1" t="n">
        <v>45578</v>
      </c>
      <c r="C1141" s="1" t="n">
        <v>46076</v>
      </c>
      <c r="D1141" t="inlineStr">
        <is>
          <t>GÄVLEBORGS LÄN</t>
        </is>
      </c>
      <c r="E1141" t="inlineStr">
        <is>
          <t>LJUSDAL</t>
        </is>
      </c>
      <c r="F1141" t="inlineStr">
        <is>
          <t>Naturvårdsverket</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54237-2021</t>
        </is>
      </c>
      <c r="B1142" s="1" t="n">
        <v>44470.63472222222</v>
      </c>
      <c r="C1142" s="1" t="n">
        <v>46076</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599-2023</t>
        </is>
      </c>
      <c r="B1143" s="1" t="n">
        <v>44930.56699074074</v>
      </c>
      <c r="C1143" s="1" t="n">
        <v>46076</v>
      </c>
      <c r="D1143" t="inlineStr">
        <is>
          <t>GÄVLEBORGS LÄN</t>
        </is>
      </c>
      <c r="E1143" t="inlineStr">
        <is>
          <t>LJUSDAL</t>
        </is>
      </c>
      <c r="F1143" t="inlineStr">
        <is>
          <t>Holmen skog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36568-2021</t>
        </is>
      </c>
      <c r="B1144" s="1" t="n">
        <v>44391</v>
      </c>
      <c r="C1144" s="1" t="n">
        <v>46076</v>
      </c>
      <c r="D1144" t="inlineStr">
        <is>
          <t>GÄVLEBORGS LÄN</t>
        </is>
      </c>
      <c r="E1144" t="inlineStr">
        <is>
          <t>LJUSDAL</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4580-2024</t>
        </is>
      </c>
      <c r="B1145" s="1" t="n">
        <v>45327</v>
      </c>
      <c r="C1145" s="1" t="n">
        <v>46076</v>
      </c>
      <c r="D1145" t="inlineStr">
        <is>
          <t>GÄVLEBORGS LÄN</t>
        </is>
      </c>
      <c r="E1145" t="inlineStr">
        <is>
          <t>LJUSDAL</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57860-2025</t>
        </is>
      </c>
      <c r="B1146" s="1" t="n">
        <v>45981.64178240741</v>
      </c>
      <c r="C1146" s="1" t="n">
        <v>46076</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57472-2025</t>
        </is>
      </c>
      <c r="B1147" s="1" t="n">
        <v>45980.5663425926</v>
      </c>
      <c r="C1147" s="1" t="n">
        <v>46076</v>
      </c>
      <c r="D1147" t="inlineStr">
        <is>
          <t>GÄVLEBORGS LÄN</t>
        </is>
      </c>
      <c r="E1147" t="inlineStr">
        <is>
          <t>LJUSDAL</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50351-2022</t>
        </is>
      </c>
      <c r="B1148" s="1" t="n">
        <v>44866.31077546296</v>
      </c>
      <c r="C1148" s="1" t="n">
        <v>46076</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57649-2023</t>
        </is>
      </c>
      <c r="B1149" s="1" t="n">
        <v>45246.59743055556</v>
      </c>
      <c r="C1149" s="1" t="n">
        <v>46076</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25630-2022</t>
        </is>
      </c>
      <c r="B1150" s="1" t="n">
        <v>44732.92739583334</v>
      </c>
      <c r="C1150" s="1" t="n">
        <v>46076</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58053-2024</t>
        </is>
      </c>
      <c r="B1151" s="1" t="n">
        <v>45631.84011574074</v>
      </c>
      <c r="C1151" s="1" t="n">
        <v>46076</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27497-2023</t>
        </is>
      </c>
      <c r="B1152" s="1" t="n">
        <v>45097</v>
      </c>
      <c r="C1152" s="1" t="n">
        <v>46076</v>
      </c>
      <c r="D1152" t="inlineStr">
        <is>
          <t>GÄVLEBORGS LÄN</t>
        </is>
      </c>
      <c r="E1152" t="inlineStr">
        <is>
          <t>LJUSDAL</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57927-2025</t>
        </is>
      </c>
      <c r="B1153" s="1" t="n">
        <v>45981.88649305556</v>
      </c>
      <c r="C1153" s="1" t="n">
        <v>46076</v>
      </c>
      <c r="D1153" t="inlineStr">
        <is>
          <t>GÄVLEBORGS LÄN</t>
        </is>
      </c>
      <c r="E1153" t="inlineStr">
        <is>
          <t>LJUSDAL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58812-2025</t>
        </is>
      </c>
      <c r="B1154" s="1" t="n">
        <v>45987.32815972222</v>
      </c>
      <c r="C1154" s="1" t="n">
        <v>46076</v>
      </c>
      <c r="D1154" t="inlineStr">
        <is>
          <t>GÄVLEBORGS LÄN</t>
        </is>
      </c>
      <c r="E1154" t="inlineStr">
        <is>
          <t>LJUSDAL</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452-2026</t>
        </is>
      </c>
      <c r="B1155" s="1" t="n">
        <v>46029.35450231482</v>
      </c>
      <c r="C1155" s="1" t="n">
        <v>46076</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58855-2025</t>
        </is>
      </c>
      <c r="B1156" s="1" t="n">
        <v>45987.4071875</v>
      </c>
      <c r="C1156" s="1" t="n">
        <v>46076</v>
      </c>
      <c r="D1156" t="inlineStr">
        <is>
          <t>GÄVLEBORGS LÄN</t>
        </is>
      </c>
      <c r="E1156" t="inlineStr">
        <is>
          <t>LJUSDAL</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47502-2022</t>
        </is>
      </c>
      <c r="B1157" s="1" t="n">
        <v>44853</v>
      </c>
      <c r="C1157" s="1" t="n">
        <v>46076</v>
      </c>
      <c r="D1157" t="inlineStr">
        <is>
          <t>GÄVLEBORGS LÄN</t>
        </is>
      </c>
      <c r="E1157" t="inlineStr">
        <is>
          <t>LJUSDAL</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58968-2025</t>
        </is>
      </c>
      <c r="B1158" s="1" t="n">
        <v>45987.60523148148</v>
      </c>
      <c r="C1158" s="1" t="n">
        <v>46076</v>
      </c>
      <c r="D1158" t="inlineStr">
        <is>
          <t>GÄVLEBORGS LÄN</t>
        </is>
      </c>
      <c r="E1158" t="inlineStr">
        <is>
          <t>LJUSDAL</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58816-2025</t>
        </is>
      </c>
      <c r="B1159" s="1" t="n">
        <v>45987.33459490741</v>
      </c>
      <c r="C1159" s="1" t="n">
        <v>46076</v>
      </c>
      <c r="D1159" t="inlineStr">
        <is>
          <t>GÄVLEBORGS LÄN</t>
        </is>
      </c>
      <c r="E1159" t="inlineStr">
        <is>
          <t>LJUSDAL</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58898-2025</t>
        </is>
      </c>
      <c r="B1160" s="1" t="n">
        <v>45987.4984837963</v>
      </c>
      <c r="C1160" s="1" t="n">
        <v>46076</v>
      </c>
      <c r="D1160" t="inlineStr">
        <is>
          <t>GÄVLEBORGS LÄN</t>
        </is>
      </c>
      <c r="E1160" t="inlineStr">
        <is>
          <t>LJUSDAL</t>
        </is>
      </c>
      <c r="F1160" t="inlineStr">
        <is>
          <t>Bergvik skog väst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18757-2025</t>
        </is>
      </c>
      <c r="B1161" s="1" t="n">
        <v>45763.83667824074</v>
      </c>
      <c r="C1161" s="1" t="n">
        <v>46076</v>
      </c>
      <c r="D1161" t="inlineStr">
        <is>
          <t>GÄVLEBORGS LÄN</t>
        </is>
      </c>
      <c r="E1161" t="inlineStr">
        <is>
          <t>LJUSDAL</t>
        </is>
      </c>
      <c r="F1161" t="inlineStr">
        <is>
          <t>Holmen skog AB</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846-2023</t>
        </is>
      </c>
      <c r="B1162" s="1" t="n">
        <v>44931.56439814815</v>
      </c>
      <c r="C1162" s="1" t="n">
        <v>46076</v>
      </c>
      <c r="D1162" t="inlineStr">
        <is>
          <t>GÄVLEBORGS LÄN</t>
        </is>
      </c>
      <c r="E1162" t="inlineStr">
        <is>
          <t>LJUSDAL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59353-2025</t>
        </is>
      </c>
      <c r="B1163" s="1" t="n">
        <v>45989</v>
      </c>
      <c r="C1163" s="1" t="n">
        <v>46076</v>
      </c>
      <c r="D1163" t="inlineStr">
        <is>
          <t>GÄVLEBORGS LÄN</t>
        </is>
      </c>
      <c r="E1163" t="inlineStr">
        <is>
          <t>LJUSDAL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59078-2025</t>
        </is>
      </c>
      <c r="B1164" s="1" t="n">
        <v>45988.43143518519</v>
      </c>
      <c r="C1164" s="1" t="n">
        <v>46076</v>
      </c>
      <c r="D1164" t="inlineStr">
        <is>
          <t>GÄVLEBORGS LÄN</t>
        </is>
      </c>
      <c r="E1164" t="inlineStr">
        <is>
          <t>LJUSDAL</t>
        </is>
      </c>
      <c r="G1164" t="n">
        <v>16.4</v>
      </c>
      <c r="H1164" t="n">
        <v>0</v>
      </c>
      <c r="I1164" t="n">
        <v>0</v>
      </c>
      <c r="J1164" t="n">
        <v>0</v>
      </c>
      <c r="K1164" t="n">
        <v>0</v>
      </c>
      <c r="L1164" t="n">
        <v>0</v>
      </c>
      <c r="M1164" t="n">
        <v>0</v>
      </c>
      <c r="N1164" t="n">
        <v>0</v>
      </c>
      <c r="O1164" t="n">
        <v>0</v>
      </c>
      <c r="P1164" t="n">
        <v>0</v>
      </c>
      <c r="Q1164" t="n">
        <v>0</v>
      </c>
      <c r="R1164" s="2" t="inlineStr"/>
    </row>
    <row r="1165" ht="15" customHeight="1">
      <c r="A1165" t="inlineStr">
        <is>
          <t>A 21751-2021</t>
        </is>
      </c>
      <c r="B1165" s="1" t="n">
        <v>44322.56486111111</v>
      </c>
      <c r="C1165" s="1" t="n">
        <v>46076</v>
      </c>
      <c r="D1165" t="inlineStr">
        <is>
          <t>GÄVLEBORGS LÄN</t>
        </is>
      </c>
      <c r="E1165" t="inlineStr">
        <is>
          <t>LJUSDAL</t>
        </is>
      </c>
      <c r="F1165" t="inlineStr">
        <is>
          <t>Bergvik skog väst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52174-2023</t>
        </is>
      </c>
      <c r="B1166" s="1" t="n">
        <v>45224.35961805555</v>
      </c>
      <c r="C1166" s="1" t="n">
        <v>46076</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59426-2025</t>
        </is>
      </c>
      <c r="B1167" s="1" t="n">
        <v>45989.5396875</v>
      </c>
      <c r="C1167" s="1" t="n">
        <v>46076</v>
      </c>
      <c r="D1167" t="inlineStr">
        <is>
          <t>GÄVLEBORGS LÄN</t>
        </is>
      </c>
      <c r="E1167" t="inlineStr">
        <is>
          <t>LJUSDAL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47871-2025</t>
        </is>
      </c>
      <c r="B1168" s="1" t="n">
        <v>45932</v>
      </c>
      <c r="C1168" s="1" t="n">
        <v>46076</v>
      </c>
      <c r="D1168" t="inlineStr">
        <is>
          <t>GÄVLEBORGS LÄN</t>
        </is>
      </c>
      <c r="E1168" t="inlineStr">
        <is>
          <t>LJUSDAL</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1804-2026</t>
        </is>
      </c>
      <c r="B1169" s="1" t="n">
        <v>46035.32539351852</v>
      </c>
      <c r="C1169" s="1" t="n">
        <v>46076</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1820-2026</t>
        </is>
      </c>
      <c r="B1170" s="1" t="n">
        <v>46035.35873842592</v>
      </c>
      <c r="C1170" s="1" t="n">
        <v>46076</v>
      </c>
      <c r="D1170" t="inlineStr">
        <is>
          <t>GÄVLEBORGS LÄN</t>
        </is>
      </c>
      <c r="E1170" t="inlineStr">
        <is>
          <t>LJUSDAL</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59836-2025</t>
        </is>
      </c>
      <c r="B1171" s="1" t="n">
        <v>45992.67038194444</v>
      </c>
      <c r="C1171" s="1" t="n">
        <v>46076</v>
      </c>
      <c r="D1171" t="inlineStr">
        <is>
          <t>GÄVLEBORGS LÄN</t>
        </is>
      </c>
      <c r="E1171" t="inlineStr">
        <is>
          <t>LJUSDAL</t>
        </is>
      </c>
      <c r="F1171" t="inlineStr">
        <is>
          <t>Allmännings- och besparingsskogar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24911-2024</t>
        </is>
      </c>
      <c r="B1172" s="1" t="n">
        <v>45461.60027777778</v>
      </c>
      <c r="C1172" s="1" t="n">
        <v>46076</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1823-2026</t>
        </is>
      </c>
      <c r="B1173" s="1" t="n">
        <v>46035.36265046296</v>
      </c>
      <c r="C1173" s="1" t="n">
        <v>46076</v>
      </c>
      <c r="D1173" t="inlineStr">
        <is>
          <t>GÄVLEBORGS LÄN</t>
        </is>
      </c>
      <c r="E1173" t="inlineStr">
        <is>
          <t>LJUSDAL</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59811-2025</t>
        </is>
      </c>
      <c r="B1174" s="1" t="n">
        <v>45992.63217592592</v>
      </c>
      <c r="C1174" s="1" t="n">
        <v>46076</v>
      </c>
      <c r="D1174" t="inlineStr">
        <is>
          <t>GÄVLEBORGS LÄN</t>
        </is>
      </c>
      <c r="E1174" t="inlineStr">
        <is>
          <t>LJUSDAL</t>
        </is>
      </c>
      <c r="F1174" t="inlineStr">
        <is>
          <t>Allmännings- och besparingsskogar</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59850-2025</t>
        </is>
      </c>
      <c r="B1175" s="1" t="n">
        <v>45992.70818287037</v>
      </c>
      <c r="C1175" s="1" t="n">
        <v>46076</v>
      </c>
      <c r="D1175" t="inlineStr">
        <is>
          <t>GÄVLEBORGS LÄN</t>
        </is>
      </c>
      <c r="E1175" t="inlineStr">
        <is>
          <t>LJUSDAL</t>
        </is>
      </c>
      <c r="F1175" t="inlineStr">
        <is>
          <t>Allmännings- och besparingsskogar</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9926-2023</t>
        </is>
      </c>
      <c r="B1176" s="1" t="n">
        <v>44985</v>
      </c>
      <c r="C1176" s="1" t="n">
        <v>46076</v>
      </c>
      <c r="D1176" t="inlineStr">
        <is>
          <t>GÄVLEBORGS LÄN</t>
        </is>
      </c>
      <c r="E1176" t="inlineStr">
        <is>
          <t>LJUSDAL</t>
        </is>
      </c>
      <c r="F1176" t="inlineStr">
        <is>
          <t>Bergvik skog väst AB</t>
        </is>
      </c>
      <c r="G1176" t="n">
        <v>17.5</v>
      </c>
      <c r="H1176" t="n">
        <v>0</v>
      </c>
      <c r="I1176" t="n">
        <v>0</v>
      </c>
      <c r="J1176" t="n">
        <v>0</v>
      </c>
      <c r="K1176" t="n">
        <v>0</v>
      </c>
      <c r="L1176" t="n">
        <v>0</v>
      </c>
      <c r="M1176" t="n">
        <v>0</v>
      </c>
      <c r="N1176" t="n">
        <v>0</v>
      </c>
      <c r="O1176" t="n">
        <v>0</v>
      </c>
      <c r="P1176" t="n">
        <v>0</v>
      </c>
      <c r="Q1176" t="n">
        <v>0</v>
      </c>
      <c r="R1176" s="2" t="inlineStr"/>
    </row>
    <row r="1177" ht="15" customHeight="1">
      <c r="A1177" t="inlineStr">
        <is>
          <t>A 9946-2023</t>
        </is>
      </c>
      <c r="B1177" s="1" t="n">
        <v>44985</v>
      </c>
      <c r="C1177" s="1" t="n">
        <v>46076</v>
      </c>
      <c r="D1177" t="inlineStr">
        <is>
          <t>GÄVLEBORGS LÄN</t>
        </is>
      </c>
      <c r="E1177" t="inlineStr">
        <is>
          <t>LJUSDAL</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26106-2024</t>
        </is>
      </c>
      <c r="B1178" s="1" t="n">
        <v>45468.4416550926</v>
      </c>
      <c r="C1178" s="1" t="n">
        <v>46076</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59785-2025</t>
        </is>
      </c>
      <c r="B1179" s="1" t="n">
        <v>45992.61177083333</v>
      </c>
      <c r="C1179" s="1" t="n">
        <v>46076</v>
      </c>
      <c r="D1179" t="inlineStr">
        <is>
          <t>GÄVLEBORGS LÄN</t>
        </is>
      </c>
      <c r="E1179" t="inlineStr">
        <is>
          <t>LJUSDAL</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60042-2025</t>
        </is>
      </c>
      <c r="B1180" s="1" t="n">
        <v>45993.62627314815</v>
      </c>
      <c r="C1180" s="1" t="n">
        <v>46076</v>
      </c>
      <c r="D1180" t="inlineStr">
        <is>
          <t>GÄVLEBORGS LÄN</t>
        </is>
      </c>
      <c r="E1180" t="inlineStr">
        <is>
          <t>LJUSDAL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34986-2024</t>
        </is>
      </c>
      <c r="B1181" s="1" t="n">
        <v>45527</v>
      </c>
      <c r="C1181" s="1" t="n">
        <v>46076</v>
      </c>
      <c r="D1181" t="inlineStr">
        <is>
          <t>GÄVLEBORGS LÄN</t>
        </is>
      </c>
      <c r="E1181" t="inlineStr">
        <is>
          <t>LJUSDAL</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34989-2024</t>
        </is>
      </c>
      <c r="B1182" s="1" t="n">
        <v>45527.55215277777</v>
      </c>
      <c r="C1182" s="1" t="n">
        <v>46076</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52783-2024</t>
        </is>
      </c>
      <c r="B1183" s="1" t="n">
        <v>45610.55241898148</v>
      </c>
      <c r="C1183" s="1" t="n">
        <v>46076</v>
      </c>
      <c r="D1183" t="inlineStr">
        <is>
          <t>GÄVLEBORGS LÄN</t>
        </is>
      </c>
      <c r="E1183" t="inlineStr">
        <is>
          <t>LJUSDAL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59977-2025</t>
        </is>
      </c>
      <c r="B1184" s="1" t="n">
        <v>45993.5110300926</v>
      </c>
      <c r="C1184" s="1" t="n">
        <v>46076</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51922-2022</t>
        </is>
      </c>
      <c r="B1185" s="1" t="n">
        <v>44872</v>
      </c>
      <c r="C1185" s="1" t="n">
        <v>46076</v>
      </c>
      <c r="D1185" t="inlineStr">
        <is>
          <t>GÄVLEBORGS LÄN</t>
        </is>
      </c>
      <c r="E1185" t="inlineStr">
        <is>
          <t>LJUSDAL</t>
        </is>
      </c>
      <c r="F1185" t="inlineStr">
        <is>
          <t>Kommuner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19574-2025</t>
        </is>
      </c>
      <c r="B1186" s="1" t="n">
        <v>45770.5528587963</v>
      </c>
      <c r="C1186" s="1" t="n">
        <v>46076</v>
      </c>
      <c r="D1186" t="inlineStr">
        <is>
          <t>GÄVLEBORGS LÄN</t>
        </is>
      </c>
      <c r="E1186" t="inlineStr">
        <is>
          <t>LJUSDAL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34447-2022</t>
        </is>
      </c>
      <c r="B1187" s="1" t="n">
        <v>44792</v>
      </c>
      <c r="C1187" s="1" t="n">
        <v>46076</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1670-2026</t>
        </is>
      </c>
      <c r="B1188" s="1" t="n">
        <v>46034.56050925926</v>
      </c>
      <c r="C1188" s="1" t="n">
        <v>46076</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11923-2023</t>
        </is>
      </c>
      <c r="B1189" s="1" t="n">
        <v>44995.47401620371</v>
      </c>
      <c r="C1189" s="1" t="n">
        <v>46076</v>
      </c>
      <c r="D1189" t="inlineStr">
        <is>
          <t>GÄVLEBORGS LÄN</t>
        </is>
      </c>
      <c r="E1189" t="inlineStr">
        <is>
          <t>LJUSDAL</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60352-2025</t>
        </is>
      </c>
      <c r="B1190" s="1" t="n">
        <v>45995.30913194444</v>
      </c>
      <c r="C1190" s="1" t="n">
        <v>46076</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20109-2025</t>
        </is>
      </c>
      <c r="B1191" s="1" t="n">
        <v>45772.47123842593</v>
      </c>
      <c r="C1191" s="1" t="n">
        <v>46076</v>
      </c>
      <c r="D1191" t="inlineStr">
        <is>
          <t>GÄVLEBORGS LÄN</t>
        </is>
      </c>
      <c r="E1191" t="inlineStr">
        <is>
          <t>LJUSDAL</t>
        </is>
      </c>
      <c r="F1191" t="inlineStr">
        <is>
          <t>Sveaskog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60251-2025</t>
        </is>
      </c>
      <c r="B1192" s="1" t="n">
        <v>45994.59480324074</v>
      </c>
      <c r="C1192" s="1" t="n">
        <v>46076</v>
      </c>
      <c r="D1192" t="inlineStr">
        <is>
          <t>GÄVLEBORGS LÄN</t>
        </is>
      </c>
      <c r="E1192" t="inlineStr">
        <is>
          <t>LJUSDAL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36658-2024</t>
        </is>
      </c>
      <c r="B1193" s="1" t="n">
        <v>45537.62311342593</v>
      </c>
      <c r="C1193" s="1" t="n">
        <v>46076</v>
      </c>
      <c r="D1193" t="inlineStr">
        <is>
          <t>GÄVLEBORGS LÄN</t>
        </is>
      </c>
      <c r="E1193" t="inlineStr">
        <is>
          <t>LJUSDAL</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60415-2025</t>
        </is>
      </c>
      <c r="B1194" s="1" t="n">
        <v>45995.4490162037</v>
      </c>
      <c r="C1194" s="1" t="n">
        <v>46076</v>
      </c>
      <c r="D1194" t="inlineStr">
        <is>
          <t>GÄVLEBORGS LÄN</t>
        </is>
      </c>
      <c r="E1194" t="inlineStr">
        <is>
          <t>LJUSDAL</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18453-2025</t>
        </is>
      </c>
      <c r="B1195" s="1" t="n">
        <v>45762.66689814815</v>
      </c>
      <c r="C1195" s="1" t="n">
        <v>46076</v>
      </c>
      <c r="D1195" t="inlineStr">
        <is>
          <t>GÄVLEBORGS LÄN</t>
        </is>
      </c>
      <c r="E1195" t="inlineStr">
        <is>
          <t>LJUSDAL</t>
        </is>
      </c>
      <c r="F1195" t="inlineStr">
        <is>
          <t>Kommuner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42979-2023</t>
        </is>
      </c>
      <c r="B1196" s="1" t="n">
        <v>45182.60753472222</v>
      </c>
      <c r="C1196" s="1" t="n">
        <v>46076</v>
      </c>
      <c r="D1196" t="inlineStr">
        <is>
          <t>GÄVLEBORGS LÄN</t>
        </is>
      </c>
      <c r="E1196" t="inlineStr">
        <is>
          <t>LJUSDAL</t>
        </is>
      </c>
      <c r="G1196" t="n">
        <v>13.2</v>
      </c>
      <c r="H1196" t="n">
        <v>0</v>
      </c>
      <c r="I1196" t="n">
        <v>0</v>
      </c>
      <c r="J1196" t="n">
        <v>0</v>
      </c>
      <c r="K1196" t="n">
        <v>0</v>
      </c>
      <c r="L1196" t="n">
        <v>0</v>
      </c>
      <c r="M1196" t="n">
        <v>0</v>
      </c>
      <c r="N1196" t="n">
        <v>0</v>
      </c>
      <c r="O1196" t="n">
        <v>0</v>
      </c>
      <c r="P1196" t="n">
        <v>0</v>
      </c>
      <c r="Q1196" t="n">
        <v>0</v>
      </c>
      <c r="R1196" s="2" t="inlineStr"/>
    </row>
    <row r="1197" ht="15" customHeight="1">
      <c r="A1197" t="inlineStr">
        <is>
          <t>A 14010-2022</t>
        </is>
      </c>
      <c r="B1197" s="1" t="n">
        <v>44650</v>
      </c>
      <c r="C1197" s="1" t="n">
        <v>46076</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60232-2025</t>
        </is>
      </c>
      <c r="B1198" s="1" t="n">
        <v>45994.57300925926</v>
      </c>
      <c r="C1198" s="1" t="n">
        <v>46076</v>
      </c>
      <c r="D1198" t="inlineStr">
        <is>
          <t>GÄVLEBORGS LÄN</t>
        </is>
      </c>
      <c r="E1198" t="inlineStr">
        <is>
          <t>LJUSDAL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20787-2024</t>
        </is>
      </c>
      <c r="B1199" s="1" t="n">
        <v>45438.31403935186</v>
      </c>
      <c r="C1199" s="1" t="n">
        <v>46076</v>
      </c>
      <c r="D1199" t="inlineStr">
        <is>
          <t>GÄVLEBORGS LÄN</t>
        </is>
      </c>
      <c r="E1199" t="inlineStr">
        <is>
          <t>LJUSDAL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60419-2025</t>
        </is>
      </c>
      <c r="B1200" s="1" t="n">
        <v>45995.45788194444</v>
      </c>
      <c r="C1200" s="1" t="n">
        <v>46076</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22013-2021</t>
        </is>
      </c>
      <c r="B1201" s="1" t="n">
        <v>44323.46296296296</v>
      </c>
      <c r="C1201" s="1" t="n">
        <v>46076</v>
      </c>
      <c r="D1201" t="inlineStr">
        <is>
          <t>GÄVLEBORGS LÄN</t>
        </is>
      </c>
      <c r="E1201" t="inlineStr">
        <is>
          <t>LJUSDAL</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60438-2025</t>
        </is>
      </c>
      <c r="B1202" s="1" t="n">
        <v>45995.49</v>
      </c>
      <c r="C1202" s="1" t="n">
        <v>46076</v>
      </c>
      <c r="D1202" t="inlineStr">
        <is>
          <t>GÄVLEBORGS LÄN</t>
        </is>
      </c>
      <c r="E1202" t="inlineStr">
        <is>
          <t>LJUSDAL</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56008-2024</t>
        </is>
      </c>
      <c r="B1203" s="1" t="n">
        <v>45623.8034837963</v>
      </c>
      <c r="C1203" s="1" t="n">
        <v>46076</v>
      </c>
      <c r="D1203" t="inlineStr">
        <is>
          <t>GÄVLEBORGS LÄN</t>
        </is>
      </c>
      <c r="E1203" t="inlineStr">
        <is>
          <t>LJUSDAL</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60679-2025</t>
        </is>
      </c>
      <c r="B1204" s="1" t="n">
        <v>45996.5630787037</v>
      </c>
      <c r="C1204" s="1" t="n">
        <v>46076</v>
      </c>
      <c r="D1204" t="inlineStr">
        <is>
          <t>GÄVLEBORGS LÄN</t>
        </is>
      </c>
      <c r="E1204" t="inlineStr">
        <is>
          <t>LJUSDAL</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62095-2023</t>
        </is>
      </c>
      <c r="B1205" s="1" t="n">
        <v>45266</v>
      </c>
      <c r="C1205" s="1" t="n">
        <v>46076</v>
      </c>
      <c r="D1205" t="inlineStr">
        <is>
          <t>GÄVLEBORGS LÄN</t>
        </is>
      </c>
      <c r="E1205" t="inlineStr">
        <is>
          <t>LJUSDAL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1607-2026</t>
        </is>
      </c>
      <c r="B1206" s="1" t="n">
        <v>46034</v>
      </c>
      <c r="C1206" s="1" t="n">
        <v>46076</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2787-2026</t>
        </is>
      </c>
      <c r="B1207" s="1" t="n">
        <v>46038.39189814815</v>
      </c>
      <c r="C1207" s="1" t="n">
        <v>46076</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47924-2021</t>
        </is>
      </c>
      <c r="B1208" s="1" t="n">
        <v>44448</v>
      </c>
      <c r="C1208" s="1" t="n">
        <v>46076</v>
      </c>
      <c r="D1208" t="inlineStr">
        <is>
          <t>GÄVLEBORGS LÄN</t>
        </is>
      </c>
      <c r="E1208" t="inlineStr">
        <is>
          <t>LJUSDAL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25204-2024</t>
        </is>
      </c>
      <c r="B1209" s="1" t="n">
        <v>45462.57364583333</v>
      </c>
      <c r="C1209" s="1" t="n">
        <v>46076</v>
      </c>
      <c r="D1209" t="inlineStr">
        <is>
          <t>GÄVLEBORGS LÄN</t>
        </is>
      </c>
      <c r="E1209" t="inlineStr">
        <is>
          <t>LJUSDAL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6498-2025</t>
        </is>
      </c>
      <c r="B1210" s="1" t="n">
        <v>45699.63789351852</v>
      </c>
      <c r="C1210" s="1" t="n">
        <v>46076</v>
      </c>
      <c r="D1210" t="inlineStr">
        <is>
          <t>GÄVLEBORGS LÄN</t>
        </is>
      </c>
      <c r="E1210" t="inlineStr">
        <is>
          <t>LJUSDAL</t>
        </is>
      </c>
      <c r="F1210" t="inlineStr">
        <is>
          <t>Holmen skog AB</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3114-2026</t>
        </is>
      </c>
      <c r="B1211" s="1" t="n">
        <v>46041.36525462963</v>
      </c>
      <c r="C1211" s="1" t="n">
        <v>46076</v>
      </c>
      <c r="D1211" t="inlineStr">
        <is>
          <t>GÄVLEBORGS LÄN</t>
        </is>
      </c>
      <c r="E1211" t="inlineStr">
        <is>
          <t>LJUSDAL</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3136-2026</t>
        </is>
      </c>
      <c r="B1212" s="1" t="n">
        <v>46041.3971875</v>
      </c>
      <c r="C1212" s="1" t="n">
        <v>46076</v>
      </c>
      <c r="D1212" t="inlineStr">
        <is>
          <t>GÄVLEBORGS LÄN</t>
        </is>
      </c>
      <c r="E1212" t="inlineStr">
        <is>
          <t>LJUSDAL</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67923-2021</t>
        </is>
      </c>
      <c r="B1213" s="1" t="n">
        <v>44525.61118055556</v>
      </c>
      <c r="C1213" s="1" t="n">
        <v>46076</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60763-2025</t>
        </is>
      </c>
      <c r="B1214" s="1" t="n">
        <v>45999.38649305556</v>
      </c>
      <c r="C1214" s="1" t="n">
        <v>46076</v>
      </c>
      <c r="D1214" t="inlineStr">
        <is>
          <t>GÄVLEBORGS LÄN</t>
        </is>
      </c>
      <c r="E1214" t="inlineStr">
        <is>
          <t>LJUSDAL</t>
        </is>
      </c>
      <c r="F1214" t="inlineStr">
        <is>
          <t>SCA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57977-2022</t>
        </is>
      </c>
      <c r="B1215" s="1" t="n">
        <v>44900.45950231481</v>
      </c>
      <c r="C1215" s="1" t="n">
        <v>46076</v>
      </c>
      <c r="D1215" t="inlineStr">
        <is>
          <t>GÄVLEBORGS LÄN</t>
        </is>
      </c>
      <c r="E1215" t="inlineStr">
        <is>
          <t>LJUSDAL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55446-2021</t>
        </is>
      </c>
      <c r="B1216" s="1" t="n">
        <v>44475.57178240741</v>
      </c>
      <c r="C1216" s="1" t="n">
        <v>46076</v>
      </c>
      <c r="D1216" t="inlineStr">
        <is>
          <t>GÄVLEBORGS LÄN</t>
        </is>
      </c>
      <c r="E1216" t="inlineStr">
        <is>
          <t>LJUSDAL</t>
        </is>
      </c>
      <c r="F1216" t="inlineStr">
        <is>
          <t>Holmen skog AB</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3262-2026</t>
        </is>
      </c>
      <c r="B1217" s="1" t="n">
        <v>46041.59528935186</v>
      </c>
      <c r="C1217" s="1" t="n">
        <v>46076</v>
      </c>
      <c r="D1217" t="inlineStr">
        <is>
          <t>GÄVLEBORGS LÄN</t>
        </is>
      </c>
      <c r="E1217" t="inlineStr">
        <is>
          <t>LJUSDAL</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60919-2025</t>
        </is>
      </c>
      <c r="B1218" s="1" t="n">
        <v>45999.6171412037</v>
      </c>
      <c r="C1218" s="1" t="n">
        <v>46076</v>
      </c>
      <c r="D1218" t="inlineStr">
        <is>
          <t>GÄVLEBORGS LÄN</t>
        </is>
      </c>
      <c r="E1218" t="inlineStr">
        <is>
          <t>LJUSDAL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60885-2025</t>
        </is>
      </c>
      <c r="B1219" s="1" t="n">
        <v>45999.56585648148</v>
      </c>
      <c r="C1219" s="1" t="n">
        <v>46076</v>
      </c>
      <c r="D1219" t="inlineStr">
        <is>
          <t>GÄVLEBORGS LÄN</t>
        </is>
      </c>
      <c r="E1219" t="inlineStr">
        <is>
          <t>LJUSDAL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57905-2022</t>
        </is>
      </c>
      <c r="B1220" s="1" t="n">
        <v>44900</v>
      </c>
      <c r="C1220" s="1" t="n">
        <v>46076</v>
      </c>
      <c r="D1220" t="inlineStr">
        <is>
          <t>GÄVLEBORGS LÄN</t>
        </is>
      </c>
      <c r="E1220" t="inlineStr">
        <is>
          <t>LJUSDAL</t>
        </is>
      </c>
      <c r="F1220" t="inlineStr">
        <is>
          <t>Allmännings- och besparingsskogar</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60874-2025</t>
        </is>
      </c>
      <c r="B1221" s="1" t="n">
        <v>45999.5552662037</v>
      </c>
      <c r="C1221" s="1" t="n">
        <v>46076</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60682-2025</t>
        </is>
      </c>
      <c r="B1222" s="1" t="n">
        <v>45996</v>
      </c>
      <c r="C1222" s="1" t="n">
        <v>46076</v>
      </c>
      <c r="D1222" t="inlineStr">
        <is>
          <t>GÄVLEBORGS LÄN</t>
        </is>
      </c>
      <c r="E1222" t="inlineStr">
        <is>
          <t>LJUSDAL</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2802-2026</t>
        </is>
      </c>
      <c r="B1223" s="1" t="n">
        <v>46038.41144675926</v>
      </c>
      <c r="C1223" s="1" t="n">
        <v>46076</v>
      </c>
      <c r="D1223" t="inlineStr">
        <is>
          <t>GÄVLEBORGS LÄN</t>
        </is>
      </c>
      <c r="E1223" t="inlineStr">
        <is>
          <t>LJUSDAL</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2804-2026</t>
        </is>
      </c>
      <c r="B1224" s="1" t="n">
        <v>46038.41309027778</v>
      </c>
      <c r="C1224" s="1" t="n">
        <v>46076</v>
      </c>
      <c r="D1224" t="inlineStr">
        <is>
          <t>GÄVLEBORGS LÄN</t>
        </is>
      </c>
      <c r="E1224" t="inlineStr">
        <is>
          <t>LJUSDAL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12004-2023</t>
        </is>
      </c>
      <c r="B1225" s="1" t="n">
        <v>44995.61207175926</v>
      </c>
      <c r="C1225" s="1" t="n">
        <v>46076</v>
      </c>
      <c r="D1225" t="inlineStr">
        <is>
          <t>GÄVLEBORGS LÄN</t>
        </is>
      </c>
      <c r="E1225" t="inlineStr">
        <is>
          <t>LJUSDAL</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61234-2025</t>
        </is>
      </c>
      <c r="B1226" s="1" t="n">
        <v>46000.63702546297</v>
      </c>
      <c r="C1226" s="1" t="n">
        <v>46076</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35154-2023</t>
        </is>
      </c>
      <c r="B1227" s="1" t="n">
        <v>45145</v>
      </c>
      <c r="C1227" s="1" t="n">
        <v>46076</v>
      </c>
      <c r="D1227" t="inlineStr">
        <is>
          <t>GÄVLEBORGS LÄN</t>
        </is>
      </c>
      <c r="E1227" t="inlineStr">
        <is>
          <t>LJUSDAL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13667-2023</t>
        </is>
      </c>
      <c r="B1228" s="1" t="n">
        <v>45006</v>
      </c>
      <c r="C1228" s="1" t="n">
        <v>46076</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3351-2026</t>
        </is>
      </c>
      <c r="B1229" s="1" t="n">
        <v>46041.95627314815</v>
      </c>
      <c r="C1229" s="1" t="n">
        <v>46076</v>
      </c>
      <c r="D1229" t="inlineStr">
        <is>
          <t>GÄVLEBORGS LÄN</t>
        </is>
      </c>
      <c r="E1229" t="inlineStr">
        <is>
          <t>LJUSDAL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3352-2026</t>
        </is>
      </c>
      <c r="B1230" s="1" t="n">
        <v>46041.96070601852</v>
      </c>
      <c r="C1230" s="1" t="n">
        <v>46076</v>
      </c>
      <c r="D1230" t="inlineStr">
        <is>
          <t>GÄVLEBORGS LÄN</t>
        </is>
      </c>
      <c r="E1230" t="inlineStr">
        <is>
          <t>LJUSDAL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3621-2026</t>
        </is>
      </c>
      <c r="B1231" s="1" t="n">
        <v>46043.04653935185</v>
      </c>
      <c r="C1231" s="1" t="n">
        <v>46076</v>
      </c>
      <c r="D1231" t="inlineStr">
        <is>
          <t>GÄVLEBORGS LÄN</t>
        </is>
      </c>
      <c r="E1231" t="inlineStr">
        <is>
          <t>LJUSDAL</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43121-2023</t>
        </is>
      </c>
      <c r="B1232" s="1" t="n">
        <v>45182.94826388889</v>
      </c>
      <c r="C1232" s="1" t="n">
        <v>46076</v>
      </c>
      <c r="D1232" t="inlineStr">
        <is>
          <t>GÄVLEBORGS LÄN</t>
        </is>
      </c>
      <c r="E1232" t="inlineStr">
        <is>
          <t>LJUSDAL</t>
        </is>
      </c>
      <c r="F1232" t="inlineStr">
        <is>
          <t>SCA</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3349-2026</t>
        </is>
      </c>
      <c r="B1233" s="1" t="n">
        <v>46041.94484953704</v>
      </c>
      <c r="C1233" s="1" t="n">
        <v>46076</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61184-2025</t>
        </is>
      </c>
      <c r="B1234" s="1" t="n">
        <v>46000.58526620371</v>
      </c>
      <c r="C1234" s="1" t="n">
        <v>46076</v>
      </c>
      <c r="D1234" t="inlineStr">
        <is>
          <t>GÄVLEBORGS LÄN</t>
        </is>
      </c>
      <c r="E1234" t="inlineStr">
        <is>
          <t>LJUSDAL</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188-2024</t>
        </is>
      </c>
      <c r="B1235" s="1" t="n">
        <v>45294.61709490741</v>
      </c>
      <c r="C1235" s="1" t="n">
        <v>46076</v>
      </c>
      <c r="D1235" t="inlineStr">
        <is>
          <t>GÄVLEBORGS LÄN</t>
        </is>
      </c>
      <c r="E1235" t="inlineStr">
        <is>
          <t>LJUSDAL</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264-2024</t>
        </is>
      </c>
      <c r="B1236" s="1" t="n">
        <v>45295</v>
      </c>
      <c r="C1236" s="1" t="n">
        <v>46076</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61369-2025</t>
        </is>
      </c>
      <c r="B1237" s="1" t="n">
        <v>46001.4345949074</v>
      </c>
      <c r="C1237" s="1" t="n">
        <v>46076</v>
      </c>
      <c r="D1237" t="inlineStr">
        <is>
          <t>GÄVLEBORGS LÄN</t>
        </is>
      </c>
      <c r="E1237" t="inlineStr">
        <is>
          <t>LJUSDAL</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12391-2021</t>
        </is>
      </c>
      <c r="B1238" s="1" t="n">
        <v>44267.54184027778</v>
      </c>
      <c r="C1238" s="1" t="n">
        <v>46076</v>
      </c>
      <c r="D1238" t="inlineStr">
        <is>
          <t>GÄVLEBORGS LÄN</t>
        </is>
      </c>
      <c r="E1238" t="inlineStr">
        <is>
          <t>LJUSDAL</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61183-2025</t>
        </is>
      </c>
      <c r="B1239" s="1" t="n">
        <v>46000.58488425926</v>
      </c>
      <c r="C1239" s="1" t="n">
        <v>46076</v>
      </c>
      <c r="D1239" t="inlineStr">
        <is>
          <t>GÄVLEBORGS LÄN</t>
        </is>
      </c>
      <c r="E1239" t="inlineStr">
        <is>
          <t>LJUSDAL</t>
        </is>
      </c>
      <c r="F1239" t="inlineStr">
        <is>
          <t>Allmännings- och besparingsskogar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61211-2025</t>
        </is>
      </c>
      <c r="B1240" s="1" t="n">
        <v>46000.61608796296</v>
      </c>
      <c r="C1240" s="1" t="n">
        <v>46076</v>
      </c>
      <c r="D1240" t="inlineStr">
        <is>
          <t>GÄVLEBORGS LÄN</t>
        </is>
      </c>
      <c r="E1240" t="inlineStr">
        <is>
          <t>LJUSDAL</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63528-2021</t>
        </is>
      </c>
      <c r="B1241" s="1" t="n">
        <v>44508.65456018518</v>
      </c>
      <c r="C1241" s="1" t="n">
        <v>46076</v>
      </c>
      <c r="D1241" t="inlineStr">
        <is>
          <t>GÄVLEBORGS LÄN</t>
        </is>
      </c>
      <c r="E1241" t="inlineStr">
        <is>
          <t>LJUSDAL</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61359-2025</t>
        </is>
      </c>
      <c r="B1242" s="1" t="n">
        <v>46001.41976851852</v>
      </c>
      <c r="C1242" s="1" t="n">
        <v>46076</v>
      </c>
      <c r="D1242" t="inlineStr">
        <is>
          <t>GÄVLEBORGS LÄN</t>
        </is>
      </c>
      <c r="E1242" t="inlineStr">
        <is>
          <t>LJUSDAL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61364-2025</t>
        </is>
      </c>
      <c r="B1243" s="1" t="n">
        <v>46001.42761574074</v>
      </c>
      <c r="C1243" s="1" t="n">
        <v>46076</v>
      </c>
      <c r="D1243" t="inlineStr">
        <is>
          <t>GÄVLEBORGS LÄN</t>
        </is>
      </c>
      <c r="E1243" t="inlineStr">
        <is>
          <t>LJUSDAL</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61077-2025</t>
        </is>
      </c>
      <c r="B1244" s="1" t="n">
        <v>46000.39758101852</v>
      </c>
      <c r="C1244" s="1" t="n">
        <v>46076</v>
      </c>
      <c r="D1244" t="inlineStr">
        <is>
          <t>GÄVLEBORGS LÄN</t>
        </is>
      </c>
      <c r="E1244" t="inlineStr">
        <is>
          <t>LJUSDAL</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3618-2026</t>
        </is>
      </c>
      <c r="B1245" s="1" t="n">
        <v>46042.98135416667</v>
      </c>
      <c r="C1245" s="1" t="n">
        <v>46076</v>
      </c>
      <c r="D1245" t="inlineStr">
        <is>
          <t>GÄVLEBORGS LÄN</t>
        </is>
      </c>
      <c r="E1245" t="inlineStr">
        <is>
          <t>LJUSDAL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61416-2024</t>
        </is>
      </c>
      <c r="B1246" s="1" t="n">
        <v>45646.44552083333</v>
      </c>
      <c r="C1246" s="1" t="n">
        <v>46076</v>
      </c>
      <c r="D1246" t="inlineStr">
        <is>
          <t>GÄVLEBORGS LÄN</t>
        </is>
      </c>
      <c r="E1246" t="inlineStr">
        <is>
          <t>LJUSDAL</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20043-2024</t>
        </is>
      </c>
      <c r="B1247" s="1" t="n">
        <v>45434</v>
      </c>
      <c r="C1247" s="1" t="n">
        <v>46076</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22758-2021</t>
        </is>
      </c>
      <c r="B1248" s="1" t="n">
        <v>44327.8400462963</v>
      </c>
      <c r="C1248" s="1" t="n">
        <v>46076</v>
      </c>
      <c r="D1248" t="inlineStr">
        <is>
          <t>GÄVLEBORGS LÄN</t>
        </is>
      </c>
      <c r="E1248" t="inlineStr">
        <is>
          <t>LJUSDAL</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147-2024</t>
        </is>
      </c>
      <c r="B1249" s="1" t="n">
        <v>45294.46956018519</v>
      </c>
      <c r="C1249" s="1" t="n">
        <v>46076</v>
      </c>
      <c r="D1249" t="inlineStr">
        <is>
          <t>GÄVLEBORGS LÄN</t>
        </is>
      </c>
      <c r="E1249" t="inlineStr">
        <is>
          <t>LJUSDAL</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7729-2024</t>
        </is>
      </c>
      <c r="B1250" s="1" t="n">
        <v>45349</v>
      </c>
      <c r="C1250" s="1" t="n">
        <v>46076</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61756-2025</t>
        </is>
      </c>
      <c r="B1251" s="1" t="n">
        <v>46002.61667824074</v>
      </c>
      <c r="C1251" s="1" t="n">
        <v>46076</v>
      </c>
      <c r="D1251" t="inlineStr">
        <is>
          <t>GÄVLEBORGS LÄN</t>
        </is>
      </c>
      <c r="E1251" t="inlineStr">
        <is>
          <t>LJUSDAL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61993-2025</t>
        </is>
      </c>
      <c r="B1252" s="1" t="n">
        <v>46003.6328587963</v>
      </c>
      <c r="C1252" s="1" t="n">
        <v>46076</v>
      </c>
      <c r="D1252" t="inlineStr">
        <is>
          <t>GÄVLEBORGS LÄN</t>
        </is>
      </c>
      <c r="E1252" t="inlineStr">
        <is>
          <t>LJUSDAL</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61748-2025</t>
        </is>
      </c>
      <c r="B1253" s="1" t="n">
        <v>46002.61027777778</v>
      </c>
      <c r="C1253" s="1" t="n">
        <v>46076</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36233-2022</t>
        </is>
      </c>
      <c r="B1254" s="1" t="n">
        <v>44803.56774305556</v>
      </c>
      <c r="C1254" s="1" t="n">
        <v>46076</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55681-2023</t>
        </is>
      </c>
      <c r="B1255" s="1" t="n">
        <v>45239.34327546296</v>
      </c>
      <c r="C1255" s="1" t="n">
        <v>46076</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4319-2026</t>
        </is>
      </c>
      <c r="B1256" s="1" t="n">
        <v>46045.45097222222</v>
      </c>
      <c r="C1256" s="1" t="n">
        <v>46076</v>
      </c>
      <c r="D1256" t="inlineStr">
        <is>
          <t>GÄVLEBORGS LÄN</t>
        </is>
      </c>
      <c r="E1256" t="inlineStr">
        <is>
          <t>LJUSDAL</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7606-2022</t>
        </is>
      </c>
      <c r="B1257" s="1" t="n">
        <v>44607.65809027778</v>
      </c>
      <c r="C1257" s="1" t="n">
        <v>46076</v>
      </c>
      <c r="D1257" t="inlineStr">
        <is>
          <t>GÄVLEBORGS LÄN</t>
        </is>
      </c>
      <c r="E1257" t="inlineStr">
        <is>
          <t>LJUSDAL</t>
        </is>
      </c>
      <c r="F1257" t="inlineStr">
        <is>
          <t>Holmen skog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642-2026</t>
        </is>
      </c>
      <c r="B1258" s="1" t="n">
        <v>46029.56561342593</v>
      </c>
      <c r="C1258" s="1" t="n">
        <v>46076</v>
      </c>
      <c r="D1258" t="inlineStr">
        <is>
          <t>GÄVLEBORGS LÄN</t>
        </is>
      </c>
      <c r="E1258" t="inlineStr">
        <is>
          <t>LJUSDAL</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2869-2026</t>
        </is>
      </c>
      <c r="B1259" s="1" t="n">
        <v>46038</v>
      </c>
      <c r="C1259" s="1" t="n">
        <v>46076</v>
      </c>
      <c r="D1259" t="inlineStr">
        <is>
          <t>GÄVLEBORGS LÄN</t>
        </is>
      </c>
      <c r="E1259" t="inlineStr">
        <is>
          <t>LJUSDAL</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61833-2025</t>
        </is>
      </c>
      <c r="B1260" s="1" t="n">
        <v>46003.3446412037</v>
      </c>
      <c r="C1260" s="1" t="n">
        <v>46076</v>
      </c>
      <c r="D1260" t="inlineStr">
        <is>
          <t>GÄVLEBORGS LÄN</t>
        </is>
      </c>
      <c r="E1260" t="inlineStr">
        <is>
          <t>LJUSDAL</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3954-2026</t>
        </is>
      </c>
      <c r="B1261" s="1" t="n">
        <v>46044.32200231482</v>
      </c>
      <c r="C1261" s="1" t="n">
        <v>46076</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12555-2023</t>
        </is>
      </c>
      <c r="B1262" s="1" t="n">
        <v>45000.354375</v>
      </c>
      <c r="C1262" s="1" t="n">
        <v>46076</v>
      </c>
      <c r="D1262" t="inlineStr">
        <is>
          <t>GÄVLEBORGS LÄN</t>
        </is>
      </c>
      <c r="E1262" t="inlineStr">
        <is>
          <t>LJUSDAL</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61618-2025</t>
        </is>
      </c>
      <c r="B1263" s="1" t="n">
        <v>46002.39143518519</v>
      </c>
      <c r="C1263" s="1" t="n">
        <v>46076</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c r="U1263">
        <f>HYPERLINK("https://klasma.github.io/Logging_2161/knärot/A 61618-2025 karta knärot.png", "A 61618-2025")</f>
        <v/>
      </c>
      <c r="V1263">
        <f>HYPERLINK("https://klasma.github.io/Logging_2161/klagomål/A 61618-2025 FSC-klagomål.docx", "A 61618-2025")</f>
        <v/>
      </c>
      <c r="W1263">
        <f>HYPERLINK("https://klasma.github.io/Logging_2161/klagomålsmail/A 61618-2025 FSC-klagomål mail.docx", "A 61618-2025")</f>
        <v/>
      </c>
      <c r="X1263">
        <f>HYPERLINK("https://klasma.github.io/Logging_2161/tillsyn/A 61618-2025 tillsynsbegäran.docx", "A 61618-2025")</f>
        <v/>
      </c>
      <c r="Y1263">
        <f>HYPERLINK("https://klasma.github.io/Logging_2161/tillsynsmail/A 61618-2025 tillsynsbegäran mail.docx", "A 61618-2025")</f>
        <v/>
      </c>
    </row>
    <row r="1264" ht="15" customHeight="1">
      <c r="A1264" t="inlineStr">
        <is>
          <t>A 4686-2023</t>
        </is>
      </c>
      <c r="B1264" s="1" t="n">
        <v>44957.46049768518</v>
      </c>
      <c r="C1264" s="1" t="n">
        <v>46076</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3961-2026</t>
        </is>
      </c>
      <c r="B1265" s="1" t="n">
        <v>46044.34211805555</v>
      </c>
      <c r="C1265" s="1" t="n">
        <v>46076</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62156-2025</t>
        </is>
      </c>
      <c r="B1266" s="1" t="n">
        <v>46006.4903587963</v>
      </c>
      <c r="C1266" s="1" t="n">
        <v>46076</v>
      </c>
      <c r="D1266" t="inlineStr">
        <is>
          <t>GÄVLEBORGS LÄN</t>
        </is>
      </c>
      <c r="E1266" t="inlineStr">
        <is>
          <t>LJUSDAL</t>
        </is>
      </c>
      <c r="F1266" t="inlineStr">
        <is>
          <t>SCA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62172-2025</t>
        </is>
      </c>
      <c r="B1267" s="1" t="n">
        <v>46006.51133101852</v>
      </c>
      <c r="C1267" s="1" t="n">
        <v>46076</v>
      </c>
      <c r="D1267" t="inlineStr">
        <is>
          <t>GÄVLEBORGS LÄN</t>
        </is>
      </c>
      <c r="E1267" t="inlineStr">
        <is>
          <t>LJUSDAL</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39597-2024</t>
        </is>
      </c>
      <c r="B1268" s="1" t="n">
        <v>45552.37586805555</v>
      </c>
      <c r="C1268" s="1" t="n">
        <v>46076</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4687-2026</t>
        </is>
      </c>
      <c r="B1269" s="1" t="n">
        <v>46048.43785879629</v>
      </c>
      <c r="C1269" s="1" t="n">
        <v>46076</v>
      </c>
      <c r="D1269" t="inlineStr">
        <is>
          <t>GÄVLEBORGS LÄN</t>
        </is>
      </c>
      <c r="E1269" t="inlineStr">
        <is>
          <t>LJUSDAL</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18971-2025</t>
        </is>
      </c>
      <c r="B1270" s="1" t="n">
        <v>45764.53803240741</v>
      </c>
      <c r="C1270" s="1" t="n">
        <v>46076</v>
      </c>
      <c r="D1270" t="inlineStr">
        <is>
          <t>GÄVLEBORGS LÄN</t>
        </is>
      </c>
      <c r="E1270" t="inlineStr">
        <is>
          <t>LJUSDAL</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9540-2021</t>
        </is>
      </c>
      <c r="B1271" s="1" t="n">
        <v>44251</v>
      </c>
      <c r="C1271" s="1" t="n">
        <v>46076</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4595-2026</t>
        </is>
      </c>
      <c r="B1272" s="1" t="n">
        <v>46048.34481481482</v>
      </c>
      <c r="C1272" s="1" t="n">
        <v>46076</v>
      </c>
      <c r="D1272" t="inlineStr">
        <is>
          <t>GÄVLEBORGS LÄN</t>
        </is>
      </c>
      <c r="E1272" t="inlineStr">
        <is>
          <t>LJUSDAL</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47403-2024</t>
        </is>
      </c>
      <c r="B1273" s="1" t="n">
        <v>45587.47396990741</v>
      </c>
      <c r="C1273" s="1" t="n">
        <v>46076</v>
      </c>
      <c r="D1273" t="inlineStr">
        <is>
          <t>GÄVLEBORGS LÄN</t>
        </is>
      </c>
      <c r="E1273" t="inlineStr">
        <is>
          <t>LJUSDAL</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19718-2025</t>
        </is>
      </c>
      <c r="B1274" s="1" t="n">
        <v>45771.35664351852</v>
      </c>
      <c r="C1274" s="1" t="n">
        <v>46076</v>
      </c>
      <c r="D1274" t="inlineStr">
        <is>
          <t>GÄVLEBORGS LÄN</t>
        </is>
      </c>
      <c r="E1274" t="inlineStr">
        <is>
          <t>LJUSDAL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21125-2023</t>
        </is>
      </c>
      <c r="B1275" s="1" t="n">
        <v>45062.29048611111</v>
      </c>
      <c r="C1275" s="1" t="n">
        <v>46076</v>
      </c>
      <c r="D1275" t="inlineStr">
        <is>
          <t>GÄVLEBORGS LÄN</t>
        </is>
      </c>
      <c r="E1275" t="inlineStr">
        <is>
          <t>LJUSDAL</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4895-2026</t>
        </is>
      </c>
      <c r="B1276" s="1" t="n">
        <v>46048.67680555556</v>
      </c>
      <c r="C1276" s="1" t="n">
        <v>46076</v>
      </c>
      <c r="D1276" t="inlineStr">
        <is>
          <t>GÄVLEBORGS LÄN</t>
        </is>
      </c>
      <c r="E1276" t="inlineStr">
        <is>
          <t>LJUSDAL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46076</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35782-2023</t>
        </is>
      </c>
      <c r="B1278" s="1" t="n">
        <v>45148</v>
      </c>
      <c r="C1278" s="1" t="n">
        <v>46076</v>
      </c>
      <c r="D1278" t="inlineStr">
        <is>
          <t>GÄVLEBORGS LÄN</t>
        </is>
      </c>
      <c r="E1278" t="inlineStr">
        <is>
          <t>LJUSDAL</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62192-2025</t>
        </is>
      </c>
      <c r="B1279" s="1" t="n">
        <v>46006.55141203704</v>
      </c>
      <c r="C1279" s="1" t="n">
        <v>46076</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62045-2025</t>
        </is>
      </c>
      <c r="B1280" s="1" t="n">
        <v>46005.77755787037</v>
      </c>
      <c r="C1280" s="1" t="n">
        <v>46076</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62377-2025</t>
        </is>
      </c>
      <c r="B1281" s="1" t="n">
        <v>46007.35341435186</v>
      </c>
      <c r="C1281" s="1" t="n">
        <v>46076</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19066-2025</t>
        </is>
      </c>
      <c r="B1282" s="1" t="n">
        <v>45765.42739583334</v>
      </c>
      <c r="C1282" s="1" t="n">
        <v>46076</v>
      </c>
      <c r="D1282" t="inlineStr">
        <is>
          <t>GÄVLEBORGS LÄN</t>
        </is>
      </c>
      <c r="E1282" t="inlineStr">
        <is>
          <t>LJUSDAL</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4610-2026</t>
        </is>
      </c>
      <c r="B1283" s="1" t="n">
        <v>46048.3632175926</v>
      </c>
      <c r="C1283" s="1" t="n">
        <v>46076</v>
      </c>
      <c r="D1283" t="inlineStr">
        <is>
          <t>GÄVLEBORGS LÄN</t>
        </is>
      </c>
      <c r="E1283" t="inlineStr">
        <is>
          <t>LJUSDAL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4983-2026</t>
        </is>
      </c>
      <c r="B1284" s="1" t="n">
        <v>46049.37723379629</v>
      </c>
      <c r="C1284" s="1" t="n">
        <v>46076</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62203-2025</t>
        </is>
      </c>
      <c r="B1285" s="1" t="n">
        <v>46006.55605324074</v>
      </c>
      <c r="C1285" s="1" t="n">
        <v>46076</v>
      </c>
      <c r="D1285" t="inlineStr">
        <is>
          <t>GÄVLEBORGS LÄN</t>
        </is>
      </c>
      <c r="E1285" t="inlineStr">
        <is>
          <t>LJUSDAL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19973-2021</t>
        </is>
      </c>
      <c r="B1286" s="1" t="n">
        <v>44313</v>
      </c>
      <c r="C1286" s="1" t="n">
        <v>46076</v>
      </c>
      <c r="D1286" t="inlineStr">
        <is>
          <t>GÄVLEBORGS LÄN</t>
        </is>
      </c>
      <c r="E1286" t="inlineStr">
        <is>
          <t>LJUSDAL</t>
        </is>
      </c>
      <c r="F1286" t="inlineStr">
        <is>
          <t>Sveaskog</t>
        </is>
      </c>
      <c r="G1286" t="n">
        <v>38.9</v>
      </c>
      <c r="H1286" t="n">
        <v>0</v>
      </c>
      <c r="I1286" t="n">
        <v>0</v>
      </c>
      <c r="J1286" t="n">
        <v>0</v>
      </c>
      <c r="K1286" t="n">
        <v>0</v>
      </c>
      <c r="L1286" t="n">
        <v>0</v>
      </c>
      <c r="M1286" t="n">
        <v>0</v>
      </c>
      <c r="N1286" t="n">
        <v>0</v>
      </c>
      <c r="O1286" t="n">
        <v>0</v>
      </c>
      <c r="P1286" t="n">
        <v>0</v>
      </c>
      <c r="Q1286" t="n">
        <v>0</v>
      </c>
      <c r="R1286" s="2" t="inlineStr"/>
    </row>
    <row r="1287" ht="15" customHeight="1">
      <c r="A1287" t="inlineStr">
        <is>
          <t>A 27718-2023</t>
        </is>
      </c>
      <c r="B1287" s="1" t="n">
        <v>45098</v>
      </c>
      <c r="C1287" s="1" t="n">
        <v>46076</v>
      </c>
      <c r="D1287" t="inlineStr">
        <is>
          <t>GÄVLEBORGS LÄN</t>
        </is>
      </c>
      <c r="E1287" t="inlineStr">
        <is>
          <t>LJUSDAL</t>
        </is>
      </c>
      <c r="F1287" t="inlineStr">
        <is>
          <t>Holmen skog AB</t>
        </is>
      </c>
      <c r="G1287" t="n">
        <v>23.3</v>
      </c>
      <c r="H1287" t="n">
        <v>0</v>
      </c>
      <c r="I1287" t="n">
        <v>0</v>
      </c>
      <c r="J1287" t="n">
        <v>0</v>
      </c>
      <c r="K1287" t="n">
        <v>0</v>
      </c>
      <c r="L1287" t="n">
        <v>0</v>
      </c>
      <c r="M1287" t="n">
        <v>0</v>
      </c>
      <c r="N1287" t="n">
        <v>0</v>
      </c>
      <c r="O1287" t="n">
        <v>0</v>
      </c>
      <c r="P1287" t="n">
        <v>0</v>
      </c>
      <c r="Q1287" t="n">
        <v>0</v>
      </c>
      <c r="R1287" s="2" t="inlineStr"/>
    </row>
    <row r="1288" ht="15" customHeight="1">
      <c r="A1288" t="inlineStr">
        <is>
          <t>A 38598-2022</t>
        </is>
      </c>
      <c r="B1288" s="1" t="n">
        <v>44813</v>
      </c>
      <c r="C1288" s="1" t="n">
        <v>46076</v>
      </c>
      <c r="D1288" t="inlineStr">
        <is>
          <t>GÄVLEBORGS LÄN</t>
        </is>
      </c>
      <c r="E1288" t="inlineStr">
        <is>
          <t>LJUSDAL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7182-2023</t>
        </is>
      </c>
      <c r="B1289" s="1" t="n">
        <v>44970</v>
      </c>
      <c r="C1289" s="1" t="n">
        <v>46076</v>
      </c>
      <c r="D1289" t="inlineStr">
        <is>
          <t>GÄVLEBORGS LÄN</t>
        </is>
      </c>
      <c r="E1289" t="inlineStr">
        <is>
          <t>LJUSDAL</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62207-2025</t>
        </is>
      </c>
      <c r="B1290" s="1" t="n">
        <v>46006.56285879629</v>
      </c>
      <c r="C1290" s="1" t="n">
        <v>46076</v>
      </c>
      <c r="D1290" t="inlineStr">
        <is>
          <t>GÄVLEBORGS LÄN</t>
        </is>
      </c>
      <c r="E1290" t="inlineStr">
        <is>
          <t>LJUSDAL</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35826-2023</t>
        </is>
      </c>
      <c r="B1291" s="1" t="n">
        <v>45148.46752314815</v>
      </c>
      <c r="C1291" s="1" t="n">
        <v>46076</v>
      </c>
      <c r="D1291" t="inlineStr">
        <is>
          <t>GÄVLEBORGS LÄN</t>
        </is>
      </c>
      <c r="E1291" t="inlineStr">
        <is>
          <t>LJUSDAL</t>
        </is>
      </c>
      <c r="F1291" t="inlineStr">
        <is>
          <t>Kommuner</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31890-2022</t>
        </is>
      </c>
      <c r="B1292" s="1" t="n">
        <v>44777</v>
      </c>
      <c r="C1292" s="1" t="n">
        <v>46076</v>
      </c>
      <c r="D1292" t="inlineStr">
        <is>
          <t>GÄVLEBORGS LÄN</t>
        </is>
      </c>
      <c r="E1292" t="inlineStr">
        <is>
          <t>LJUSDAL</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62935-2025</t>
        </is>
      </c>
      <c r="B1293" s="1" t="n">
        <v>46009.41648148148</v>
      </c>
      <c r="C1293" s="1" t="n">
        <v>46076</v>
      </c>
      <c r="D1293" t="inlineStr">
        <is>
          <t>GÄVLEBORGS LÄN</t>
        </is>
      </c>
      <c r="E1293" t="inlineStr">
        <is>
          <t>LJUSDAL</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58322-2024</t>
        </is>
      </c>
      <c r="B1294" s="1" t="n">
        <v>45632.62454861111</v>
      </c>
      <c r="C1294" s="1" t="n">
        <v>46076</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29290-2021</t>
        </is>
      </c>
      <c r="B1295" s="1" t="n">
        <v>44361.38045138889</v>
      </c>
      <c r="C1295" s="1" t="n">
        <v>46076</v>
      </c>
      <c r="D1295" t="inlineStr">
        <is>
          <t>GÄVLEBORGS LÄN</t>
        </is>
      </c>
      <c r="E1295" t="inlineStr">
        <is>
          <t>LJUSDAL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35997-2023</t>
        </is>
      </c>
      <c r="B1296" s="1" t="n">
        <v>45149.33300925926</v>
      </c>
      <c r="C1296" s="1" t="n">
        <v>46076</v>
      </c>
      <c r="D1296" t="inlineStr">
        <is>
          <t>GÄVLEBORGS LÄN</t>
        </is>
      </c>
      <c r="E1296" t="inlineStr">
        <is>
          <t>LJUSDAL</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57-2024</t>
        </is>
      </c>
      <c r="B1297" s="1" t="n">
        <v>45293.60358796296</v>
      </c>
      <c r="C1297" s="1" t="n">
        <v>46076</v>
      </c>
      <c r="D1297" t="inlineStr">
        <is>
          <t>GÄVLEBORGS LÄN</t>
        </is>
      </c>
      <c r="E1297" t="inlineStr">
        <is>
          <t>LJUSDAL</t>
        </is>
      </c>
      <c r="F1297" t="inlineStr">
        <is>
          <t>Holmen skog AB</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62895-2025</t>
        </is>
      </c>
      <c r="B1298" s="1" t="n">
        <v>46009.34284722222</v>
      </c>
      <c r="C1298" s="1" t="n">
        <v>46076</v>
      </c>
      <c r="D1298" t="inlineStr">
        <is>
          <t>GÄVLEBORGS LÄN</t>
        </is>
      </c>
      <c r="E1298" t="inlineStr">
        <is>
          <t>LJUSDAL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62913-2025</t>
        </is>
      </c>
      <c r="B1299" s="1" t="n">
        <v>46009.36638888889</v>
      </c>
      <c r="C1299" s="1" t="n">
        <v>46076</v>
      </c>
      <c r="D1299" t="inlineStr">
        <is>
          <t>GÄVLEBORGS LÄN</t>
        </is>
      </c>
      <c r="E1299" t="inlineStr">
        <is>
          <t>LJUSDAL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34094-2023</t>
        </is>
      </c>
      <c r="B1300" s="1" t="n">
        <v>45135.5841087963</v>
      </c>
      <c r="C1300" s="1" t="n">
        <v>46076</v>
      </c>
      <c r="D1300" t="inlineStr">
        <is>
          <t>GÄVLEBORGS LÄN</t>
        </is>
      </c>
      <c r="E1300" t="inlineStr">
        <is>
          <t>LJUSDAL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57189-2024</t>
        </is>
      </c>
      <c r="B1301" s="1" t="n">
        <v>45629</v>
      </c>
      <c r="C1301" s="1" t="n">
        <v>46076</v>
      </c>
      <c r="D1301" t="inlineStr">
        <is>
          <t>GÄVLEBORGS LÄN</t>
        </is>
      </c>
      <c r="E1301" t="inlineStr">
        <is>
          <t>LJUSDAL</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5400-2026</t>
        </is>
      </c>
      <c r="B1302" s="1" t="n">
        <v>46050.49166666667</v>
      </c>
      <c r="C1302" s="1" t="n">
        <v>46076</v>
      </c>
      <c r="D1302" t="inlineStr">
        <is>
          <t>GÄVLEBORGS LÄN</t>
        </is>
      </c>
      <c r="E1302" t="inlineStr">
        <is>
          <t>LJUSDAL</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4477-2026</t>
        </is>
      </c>
      <c r="B1303" s="1" t="n">
        <v>46045.6671875</v>
      </c>
      <c r="C1303" s="1" t="n">
        <v>46076</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63095-2025</t>
        </is>
      </c>
      <c r="B1304" s="1" t="n">
        <v>46009.68443287037</v>
      </c>
      <c r="C1304" s="1" t="n">
        <v>46076</v>
      </c>
      <c r="D1304" t="inlineStr">
        <is>
          <t>GÄVLEBORGS LÄN</t>
        </is>
      </c>
      <c r="E1304" t="inlineStr">
        <is>
          <t>LJUSDAL</t>
        </is>
      </c>
      <c r="F1304" t="inlineStr">
        <is>
          <t>Kommuner</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13116-2023</t>
        </is>
      </c>
      <c r="B1305" s="1" t="n">
        <v>45002.47825231482</v>
      </c>
      <c r="C1305" s="1" t="n">
        <v>46076</v>
      </c>
      <c r="D1305" t="inlineStr">
        <is>
          <t>GÄVLEBORGS LÄN</t>
        </is>
      </c>
      <c r="E1305" t="inlineStr">
        <is>
          <t>LJUSDAL</t>
        </is>
      </c>
      <c r="F1305" t="inlineStr">
        <is>
          <t>Allmännings- och besparingsskogar</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62792-2025</t>
        </is>
      </c>
      <c r="B1306" s="1" t="n">
        <v>46008.63590277778</v>
      </c>
      <c r="C1306" s="1" t="n">
        <v>46076</v>
      </c>
      <c r="D1306" t="inlineStr">
        <is>
          <t>GÄVLEBORGS LÄN</t>
        </is>
      </c>
      <c r="E1306" t="inlineStr">
        <is>
          <t>LJUSDAL</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14263-2024</t>
        </is>
      </c>
      <c r="B1307" s="1" t="n">
        <v>45393.55355324074</v>
      </c>
      <c r="C1307" s="1" t="n">
        <v>46076</v>
      </c>
      <c r="D1307" t="inlineStr">
        <is>
          <t>GÄVLEBORGS LÄN</t>
        </is>
      </c>
      <c r="E1307" t="inlineStr">
        <is>
          <t>LJUSDAL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48587-2021</t>
        </is>
      </c>
      <c r="B1308" s="1" t="n">
        <v>44452.47790509259</v>
      </c>
      <c r="C1308" s="1" t="n">
        <v>46076</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22248-2024</t>
        </is>
      </c>
      <c r="B1309" s="1" t="n">
        <v>45446.45638888889</v>
      </c>
      <c r="C1309" s="1" t="n">
        <v>46076</v>
      </c>
      <c r="D1309" t="inlineStr">
        <is>
          <t>GÄVLEBORGS LÄN</t>
        </is>
      </c>
      <c r="E1309" t="inlineStr">
        <is>
          <t>LJUSDAL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2922-2026</t>
        </is>
      </c>
      <c r="B1310" s="1" t="n">
        <v>46038</v>
      </c>
      <c r="C1310" s="1" t="n">
        <v>46076</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32924-2023</t>
        </is>
      </c>
      <c r="B1311" s="1" t="n">
        <v>45125.36489583334</v>
      </c>
      <c r="C1311" s="1" t="n">
        <v>46076</v>
      </c>
      <c r="D1311" t="inlineStr">
        <is>
          <t>GÄVLEBORGS LÄN</t>
        </is>
      </c>
      <c r="E1311" t="inlineStr">
        <is>
          <t>LJUSDAL</t>
        </is>
      </c>
      <c r="F1311" t="inlineStr">
        <is>
          <t>Holmen skog AB</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32943-2023</t>
        </is>
      </c>
      <c r="B1312" s="1" t="n">
        <v>45125</v>
      </c>
      <c r="C1312" s="1" t="n">
        <v>46076</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46076</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26579-2025</t>
        </is>
      </c>
      <c r="B1314" s="1" t="n">
        <v>45807</v>
      </c>
      <c r="C1314" s="1" t="n">
        <v>46076</v>
      </c>
      <c r="D1314" t="inlineStr">
        <is>
          <t>GÄVLEBORGS LÄN</t>
        </is>
      </c>
      <c r="E1314" t="inlineStr">
        <is>
          <t>LJUSDAL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63297-2025</t>
        </is>
      </c>
      <c r="B1315" s="1" t="n">
        <v>46010.60025462963</v>
      </c>
      <c r="C1315" s="1" t="n">
        <v>46076</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43016-2022</t>
        </is>
      </c>
      <c r="B1316" s="1" t="n">
        <v>44833</v>
      </c>
      <c r="C1316" s="1" t="n">
        <v>46076</v>
      </c>
      <c r="D1316" t="inlineStr">
        <is>
          <t>GÄVLEBORGS LÄN</t>
        </is>
      </c>
      <c r="E1316" t="inlineStr">
        <is>
          <t>LJUSDAL</t>
        </is>
      </c>
      <c r="F1316" t="inlineStr">
        <is>
          <t>Naturvårdsverket</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23191-2022</t>
        </is>
      </c>
      <c r="B1317" s="1" t="n">
        <v>44719.92519675926</v>
      </c>
      <c r="C1317" s="1" t="n">
        <v>46076</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23192-2022</t>
        </is>
      </c>
      <c r="B1318" s="1" t="n">
        <v>44719.92523148148</v>
      </c>
      <c r="C1318" s="1" t="n">
        <v>46076</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6010-2026</t>
        </is>
      </c>
      <c r="B1319" s="1" t="n">
        <v>46052.59644675926</v>
      </c>
      <c r="C1319" s="1" t="n">
        <v>46076</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3434-2024</t>
        </is>
      </c>
      <c r="B1320" s="1" t="n">
        <v>45320.35980324074</v>
      </c>
      <c r="C1320" s="1" t="n">
        <v>46076</v>
      </c>
      <c r="D1320" t="inlineStr">
        <is>
          <t>GÄVLEBORGS LÄN</t>
        </is>
      </c>
      <c r="E1320" t="inlineStr">
        <is>
          <t>LJUSDAL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20477-2025</t>
        </is>
      </c>
      <c r="B1321" s="1" t="n">
        <v>45775.55076388889</v>
      </c>
      <c r="C1321" s="1" t="n">
        <v>46076</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6374-2026</t>
        </is>
      </c>
      <c r="B1322" s="1" t="n">
        <v>46055.63251157408</v>
      </c>
      <c r="C1322" s="1" t="n">
        <v>46076</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6401-2026</t>
        </is>
      </c>
      <c r="B1323" s="1" t="n">
        <v>46055.658125</v>
      </c>
      <c r="C1323" s="1" t="n">
        <v>46076</v>
      </c>
      <c r="D1323" t="inlineStr">
        <is>
          <t>GÄVLEBORGS LÄN</t>
        </is>
      </c>
      <c r="E1323" t="inlineStr">
        <is>
          <t>LJUSDAL</t>
        </is>
      </c>
      <c r="F1323" t="inlineStr">
        <is>
          <t>Holmen skog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26580-2025</t>
        </is>
      </c>
      <c r="B1324" s="1" t="n">
        <v>45807</v>
      </c>
      <c r="C1324" s="1" t="n">
        <v>46076</v>
      </c>
      <c r="D1324" t="inlineStr">
        <is>
          <t>GÄVLEBORGS LÄN</t>
        </is>
      </c>
      <c r="E1324" t="inlineStr">
        <is>
          <t>LJUSDAL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6197-2026</t>
        </is>
      </c>
      <c r="B1325" s="1" t="n">
        <v>46055.39969907407</v>
      </c>
      <c r="C1325" s="1" t="n">
        <v>46076</v>
      </c>
      <c r="D1325" t="inlineStr">
        <is>
          <t>GÄVLEBORGS LÄN</t>
        </is>
      </c>
      <c r="E1325" t="inlineStr">
        <is>
          <t>LJUSDAL</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62420-2022</t>
        </is>
      </c>
      <c r="B1326" s="1" t="n">
        <v>44924</v>
      </c>
      <c r="C1326" s="1" t="n">
        <v>46076</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58626-2023</t>
        </is>
      </c>
      <c r="B1327" s="1" t="n">
        <v>45251.55770833333</v>
      </c>
      <c r="C1327" s="1" t="n">
        <v>46076</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63391-2025</t>
        </is>
      </c>
      <c r="B1328" s="1" t="n">
        <v>46011.73063657407</v>
      </c>
      <c r="C1328" s="1" t="n">
        <v>46076</v>
      </c>
      <c r="D1328" t="inlineStr">
        <is>
          <t>GÄVLEBORGS LÄN</t>
        </is>
      </c>
      <c r="E1328" t="inlineStr">
        <is>
          <t>LJUSDAL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52339-2024</t>
        </is>
      </c>
      <c r="B1329" s="1" t="n">
        <v>45609.33740740741</v>
      </c>
      <c r="C1329" s="1" t="n">
        <v>46076</v>
      </c>
      <c r="D1329" t="inlineStr">
        <is>
          <t>GÄVLEBORGS LÄN</t>
        </is>
      </c>
      <c r="E1329" t="inlineStr">
        <is>
          <t>LJUSDAL</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6181-2026</t>
        </is>
      </c>
      <c r="B1330" s="1" t="n">
        <v>46055.361875</v>
      </c>
      <c r="C1330" s="1" t="n">
        <v>46076</v>
      </c>
      <c r="D1330" t="inlineStr">
        <is>
          <t>GÄVLEBORGS LÄN</t>
        </is>
      </c>
      <c r="E1330" t="inlineStr">
        <is>
          <t>LJUSDAL</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46076</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6949-2026</t>
        </is>
      </c>
      <c r="B1332" s="1" t="n">
        <v>46057.56966435185</v>
      </c>
      <c r="C1332" s="1" t="n">
        <v>46076</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44633-2024</t>
        </is>
      </c>
      <c r="B1333" s="1" t="n">
        <v>45574</v>
      </c>
      <c r="C1333" s="1" t="n">
        <v>46076</v>
      </c>
      <c r="D1333" t="inlineStr">
        <is>
          <t>GÄVLEBORGS LÄN</t>
        </is>
      </c>
      <c r="E1333" t="inlineStr">
        <is>
          <t>LJUSDAL</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64601-2021</t>
        </is>
      </c>
      <c r="B1334" s="1" t="n">
        <v>44511</v>
      </c>
      <c r="C1334" s="1" t="n">
        <v>46076</v>
      </c>
      <c r="D1334" t="inlineStr">
        <is>
          <t>GÄVLEBORGS LÄN</t>
        </is>
      </c>
      <c r="E1334" t="inlineStr">
        <is>
          <t>LJUSDAL</t>
        </is>
      </c>
      <c r="F1334" t="inlineStr">
        <is>
          <t>Kommuner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6699-2026</t>
        </is>
      </c>
      <c r="B1335" s="1" t="n">
        <v>46056.64188657407</v>
      </c>
      <c r="C1335" s="1" t="n">
        <v>46076</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6807-2026</t>
        </is>
      </c>
      <c r="B1336" s="1" t="n">
        <v>46057.36239583333</v>
      </c>
      <c r="C1336" s="1" t="n">
        <v>46076</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63640-2025</t>
        </is>
      </c>
      <c r="B1337" s="1" t="n">
        <v>46014.40673611111</v>
      </c>
      <c r="C1337" s="1" t="n">
        <v>46076</v>
      </c>
      <c r="D1337" t="inlineStr">
        <is>
          <t>GÄVLEBORGS LÄN</t>
        </is>
      </c>
      <c r="E1337" t="inlineStr">
        <is>
          <t>LJUSDAL</t>
        </is>
      </c>
      <c r="F1337" t="inlineStr">
        <is>
          <t>SCA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6963-2026</t>
        </is>
      </c>
      <c r="B1338" s="1" t="n">
        <v>46057.5818287037</v>
      </c>
      <c r="C1338" s="1" t="n">
        <v>46076</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6731-2026</t>
        </is>
      </c>
      <c r="B1339" s="1" t="n">
        <v>46056.68759259259</v>
      </c>
      <c r="C1339" s="1" t="n">
        <v>46076</v>
      </c>
      <c r="D1339" t="inlineStr">
        <is>
          <t>GÄVLEBORGS LÄN</t>
        </is>
      </c>
      <c r="E1339" t="inlineStr">
        <is>
          <t>LJUSDAL</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6308-2022</t>
        </is>
      </c>
      <c r="B1340" s="1" t="n">
        <v>44600.53630787037</v>
      </c>
      <c r="C1340" s="1" t="n">
        <v>46076</v>
      </c>
      <c r="D1340" t="inlineStr">
        <is>
          <t>GÄVLEBORGS LÄN</t>
        </is>
      </c>
      <c r="E1340" t="inlineStr">
        <is>
          <t>LJUSDAL</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6659-2026</t>
        </is>
      </c>
      <c r="B1341" s="1" t="n">
        <v>46056.57425925926</v>
      </c>
      <c r="C1341" s="1" t="n">
        <v>46076</v>
      </c>
      <c r="D1341" t="inlineStr">
        <is>
          <t>GÄVLEBORGS LÄN</t>
        </is>
      </c>
      <c r="E1341" t="inlineStr">
        <is>
          <t>LJUSDAL</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3350-2026</t>
        </is>
      </c>
      <c r="B1342" s="1" t="n">
        <v>46041</v>
      </c>
      <c r="C1342" s="1" t="n">
        <v>46076</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6483-2026</t>
        </is>
      </c>
      <c r="B1343" s="1" t="n">
        <v>46056.34229166667</v>
      </c>
      <c r="C1343" s="1" t="n">
        <v>46076</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3613-2026</t>
        </is>
      </c>
      <c r="B1344" s="1" t="n">
        <v>46042</v>
      </c>
      <c r="C1344" s="1" t="n">
        <v>46076</v>
      </c>
      <c r="D1344" t="inlineStr">
        <is>
          <t>GÄVLEBORGS LÄN</t>
        </is>
      </c>
      <c r="E1344" t="inlineStr">
        <is>
          <t>LJUSDAL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48188-2023</t>
        </is>
      </c>
      <c r="B1345" s="1" t="n">
        <v>45205.45511574074</v>
      </c>
      <c r="C1345" s="1" t="n">
        <v>46076</v>
      </c>
      <c r="D1345" t="inlineStr">
        <is>
          <t>GÄVLEBORGS LÄN</t>
        </is>
      </c>
      <c r="E1345" t="inlineStr">
        <is>
          <t>LJUSDAL</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63583-2025</t>
        </is>
      </c>
      <c r="B1346" s="1" t="n">
        <v>46013.75712962963</v>
      </c>
      <c r="C1346" s="1" t="n">
        <v>46076</v>
      </c>
      <c r="D1346" t="inlineStr">
        <is>
          <t>GÄVLEBORGS LÄN</t>
        </is>
      </c>
      <c r="E1346" t="inlineStr">
        <is>
          <t>LJUSDAL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63653-2025</t>
        </is>
      </c>
      <c r="B1347" s="1" t="n">
        <v>46014.44008101852</v>
      </c>
      <c r="C1347" s="1" t="n">
        <v>46076</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55962-2022</t>
        </is>
      </c>
      <c r="B1348" s="1" t="n">
        <v>44889</v>
      </c>
      <c r="C1348" s="1" t="n">
        <v>46076</v>
      </c>
      <c r="D1348" t="inlineStr">
        <is>
          <t>GÄVLEBORGS LÄN</t>
        </is>
      </c>
      <c r="E1348" t="inlineStr">
        <is>
          <t>LJUSDAL</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63649-2025</t>
        </is>
      </c>
      <c r="B1349" s="1" t="n">
        <v>46014.43402777778</v>
      </c>
      <c r="C1349" s="1" t="n">
        <v>46076</v>
      </c>
      <c r="D1349" t="inlineStr">
        <is>
          <t>GÄVLEBORGS LÄN</t>
        </is>
      </c>
      <c r="E1349" t="inlineStr">
        <is>
          <t>LJUSDAL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63650-2025</t>
        </is>
      </c>
      <c r="B1350" s="1" t="n">
        <v>46014.43686342592</v>
      </c>
      <c r="C1350" s="1" t="n">
        <v>46076</v>
      </c>
      <c r="D1350" t="inlineStr">
        <is>
          <t>GÄVLEBORGS LÄN</t>
        </is>
      </c>
      <c r="E1350" t="inlineStr">
        <is>
          <t>LJUSDAL</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4972-2026</t>
        </is>
      </c>
      <c r="B1351" s="1" t="n">
        <v>46049</v>
      </c>
      <c r="C1351" s="1" t="n">
        <v>46076</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6790-2026</t>
        </is>
      </c>
      <c r="B1352" s="1" t="n">
        <v>46057.34092592593</v>
      </c>
      <c r="C1352" s="1" t="n">
        <v>46076</v>
      </c>
      <c r="D1352" t="inlineStr">
        <is>
          <t>GÄVLEBORGS LÄN</t>
        </is>
      </c>
      <c r="E1352" t="inlineStr">
        <is>
          <t>LJUSDAL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6907-2026</t>
        </is>
      </c>
      <c r="B1353" s="1" t="n">
        <v>46057.49563657407</v>
      </c>
      <c r="C1353" s="1" t="n">
        <v>46076</v>
      </c>
      <c r="D1353" t="inlineStr">
        <is>
          <t>GÄVLEBORGS LÄN</t>
        </is>
      </c>
      <c r="E1353" t="inlineStr">
        <is>
          <t>LJUSDAL</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23985-2022</t>
        </is>
      </c>
      <c r="B1354" s="1" t="n">
        <v>44722.9260300926</v>
      </c>
      <c r="C1354" s="1" t="n">
        <v>46076</v>
      </c>
      <c r="D1354" t="inlineStr">
        <is>
          <t>GÄVLEBORGS LÄN</t>
        </is>
      </c>
      <c r="E1354" t="inlineStr">
        <is>
          <t>LJUSDAL</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7486-2026</t>
        </is>
      </c>
      <c r="B1355" s="1" t="n">
        <v>46059.52850694444</v>
      </c>
      <c r="C1355" s="1" t="n">
        <v>46076</v>
      </c>
      <c r="D1355" t="inlineStr">
        <is>
          <t>GÄVLEBORGS LÄN</t>
        </is>
      </c>
      <c r="E1355" t="inlineStr">
        <is>
          <t>LJUSDAL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7503-2026</t>
        </is>
      </c>
      <c r="B1356" s="1" t="n">
        <v>46059.56734953704</v>
      </c>
      <c r="C1356" s="1" t="n">
        <v>46076</v>
      </c>
      <c r="D1356" t="inlineStr">
        <is>
          <t>GÄVLEBORGS LÄN</t>
        </is>
      </c>
      <c r="E1356" t="inlineStr">
        <is>
          <t>LJUSDAL</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13894-2025</t>
        </is>
      </c>
      <c r="B1357" s="1" t="n">
        <v>45737.62081018519</v>
      </c>
      <c r="C1357" s="1" t="n">
        <v>46076</v>
      </c>
      <c r="D1357" t="inlineStr">
        <is>
          <t>GÄVLEBORGS LÄN</t>
        </is>
      </c>
      <c r="E1357" t="inlineStr">
        <is>
          <t>LJUSDAL</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7268-2026</t>
        </is>
      </c>
      <c r="B1358" s="1" t="n">
        <v>46058.60949074074</v>
      </c>
      <c r="C1358" s="1" t="n">
        <v>46076</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20653-2024</t>
        </is>
      </c>
      <c r="B1359" s="1" t="n">
        <v>45436.53184027778</v>
      </c>
      <c r="C1359" s="1" t="n">
        <v>46076</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21709-2024</t>
        </is>
      </c>
      <c r="B1360" s="1" t="n">
        <v>45442.47200231482</v>
      </c>
      <c r="C1360" s="1" t="n">
        <v>46076</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56158-2024</t>
        </is>
      </c>
      <c r="B1361" s="1" t="n">
        <v>45624.53408564815</v>
      </c>
      <c r="C1361" s="1" t="n">
        <v>46076</v>
      </c>
      <c r="D1361" t="inlineStr">
        <is>
          <t>GÄVLEBORGS LÄN</t>
        </is>
      </c>
      <c r="E1361" t="inlineStr">
        <is>
          <t>LJUSDAL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1808-2026</t>
        </is>
      </c>
      <c r="B1362" s="1" t="n">
        <v>46035</v>
      </c>
      <c r="C1362" s="1" t="n">
        <v>46076</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14479-2023</t>
        </is>
      </c>
      <c r="B1363" s="1" t="n">
        <v>45012</v>
      </c>
      <c r="C1363" s="1" t="n">
        <v>46076</v>
      </c>
      <c r="D1363" t="inlineStr">
        <is>
          <t>GÄVLEBORGS LÄN</t>
        </is>
      </c>
      <c r="E1363" t="inlineStr">
        <is>
          <t>LJUSDAL</t>
        </is>
      </c>
      <c r="F1363" t="inlineStr">
        <is>
          <t>Kyrkan</t>
        </is>
      </c>
      <c r="G1363" t="n">
        <v>27.5</v>
      </c>
      <c r="H1363" t="n">
        <v>0</v>
      </c>
      <c r="I1363" t="n">
        <v>0</v>
      </c>
      <c r="J1363" t="n">
        <v>0</v>
      </c>
      <c r="K1363" t="n">
        <v>0</v>
      </c>
      <c r="L1363" t="n">
        <v>0</v>
      </c>
      <c r="M1363" t="n">
        <v>0</v>
      </c>
      <c r="N1363" t="n">
        <v>0</v>
      </c>
      <c r="O1363" t="n">
        <v>0</v>
      </c>
      <c r="P1363" t="n">
        <v>0</v>
      </c>
      <c r="Q1363" t="n">
        <v>0</v>
      </c>
      <c r="R1363" s="2" t="inlineStr"/>
    </row>
    <row r="1364" ht="15" customHeight="1">
      <c r="A1364" t="inlineStr">
        <is>
          <t>A 7164-2026</t>
        </is>
      </c>
      <c r="B1364" s="1" t="n">
        <v>46058.45130787037</v>
      </c>
      <c r="C1364" s="1" t="n">
        <v>46076</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7200-2026</t>
        </is>
      </c>
      <c r="B1365" s="1" t="n">
        <v>46058</v>
      </c>
      <c r="C1365" s="1" t="n">
        <v>46076</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56082-2024</t>
        </is>
      </c>
      <c r="B1366" s="1" t="n">
        <v>45624.39293981482</v>
      </c>
      <c r="C1366" s="1" t="n">
        <v>46076</v>
      </c>
      <c r="D1366" t="inlineStr">
        <is>
          <t>GÄVLEBORGS LÄN</t>
        </is>
      </c>
      <c r="E1366" t="inlineStr">
        <is>
          <t>LJUSDAL</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7451-2026</t>
        </is>
      </c>
      <c r="B1367" s="1" t="n">
        <v>46059.46886574074</v>
      </c>
      <c r="C1367" s="1" t="n">
        <v>46076</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3374-2026</t>
        </is>
      </c>
      <c r="B1368" s="1" t="n">
        <v>46042</v>
      </c>
      <c r="C1368" s="1" t="n">
        <v>46076</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32365-2023</t>
        </is>
      </c>
      <c r="B1369" s="1" t="n">
        <v>45120.56810185185</v>
      </c>
      <c r="C1369" s="1" t="n">
        <v>46076</v>
      </c>
      <c r="D1369" t="inlineStr">
        <is>
          <t>GÄVLEBORGS LÄN</t>
        </is>
      </c>
      <c r="E1369" t="inlineStr">
        <is>
          <t>LJUSDAL</t>
        </is>
      </c>
      <c r="F1369" t="inlineStr">
        <is>
          <t>Holmen skog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7445-2026</t>
        </is>
      </c>
      <c r="B1370" s="1" t="n">
        <v>46059.46193287037</v>
      </c>
      <c r="C1370" s="1" t="n">
        <v>46076</v>
      </c>
      <c r="D1370" t="inlineStr">
        <is>
          <t>GÄVLEBORGS LÄN</t>
        </is>
      </c>
      <c r="E1370" t="inlineStr">
        <is>
          <t>LJUSDAL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7300-2026</t>
        </is>
      </c>
      <c r="B1371" s="1" t="n">
        <v>46058.64820601852</v>
      </c>
      <c r="C1371" s="1" t="n">
        <v>46076</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7537-2026</t>
        </is>
      </c>
      <c r="B1372" s="1" t="n">
        <v>46059.63122685185</v>
      </c>
      <c r="C1372" s="1" t="n">
        <v>46076</v>
      </c>
      <c r="D1372" t="inlineStr">
        <is>
          <t>GÄVLEBORGS LÄN</t>
        </is>
      </c>
      <c r="E1372" t="inlineStr">
        <is>
          <t>LJUSDAL</t>
        </is>
      </c>
      <c r="F1372" t="inlineStr">
        <is>
          <t>Holmen skog AB</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7107-2026</t>
        </is>
      </c>
      <c r="B1373" s="1" t="n">
        <v>46058.36818287037</v>
      </c>
      <c r="C1373" s="1" t="n">
        <v>46076</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5881-2026</t>
        </is>
      </c>
      <c r="B1374" s="1" t="n">
        <v>46052</v>
      </c>
      <c r="C1374" s="1" t="n">
        <v>46076</v>
      </c>
      <c r="D1374" t="inlineStr">
        <is>
          <t>GÄVLEBORGS LÄN</t>
        </is>
      </c>
      <c r="E1374" t="inlineStr">
        <is>
          <t>LJUSDAL</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7526-2026</t>
        </is>
      </c>
      <c r="B1375" s="1" t="n">
        <v>46059.61340277778</v>
      </c>
      <c r="C1375" s="1" t="n">
        <v>46076</v>
      </c>
      <c r="D1375" t="inlineStr">
        <is>
          <t>GÄVLEBORGS LÄN</t>
        </is>
      </c>
      <c r="E1375" t="inlineStr">
        <is>
          <t>LJUSDAL</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56464-2023</t>
        </is>
      </c>
      <c r="B1376" s="1" t="n">
        <v>45243.4821875</v>
      </c>
      <c r="C1376" s="1" t="n">
        <v>46076</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5316-2025</t>
        </is>
      </c>
      <c r="B1377" s="1" t="n">
        <v>45692.51339120371</v>
      </c>
      <c r="C1377" s="1" t="n">
        <v>46076</v>
      </c>
      <c r="D1377" t="inlineStr">
        <is>
          <t>GÄVLEBORGS LÄN</t>
        </is>
      </c>
      <c r="E1377" t="inlineStr">
        <is>
          <t>LJUSDAL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7282-2026</t>
        </is>
      </c>
      <c r="B1378" s="1" t="n">
        <v>46058.63587962963</v>
      </c>
      <c r="C1378" s="1" t="n">
        <v>46076</v>
      </c>
      <c r="D1378" t="inlineStr">
        <is>
          <t>GÄVLEBORGS LÄN</t>
        </is>
      </c>
      <c r="E1378" t="inlineStr">
        <is>
          <t>LJUSDAL</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63988-2025</t>
        </is>
      </c>
      <c r="B1379" s="1" t="n">
        <v>46021</v>
      </c>
      <c r="C1379" s="1" t="n">
        <v>46076</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7212-2026</t>
        </is>
      </c>
      <c r="B1380" s="1" t="n">
        <v>46058</v>
      </c>
      <c r="C1380" s="1" t="n">
        <v>46076</v>
      </c>
      <c r="D1380" t="inlineStr">
        <is>
          <t>GÄVLEBORGS LÄN</t>
        </is>
      </c>
      <c r="E1380" t="inlineStr">
        <is>
          <t>LJUSDAL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64092-2025</t>
        </is>
      </c>
      <c r="B1381" s="1" t="n">
        <v>46021</v>
      </c>
      <c r="C1381" s="1" t="n">
        <v>46076</v>
      </c>
      <c r="D1381" t="inlineStr">
        <is>
          <t>GÄVLEBORGS LÄN</t>
        </is>
      </c>
      <c r="E1381" t="inlineStr">
        <is>
          <t>LJUSDAL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21637-2024</t>
        </is>
      </c>
      <c r="B1382" s="1" t="n">
        <v>45442.34444444445</v>
      </c>
      <c r="C1382" s="1" t="n">
        <v>46076</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19797-2024</t>
        </is>
      </c>
      <c r="B1383" s="1" t="n">
        <v>45432.92788194444</v>
      </c>
      <c r="C1383" s="1" t="n">
        <v>46076</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63997-2025</t>
        </is>
      </c>
      <c r="B1384" s="1" t="n">
        <v>46021</v>
      </c>
      <c r="C1384" s="1" t="n">
        <v>46076</v>
      </c>
      <c r="D1384" t="inlineStr">
        <is>
          <t>GÄVLEBORGS LÄN</t>
        </is>
      </c>
      <c r="E1384" t="inlineStr">
        <is>
          <t>LJUSDAL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64090-2025</t>
        </is>
      </c>
      <c r="B1385" s="1" t="n">
        <v>46021</v>
      </c>
      <c r="C1385" s="1" t="n">
        <v>46076</v>
      </c>
      <c r="D1385" t="inlineStr">
        <is>
          <t>GÄVLEBORGS LÄN</t>
        </is>
      </c>
      <c r="E1385" t="inlineStr">
        <is>
          <t>LJUSDAL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32287-2023</t>
        </is>
      </c>
      <c r="B1386" s="1" t="n">
        <v>45107</v>
      </c>
      <c r="C1386" s="1" t="n">
        <v>46076</v>
      </c>
      <c r="D1386" t="inlineStr">
        <is>
          <t>GÄVLEBORGS LÄN</t>
        </is>
      </c>
      <c r="E1386" t="inlineStr">
        <is>
          <t>LJUSDAL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7840-2026</t>
        </is>
      </c>
      <c r="B1387" s="1" t="n">
        <v>46062.65012731482</v>
      </c>
      <c r="C1387" s="1" t="n">
        <v>46076</v>
      </c>
      <c r="D1387" t="inlineStr">
        <is>
          <t>GÄVLEBORGS LÄN</t>
        </is>
      </c>
      <c r="E1387" t="inlineStr">
        <is>
          <t>LJUSDAL</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7717-2026</t>
        </is>
      </c>
      <c r="B1388" s="1" t="n">
        <v>46062.49126157408</v>
      </c>
      <c r="C1388" s="1" t="n">
        <v>46076</v>
      </c>
      <c r="D1388" t="inlineStr">
        <is>
          <t>GÄVLEBORGS LÄN</t>
        </is>
      </c>
      <c r="E1388" t="inlineStr">
        <is>
          <t>LJUSDAL</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26181-2023</t>
        </is>
      </c>
      <c r="B1389" s="1" t="n">
        <v>45091.53126157408</v>
      </c>
      <c r="C1389" s="1" t="n">
        <v>46076</v>
      </c>
      <c r="D1389" t="inlineStr">
        <is>
          <t>GÄVLEBORGS LÄN</t>
        </is>
      </c>
      <c r="E1389" t="inlineStr">
        <is>
          <t>LJUSDAL</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26184-2023</t>
        </is>
      </c>
      <c r="B1390" s="1" t="n">
        <v>45091.53296296296</v>
      </c>
      <c r="C1390" s="1" t="n">
        <v>46076</v>
      </c>
      <c r="D1390" t="inlineStr">
        <is>
          <t>GÄVLEBORGS LÄN</t>
        </is>
      </c>
      <c r="E1390" t="inlineStr">
        <is>
          <t>LJUSDAL</t>
        </is>
      </c>
      <c r="F1390" t="inlineStr">
        <is>
          <t>Sveaskog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7724-2026</t>
        </is>
      </c>
      <c r="B1391" s="1" t="n">
        <v>46062.4996875</v>
      </c>
      <c r="C1391" s="1" t="n">
        <v>46076</v>
      </c>
      <c r="D1391" t="inlineStr">
        <is>
          <t>GÄVLEBORGS LÄN</t>
        </is>
      </c>
      <c r="E1391" t="inlineStr">
        <is>
          <t>LJUSDAL</t>
        </is>
      </c>
      <c r="F1391" t="inlineStr">
        <is>
          <t>Sveaskog</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33389-2024</t>
        </is>
      </c>
      <c r="B1392" s="1" t="n">
        <v>45519.47418981481</v>
      </c>
      <c r="C1392" s="1" t="n">
        <v>46076</v>
      </c>
      <c r="D1392" t="inlineStr">
        <is>
          <t>GÄVLEBORGS LÄN</t>
        </is>
      </c>
      <c r="E1392" t="inlineStr">
        <is>
          <t>LJUSDAL</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7690-2026</t>
        </is>
      </c>
      <c r="B1393" s="1" t="n">
        <v>46062.44086805556</v>
      </c>
      <c r="C1393" s="1" t="n">
        <v>46076</v>
      </c>
      <c r="D1393" t="inlineStr">
        <is>
          <t>GÄVLEBORGS LÄN</t>
        </is>
      </c>
      <c r="E1393" t="inlineStr">
        <is>
          <t>LJUSDAL</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63979-2025</t>
        </is>
      </c>
      <c r="B1394" s="1" t="n">
        <v>46021.34436342592</v>
      </c>
      <c r="C1394" s="1" t="n">
        <v>46076</v>
      </c>
      <c r="D1394" t="inlineStr">
        <is>
          <t>GÄVLEBORGS LÄN</t>
        </is>
      </c>
      <c r="E1394" t="inlineStr">
        <is>
          <t>LJUSDAL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64009-2025</t>
        </is>
      </c>
      <c r="B1395" s="1" t="n">
        <v>46021</v>
      </c>
      <c r="C1395" s="1" t="n">
        <v>46076</v>
      </c>
      <c r="D1395" t="inlineStr">
        <is>
          <t>GÄVLEBORGS LÄN</t>
        </is>
      </c>
      <c r="E1395" t="inlineStr">
        <is>
          <t>LJUSDAL</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7600-2026</t>
        </is>
      </c>
      <c r="B1396" s="1" t="n">
        <v>46062.26628472222</v>
      </c>
      <c r="C1396" s="1" t="n">
        <v>46076</v>
      </c>
      <c r="D1396" t="inlineStr">
        <is>
          <t>GÄVLEBORGS LÄN</t>
        </is>
      </c>
      <c r="E1396" t="inlineStr">
        <is>
          <t>LJUSDAL</t>
        </is>
      </c>
      <c r="G1396" t="n">
        <v>28.5</v>
      </c>
      <c r="H1396" t="n">
        <v>0</v>
      </c>
      <c r="I1396" t="n">
        <v>0</v>
      </c>
      <c r="J1396" t="n">
        <v>0</v>
      </c>
      <c r="K1396" t="n">
        <v>0</v>
      </c>
      <c r="L1396" t="n">
        <v>0</v>
      </c>
      <c r="M1396" t="n">
        <v>0</v>
      </c>
      <c r="N1396" t="n">
        <v>0</v>
      </c>
      <c r="O1396" t="n">
        <v>0</v>
      </c>
      <c r="P1396" t="n">
        <v>0</v>
      </c>
      <c r="Q1396" t="n">
        <v>0</v>
      </c>
      <c r="R1396" s="2" t="inlineStr"/>
    </row>
    <row r="1397" ht="15" customHeight="1">
      <c r="A1397" t="inlineStr">
        <is>
          <t>A 57101-2023</t>
        </is>
      </c>
      <c r="B1397" s="1" t="n">
        <v>45245.34210648148</v>
      </c>
      <c r="C1397" s="1" t="n">
        <v>46076</v>
      </c>
      <c r="D1397" t="inlineStr">
        <is>
          <t>GÄVLEBORGS LÄN</t>
        </is>
      </c>
      <c r="E1397" t="inlineStr">
        <is>
          <t>LJUSDAL</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7601-2026</t>
        </is>
      </c>
      <c r="B1398" s="1" t="n">
        <v>46062.2721875</v>
      </c>
      <c r="C1398" s="1" t="n">
        <v>46076</v>
      </c>
      <c r="D1398" t="inlineStr">
        <is>
          <t>GÄVLEBORGS LÄN</t>
        </is>
      </c>
      <c r="E1398" t="inlineStr">
        <is>
          <t>LJUSDAL</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64094-2025</t>
        </is>
      </c>
      <c r="B1399" s="1" t="n">
        <v>46021</v>
      </c>
      <c r="C1399" s="1" t="n">
        <v>46076</v>
      </c>
      <c r="D1399" t="inlineStr">
        <is>
          <t>GÄVLEBORGS LÄN</t>
        </is>
      </c>
      <c r="E1399" t="inlineStr">
        <is>
          <t>LJUSDAL</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41293-2023</t>
        </is>
      </c>
      <c r="B1400" s="1" t="n">
        <v>45174.59391203704</v>
      </c>
      <c r="C1400" s="1" t="n">
        <v>46076</v>
      </c>
      <c r="D1400" t="inlineStr">
        <is>
          <t>GÄVLEBORGS LÄN</t>
        </is>
      </c>
      <c r="E1400" t="inlineStr">
        <is>
          <t>LJUSDAL</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15168-2024</t>
        </is>
      </c>
      <c r="B1401" s="1" t="n">
        <v>45400.34232638889</v>
      </c>
      <c r="C1401" s="1" t="n">
        <v>46076</v>
      </c>
      <c r="D1401" t="inlineStr">
        <is>
          <t>GÄVLEBORGS LÄN</t>
        </is>
      </c>
      <c r="E1401" t="inlineStr">
        <is>
          <t>LJUSDAL</t>
        </is>
      </c>
      <c r="F1401" t="inlineStr">
        <is>
          <t>Holmen skog AB</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8346-2026</t>
        </is>
      </c>
      <c r="B1402" s="1" t="n">
        <v>46064.6397337963</v>
      </c>
      <c r="C1402" s="1" t="n">
        <v>46076</v>
      </c>
      <c r="D1402" t="inlineStr">
        <is>
          <t>GÄVLEBORGS LÄN</t>
        </is>
      </c>
      <c r="E1402" t="inlineStr">
        <is>
          <t>LJUSDAL</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8180-2026</t>
        </is>
      </c>
      <c r="B1403" s="1" t="n">
        <v>46064.41806712963</v>
      </c>
      <c r="C1403" s="1" t="n">
        <v>46076</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40318-2024</t>
        </is>
      </c>
      <c r="B1404" s="1" t="n">
        <v>45554.79619212963</v>
      </c>
      <c r="C1404" s="1" t="n">
        <v>46076</v>
      </c>
      <c r="D1404" t="inlineStr">
        <is>
          <t>GÄVLEBORGS LÄN</t>
        </is>
      </c>
      <c r="E1404" t="inlineStr">
        <is>
          <t>LJUSDAL</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2978-2026</t>
        </is>
      </c>
      <c r="B1405" s="1" t="n">
        <v>46038.62736111111</v>
      </c>
      <c r="C1405" s="1" t="n">
        <v>46076</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36446-2024</t>
        </is>
      </c>
      <c r="B1406" s="1" t="n">
        <v>45537</v>
      </c>
      <c r="C1406" s="1" t="n">
        <v>46076</v>
      </c>
      <c r="D1406" t="inlineStr">
        <is>
          <t>GÄVLEBORGS LÄN</t>
        </is>
      </c>
      <c r="E1406" t="inlineStr">
        <is>
          <t>LJUSDAL</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5833-2023</t>
        </is>
      </c>
      <c r="B1407" s="1" t="n">
        <v>44963</v>
      </c>
      <c r="C1407" s="1" t="n">
        <v>46076</v>
      </c>
      <c r="D1407" t="inlineStr">
        <is>
          <t>GÄVLEBORGS LÄN</t>
        </is>
      </c>
      <c r="E1407" t="inlineStr">
        <is>
          <t>LJUSDAL</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24158-2021</t>
        </is>
      </c>
      <c r="B1408" s="1" t="n">
        <v>44336</v>
      </c>
      <c r="C1408" s="1" t="n">
        <v>46076</v>
      </c>
      <c r="D1408" t="inlineStr">
        <is>
          <t>GÄVLEBORGS LÄN</t>
        </is>
      </c>
      <c r="E1408" t="inlineStr">
        <is>
          <t>LJUSDAL</t>
        </is>
      </c>
      <c r="G1408" t="n">
        <v>9</v>
      </c>
      <c r="H1408" t="n">
        <v>0</v>
      </c>
      <c r="I1408" t="n">
        <v>0</v>
      </c>
      <c r="J1408" t="n">
        <v>0</v>
      </c>
      <c r="K1408" t="n">
        <v>0</v>
      </c>
      <c r="L1408" t="n">
        <v>0</v>
      </c>
      <c r="M1408" t="n">
        <v>0</v>
      </c>
      <c r="N1408" t="n">
        <v>0</v>
      </c>
      <c r="O1408" t="n">
        <v>0</v>
      </c>
      <c r="P1408" t="n">
        <v>0</v>
      </c>
      <c r="Q1408" t="n">
        <v>0</v>
      </c>
      <c r="R1408" s="2" t="inlineStr"/>
      <c r="U1408">
        <f>HYPERLINK("https://klasma.github.io/Logging_2161/knärot/A 24158-2021 karta knärot.png", "A 24158-2021")</f>
        <v/>
      </c>
      <c r="V1408">
        <f>HYPERLINK("https://klasma.github.io/Logging_2161/klagomål/A 24158-2021 FSC-klagomål.docx", "A 24158-2021")</f>
        <v/>
      </c>
      <c r="W1408">
        <f>HYPERLINK("https://klasma.github.io/Logging_2161/klagomålsmail/A 24158-2021 FSC-klagomål mail.docx", "A 24158-2021")</f>
        <v/>
      </c>
      <c r="X1408">
        <f>HYPERLINK("https://klasma.github.io/Logging_2161/tillsyn/A 24158-2021 tillsynsbegäran.docx", "A 24158-2021")</f>
        <v/>
      </c>
      <c r="Y1408">
        <f>HYPERLINK("https://klasma.github.io/Logging_2161/tillsynsmail/A 24158-2021 tillsynsbegäran mail.docx", "A 24158-2021")</f>
        <v/>
      </c>
    </row>
    <row r="1409" ht="15" customHeight="1">
      <c r="A1409" t="inlineStr">
        <is>
          <t>A 62361-2025</t>
        </is>
      </c>
      <c r="B1409" s="1" t="n">
        <v>46007.32319444444</v>
      </c>
      <c r="C1409" s="1" t="n">
        <v>46076</v>
      </c>
      <c r="D1409" t="inlineStr">
        <is>
          <t>GÄVLEBORGS LÄN</t>
        </is>
      </c>
      <c r="E1409" t="inlineStr">
        <is>
          <t>LJUSDAL</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5718-2026</t>
        </is>
      </c>
      <c r="B1410" s="1" t="n">
        <v>46051</v>
      </c>
      <c r="C1410" s="1" t="n">
        <v>46076</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26236-2021</t>
        </is>
      </c>
      <c r="B1411" s="1" t="n">
        <v>44347.45221064815</v>
      </c>
      <c r="C1411" s="1" t="n">
        <v>46076</v>
      </c>
      <c r="D1411" t="inlineStr">
        <is>
          <t>GÄVLEBORGS LÄN</t>
        </is>
      </c>
      <c r="E1411" t="inlineStr">
        <is>
          <t>LJUSDAL</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34617-2024</t>
        </is>
      </c>
      <c r="B1412" s="1" t="n">
        <v>45526</v>
      </c>
      <c r="C1412" s="1" t="n">
        <v>46076</v>
      </c>
      <c r="D1412" t="inlineStr">
        <is>
          <t>GÄVLEBORGS LÄN</t>
        </is>
      </c>
      <c r="E1412" t="inlineStr">
        <is>
          <t>LJUSDAL</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8556-2026</t>
        </is>
      </c>
      <c r="B1413" s="1" t="n">
        <v>46065.63668981481</v>
      </c>
      <c r="C1413" s="1" t="n">
        <v>46076</v>
      </c>
      <c r="D1413" t="inlineStr">
        <is>
          <t>GÄVLEBORGS LÄN</t>
        </is>
      </c>
      <c r="E1413" t="inlineStr">
        <is>
          <t>LJUSDAL</t>
        </is>
      </c>
      <c r="F1413" t="inlineStr">
        <is>
          <t>Holmen skog AB</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17539-2025</t>
        </is>
      </c>
      <c r="B1414" s="1" t="n">
        <v>45757</v>
      </c>
      <c r="C1414" s="1" t="n">
        <v>46076</v>
      </c>
      <c r="D1414" t="inlineStr">
        <is>
          <t>GÄVLEBORGS LÄN</t>
        </is>
      </c>
      <c r="E1414" t="inlineStr">
        <is>
          <t>LJUSDAL</t>
        </is>
      </c>
      <c r="F1414" t="inlineStr">
        <is>
          <t>Sveaskog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8848-2026</t>
        </is>
      </c>
      <c r="B1415" s="1" t="n">
        <v>46066.65244212963</v>
      </c>
      <c r="C1415" s="1" t="n">
        <v>46076</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8850-2026</t>
        </is>
      </c>
      <c r="B1416" s="1" t="n">
        <v>46066.65711805555</v>
      </c>
      <c r="C1416" s="1" t="n">
        <v>46076</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3102-2026</t>
        </is>
      </c>
      <c r="B1417" s="1" t="n">
        <v>46041.34353009259</v>
      </c>
      <c r="C1417" s="1" t="n">
        <v>46076</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23162-2024</t>
        </is>
      </c>
      <c r="B1418" s="1" t="n">
        <v>45450.73319444444</v>
      </c>
      <c r="C1418" s="1" t="n">
        <v>46076</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22039-2023</t>
        </is>
      </c>
      <c r="B1419" s="1" t="n">
        <v>45069</v>
      </c>
      <c r="C1419" s="1" t="n">
        <v>46076</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203-2025</t>
        </is>
      </c>
      <c r="B1420" s="1" t="n">
        <v>45660.31256944445</v>
      </c>
      <c r="C1420" s="1" t="n">
        <v>46076</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208-2025</t>
        </is>
      </c>
      <c r="B1421" s="1" t="n">
        <v>45660.32690972222</v>
      </c>
      <c r="C1421" s="1" t="n">
        <v>46076</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8801-2026</t>
        </is>
      </c>
      <c r="B1422" s="1" t="n">
        <v>46066.59945601852</v>
      </c>
      <c r="C1422" s="1" t="n">
        <v>46076</v>
      </c>
      <c r="D1422" t="inlineStr">
        <is>
          <t>GÄVLEBORGS LÄN</t>
        </is>
      </c>
      <c r="E1422" t="inlineStr">
        <is>
          <t>LJUSDAL</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8930-2026</t>
        </is>
      </c>
      <c r="B1423" s="1" t="n">
        <v>46069.345625</v>
      </c>
      <c r="C1423" s="1" t="n">
        <v>46076</v>
      </c>
      <c r="D1423" t="inlineStr">
        <is>
          <t>GÄVLEBORGS LÄN</t>
        </is>
      </c>
      <c r="E1423" t="inlineStr">
        <is>
          <t>LJUSDAL</t>
        </is>
      </c>
      <c r="F1423" t="inlineStr">
        <is>
          <t>Bergvik skog väst AB</t>
        </is>
      </c>
      <c r="G1423" t="n">
        <v>35</v>
      </c>
      <c r="H1423" t="n">
        <v>0</v>
      </c>
      <c r="I1423" t="n">
        <v>0</v>
      </c>
      <c r="J1423" t="n">
        <v>0</v>
      </c>
      <c r="K1423" t="n">
        <v>0</v>
      </c>
      <c r="L1423" t="n">
        <v>0</v>
      </c>
      <c r="M1423" t="n">
        <v>0</v>
      </c>
      <c r="N1423" t="n">
        <v>0</v>
      </c>
      <c r="O1423" t="n">
        <v>0</v>
      </c>
      <c r="P1423" t="n">
        <v>0</v>
      </c>
      <c r="Q1423" t="n">
        <v>0</v>
      </c>
      <c r="R1423" s="2" t="inlineStr"/>
      <c r="U1423">
        <f>HYPERLINK("https://klasma.github.io/Logging_2161/knärot/A 8930-2026 karta knärot.png", "A 8930-2026")</f>
        <v/>
      </c>
      <c r="V1423">
        <f>HYPERLINK("https://klasma.github.io/Logging_2161/klagomål/A 8930-2026 FSC-klagomål.docx", "A 8930-2026")</f>
        <v/>
      </c>
      <c r="W1423">
        <f>HYPERLINK("https://klasma.github.io/Logging_2161/klagomålsmail/A 8930-2026 FSC-klagomål mail.docx", "A 8930-2026")</f>
        <v/>
      </c>
      <c r="X1423">
        <f>HYPERLINK("https://klasma.github.io/Logging_2161/tillsyn/A 8930-2026 tillsynsbegäran.docx", "A 8930-2026")</f>
        <v/>
      </c>
      <c r="Y1423">
        <f>HYPERLINK("https://klasma.github.io/Logging_2161/tillsynsmail/A 8930-2026 tillsynsbegäran mail.docx", "A 8930-2026")</f>
        <v/>
      </c>
    </row>
    <row r="1424" ht="15" customHeight="1">
      <c r="A1424" t="inlineStr">
        <is>
          <t>A 8931-2026</t>
        </is>
      </c>
      <c r="B1424" s="1" t="n">
        <v>46069.34678240741</v>
      </c>
      <c r="C1424" s="1" t="n">
        <v>46076</v>
      </c>
      <c r="D1424" t="inlineStr">
        <is>
          <t>GÄVLEBORGS LÄN</t>
        </is>
      </c>
      <c r="E1424" t="inlineStr">
        <is>
          <t>LJUSDAL</t>
        </is>
      </c>
      <c r="F1424" t="inlineStr">
        <is>
          <t>Holmen skog AB</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8935-2026</t>
        </is>
      </c>
      <c r="B1425" s="1" t="n">
        <v>46069.35815972222</v>
      </c>
      <c r="C1425" s="1" t="n">
        <v>46076</v>
      </c>
      <c r="D1425" t="inlineStr">
        <is>
          <t>GÄVLEBORGS LÄN</t>
        </is>
      </c>
      <c r="E1425" t="inlineStr">
        <is>
          <t>LJUSDAL</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8686-2026</t>
        </is>
      </c>
      <c r="B1426" s="1" t="n">
        <v>46066.44212962963</v>
      </c>
      <c r="C1426" s="1" t="n">
        <v>46076</v>
      </c>
      <c r="D1426" t="inlineStr">
        <is>
          <t>GÄVLEBORGS LÄN</t>
        </is>
      </c>
      <c r="E1426" t="inlineStr">
        <is>
          <t>LJUSDAL</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8708-2026</t>
        </is>
      </c>
      <c r="B1427" s="1" t="n">
        <v>46066.47422453704</v>
      </c>
      <c r="C1427" s="1" t="n">
        <v>46076</v>
      </c>
      <c r="D1427" t="inlineStr">
        <is>
          <t>GÄVLEBORGS LÄN</t>
        </is>
      </c>
      <c r="E1427" t="inlineStr">
        <is>
          <t>LJUSDAL</t>
        </is>
      </c>
      <c r="F1427" t="inlineStr">
        <is>
          <t>Holmen skog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119-2026</t>
        </is>
      </c>
      <c r="B1428" s="1" t="n">
        <v>46024</v>
      </c>
      <c r="C1428" s="1" t="n">
        <v>46076</v>
      </c>
      <c r="D1428" t="inlineStr">
        <is>
          <t>GÄVLEBORGS LÄN</t>
        </is>
      </c>
      <c r="E1428" t="inlineStr">
        <is>
          <t>LJUSDAL</t>
        </is>
      </c>
      <c r="F1428" t="inlineStr">
        <is>
          <t>Övriga Aktiebolag</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9113-2026</t>
        </is>
      </c>
      <c r="B1429" s="1" t="n">
        <v>46069.66622685185</v>
      </c>
      <c r="C1429" s="1" t="n">
        <v>46076</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110-2026</t>
        </is>
      </c>
      <c r="B1430" s="1" t="n">
        <v>46024</v>
      </c>
      <c r="C1430" s="1" t="n">
        <v>46076</v>
      </c>
      <c r="D1430" t="inlineStr">
        <is>
          <t>GÄVLEBORGS LÄN</t>
        </is>
      </c>
      <c r="E1430" t="inlineStr">
        <is>
          <t>LJUSDAL</t>
        </is>
      </c>
      <c r="F1430" t="inlineStr">
        <is>
          <t>Övriga Aktiebolag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7569-2023</t>
        </is>
      </c>
      <c r="B1431" s="1" t="n">
        <v>44972</v>
      </c>
      <c r="C1431" s="1" t="n">
        <v>46076</v>
      </c>
      <c r="D1431" t="inlineStr">
        <is>
          <t>GÄVLEBORGS LÄN</t>
        </is>
      </c>
      <c r="E1431" t="inlineStr">
        <is>
          <t>LJUSDAL</t>
        </is>
      </c>
      <c r="F1431" t="inlineStr">
        <is>
          <t>Kommuner</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8925-2026</t>
        </is>
      </c>
      <c r="B1432" s="1" t="n">
        <v>46069.34194444444</v>
      </c>
      <c r="C1432" s="1" t="n">
        <v>46076</v>
      </c>
      <c r="D1432" t="inlineStr">
        <is>
          <t>GÄVLEBORGS LÄN</t>
        </is>
      </c>
      <c r="E1432" t="inlineStr">
        <is>
          <t>LJUSDAL</t>
        </is>
      </c>
      <c r="F1432" t="inlineStr">
        <is>
          <t>Övriga Aktiebolag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29-2026</t>
        </is>
      </c>
      <c r="B1433" s="1" t="n">
        <v>46024</v>
      </c>
      <c r="C1433" s="1" t="n">
        <v>46076</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3014-2026</t>
        </is>
      </c>
      <c r="B1434" s="1" t="n">
        <v>46038.66581018519</v>
      </c>
      <c r="C1434" s="1" t="n">
        <v>46076</v>
      </c>
      <c r="D1434" t="inlineStr">
        <is>
          <t>GÄVLEBORGS LÄN</t>
        </is>
      </c>
      <c r="E1434" t="inlineStr">
        <is>
          <t>LJUSDAL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31415-2024</t>
        </is>
      </c>
      <c r="B1435" s="1" t="n">
        <v>45505.61702546296</v>
      </c>
      <c r="C1435" s="1" t="n">
        <v>46076</v>
      </c>
      <c r="D1435" t="inlineStr">
        <is>
          <t>GÄVLEBORGS LÄN</t>
        </is>
      </c>
      <c r="E1435" t="inlineStr">
        <is>
          <t>LJUSDAL</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8627-2026</t>
        </is>
      </c>
      <c r="B1436" s="1" t="n">
        <v>46066.32898148148</v>
      </c>
      <c r="C1436" s="1" t="n">
        <v>46076</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3620-2026</t>
        </is>
      </c>
      <c r="B1437" s="1" t="n">
        <v>46043</v>
      </c>
      <c r="C1437" s="1" t="n">
        <v>46076</v>
      </c>
      <c r="D1437" t="inlineStr">
        <is>
          <t>GÄVLEBORGS LÄN</t>
        </is>
      </c>
      <c r="E1437" t="inlineStr">
        <is>
          <t>LJUSDAL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143-2026</t>
        </is>
      </c>
      <c r="B1438" s="1" t="n">
        <v>46024</v>
      </c>
      <c r="C1438" s="1" t="n">
        <v>46076</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8755-2026</t>
        </is>
      </c>
      <c r="B1439" s="1" t="n">
        <v>46066.5487037037</v>
      </c>
      <c r="C1439" s="1" t="n">
        <v>46076</v>
      </c>
      <c r="D1439" t="inlineStr">
        <is>
          <t>GÄVLEBORGS LÄN</t>
        </is>
      </c>
      <c r="E1439" t="inlineStr">
        <is>
          <t>LJUSDAL</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113-2026</t>
        </is>
      </c>
      <c r="B1440" s="1" t="n">
        <v>46024</v>
      </c>
      <c r="C1440" s="1" t="n">
        <v>46076</v>
      </c>
      <c r="D1440" t="inlineStr">
        <is>
          <t>GÄVLEBORGS LÄN</t>
        </is>
      </c>
      <c r="E1440" t="inlineStr">
        <is>
          <t>LJUSDAL</t>
        </is>
      </c>
      <c r="F1440" t="inlineStr">
        <is>
          <t>Övriga Aktiebolag</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321-2026</t>
        </is>
      </c>
      <c r="B1441" s="1" t="n">
        <v>46027</v>
      </c>
      <c r="C1441" s="1" t="n">
        <v>46076</v>
      </c>
      <c r="D1441" t="inlineStr">
        <is>
          <t>GÄVLEBORGS LÄN</t>
        </is>
      </c>
      <c r="E1441" t="inlineStr">
        <is>
          <t>LJUSDAL</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333-2026</t>
        </is>
      </c>
      <c r="B1442" s="1" t="n">
        <v>46027</v>
      </c>
      <c r="C1442" s="1" t="n">
        <v>46076</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30-2022</t>
        </is>
      </c>
      <c r="B1443" s="1" t="n">
        <v>44564</v>
      </c>
      <c r="C1443" s="1" t="n">
        <v>46076</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326-2026</t>
        </is>
      </c>
      <c r="B1444" s="1" t="n">
        <v>46027</v>
      </c>
      <c r="C1444" s="1" t="n">
        <v>46076</v>
      </c>
      <c r="D1444" t="inlineStr">
        <is>
          <t>GÄVLEBORGS LÄN</t>
        </is>
      </c>
      <c r="E1444" t="inlineStr">
        <is>
          <t>LJUSDAL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8927-2026</t>
        </is>
      </c>
      <c r="B1445" s="1" t="n">
        <v>46069.34452546296</v>
      </c>
      <c r="C1445" s="1" t="n">
        <v>46076</v>
      </c>
      <c r="D1445" t="inlineStr">
        <is>
          <t>GÄVLEBORGS LÄN</t>
        </is>
      </c>
      <c r="E1445" t="inlineStr">
        <is>
          <t>LJUSDAL</t>
        </is>
      </c>
      <c r="F1445" t="inlineStr">
        <is>
          <t>Bergvik skog väst AB</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3020-2026</t>
        </is>
      </c>
      <c r="B1446" s="1" t="n">
        <v>46038.66976851852</v>
      </c>
      <c r="C1446" s="1" t="n">
        <v>46076</v>
      </c>
      <c r="D1446" t="inlineStr">
        <is>
          <t>GÄVLEBORGS LÄN</t>
        </is>
      </c>
      <c r="E1446" t="inlineStr">
        <is>
          <t>LJUSDAL</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32293-2023</t>
        </is>
      </c>
      <c r="B1447" s="1" t="n">
        <v>45107</v>
      </c>
      <c r="C1447" s="1" t="n">
        <v>46076</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32294-2023</t>
        </is>
      </c>
      <c r="B1448" s="1" t="n">
        <v>45107</v>
      </c>
      <c r="C1448" s="1" t="n">
        <v>46076</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5450-2026</t>
        </is>
      </c>
      <c r="B1449" s="1" t="n">
        <v>46050</v>
      </c>
      <c r="C1449" s="1" t="n">
        <v>46076</v>
      </c>
      <c r="D1449" t="inlineStr">
        <is>
          <t>GÄVLEBORGS LÄN</t>
        </is>
      </c>
      <c r="E1449" t="inlineStr">
        <is>
          <t>LJUSDAL</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45701-2021</t>
        </is>
      </c>
      <c r="B1450" s="1" t="n">
        <v>44441.38833333334</v>
      </c>
      <c r="C1450" s="1" t="n">
        <v>46076</v>
      </c>
      <c r="D1450" t="inlineStr">
        <is>
          <t>GÄVLEBORGS LÄN</t>
        </is>
      </c>
      <c r="E1450" t="inlineStr">
        <is>
          <t>LJUSDAL</t>
        </is>
      </c>
      <c r="F1450" t="inlineStr">
        <is>
          <t>Allmännings- och besparingsskogar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8853-2026</t>
        </is>
      </c>
      <c r="B1451" s="1" t="n">
        <v>46066.66384259259</v>
      </c>
      <c r="C1451" s="1" t="n">
        <v>46076</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48580-2024</t>
        </is>
      </c>
      <c r="B1452" s="1" t="n">
        <v>45593.41601851852</v>
      </c>
      <c r="C1452" s="1" t="n">
        <v>46076</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304-2026</t>
        </is>
      </c>
      <c r="B1453" s="1" t="n">
        <v>46027.53659722222</v>
      </c>
      <c r="C1453" s="1" t="n">
        <v>46076</v>
      </c>
      <c r="D1453" t="inlineStr">
        <is>
          <t>GÄVLEBORGS LÄN</t>
        </is>
      </c>
      <c r="E1453" t="inlineStr">
        <is>
          <t>LJUSDAL</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328-2026</t>
        </is>
      </c>
      <c r="B1454" s="1" t="n">
        <v>46027</v>
      </c>
      <c r="C1454" s="1" t="n">
        <v>46076</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7600-2025</t>
        </is>
      </c>
      <c r="B1455" s="1" t="n">
        <v>45705.65464120371</v>
      </c>
      <c r="C1455" s="1" t="n">
        <v>46076</v>
      </c>
      <c r="D1455" t="inlineStr">
        <is>
          <t>GÄVLEBORGS LÄN</t>
        </is>
      </c>
      <c r="E1455" t="inlineStr">
        <is>
          <t>LJUSDAL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8746-2026</t>
        </is>
      </c>
      <c r="B1456" s="1" t="n">
        <v>46066.52607638889</v>
      </c>
      <c r="C1456" s="1" t="n">
        <v>46076</v>
      </c>
      <c r="D1456" t="inlineStr">
        <is>
          <t>GÄVLEBORGS LÄN</t>
        </is>
      </c>
      <c r="E1456" t="inlineStr">
        <is>
          <t>LJUSDAL</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18102-2025</t>
        </is>
      </c>
      <c r="B1457" s="1" t="n">
        <v>45761.55295138889</v>
      </c>
      <c r="C1457" s="1" t="n">
        <v>46076</v>
      </c>
      <c r="D1457" t="inlineStr">
        <is>
          <t>GÄVLEBORGS LÄN</t>
        </is>
      </c>
      <c r="E1457" t="inlineStr">
        <is>
          <t>LJUSDAL</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23619-2022</t>
        </is>
      </c>
      <c r="B1458" s="1" t="n">
        <v>44721.62302083334</v>
      </c>
      <c r="C1458" s="1" t="n">
        <v>46076</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8841-2026</t>
        </is>
      </c>
      <c r="B1459" s="1" t="n">
        <v>46066.64466435185</v>
      </c>
      <c r="C1459" s="1" t="n">
        <v>46076</v>
      </c>
      <c r="D1459" t="inlineStr">
        <is>
          <t>GÄVLEBORGS LÄN</t>
        </is>
      </c>
      <c r="E1459" t="inlineStr">
        <is>
          <t>LJUSDAL</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9068-2026</t>
        </is>
      </c>
      <c r="B1460" s="1" t="n">
        <v>46069.57314814815</v>
      </c>
      <c r="C1460" s="1" t="n">
        <v>46076</v>
      </c>
      <c r="D1460" t="inlineStr">
        <is>
          <t>GÄVLEBORGS LÄN</t>
        </is>
      </c>
      <c r="E1460" t="inlineStr">
        <is>
          <t>LJUSDAL</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48-2026</t>
        </is>
      </c>
      <c r="B1461" s="1" t="n">
        <v>46024</v>
      </c>
      <c r="C1461" s="1" t="n">
        <v>46076</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324-2026</t>
        </is>
      </c>
      <c r="B1462" s="1" t="n">
        <v>46027</v>
      </c>
      <c r="C1462" s="1" t="n">
        <v>46076</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607-2026</t>
        </is>
      </c>
      <c r="B1463" s="1" t="n">
        <v>46029</v>
      </c>
      <c r="C1463" s="1" t="n">
        <v>46076</v>
      </c>
      <c r="D1463" t="inlineStr">
        <is>
          <t>GÄVLEBORGS LÄN</t>
        </is>
      </c>
      <c r="E1463" t="inlineStr">
        <is>
          <t>LJUSDAL</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5488-2026</t>
        </is>
      </c>
      <c r="B1464" s="1" t="n">
        <v>46050</v>
      </c>
      <c r="C1464" s="1" t="n">
        <v>46076</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5353-2026</t>
        </is>
      </c>
      <c r="B1465" s="1" t="n">
        <v>46050</v>
      </c>
      <c r="C1465" s="1" t="n">
        <v>46076</v>
      </c>
      <c r="D1465" t="inlineStr">
        <is>
          <t>GÄVLEBORGS LÄN</t>
        </is>
      </c>
      <c r="E1465" t="inlineStr">
        <is>
          <t>LJUSDAL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6090-2026</t>
        </is>
      </c>
      <c r="B1466" s="1" t="n">
        <v>46052</v>
      </c>
      <c r="C1466" s="1" t="n">
        <v>46076</v>
      </c>
      <c r="D1466" t="inlineStr">
        <is>
          <t>GÄVLEBORGS LÄN</t>
        </is>
      </c>
      <c r="E1466" t="inlineStr">
        <is>
          <t>LJUSDAL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9225-2026</t>
        </is>
      </c>
      <c r="B1467" s="1" t="n">
        <v>46070.45266203704</v>
      </c>
      <c r="C1467" s="1" t="n">
        <v>46076</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55370-2023</t>
        </is>
      </c>
      <c r="B1468" s="1" t="n">
        <v>45238</v>
      </c>
      <c r="C1468" s="1" t="n">
        <v>46076</v>
      </c>
      <c r="D1468" t="inlineStr">
        <is>
          <t>GÄVLEBORGS LÄN</t>
        </is>
      </c>
      <c r="E1468" t="inlineStr">
        <is>
          <t>LJUSDAL</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714-2026</t>
        </is>
      </c>
      <c r="B1469" s="1" t="n">
        <v>46029.62575231482</v>
      </c>
      <c r="C1469" s="1" t="n">
        <v>46076</v>
      </c>
      <c r="D1469" t="inlineStr">
        <is>
          <t>GÄVLEBORGS LÄN</t>
        </is>
      </c>
      <c r="E1469" t="inlineStr">
        <is>
          <t>LJUSDAL</t>
        </is>
      </c>
      <c r="G1469" t="n">
        <v>23.3</v>
      </c>
      <c r="H1469" t="n">
        <v>0</v>
      </c>
      <c r="I1469" t="n">
        <v>0</v>
      </c>
      <c r="J1469" t="n">
        <v>0</v>
      </c>
      <c r="K1469" t="n">
        <v>0</v>
      </c>
      <c r="L1469" t="n">
        <v>0</v>
      </c>
      <c r="M1469" t="n">
        <v>0</v>
      </c>
      <c r="N1469" t="n">
        <v>0</v>
      </c>
      <c r="O1469" t="n">
        <v>0</v>
      </c>
      <c r="P1469" t="n">
        <v>0</v>
      </c>
      <c r="Q1469" t="n">
        <v>0</v>
      </c>
      <c r="R1469" s="2" t="inlineStr"/>
    </row>
    <row r="1470" ht="15" customHeight="1">
      <c r="A1470" t="inlineStr">
        <is>
          <t>A 9415-2026</t>
        </is>
      </c>
      <c r="B1470" s="1" t="n">
        <v>46071.42650462963</v>
      </c>
      <c r="C1470" s="1" t="n">
        <v>46076</v>
      </c>
      <c r="D1470" t="inlineStr">
        <is>
          <t>GÄVLEBORGS LÄN</t>
        </is>
      </c>
      <c r="E1470" t="inlineStr">
        <is>
          <t>LJUSDAL</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4803-2026</t>
        </is>
      </c>
      <c r="B1471" s="1" t="n">
        <v>46048.57740740741</v>
      </c>
      <c r="C1471" s="1" t="n">
        <v>46076</v>
      </c>
      <c r="D1471" t="inlineStr">
        <is>
          <t>GÄVLEBORGS LÄN</t>
        </is>
      </c>
      <c r="E1471" t="inlineStr">
        <is>
          <t>LJUSDAL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4807-2026</t>
        </is>
      </c>
      <c r="B1472" s="1" t="n">
        <v>46048.58056712963</v>
      </c>
      <c r="C1472" s="1" t="n">
        <v>46076</v>
      </c>
      <c r="D1472" t="inlineStr">
        <is>
          <t>GÄVLEBORGS LÄN</t>
        </is>
      </c>
      <c r="E1472" t="inlineStr">
        <is>
          <t>LJUSDAL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471-2026</t>
        </is>
      </c>
      <c r="B1473" s="1" t="n">
        <v>46029.39164351852</v>
      </c>
      <c r="C1473" s="1" t="n">
        <v>46076</v>
      </c>
      <c r="D1473" t="inlineStr">
        <is>
          <t>GÄVLEBORGS LÄN</t>
        </is>
      </c>
      <c r="E1473" t="inlineStr">
        <is>
          <t>LJUSDAL</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26264-2023</t>
        </is>
      </c>
      <c r="B1474" s="1" t="n">
        <v>45091.60821759259</v>
      </c>
      <c r="C1474" s="1" t="n">
        <v>46076</v>
      </c>
      <c r="D1474" t="inlineStr">
        <is>
          <t>GÄVLEBORGS LÄN</t>
        </is>
      </c>
      <c r="E1474" t="inlineStr">
        <is>
          <t>LJUSDAL</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51798-2023</t>
        </is>
      </c>
      <c r="B1475" s="1" t="n">
        <v>45222</v>
      </c>
      <c r="C1475" s="1" t="n">
        <v>46076</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70478-2021</t>
        </is>
      </c>
      <c r="B1476" s="1" t="n">
        <v>44536</v>
      </c>
      <c r="C1476" s="1" t="n">
        <v>46076</v>
      </c>
      <c r="D1476" t="inlineStr">
        <is>
          <t>GÄVLEBORGS LÄN</t>
        </is>
      </c>
      <c r="E1476" t="inlineStr">
        <is>
          <t>LJUSDAL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3619-2026</t>
        </is>
      </c>
      <c r="B1477" s="1" t="n">
        <v>46043</v>
      </c>
      <c r="C1477" s="1" t="n">
        <v>46076</v>
      </c>
      <c r="D1477" t="inlineStr">
        <is>
          <t>GÄVLEBORGS LÄN</t>
        </is>
      </c>
      <c r="E1477" t="inlineStr">
        <is>
          <t>LJUSDAL</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59710-2022</t>
        </is>
      </c>
      <c r="B1478" s="1" t="n">
        <v>44908.40505787037</v>
      </c>
      <c r="C1478" s="1" t="n">
        <v>46076</v>
      </c>
      <c r="D1478" t="inlineStr">
        <is>
          <t>GÄVLEBORGS LÄN</t>
        </is>
      </c>
      <c r="E1478" t="inlineStr">
        <is>
          <t>LJUSDAL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9182-2026</t>
        </is>
      </c>
      <c r="B1479" s="1" t="n">
        <v>46070.37048611111</v>
      </c>
      <c r="C1479" s="1" t="n">
        <v>46076</v>
      </c>
      <c r="D1479" t="inlineStr">
        <is>
          <t>GÄVLEBORGS LÄN</t>
        </is>
      </c>
      <c r="E1479" t="inlineStr">
        <is>
          <t>LJUSDAL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20032-2024</t>
        </is>
      </c>
      <c r="B1480" s="1" t="n">
        <v>45434.33524305555</v>
      </c>
      <c r="C1480" s="1" t="n">
        <v>46076</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727-2026</t>
        </is>
      </c>
      <c r="B1481" s="1" t="n">
        <v>46029.64394675926</v>
      </c>
      <c r="C1481" s="1" t="n">
        <v>46076</v>
      </c>
      <c r="D1481" t="inlineStr">
        <is>
          <t>GÄVLEBORGS LÄN</t>
        </is>
      </c>
      <c r="E1481" t="inlineStr">
        <is>
          <t>LJUSDAL</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6013-2025</t>
        </is>
      </c>
      <c r="B1482" s="1" t="n">
        <v>45695</v>
      </c>
      <c r="C1482" s="1" t="n">
        <v>46076</v>
      </c>
      <c r="D1482" t="inlineStr">
        <is>
          <t>GÄVLEBORGS LÄN</t>
        </is>
      </c>
      <c r="E1482" t="inlineStr">
        <is>
          <t>LJUSDAL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19564-2025</t>
        </is>
      </c>
      <c r="B1483" s="1" t="n">
        <v>45770.53148148148</v>
      </c>
      <c r="C1483" s="1" t="n">
        <v>46076</v>
      </c>
      <c r="D1483" t="inlineStr">
        <is>
          <t>GÄVLEBORGS LÄN</t>
        </is>
      </c>
      <c r="E1483" t="inlineStr">
        <is>
          <t>LJUSDAL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4816-2026</t>
        </is>
      </c>
      <c r="B1484" s="1" t="n">
        <v>46048.58548611111</v>
      </c>
      <c r="C1484" s="1" t="n">
        <v>46076</v>
      </c>
      <c r="D1484" t="inlineStr">
        <is>
          <t>GÄVLEBORGS LÄN</t>
        </is>
      </c>
      <c r="E1484" t="inlineStr">
        <is>
          <t>LJUSDAL</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4403-2026</t>
        </is>
      </c>
      <c r="B1485" s="1" t="n">
        <v>46045</v>
      </c>
      <c r="C1485" s="1" t="n">
        <v>46076</v>
      </c>
      <c r="D1485" t="inlineStr">
        <is>
          <t>GÄVLEBORGS LÄN</t>
        </is>
      </c>
      <c r="E1485" t="inlineStr">
        <is>
          <t>LJUSDAL</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4814-2026</t>
        </is>
      </c>
      <c r="B1486" s="1" t="n">
        <v>46048.58304398148</v>
      </c>
      <c r="C1486" s="1" t="n">
        <v>46076</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44387-2021</t>
        </is>
      </c>
      <c r="B1487" s="1" t="n">
        <v>44435</v>
      </c>
      <c r="C1487" s="1" t="n">
        <v>46076</v>
      </c>
      <c r="D1487" t="inlineStr">
        <is>
          <t>GÄVLEBORGS LÄN</t>
        </is>
      </c>
      <c r="E1487" t="inlineStr">
        <is>
          <t>LJUSDAL</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52145-2023</t>
        </is>
      </c>
      <c r="B1488" s="1" t="n">
        <v>45223.96797453704</v>
      </c>
      <c r="C1488" s="1" t="n">
        <v>46076</v>
      </c>
      <c r="D1488" t="inlineStr">
        <is>
          <t>GÄVLEBORGS LÄN</t>
        </is>
      </c>
      <c r="E1488" t="inlineStr">
        <is>
          <t>LJUSDAL</t>
        </is>
      </c>
      <c r="F1488" t="inlineStr">
        <is>
          <t>Naturvårdsverket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5010-2026</t>
        </is>
      </c>
      <c r="B1489" s="1" t="n">
        <v>46049</v>
      </c>
      <c r="C1489" s="1" t="n">
        <v>46076</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7147-2026</t>
        </is>
      </c>
      <c r="B1490" s="1" t="n">
        <v>46058</v>
      </c>
      <c r="C1490" s="1" t="n">
        <v>46076</v>
      </c>
      <c r="D1490" t="inlineStr">
        <is>
          <t>GÄVLEBORGS LÄN</t>
        </is>
      </c>
      <c r="E1490" t="inlineStr">
        <is>
          <t>LJUSDAL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35714-2023</t>
        </is>
      </c>
      <c r="B1491" s="1" t="n">
        <v>45147.68084490741</v>
      </c>
      <c r="C1491" s="1" t="n">
        <v>46076</v>
      </c>
      <c r="D1491" t="inlineStr">
        <is>
          <t>GÄVLEBORGS LÄN</t>
        </is>
      </c>
      <c r="E1491" t="inlineStr">
        <is>
          <t>LJUSDAL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29404-2021</t>
        </is>
      </c>
      <c r="B1492" s="1" t="n">
        <v>44361</v>
      </c>
      <c r="C1492" s="1" t="n">
        <v>46076</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50345-2022</t>
        </is>
      </c>
      <c r="B1493" s="1" t="n">
        <v>44866.26518518518</v>
      </c>
      <c r="C1493" s="1" t="n">
        <v>46076</v>
      </c>
      <c r="D1493" t="inlineStr">
        <is>
          <t>GÄVLEBORGS LÄN</t>
        </is>
      </c>
      <c r="E1493" t="inlineStr">
        <is>
          <t>LJUSDAL</t>
        </is>
      </c>
      <c r="F1493" t="inlineStr">
        <is>
          <t>Holmen skog AB</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45260-2023</t>
        </is>
      </c>
      <c r="B1494" s="1" t="n">
        <v>45191.62356481481</v>
      </c>
      <c r="C1494" s="1" t="n">
        <v>46076</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40280-2023</t>
        </is>
      </c>
      <c r="B1495" s="1" t="n">
        <v>45169.5669212963</v>
      </c>
      <c r="C1495" s="1" t="n">
        <v>46076</v>
      </c>
      <c r="D1495" t="inlineStr">
        <is>
          <t>GÄVLEBORGS LÄN</t>
        </is>
      </c>
      <c r="E1495" t="inlineStr">
        <is>
          <t>LJUSDAL</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38870-2024</t>
        </is>
      </c>
      <c r="B1496" s="1" t="n">
        <v>45547.64189814815</v>
      </c>
      <c r="C1496" s="1" t="n">
        <v>46076</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10079-2026</t>
        </is>
      </c>
      <c r="B1497" s="1" t="n">
        <v>46073.65375</v>
      </c>
      <c r="C1497" s="1" t="n">
        <v>46076</v>
      </c>
      <c r="D1497" t="inlineStr">
        <is>
          <t>GÄVLEBORGS LÄN</t>
        </is>
      </c>
      <c r="E1497" t="inlineStr">
        <is>
          <t>LJUSDAL</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10076-2026</t>
        </is>
      </c>
      <c r="B1498" s="1" t="n">
        <v>46073.64783564815</v>
      </c>
      <c r="C1498" s="1" t="n">
        <v>46076</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10082-2026</t>
        </is>
      </c>
      <c r="B1499" s="1" t="n">
        <v>46073.65943287037</v>
      </c>
      <c r="C1499" s="1" t="n">
        <v>46076</v>
      </c>
      <c r="D1499" t="inlineStr">
        <is>
          <t>GÄVLEBORGS LÄN</t>
        </is>
      </c>
      <c r="E1499" t="inlineStr">
        <is>
          <t>LJUSDAL</t>
        </is>
      </c>
      <c r="F1499" t="inlineStr">
        <is>
          <t>Bergvik skog väst AB</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1245-2026</t>
        </is>
      </c>
      <c r="B1500" s="1" t="n">
        <v>46031.42657407407</v>
      </c>
      <c r="C1500" s="1" t="n">
        <v>46076</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904-2026</t>
        </is>
      </c>
      <c r="B1501" s="1" t="n">
        <v>46030.47097222223</v>
      </c>
      <c r="C1501" s="1" t="n">
        <v>46076</v>
      </c>
      <c r="D1501" t="inlineStr">
        <is>
          <t>GÄVLEBORGS LÄN</t>
        </is>
      </c>
      <c r="E1501" t="inlineStr">
        <is>
          <t>LJUSDAL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881-2026</t>
        </is>
      </c>
      <c r="B1502" s="1" t="n">
        <v>46030.44432870371</v>
      </c>
      <c r="C1502" s="1" t="n">
        <v>46076</v>
      </c>
      <c r="D1502" t="inlineStr">
        <is>
          <t>GÄVLEBORGS LÄN</t>
        </is>
      </c>
      <c r="E1502" t="inlineStr">
        <is>
          <t>LJUSDAL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1396-2026</t>
        </is>
      </c>
      <c r="B1503" s="1" t="n">
        <v>46031.64010416667</v>
      </c>
      <c r="C1503" s="1" t="n">
        <v>46076</v>
      </c>
      <c r="D1503" t="inlineStr">
        <is>
          <t>GÄVLEBORGS LÄN</t>
        </is>
      </c>
      <c r="E1503" t="inlineStr">
        <is>
          <t>LJUSDAL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1371-2026</t>
        </is>
      </c>
      <c r="B1504" s="1" t="n">
        <v>46031.61240740741</v>
      </c>
      <c r="C1504" s="1" t="n">
        <v>46076</v>
      </c>
      <c r="D1504" t="inlineStr">
        <is>
          <t>GÄVLEBORGS LÄN</t>
        </is>
      </c>
      <c r="E1504" t="inlineStr">
        <is>
          <t>LJUSDAL</t>
        </is>
      </c>
      <c r="F1504" t="inlineStr">
        <is>
          <t>Bergvik skog väst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5873-2026</t>
        </is>
      </c>
      <c r="B1505" s="1" t="n">
        <v>46052</v>
      </c>
      <c r="C1505" s="1" t="n">
        <v>46076</v>
      </c>
      <c r="D1505" t="inlineStr">
        <is>
          <t>GÄVLEBORGS LÄN</t>
        </is>
      </c>
      <c r="E1505" t="inlineStr">
        <is>
          <t>LJUSDAL</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7281-2026</t>
        </is>
      </c>
      <c r="B1506" s="1" t="n">
        <v>46058</v>
      </c>
      <c r="C1506" s="1" t="n">
        <v>46076</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8903-2026</t>
        </is>
      </c>
      <c r="B1507" s="1" t="n">
        <v>46068</v>
      </c>
      <c r="C1507" s="1" t="n">
        <v>46076</v>
      </c>
      <c r="D1507" t="inlineStr">
        <is>
          <t>GÄVLEBORGS LÄN</t>
        </is>
      </c>
      <c r="E1507" t="inlineStr">
        <is>
          <t>LJUSDAL</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6928-2026</t>
        </is>
      </c>
      <c r="B1508" s="1" t="n">
        <v>46057</v>
      </c>
      <c r="C1508" s="1" t="n">
        <v>46076</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9770-2026</t>
        </is>
      </c>
      <c r="B1509" s="1" t="n">
        <v>46072.56777777777</v>
      </c>
      <c r="C1509" s="1" t="n">
        <v>46076</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15372-2024</t>
        </is>
      </c>
      <c r="B1510" s="1" t="n">
        <v>45400.92311342592</v>
      </c>
      <c r="C1510" s="1" t="n">
        <v>46076</v>
      </c>
      <c r="D1510" t="inlineStr">
        <is>
          <t>GÄVLEBORGS LÄN</t>
        </is>
      </c>
      <c r="E1510" t="inlineStr">
        <is>
          <t>LJUSDAL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40345-2021</t>
        </is>
      </c>
      <c r="B1511" s="1" t="n">
        <v>44419</v>
      </c>
      <c r="C1511" s="1" t="n">
        <v>46076</v>
      </c>
      <c r="D1511" t="inlineStr">
        <is>
          <t>GÄVLEBORGS LÄN</t>
        </is>
      </c>
      <c r="E1511" t="inlineStr">
        <is>
          <t>LJUSDAL</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5780-2026</t>
        </is>
      </c>
      <c r="B1512" s="1" t="n">
        <v>46051</v>
      </c>
      <c r="C1512" s="1" t="n">
        <v>46076</v>
      </c>
      <c r="D1512" t="inlineStr">
        <is>
          <t>GÄVLEBORGS LÄN</t>
        </is>
      </c>
      <c r="E1512" t="inlineStr">
        <is>
          <t>LJUSDAL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7254-2026</t>
        </is>
      </c>
      <c r="B1513" s="1" t="n">
        <v>46058</v>
      </c>
      <c r="C1513" s="1" t="n">
        <v>46076</v>
      </c>
      <c r="D1513" t="inlineStr">
        <is>
          <t>GÄVLEBORGS LÄN</t>
        </is>
      </c>
      <c r="E1513" t="inlineStr">
        <is>
          <t>LJUSDAL</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9134-2026</t>
        </is>
      </c>
      <c r="B1514" s="1" t="n">
        <v>46069</v>
      </c>
      <c r="C1514" s="1" t="n">
        <v>46076</v>
      </c>
      <c r="D1514" t="inlineStr">
        <is>
          <t>GÄVLEBORGS LÄN</t>
        </is>
      </c>
      <c r="E1514" t="inlineStr">
        <is>
          <t>LJUSDAL</t>
        </is>
      </c>
      <c r="G1514" t="n">
        <v>25.6</v>
      </c>
      <c r="H1514" t="n">
        <v>0</v>
      </c>
      <c r="I1514" t="n">
        <v>0</v>
      </c>
      <c r="J1514" t="n">
        <v>0</v>
      </c>
      <c r="K1514" t="n">
        <v>0</v>
      </c>
      <c r="L1514" t="n">
        <v>0</v>
      </c>
      <c r="M1514" t="n">
        <v>0</v>
      </c>
      <c r="N1514" t="n">
        <v>0</v>
      </c>
      <c r="O1514" t="n">
        <v>0</v>
      </c>
      <c r="P1514" t="n">
        <v>0</v>
      </c>
      <c r="Q1514" t="n">
        <v>0</v>
      </c>
      <c r="R1514" s="2" t="inlineStr"/>
    </row>
    <row r="1515" ht="15" customHeight="1">
      <c r="A1515" t="inlineStr">
        <is>
          <t>A 9610-2026</t>
        </is>
      </c>
      <c r="B1515" s="1" t="n">
        <v>46072</v>
      </c>
      <c r="C1515" s="1" t="n">
        <v>46076</v>
      </c>
      <c r="D1515" t="inlineStr">
        <is>
          <t>GÄVLEBORGS LÄN</t>
        </is>
      </c>
      <c r="E1515" t="inlineStr">
        <is>
          <t>LJUSDAL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9613-2026</t>
        </is>
      </c>
      <c r="B1516" s="1" t="n">
        <v>46072</v>
      </c>
      <c r="C1516" s="1" t="n">
        <v>46076</v>
      </c>
      <c r="D1516" t="inlineStr">
        <is>
          <t>GÄVLEBORGS LÄN</t>
        </is>
      </c>
      <c r="E1516" t="inlineStr">
        <is>
          <t>LJUSDAL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1409-2026</t>
        </is>
      </c>
      <c r="B1517" s="1" t="n">
        <v>46031.66135416667</v>
      </c>
      <c r="C1517" s="1" t="n">
        <v>46076</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46076</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5093-2026</t>
        </is>
      </c>
      <c r="B1519" s="1" t="n">
        <v>46049</v>
      </c>
      <c r="C1519" s="1" t="n">
        <v>46076</v>
      </c>
      <c r="D1519" t="inlineStr">
        <is>
          <t>GÄVLEBORGS LÄN</t>
        </is>
      </c>
      <c r="E1519" t="inlineStr">
        <is>
          <t>LJUSDAL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6927-2026</t>
        </is>
      </c>
      <c r="B1520" s="1" t="n">
        <v>46057</v>
      </c>
      <c r="C1520" s="1" t="n">
        <v>46076</v>
      </c>
      <c r="D1520" t="inlineStr">
        <is>
          <t>GÄVLEBORGS LÄN</t>
        </is>
      </c>
      <c r="E1520" t="inlineStr">
        <is>
          <t>LJUSDAL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6930-2026</t>
        </is>
      </c>
      <c r="B1521" s="1" t="n">
        <v>46057.55274305555</v>
      </c>
      <c r="C1521" s="1" t="n">
        <v>46076</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836-2026</t>
        </is>
      </c>
      <c r="B1522" s="1" t="n">
        <v>46030</v>
      </c>
      <c r="C1522" s="1" t="n">
        <v>46076</v>
      </c>
      <c r="D1522" t="inlineStr">
        <is>
          <t>GÄVLEBORGS LÄN</t>
        </is>
      </c>
      <c r="E1522" t="inlineStr">
        <is>
          <t>LJUSDAL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5883-2026</t>
        </is>
      </c>
      <c r="B1523" s="1" t="n">
        <v>46052.40016203704</v>
      </c>
      <c r="C1523" s="1" t="n">
        <v>46076</v>
      </c>
      <c r="D1523" t="inlineStr">
        <is>
          <t>GÄVLEBORGS LÄN</t>
        </is>
      </c>
      <c r="E1523" t="inlineStr">
        <is>
          <t>LJUSDAL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8667-2024</t>
        </is>
      </c>
      <c r="B1524" s="1" t="n">
        <v>45356.29768518519</v>
      </c>
      <c r="C1524" s="1" t="n">
        <v>46076</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7007-2026</t>
        </is>
      </c>
      <c r="B1525" s="1" t="n">
        <v>46057</v>
      </c>
      <c r="C1525" s="1" t="n">
        <v>46076</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1239-2026</t>
        </is>
      </c>
      <c r="B1526" s="1" t="n">
        <v>46031.42260416667</v>
      </c>
      <c r="C1526" s="1" t="n">
        <v>46076</v>
      </c>
      <c r="D1526" t="inlineStr">
        <is>
          <t>GÄVLEBORGS LÄN</t>
        </is>
      </c>
      <c r="E1526" t="inlineStr">
        <is>
          <t>LJUSDAL</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1251-2026</t>
        </is>
      </c>
      <c r="B1527" s="1" t="n">
        <v>46031.43357638889</v>
      </c>
      <c r="C1527" s="1" t="n">
        <v>46076</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60346-2021</t>
        </is>
      </c>
      <c r="B1528" s="1" t="n">
        <v>44496.3164699074</v>
      </c>
      <c r="C1528" s="1" t="n">
        <v>46076</v>
      </c>
      <c r="D1528" t="inlineStr">
        <is>
          <t>GÄVLEBORGS LÄN</t>
        </is>
      </c>
      <c r="E1528" t="inlineStr">
        <is>
          <t>LJUSDAL</t>
        </is>
      </c>
      <c r="F1528" t="inlineStr">
        <is>
          <t>Kommuner</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57475-2023</t>
        </is>
      </c>
      <c r="B1529" s="1" t="n">
        <v>45246.38005787037</v>
      </c>
      <c r="C1529" s="1" t="n">
        <v>46076</v>
      </c>
      <c r="D1529" t="inlineStr">
        <is>
          <t>GÄVLEBORGS LÄN</t>
        </is>
      </c>
      <c r="E1529" t="inlineStr">
        <is>
          <t>LJUSDAL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1240-2026</t>
        </is>
      </c>
      <c r="B1530" s="1" t="n">
        <v>46031.42410879629</v>
      </c>
      <c r="C1530" s="1" t="n">
        <v>46076</v>
      </c>
      <c r="D1530" t="inlineStr">
        <is>
          <t>GÄVLEBORGS LÄN</t>
        </is>
      </c>
      <c r="E1530" t="inlineStr">
        <is>
          <t>LJUSDAL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906-2026</t>
        </is>
      </c>
      <c r="B1531" s="1" t="n">
        <v>46030.47300925926</v>
      </c>
      <c r="C1531" s="1" t="n">
        <v>46076</v>
      </c>
      <c r="D1531" t="inlineStr">
        <is>
          <t>GÄVLEBORGS LÄN</t>
        </is>
      </c>
      <c r="E1531" t="inlineStr">
        <is>
          <t>LJUSDAL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7312-2026</t>
        </is>
      </c>
      <c r="B1532" s="1" t="n">
        <v>46058</v>
      </c>
      <c r="C1532" s="1" t="n">
        <v>46076</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1398-2026</t>
        </is>
      </c>
      <c r="B1533" s="1" t="n">
        <v>46031.64158564815</v>
      </c>
      <c r="C1533" s="1" t="n">
        <v>46076</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11199-2025</t>
        </is>
      </c>
      <c r="B1534" s="1" t="n">
        <v>45725.91207175926</v>
      </c>
      <c r="C1534" s="1" t="n">
        <v>46076</v>
      </c>
      <c r="D1534" t="inlineStr">
        <is>
          <t>GÄVLEBORGS LÄN</t>
        </is>
      </c>
      <c r="E1534" t="inlineStr">
        <is>
          <t>LJUSDAL</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9047-2026</t>
        </is>
      </c>
      <c r="B1535" s="1" t="n">
        <v>46069</v>
      </c>
      <c r="C1535" s="1" t="n">
        <v>46076</v>
      </c>
      <c r="D1535" t="inlineStr">
        <is>
          <t>GÄVLEBORGS LÄN</t>
        </is>
      </c>
      <c r="E1535" t="inlineStr">
        <is>
          <t>LJUSDAL</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7812-2026</t>
        </is>
      </c>
      <c r="B1536" s="1" t="n">
        <v>46062</v>
      </c>
      <c r="C1536" s="1" t="n">
        <v>46076</v>
      </c>
      <c r="D1536" t="inlineStr">
        <is>
          <t>GÄVLEBORGS LÄN</t>
        </is>
      </c>
      <c r="E1536" t="inlineStr">
        <is>
          <t>LJUSDAL</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9833-2026</t>
        </is>
      </c>
      <c r="B1537" s="1" t="n">
        <v>46072</v>
      </c>
      <c r="C1537" s="1" t="n">
        <v>46076</v>
      </c>
      <c r="D1537" t="inlineStr">
        <is>
          <t>GÄVLEBORGS LÄN</t>
        </is>
      </c>
      <c r="E1537" t="inlineStr">
        <is>
          <t>LJUSDAL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53013-2023</t>
        </is>
      </c>
      <c r="B1538" s="1" t="n">
        <v>45226.66094907407</v>
      </c>
      <c r="C1538" s="1" t="n">
        <v>46076</v>
      </c>
      <c r="D1538" t="inlineStr">
        <is>
          <t>GÄVLEBORGS LÄN</t>
        </is>
      </c>
      <c r="E1538" t="inlineStr">
        <is>
          <t>LJUSDAL</t>
        </is>
      </c>
      <c r="F1538" t="inlineStr">
        <is>
          <t>Sveaskog</t>
        </is>
      </c>
      <c r="G1538" t="n">
        <v>21.1</v>
      </c>
      <c r="H1538" t="n">
        <v>0</v>
      </c>
      <c r="I1538" t="n">
        <v>0</v>
      </c>
      <c r="J1538" t="n">
        <v>0</v>
      </c>
      <c r="K1538" t="n">
        <v>0</v>
      </c>
      <c r="L1538" t="n">
        <v>0</v>
      </c>
      <c r="M1538" t="n">
        <v>0</v>
      </c>
      <c r="N1538" t="n">
        <v>0</v>
      </c>
      <c r="O1538" t="n">
        <v>0</v>
      </c>
      <c r="P1538" t="n">
        <v>0</v>
      </c>
      <c r="Q1538" t="n">
        <v>0</v>
      </c>
      <c r="R1538" s="2" t="inlineStr"/>
    </row>
    <row r="1539" ht="15" customHeight="1">
      <c r="A1539" t="inlineStr">
        <is>
          <t>A 28892-2023</t>
        </is>
      </c>
      <c r="B1539" s="1" t="n">
        <v>45104.49465277778</v>
      </c>
      <c r="C1539" s="1" t="n">
        <v>46076</v>
      </c>
      <c r="D1539" t="inlineStr">
        <is>
          <t>GÄVLEBORGS LÄN</t>
        </is>
      </c>
      <c r="E1539" t="inlineStr">
        <is>
          <t>LJUSDAL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49855-2023</t>
        </is>
      </c>
      <c r="B1540" s="1" t="n">
        <v>45212.92893518518</v>
      </c>
      <c r="C1540" s="1" t="n">
        <v>46076</v>
      </c>
      <c r="D1540" t="inlineStr">
        <is>
          <t>GÄVLEBORGS LÄN</t>
        </is>
      </c>
      <c r="E1540" t="inlineStr">
        <is>
          <t>LJUSDAL</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29238-2023</t>
        </is>
      </c>
      <c r="B1541" s="1" t="n">
        <v>45105</v>
      </c>
      <c r="C1541" s="1" t="n">
        <v>46076</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20909-2023</t>
        </is>
      </c>
      <c r="B1542" s="1" t="n">
        <v>45060</v>
      </c>
      <c r="C1542" s="1" t="n">
        <v>46076</v>
      </c>
      <c r="D1542" t="inlineStr">
        <is>
          <t>GÄVLEBORGS LÄN</t>
        </is>
      </c>
      <c r="E1542" t="inlineStr">
        <is>
          <t>LJUSDAL</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45444-2021</t>
        </is>
      </c>
      <c r="B1543" s="1" t="n">
        <v>44440.43269675926</v>
      </c>
      <c r="C1543" s="1" t="n">
        <v>46076</v>
      </c>
      <c r="D1543" t="inlineStr">
        <is>
          <t>GÄVLEBORGS LÄN</t>
        </is>
      </c>
      <c r="E1543" t="inlineStr">
        <is>
          <t>LJUSDAL</t>
        </is>
      </c>
      <c r="F1543" t="inlineStr">
        <is>
          <t>Allmännings- och besparingsskogar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35029-2024</t>
        </is>
      </c>
      <c r="B1544" s="1" t="n">
        <v>45527.6052662037</v>
      </c>
      <c r="C1544" s="1" t="n">
        <v>46076</v>
      </c>
      <c r="D1544" t="inlineStr">
        <is>
          <t>GÄVLEBORGS LÄN</t>
        </is>
      </c>
      <c r="E1544" t="inlineStr">
        <is>
          <t>LJUSDAL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52099-2024</t>
        </is>
      </c>
      <c r="B1545" s="1" t="n">
        <v>45608</v>
      </c>
      <c r="C1545" s="1" t="n">
        <v>46076</v>
      </c>
      <c r="D1545" t="inlineStr">
        <is>
          <t>GÄVLEBORGS LÄN</t>
        </is>
      </c>
      <c r="E1545" t="inlineStr">
        <is>
          <t>LJUSDAL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18733-2024</t>
        </is>
      </c>
      <c r="B1546" s="1" t="n">
        <v>45426.48637731482</v>
      </c>
      <c r="C1546" s="1" t="n">
        <v>46076</v>
      </c>
      <c r="D1546" t="inlineStr">
        <is>
          <t>GÄVLEBORGS LÄN</t>
        </is>
      </c>
      <c r="E1546" t="inlineStr">
        <is>
          <t>LJUSDAL</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37892-2023</t>
        </is>
      </c>
      <c r="B1547" s="1" t="n">
        <v>45160.46523148148</v>
      </c>
      <c r="C1547" s="1" t="n">
        <v>46076</v>
      </c>
      <c r="D1547" t="inlineStr">
        <is>
          <t>GÄVLEBORGS LÄN</t>
        </is>
      </c>
      <c r="E1547" t="inlineStr">
        <is>
          <t>LJUSDAL</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43580-2024</t>
        </is>
      </c>
      <c r="B1548" s="1" t="n">
        <v>45569.42083333333</v>
      </c>
      <c r="C1548" s="1" t="n">
        <v>46076</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40191-2023</t>
        </is>
      </c>
      <c r="B1549" s="1" t="n">
        <v>45169</v>
      </c>
      <c r="C1549" s="1" t="n">
        <v>46076</v>
      </c>
      <c r="D1549" t="inlineStr">
        <is>
          <t>GÄVLEBORGS LÄN</t>
        </is>
      </c>
      <c r="E1549" t="inlineStr">
        <is>
          <t>LJUSDAL</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61010-2021</t>
        </is>
      </c>
      <c r="B1550" s="1" t="n">
        <v>44497</v>
      </c>
      <c r="C1550" s="1" t="n">
        <v>46076</v>
      </c>
      <c r="D1550" t="inlineStr">
        <is>
          <t>GÄVLEBORGS LÄN</t>
        </is>
      </c>
      <c r="E1550" t="inlineStr">
        <is>
          <t>LJUSDAL</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12855-2024</t>
        </is>
      </c>
      <c r="B1551" s="1" t="n">
        <v>45384.92469907407</v>
      </c>
      <c r="C1551" s="1" t="n">
        <v>46076</v>
      </c>
      <c r="D1551" t="inlineStr">
        <is>
          <t>GÄVLEBORGS LÄN</t>
        </is>
      </c>
      <c r="E1551" t="inlineStr">
        <is>
          <t>LJUSDAL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13623-2025</t>
        </is>
      </c>
      <c r="B1552" s="1" t="n">
        <v>45736.63565972223</v>
      </c>
      <c r="C1552" s="1" t="n">
        <v>46076</v>
      </c>
      <c r="D1552" t="inlineStr">
        <is>
          <t>GÄVLEBORGS LÄN</t>
        </is>
      </c>
      <c r="E1552" t="inlineStr">
        <is>
          <t>LJUSDAL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13505-2025</t>
        </is>
      </c>
      <c r="B1553" s="1" t="n">
        <v>45736.46898148148</v>
      </c>
      <c r="C1553" s="1" t="n">
        <v>46076</v>
      </c>
      <c r="D1553" t="inlineStr">
        <is>
          <t>GÄVLEBORGS LÄN</t>
        </is>
      </c>
      <c r="E1553" t="inlineStr">
        <is>
          <t>LJUSDAL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6073-2024</t>
        </is>
      </c>
      <c r="B1554" s="1" t="n">
        <v>45336</v>
      </c>
      <c r="C1554" s="1" t="n">
        <v>46076</v>
      </c>
      <c r="D1554" t="inlineStr">
        <is>
          <t>GÄVLEBORGS LÄN</t>
        </is>
      </c>
      <c r="E1554" t="inlineStr">
        <is>
          <t>LJUSDAL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10591-2022</t>
        </is>
      </c>
      <c r="B1555" s="1" t="n">
        <v>44624.40858796296</v>
      </c>
      <c r="C1555" s="1" t="n">
        <v>46076</v>
      </c>
      <c r="D1555" t="inlineStr">
        <is>
          <t>GÄVLEBORGS LÄN</t>
        </is>
      </c>
      <c r="E1555" t="inlineStr">
        <is>
          <t>LJUSDAL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50385-2023</t>
        </is>
      </c>
      <c r="B1556" s="1" t="n">
        <v>45216.62857638889</v>
      </c>
      <c r="C1556" s="1" t="n">
        <v>46076</v>
      </c>
      <c r="D1556" t="inlineStr">
        <is>
          <t>GÄVLEBORGS LÄN</t>
        </is>
      </c>
      <c r="E1556" t="inlineStr">
        <is>
          <t>LJUSDAL</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35465-2024</t>
        </is>
      </c>
      <c r="B1557" s="1" t="n">
        <v>45531.46347222223</v>
      </c>
      <c r="C1557" s="1" t="n">
        <v>46076</v>
      </c>
      <c r="D1557" t="inlineStr">
        <is>
          <t>GÄVLEBORGS LÄN</t>
        </is>
      </c>
      <c r="E1557" t="inlineStr">
        <is>
          <t>LJUSDAL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17372-2025</t>
        </is>
      </c>
      <c r="B1558" s="1" t="n">
        <v>45756.8629050926</v>
      </c>
      <c r="C1558" s="1" t="n">
        <v>46076</v>
      </c>
      <c r="D1558" t="inlineStr">
        <is>
          <t>GÄVLEBORGS LÄN</t>
        </is>
      </c>
      <c r="E1558" t="inlineStr">
        <is>
          <t>LJUSDAL</t>
        </is>
      </c>
      <c r="F1558" t="inlineStr">
        <is>
          <t>Bergvik skog väst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33120-2024</t>
        </is>
      </c>
      <c r="B1559" s="1" t="n">
        <v>45517</v>
      </c>
      <c r="C1559" s="1" t="n">
        <v>46076</v>
      </c>
      <c r="D1559" t="inlineStr">
        <is>
          <t>GÄVLEBORGS LÄN</t>
        </is>
      </c>
      <c r="E1559" t="inlineStr">
        <is>
          <t>LJUSDAL</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33131-2024</t>
        </is>
      </c>
      <c r="B1560" s="1" t="n">
        <v>45518.30189814815</v>
      </c>
      <c r="C1560" s="1" t="n">
        <v>46076</v>
      </c>
      <c r="D1560" t="inlineStr">
        <is>
          <t>GÄVLEBORGS LÄN</t>
        </is>
      </c>
      <c r="E1560" t="inlineStr">
        <is>
          <t>LJUSDAL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57886-2024</t>
        </is>
      </c>
      <c r="B1561" s="1" t="n">
        <v>45631.46252314815</v>
      </c>
      <c r="C1561" s="1" t="n">
        <v>46076</v>
      </c>
      <c r="D1561" t="inlineStr">
        <is>
          <t>GÄVLEBORGS LÄN</t>
        </is>
      </c>
      <c r="E1561" t="inlineStr">
        <is>
          <t>LJUSDAL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37249-2021</t>
        </is>
      </c>
      <c r="B1562" s="1" t="n">
        <v>44397</v>
      </c>
      <c r="C1562" s="1" t="n">
        <v>46076</v>
      </c>
      <c r="D1562" t="inlineStr">
        <is>
          <t>GÄVLEBORGS LÄN</t>
        </is>
      </c>
      <c r="E1562" t="inlineStr">
        <is>
          <t>LJUSDAL</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4582-2024</t>
        </is>
      </c>
      <c r="B1563" s="1" t="n">
        <v>45327</v>
      </c>
      <c r="C1563" s="1" t="n">
        <v>46076</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40695-2023</t>
        </is>
      </c>
      <c r="B1564" s="1" t="n">
        <v>45170.60664351852</v>
      </c>
      <c r="C1564" s="1" t="n">
        <v>46076</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26721-2024</t>
        </is>
      </c>
      <c r="B1565" s="1" t="n">
        <v>45470.41822916667</v>
      </c>
      <c r="C1565" s="1" t="n">
        <v>46076</v>
      </c>
      <c r="D1565" t="inlineStr">
        <is>
          <t>GÄVLEBORGS LÄN</t>
        </is>
      </c>
      <c r="E1565" t="inlineStr">
        <is>
          <t>LJUSDAL</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36321-2023</t>
        </is>
      </c>
      <c r="B1566" s="1" t="n">
        <v>45152.425</v>
      </c>
      <c r="C1566" s="1" t="n">
        <v>46076</v>
      </c>
      <c r="D1566" t="inlineStr">
        <is>
          <t>GÄVLEBORGS LÄN</t>
        </is>
      </c>
      <c r="E1566" t="inlineStr">
        <is>
          <t>LJUSDAL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47954-2024</t>
        </is>
      </c>
      <c r="B1567" s="1" t="n">
        <v>45589.36817129629</v>
      </c>
      <c r="C1567" s="1" t="n">
        <v>46076</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50331-2021</t>
        </is>
      </c>
      <c r="B1568" s="1" t="n">
        <v>44459.41059027778</v>
      </c>
      <c r="C1568" s="1" t="n">
        <v>46076</v>
      </c>
      <c r="D1568" t="inlineStr">
        <is>
          <t>GÄVLEBORGS LÄN</t>
        </is>
      </c>
      <c r="E1568" t="inlineStr">
        <is>
          <t>LJUSDAL</t>
        </is>
      </c>
      <c r="F1568" t="inlineStr">
        <is>
          <t>Bergvik skog väst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29845-2023</t>
        </is>
      </c>
      <c r="B1569" s="1" t="n">
        <v>45099</v>
      </c>
      <c r="C1569" s="1" t="n">
        <v>46076</v>
      </c>
      <c r="D1569" t="inlineStr">
        <is>
          <t>GÄVLEBORGS LÄN</t>
        </is>
      </c>
      <c r="E1569" t="inlineStr">
        <is>
          <t>LJUSDAL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45289-2023</t>
        </is>
      </c>
      <c r="B1570" s="1" t="n">
        <v>45191.65313657407</v>
      </c>
      <c r="C1570" s="1" t="n">
        <v>46076</v>
      </c>
      <c r="D1570" t="inlineStr">
        <is>
          <t>GÄVLEBORGS LÄN</t>
        </is>
      </c>
      <c r="E1570" t="inlineStr">
        <is>
          <t>LJUSDAL</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18802-2025</t>
        </is>
      </c>
      <c r="B1571" s="1" t="n">
        <v>45764.35001157408</v>
      </c>
      <c r="C1571" s="1" t="n">
        <v>46076</v>
      </c>
      <c r="D1571" t="inlineStr">
        <is>
          <t>GÄVLEBORGS LÄN</t>
        </is>
      </c>
      <c r="E1571" t="inlineStr">
        <is>
          <t>LJUSDAL</t>
        </is>
      </c>
      <c r="F1571" t="inlineStr">
        <is>
          <t>Sveaskog</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2248-2023</t>
        </is>
      </c>
      <c r="B1572" s="1" t="n">
        <v>44942.47626157408</v>
      </c>
      <c r="C1572" s="1" t="n">
        <v>46076</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40260-2023</t>
        </is>
      </c>
      <c r="B1573" s="1" t="n">
        <v>45169.51258101852</v>
      </c>
      <c r="C1573" s="1" t="n">
        <v>46076</v>
      </c>
      <c r="D1573" t="inlineStr">
        <is>
          <t>GÄVLEBORGS LÄN</t>
        </is>
      </c>
      <c r="E1573" t="inlineStr">
        <is>
          <t>LJUSDAL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36713-2021</t>
        </is>
      </c>
      <c r="B1574" s="1" t="n">
        <v>44392.53925925926</v>
      </c>
      <c r="C1574" s="1" t="n">
        <v>46076</v>
      </c>
      <c r="D1574" t="inlineStr">
        <is>
          <t>GÄVLEBORGS LÄN</t>
        </is>
      </c>
      <c r="E1574" t="inlineStr">
        <is>
          <t>LJUSDAL</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51738-2022</t>
        </is>
      </c>
      <c r="B1575" s="1" t="n">
        <v>44872.48086805556</v>
      </c>
      <c r="C1575" s="1" t="n">
        <v>46076</v>
      </c>
      <c r="D1575" t="inlineStr">
        <is>
          <t>GÄVLEBORGS LÄN</t>
        </is>
      </c>
      <c r="E1575" t="inlineStr">
        <is>
          <t>LJUSDAL</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39526-2023</t>
        </is>
      </c>
      <c r="B1576" s="1" t="n">
        <v>45167.33568287037</v>
      </c>
      <c r="C1576" s="1" t="n">
        <v>46076</v>
      </c>
      <c r="D1576" t="inlineStr">
        <is>
          <t>GÄVLEBORGS LÄN</t>
        </is>
      </c>
      <c r="E1576" t="inlineStr">
        <is>
          <t>LJUSDAL</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45912-2024</t>
        </is>
      </c>
      <c r="B1577" s="1" t="n">
        <v>45580</v>
      </c>
      <c r="C1577" s="1" t="n">
        <v>46076</v>
      </c>
      <c r="D1577" t="inlineStr">
        <is>
          <t>GÄVLEBORGS LÄN</t>
        </is>
      </c>
      <c r="E1577" t="inlineStr">
        <is>
          <t>LJUSDAL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43673-2023</t>
        </is>
      </c>
      <c r="B1578" s="1" t="n">
        <v>45187.37011574074</v>
      </c>
      <c r="C1578" s="1" t="n">
        <v>46076</v>
      </c>
      <c r="D1578" t="inlineStr">
        <is>
          <t>GÄVLEBORGS LÄN</t>
        </is>
      </c>
      <c r="E1578" t="inlineStr">
        <is>
          <t>LJUSDAL</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34229-2024</t>
        </is>
      </c>
      <c r="B1579" s="1" t="n">
        <v>45524</v>
      </c>
      <c r="C1579" s="1" t="n">
        <v>46076</v>
      </c>
      <c r="D1579" t="inlineStr">
        <is>
          <t>GÄVLEBORGS LÄN</t>
        </is>
      </c>
      <c r="E1579" t="inlineStr">
        <is>
          <t>LJUSDAL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22440-2023</t>
        </is>
      </c>
      <c r="B1580" s="1" t="n">
        <v>45070.69100694444</v>
      </c>
      <c r="C1580" s="1" t="n">
        <v>46076</v>
      </c>
      <c r="D1580" t="inlineStr">
        <is>
          <t>GÄVLEBORGS LÄN</t>
        </is>
      </c>
      <c r="E1580" t="inlineStr">
        <is>
          <t>LJUSDAL</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574-2025</t>
        </is>
      </c>
      <c r="B1581" s="1" t="n">
        <v>45664.56424768519</v>
      </c>
      <c r="C1581" s="1" t="n">
        <v>46076</v>
      </c>
      <c r="D1581" t="inlineStr">
        <is>
          <t>GÄVLEBORGS LÄN</t>
        </is>
      </c>
      <c r="E1581" t="inlineStr">
        <is>
          <t>LJUSDAL</t>
        </is>
      </c>
      <c r="F1581" t="inlineStr">
        <is>
          <t>Bergvik skog väst AB</t>
        </is>
      </c>
      <c r="G1581" t="n">
        <v>18.1</v>
      </c>
      <c r="H1581" t="n">
        <v>0</v>
      </c>
      <c r="I1581" t="n">
        <v>0</v>
      </c>
      <c r="J1581" t="n">
        <v>0</v>
      </c>
      <c r="K1581" t="n">
        <v>0</v>
      </c>
      <c r="L1581" t="n">
        <v>0</v>
      </c>
      <c r="M1581" t="n">
        <v>0</v>
      </c>
      <c r="N1581" t="n">
        <v>0</v>
      </c>
      <c r="O1581" t="n">
        <v>0</v>
      </c>
      <c r="P1581" t="n">
        <v>0</v>
      </c>
      <c r="Q1581" t="n">
        <v>0</v>
      </c>
      <c r="R1581" s="2" t="inlineStr"/>
    </row>
    <row r="1582" ht="15" customHeight="1">
      <c r="A1582" t="inlineStr">
        <is>
          <t>A 25208-2024</t>
        </is>
      </c>
      <c r="B1582" s="1" t="n">
        <v>45462.57657407408</v>
      </c>
      <c r="C1582" s="1" t="n">
        <v>46076</v>
      </c>
      <c r="D1582" t="inlineStr">
        <is>
          <t>GÄVLEBORGS LÄN</t>
        </is>
      </c>
      <c r="E1582" t="inlineStr">
        <is>
          <t>LJUSDAL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38040-2021</t>
        </is>
      </c>
      <c r="B1583" s="1" t="n">
        <v>44404</v>
      </c>
      <c r="C1583" s="1" t="n">
        <v>46076</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22294-2024</t>
        </is>
      </c>
      <c r="B1584" s="1" t="n">
        <v>45446.56048611111</v>
      </c>
      <c r="C1584" s="1" t="n">
        <v>46076</v>
      </c>
      <c r="D1584" t="inlineStr">
        <is>
          <t>GÄVLEBORGS LÄN</t>
        </is>
      </c>
      <c r="E1584" t="inlineStr">
        <is>
          <t>LJUSDAL</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29837-2023</t>
        </is>
      </c>
      <c r="B1585" s="1" t="n">
        <v>45107.58168981481</v>
      </c>
      <c r="C1585" s="1" t="n">
        <v>46076</v>
      </c>
      <c r="D1585" t="inlineStr">
        <is>
          <t>GÄVLEBORGS LÄN</t>
        </is>
      </c>
      <c r="E1585" t="inlineStr">
        <is>
          <t>LJUSDAL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58168-2024</t>
        </is>
      </c>
      <c r="B1586" s="1" t="n">
        <v>45632.45894675926</v>
      </c>
      <c r="C1586" s="1" t="n">
        <v>46076</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42959-2021</t>
        </is>
      </c>
      <c r="B1587" s="1" t="n">
        <v>44431.40888888889</v>
      </c>
      <c r="C1587" s="1" t="n">
        <v>46076</v>
      </c>
      <c r="D1587" t="inlineStr">
        <is>
          <t>GÄVLEBORGS LÄN</t>
        </is>
      </c>
      <c r="E1587" t="inlineStr">
        <is>
          <t>LJUSDAL</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60282-2024</t>
        </is>
      </c>
      <c r="B1588" s="1" t="n">
        <v>45642.91938657407</v>
      </c>
      <c r="C1588" s="1" t="n">
        <v>46076</v>
      </c>
      <c r="D1588" t="inlineStr">
        <is>
          <t>GÄVLEBORGS LÄN</t>
        </is>
      </c>
      <c r="E1588" t="inlineStr">
        <is>
          <t>LJUSDAL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47875-2023</t>
        </is>
      </c>
      <c r="B1589" s="1" t="n">
        <v>45204.4600462963</v>
      </c>
      <c r="C1589" s="1" t="n">
        <v>46076</v>
      </c>
      <c r="D1589" t="inlineStr">
        <is>
          <t>GÄVLEBORGS LÄN</t>
        </is>
      </c>
      <c r="E1589" t="inlineStr">
        <is>
          <t>LJUSDAL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40281-2023</t>
        </is>
      </c>
      <c r="B1590" s="1" t="n">
        <v>45169</v>
      </c>
      <c r="C1590" s="1" t="n">
        <v>46076</v>
      </c>
      <c r="D1590" t="inlineStr">
        <is>
          <t>GÄVLEBORGS LÄN</t>
        </is>
      </c>
      <c r="E1590" t="inlineStr">
        <is>
          <t>LJUSDAL</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54167-2023</t>
        </is>
      </c>
      <c r="B1591" s="1" t="n">
        <v>45232</v>
      </c>
      <c r="C1591" s="1" t="n">
        <v>46076</v>
      </c>
      <c r="D1591" t="inlineStr">
        <is>
          <t>GÄVLEBORGS LÄN</t>
        </is>
      </c>
      <c r="E1591" t="inlineStr">
        <is>
          <t>LJUSDAL</t>
        </is>
      </c>
      <c r="F1591" t="inlineStr">
        <is>
          <t>Sveaskog</t>
        </is>
      </c>
      <c r="G1591" t="n">
        <v>20.5</v>
      </c>
      <c r="H1591" t="n">
        <v>0</v>
      </c>
      <c r="I1591" t="n">
        <v>0</v>
      </c>
      <c r="J1591" t="n">
        <v>0</v>
      </c>
      <c r="K1591" t="n">
        <v>0</v>
      </c>
      <c r="L1591" t="n">
        <v>0</v>
      </c>
      <c r="M1591" t="n">
        <v>0</v>
      </c>
      <c r="N1591" t="n">
        <v>0</v>
      </c>
      <c r="O1591" t="n">
        <v>0</v>
      </c>
      <c r="P1591" t="n">
        <v>0</v>
      </c>
      <c r="Q1591" t="n">
        <v>0</v>
      </c>
      <c r="R1591" s="2" t="inlineStr"/>
    </row>
    <row r="1592" ht="15" customHeight="1">
      <c r="A1592" t="inlineStr">
        <is>
          <t>A 13822-2024</t>
        </is>
      </c>
      <c r="B1592" s="1" t="n">
        <v>45391.42918981481</v>
      </c>
      <c r="C1592" s="1" t="n">
        <v>46076</v>
      </c>
      <c r="D1592" t="inlineStr">
        <is>
          <t>GÄVLEBORGS LÄN</t>
        </is>
      </c>
      <c r="E1592" t="inlineStr">
        <is>
          <t>LJUSDAL</t>
        </is>
      </c>
      <c r="F1592" t="inlineStr">
        <is>
          <t>Kommuner</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13829-2024</t>
        </is>
      </c>
      <c r="B1593" s="1" t="n">
        <v>45391.43280092593</v>
      </c>
      <c r="C1593" s="1" t="n">
        <v>46076</v>
      </c>
      <c r="D1593" t="inlineStr">
        <is>
          <t>GÄVLEBORGS LÄN</t>
        </is>
      </c>
      <c r="E1593" t="inlineStr">
        <is>
          <t>LJUSDAL</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18576-2024</t>
        </is>
      </c>
      <c r="B1594" s="1" t="n">
        <v>45425</v>
      </c>
      <c r="C1594" s="1" t="n">
        <v>46076</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30296-2024</t>
        </is>
      </c>
      <c r="B1595" s="1" t="n">
        <v>45490</v>
      </c>
      <c r="C1595" s="1" t="n">
        <v>46076</v>
      </c>
      <c r="D1595" t="inlineStr">
        <is>
          <t>GÄVLEBORGS LÄN</t>
        </is>
      </c>
      <c r="E1595" t="inlineStr">
        <is>
          <t>LJUSDAL</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61431-2023</t>
        </is>
      </c>
      <c r="B1596" s="1" t="n">
        <v>45264</v>
      </c>
      <c r="C1596" s="1" t="n">
        <v>46076</v>
      </c>
      <c r="D1596" t="inlineStr">
        <is>
          <t>GÄVLEBORGS LÄN</t>
        </is>
      </c>
      <c r="E1596" t="inlineStr">
        <is>
          <t>LJUSDAL</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71070-2021</t>
        </is>
      </c>
      <c r="B1597" s="1" t="n">
        <v>44538.92322916666</v>
      </c>
      <c r="C1597" s="1" t="n">
        <v>46076</v>
      </c>
      <c r="D1597" t="inlineStr">
        <is>
          <t>GÄVLEBORGS LÄN</t>
        </is>
      </c>
      <c r="E1597" t="inlineStr">
        <is>
          <t>LJUSDAL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5034-2025</t>
        </is>
      </c>
      <c r="B1598" s="1" t="n">
        <v>45691.42743055556</v>
      </c>
      <c r="C1598" s="1" t="n">
        <v>46076</v>
      </c>
      <c r="D1598" t="inlineStr">
        <is>
          <t>GÄVLEBORGS LÄN</t>
        </is>
      </c>
      <c r="E1598" t="inlineStr">
        <is>
          <t>LJUSDAL</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4043-2024</t>
        </is>
      </c>
      <c r="B1599" s="1" t="n">
        <v>45323</v>
      </c>
      <c r="C1599" s="1" t="n">
        <v>46076</v>
      </c>
      <c r="D1599" t="inlineStr">
        <is>
          <t>GÄVLEBORGS LÄN</t>
        </is>
      </c>
      <c r="E1599" t="inlineStr">
        <is>
          <t>LJUSDAL</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204-2025</t>
        </is>
      </c>
      <c r="B1600" s="1" t="n">
        <v>45660.31596064815</v>
      </c>
      <c r="C1600" s="1" t="n">
        <v>46076</v>
      </c>
      <c r="D1600" t="inlineStr">
        <is>
          <t>GÄVLEBORGS LÄN</t>
        </is>
      </c>
      <c r="E1600" t="inlineStr">
        <is>
          <t>LJUSDAL</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3464-2023</t>
        </is>
      </c>
      <c r="B1601" s="1" t="n">
        <v>44949.65045138889</v>
      </c>
      <c r="C1601" s="1" t="n">
        <v>46076</v>
      </c>
      <c r="D1601" t="inlineStr">
        <is>
          <t>GÄVLEBORGS LÄN</t>
        </is>
      </c>
      <c r="E1601" t="inlineStr">
        <is>
          <t>LJUSDAL</t>
        </is>
      </c>
      <c r="G1601" t="n">
        <v>18.6</v>
      </c>
      <c r="H1601" t="n">
        <v>0</v>
      </c>
      <c r="I1601" t="n">
        <v>0</v>
      </c>
      <c r="J1601" t="n">
        <v>0</v>
      </c>
      <c r="K1601" t="n">
        <v>0</v>
      </c>
      <c r="L1601" t="n">
        <v>0</v>
      </c>
      <c r="M1601" t="n">
        <v>0</v>
      </c>
      <c r="N1601" t="n">
        <v>0</v>
      </c>
      <c r="O1601" t="n">
        <v>0</v>
      </c>
      <c r="P1601" t="n">
        <v>0</v>
      </c>
      <c r="Q1601" t="n">
        <v>0</v>
      </c>
      <c r="R1601" s="2" t="inlineStr"/>
    </row>
    <row r="1602" ht="15" customHeight="1">
      <c r="A1602" t="inlineStr">
        <is>
          <t>A 22678-2023</t>
        </is>
      </c>
      <c r="B1602" s="1" t="n">
        <v>45071</v>
      </c>
      <c r="C1602" s="1" t="n">
        <v>46076</v>
      </c>
      <c r="D1602" t="inlineStr">
        <is>
          <t>GÄVLEBORGS LÄN</t>
        </is>
      </c>
      <c r="E1602" t="inlineStr">
        <is>
          <t>LJUSDAL</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5701-2025</t>
        </is>
      </c>
      <c r="B1603" s="1" t="n">
        <v>45694</v>
      </c>
      <c r="C1603" s="1" t="n">
        <v>46076</v>
      </c>
      <c r="D1603" t="inlineStr">
        <is>
          <t>GÄVLEBORGS LÄN</t>
        </is>
      </c>
      <c r="E1603" t="inlineStr">
        <is>
          <t>LJUSDAL</t>
        </is>
      </c>
      <c r="F1603" t="inlineStr">
        <is>
          <t>Bergvik skog väst AB</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18011-2025</t>
        </is>
      </c>
      <c r="B1604" s="1" t="n">
        <v>45761.43108796296</v>
      </c>
      <c r="C1604" s="1" t="n">
        <v>46076</v>
      </c>
      <c r="D1604" t="inlineStr">
        <is>
          <t>GÄVLEBORGS LÄN</t>
        </is>
      </c>
      <c r="E1604" t="inlineStr">
        <is>
          <t>LJUSDAL</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51364-2024</t>
        </is>
      </c>
      <c r="B1605" s="1" t="n">
        <v>45604.36947916666</v>
      </c>
      <c r="C1605" s="1" t="n">
        <v>46076</v>
      </c>
      <c r="D1605" t="inlineStr">
        <is>
          <t>GÄVLEBORGS LÄN</t>
        </is>
      </c>
      <c r="E1605" t="inlineStr">
        <is>
          <t>LJUSDAL</t>
        </is>
      </c>
      <c r="G1605" t="n">
        <v>10.7</v>
      </c>
      <c r="H1605" t="n">
        <v>0</v>
      </c>
      <c r="I1605" t="n">
        <v>0</v>
      </c>
      <c r="J1605" t="n">
        <v>0</v>
      </c>
      <c r="K1605" t="n">
        <v>0</v>
      </c>
      <c r="L1605" t="n">
        <v>0</v>
      </c>
      <c r="M1605" t="n">
        <v>0</v>
      </c>
      <c r="N1605" t="n">
        <v>0</v>
      </c>
      <c r="O1605" t="n">
        <v>0</v>
      </c>
      <c r="P1605" t="n">
        <v>0</v>
      </c>
      <c r="Q1605" t="n">
        <v>0</v>
      </c>
      <c r="R1605" s="2" t="inlineStr"/>
    </row>
    <row r="1606" ht="15" customHeight="1">
      <c r="A1606" t="inlineStr">
        <is>
          <t>A 22558-2023</t>
        </is>
      </c>
      <c r="B1606" s="1" t="n">
        <v>45071</v>
      </c>
      <c r="C1606" s="1" t="n">
        <v>46076</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13557-2025</t>
        </is>
      </c>
      <c r="B1607" s="1" t="n">
        <v>45736.54907407407</v>
      </c>
      <c r="C1607" s="1" t="n">
        <v>46076</v>
      </c>
      <c r="D1607" t="inlineStr">
        <is>
          <t>GÄVLEBORGS LÄN</t>
        </is>
      </c>
      <c r="E1607" t="inlineStr">
        <is>
          <t>LJUSDAL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43562-2024</t>
        </is>
      </c>
      <c r="B1608" s="1" t="n">
        <v>45569.40412037037</v>
      </c>
      <c r="C1608" s="1" t="n">
        <v>46076</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13369-2021</t>
        </is>
      </c>
      <c r="B1609" s="1" t="n">
        <v>44273.39921296296</v>
      </c>
      <c r="C1609" s="1" t="n">
        <v>46076</v>
      </c>
      <c r="D1609" t="inlineStr">
        <is>
          <t>GÄVLEBORGS LÄN</t>
        </is>
      </c>
      <c r="E1609" t="inlineStr">
        <is>
          <t>LJUSDAL</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38814-2024</t>
        </is>
      </c>
      <c r="B1610" s="1" t="n">
        <v>45547.54760416667</v>
      </c>
      <c r="C1610" s="1" t="n">
        <v>46076</v>
      </c>
      <c r="D1610" t="inlineStr">
        <is>
          <t>GÄVLEBORGS LÄN</t>
        </is>
      </c>
      <c r="E1610" t="inlineStr">
        <is>
          <t>LJUSDAL</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30286-2024</t>
        </is>
      </c>
      <c r="B1611" s="1" t="n">
        <v>45490</v>
      </c>
      <c r="C1611" s="1" t="n">
        <v>46076</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30292-2024</t>
        </is>
      </c>
      <c r="B1612" s="1" t="n">
        <v>45490</v>
      </c>
      <c r="C1612" s="1" t="n">
        <v>46076</v>
      </c>
      <c r="D1612" t="inlineStr">
        <is>
          <t>GÄVLEBORGS LÄN</t>
        </is>
      </c>
      <c r="E1612" t="inlineStr">
        <is>
          <t>LJUSDAL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23394-2024</t>
        </is>
      </c>
      <c r="B1613" s="1" t="n">
        <v>45453</v>
      </c>
      <c r="C1613" s="1" t="n">
        <v>46076</v>
      </c>
      <c r="D1613" t="inlineStr">
        <is>
          <t>GÄVLEBORGS LÄN</t>
        </is>
      </c>
      <c r="E1613" t="inlineStr">
        <is>
          <t>LJUSDAL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27867-2024</t>
        </is>
      </c>
      <c r="B1614" s="1" t="n">
        <v>45475</v>
      </c>
      <c r="C1614" s="1" t="n">
        <v>46076</v>
      </c>
      <c r="D1614" t="inlineStr">
        <is>
          <t>GÄVLEBORGS LÄN</t>
        </is>
      </c>
      <c r="E1614" t="inlineStr">
        <is>
          <t>LJUSDAL</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20756-2022</t>
        </is>
      </c>
      <c r="B1615" s="1" t="n">
        <v>44701.33546296296</v>
      </c>
      <c r="C1615" s="1" t="n">
        <v>46076</v>
      </c>
      <c r="D1615" t="inlineStr">
        <is>
          <t>GÄVLEBORGS LÄN</t>
        </is>
      </c>
      <c r="E1615" t="inlineStr">
        <is>
          <t>LJUSDAL</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37646-2021</t>
        </is>
      </c>
      <c r="B1616" s="1" t="n">
        <v>44400.37629629629</v>
      </c>
      <c r="C1616" s="1" t="n">
        <v>46076</v>
      </c>
      <c r="D1616" t="inlineStr">
        <is>
          <t>GÄVLEBORGS LÄN</t>
        </is>
      </c>
      <c r="E1616" t="inlineStr">
        <is>
          <t>LJUSDAL</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43018-2023</t>
        </is>
      </c>
      <c r="B1617" s="1" t="n">
        <v>45182.64844907408</v>
      </c>
      <c r="C1617" s="1" t="n">
        <v>46076</v>
      </c>
      <c r="D1617" t="inlineStr">
        <is>
          <t>GÄVLEBORGS LÄN</t>
        </is>
      </c>
      <c r="E1617" t="inlineStr">
        <is>
          <t>LJUSDAL</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53852-2023</t>
        </is>
      </c>
      <c r="B1618" s="1" t="n">
        <v>45231.46224537037</v>
      </c>
      <c r="C1618" s="1" t="n">
        <v>46076</v>
      </c>
      <c r="D1618" t="inlineStr">
        <is>
          <t>GÄVLEBORGS LÄN</t>
        </is>
      </c>
      <c r="E1618" t="inlineStr">
        <is>
          <t>LJUSDAL</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18025-2025</t>
        </is>
      </c>
      <c r="B1619" s="1" t="n">
        <v>45761.44814814815</v>
      </c>
      <c r="C1619" s="1" t="n">
        <v>46076</v>
      </c>
      <c r="D1619" t="inlineStr">
        <is>
          <t>GÄVLEBORGS LÄN</t>
        </is>
      </c>
      <c r="E1619" t="inlineStr">
        <is>
          <t>LJUSDAL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32164-2024</t>
        </is>
      </c>
      <c r="B1620" s="1" t="n">
        <v>45511.59428240741</v>
      </c>
      <c r="C1620" s="1" t="n">
        <v>46076</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34228-2023</t>
        </is>
      </c>
      <c r="B1621" s="1" t="n">
        <v>45127</v>
      </c>
      <c r="C1621" s="1" t="n">
        <v>46076</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6432-2023</t>
        </is>
      </c>
      <c r="B1622" s="1" t="n">
        <v>44965.82097222222</v>
      </c>
      <c r="C1622" s="1" t="n">
        <v>46076</v>
      </c>
      <c r="D1622" t="inlineStr">
        <is>
          <t>GÄVLEBORGS LÄN</t>
        </is>
      </c>
      <c r="E1622" t="inlineStr">
        <is>
          <t>LJUSDAL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56356-2024</t>
        </is>
      </c>
      <c r="B1623" s="1" t="n">
        <v>45624.93702546296</v>
      </c>
      <c r="C1623" s="1" t="n">
        <v>46076</v>
      </c>
      <c r="D1623" t="inlineStr">
        <is>
          <t>GÄVLEBORGS LÄN</t>
        </is>
      </c>
      <c r="E1623" t="inlineStr">
        <is>
          <t>LJUSDAL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26539-2023</t>
        </is>
      </c>
      <c r="B1624" s="1" t="n">
        <v>45092</v>
      </c>
      <c r="C1624" s="1" t="n">
        <v>46076</v>
      </c>
      <c r="D1624" t="inlineStr">
        <is>
          <t>GÄVLEBORGS LÄN</t>
        </is>
      </c>
      <c r="E1624" t="inlineStr">
        <is>
          <t>LJUSDAL</t>
        </is>
      </c>
      <c r="F1624" t="inlineStr">
        <is>
          <t>Sveaskog</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35122-2024</t>
        </is>
      </c>
      <c r="B1625" s="1" t="n">
        <v>45530</v>
      </c>
      <c r="C1625" s="1" t="n">
        <v>46076</v>
      </c>
      <c r="D1625" t="inlineStr">
        <is>
          <t>GÄVLEBORGS LÄN</t>
        </is>
      </c>
      <c r="E1625" t="inlineStr">
        <is>
          <t>LJUSDAL</t>
        </is>
      </c>
      <c r="F1625" t="inlineStr">
        <is>
          <t>Sveaskog</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26506-2023</t>
        </is>
      </c>
      <c r="B1626" s="1" t="n">
        <v>45092.52630787037</v>
      </c>
      <c r="C1626" s="1" t="n">
        <v>46076</v>
      </c>
      <c r="D1626" t="inlineStr">
        <is>
          <t>GÄVLEBORGS LÄN</t>
        </is>
      </c>
      <c r="E1626" t="inlineStr">
        <is>
          <t>LJUSDAL</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13849-2025</t>
        </is>
      </c>
      <c r="B1627" s="1" t="n">
        <v>45737.56753472222</v>
      </c>
      <c r="C1627" s="1" t="n">
        <v>46076</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37792-2022</t>
        </is>
      </c>
      <c r="B1628" s="1" t="n">
        <v>44810.68939814815</v>
      </c>
      <c r="C1628" s="1" t="n">
        <v>46076</v>
      </c>
      <c r="D1628" t="inlineStr">
        <is>
          <t>GÄVLEBORGS LÄN</t>
        </is>
      </c>
      <c r="E1628" t="inlineStr">
        <is>
          <t>LJUSDAL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52057-2023</t>
        </is>
      </c>
      <c r="B1629" s="1" t="n">
        <v>45223.65407407407</v>
      </c>
      <c r="C1629" s="1" t="n">
        <v>46076</v>
      </c>
      <c r="D1629" t="inlineStr">
        <is>
          <t>GÄVLEBORGS LÄN</t>
        </is>
      </c>
      <c r="E1629" t="inlineStr">
        <is>
          <t>LJUSDAL</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42537-2024</t>
        </is>
      </c>
      <c r="B1630" s="1" t="n">
        <v>45565.58545138889</v>
      </c>
      <c r="C1630" s="1" t="n">
        <v>46076</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53857-2023</t>
        </is>
      </c>
      <c r="B1631" s="1" t="n">
        <v>45231.46946759259</v>
      </c>
      <c r="C1631" s="1" t="n">
        <v>46076</v>
      </c>
      <c r="D1631" t="inlineStr">
        <is>
          <t>GÄVLEBORGS LÄN</t>
        </is>
      </c>
      <c r="E1631" t="inlineStr">
        <is>
          <t>LJUSDAL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9194-2022</t>
        </is>
      </c>
      <c r="B1632" s="1" t="n">
        <v>44615</v>
      </c>
      <c r="C1632" s="1" t="n">
        <v>46076</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58802-2024</t>
        </is>
      </c>
      <c r="B1633" s="1" t="n">
        <v>45636.33385416667</v>
      </c>
      <c r="C1633" s="1" t="n">
        <v>46076</v>
      </c>
      <c r="D1633" t="inlineStr">
        <is>
          <t>GÄVLEBORGS LÄN</t>
        </is>
      </c>
      <c r="E1633" t="inlineStr">
        <is>
          <t>LJUSDAL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19405-2021</t>
        </is>
      </c>
      <c r="B1634" s="1" t="n">
        <v>44309</v>
      </c>
      <c r="C1634" s="1" t="n">
        <v>46076</v>
      </c>
      <c r="D1634" t="inlineStr">
        <is>
          <t>GÄVLEBORGS LÄN</t>
        </is>
      </c>
      <c r="E1634" t="inlineStr">
        <is>
          <t>LJUSDAL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31892-2023</t>
        </is>
      </c>
      <c r="B1635" s="1" t="n">
        <v>45118</v>
      </c>
      <c r="C1635" s="1" t="n">
        <v>46076</v>
      </c>
      <c r="D1635" t="inlineStr">
        <is>
          <t>GÄVLEBORGS LÄN</t>
        </is>
      </c>
      <c r="E1635" t="inlineStr">
        <is>
          <t>LJUSDAL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2412-2025</t>
        </is>
      </c>
      <c r="B1636" s="1" t="n">
        <v>45674.37393518518</v>
      </c>
      <c r="C1636" s="1" t="n">
        <v>46076</v>
      </c>
      <c r="D1636" t="inlineStr">
        <is>
          <t>GÄVLEBORGS LÄN</t>
        </is>
      </c>
      <c r="E1636" t="inlineStr">
        <is>
          <t>LJUSDAL</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3289-2023</t>
        </is>
      </c>
      <c r="B1637" s="1" t="n">
        <v>44949.37563657408</v>
      </c>
      <c r="C1637" s="1" t="n">
        <v>46076</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60118-2022</t>
        </is>
      </c>
      <c r="B1638" s="1" t="n">
        <v>44909</v>
      </c>
      <c r="C1638" s="1" t="n">
        <v>46076</v>
      </c>
      <c r="D1638" t="inlineStr">
        <is>
          <t>GÄVLEBORGS LÄN</t>
        </is>
      </c>
      <c r="E1638" t="inlineStr">
        <is>
          <t>LJUSDAL</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46076</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34651-2021</t>
        </is>
      </c>
      <c r="B1640" s="1" t="n">
        <v>44382</v>
      </c>
      <c r="C1640" s="1" t="n">
        <v>46076</v>
      </c>
      <c r="D1640" t="inlineStr">
        <is>
          <t>GÄVLEBORGS LÄN</t>
        </is>
      </c>
      <c r="E1640" t="inlineStr">
        <is>
          <t>LJUSDAL</t>
        </is>
      </c>
      <c r="F1640" t="inlineStr">
        <is>
          <t>SCA</t>
        </is>
      </c>
      <c r="G1640" t="n">
        <v>15.5</v>
      </c>
      <c r="H1640" t="n">
        <v>0</v>
      </c>
      <c r="I1640" t="n">
        <v>0</v>
      </c>
      <c r="J1640" t="n">
        <v>0</v>
      </c>
      <c r="K1640" t="n">
        <v>0</v>
      </c>
      <c r="L1640" t="n">
        <v>0</v>
      </c>
      <c r="M1640" t="n">
        <v>0</v>
      </c>
      <c r="N1640" t="n">
        <v>0</v>
      </c>
      <c r="O1640" t="n">
        <v>0</v>
      </c>
      <c r="P1640" t="n">
        <v>0</v>
      </c>
      <c r="Q1640" t="n">
        <v>0</v>
      </c>
      <c r="R1640" s="2" t="inlineStr"/>
    </row>
    <row r="1641" ht="15" customHeight="1">
      <c r="A1641" t="inlineStr">
        <is>
          <t>A 7461-2025</t>
        </is>
      </c>
      <c r="B1641" s="1" t="n">
        <v>45705.4404050926</v>
      </c>
      <c r="C1641" s="1" t="n">
        <v>46076</v>
      </c>
      <c r="D1641" t="inlineStr">
        <is>
          <t>GÄVLEBORGS LÄN</t>
        </is>
      </c>
      <c r="E1641" t="inlineStr">
        <is>
          <t>LJUSDAL</t>
        </is>
      </c>
      <c r="G1641" t="n">
        <v>26.4</v>
      </c>
      <c r="H1641" t="n">
        <v>0</v>
      </c>
      <c r="I1641" t="n">
        <v>0</v>
      </c>
      <c r="J1641" t="n">
        <v>0</v>
      </c>
      <c r="K1641" t="n">
        <v>0</v>
      </c>
      <c r="L1641" t="n">
        <v>0</v>
      </c>
      <c r="M1641" t="n">
        <v>0</v>
      </c>
      <c r="N1641" t="n">
        <v>0</v>
      </c>
      <c r="O1641" t="n">
        <v>0</v>
      </c>
      <c r="P1641" t="n">
        <v>0</v>
      </c>
      <c r="Q1641" t="n">
        <v>0</v>
      </c>
      <c r="R1641" s="2" t="inlineStr"/>
    </row>
    <row r="1642" ht="15" customHeight="1">
      <c r="A1642" t="inlineStr">
        <is>
          <t>A 43499-2024</t>
        </is>
      </c>
      <c r="B1642" s="1" t="n">
        <v>45569.29876157407</v>
      </c>
      <c r="C1642" s="1" t="n">
        <v>46076</v>
      </c>
      <c r="D1642" t="inlineStr">
        <is>
          <t>GÄVLEBORGS LÄN</t>
        </is>
      </c>
      <c r="E1642" t="inlineStr">
        <is>
          <t>LJUSDAL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15171-2023</t>
        </is>
      </c>
      <c r="B1643" s="1" t="n">
        <v>45016</v>
      </c>
      <c r="C1643" s="1" t="n">
        <v>46076</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29260-2023</t>
        </is>
      </c>
      <c r="B1644" s="1" t="n">
        <v>45105.6580787037</v>
      </c>
      <c r="C1644" s="1" t="n">
        <v>46076</v>
      </c>
      <c r="D1644" t="inlineStr">
        <is>
          <t>GÄVLEBORGS LÄN</t>
        </is>
      </c>
      <c r="E1644" t="inlineStr">
        <is>
          <t>LJUSDAL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19064-2025</t>
        </is>
      </c>
      <c r="B1645" s="1" t="n">
        <v>45765.40659722222</v>
      </c>
      <c r="C1645" s="1" t="n">
        <v>46076</v>
      </c>
      <c r="D1645" t="inlineStr">
        <is>
          <t>GÄVLEBORGS LÄN</t>
        </is>
      </c>
      <c r="E1645" t="inlineStr">
        <is>
          <t>LJUSDAL</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33802-2023</t>
        </is>
      </c>
      <c r="B1646" s="1" t="n">
        <v>45133.57393518519</v>
      </c>
      <c r="C1646" s="1" t="n">
        <v>46076</v>
      </c>
      <c r="D1646" t="inlineStr">
        <is>
          <t>GÄVLEBORGS LÄN</t>
        </is>
      </c>
      <c r="E1646" t="inlineStr">
        <is>
          <t>LJUSDAL</t>
        </is>
      </c>
      <c r="F1646" t="inlineStr">
        <is>
          <t>Bergvik skog väst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55781-2022</t>
        </is>
      </c>
      <c r="B1647" s="1" t="n">
        <v>44888</v>
      </c>
      <c r="C1647" s="1" t="n">
        <v>46076</v>
      </c>
      <c r="D1647" t="inlineStr">
        <is>
          <t>GÄVLEBORGS LÄN</t>
        </is>
      </c>
      <c r="E1647" t="inlineStr">
        <is>
          <t>LJUSDAL</t>
        </is>
      </c>
      <c r="F1647" t="inlineStr">
        <is>
          <t>Kommuner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13911-2024</t>
        </is>
      </c>
      <c r="B1648" s="1" t="n">
        <v>45391.70934027778</v>
      </c>
      <c r="C1648" s="1" t="n">
        <v>46076</v>
      </c>
      <c r="D1648" t="inlineStr">
        <is>
          <t>GÄVLEBORGS LÄN</t>
        </is>
      </c>
      <c r="E1648" t="inlineStr">
        <is>
          <t>LJUSDAL</t>
        </is>
      </c>
      <c r="G1648" t="n">
        <v>18.2</v>
      </c>
      <c r="H1648" t="n">
        <v>0</v>
      </c>
      <c r="I1648" t="n">
        <v>0</v>
      </c>
      <c r="J1648" t="n">
        <v>0</v>
      </c>
      <c r="K1648" t="n">
        <v>0</v>
      </c>
      <c r="L1648" t="n">
        <v>0</v>
      </c>
      <c r="M1648" t="n">
        <v>0</v>
      </c>
      <c r="N1648" t="n">
        <v>0</v>
      </c>
      <c r="O1648" t="n">
        <v>0</v>
      </c>
      <c r="P1648" t="n">
        <v>0</v>
      </c>
      <c r="Q1648" t="n">
        <v>0</v>
      </c>
      <c r="R1648" s="2" t="inlineStr"/>
    </row>
    <row r="1649" ht="15" customHeight="1">
      <c r="A1649" t="inlineStr">
        <is>
          <t>A 29568-2021</t>
        </is>
      </c>
      <c r="B1649" s="1" t="n">
        <v>44361.91872685185</v>
      </c>
      <c r="C1649" s="1" t="n">
        <v>46076</v>
      </c>
      <c r="D1649" t="inlineStr">
        <is>
          <t>GÄVLEBORGS LÄN</t>
        </is>
      </c>
      <c r="E1649" t="inlineStr">
        <is>
          <t>LJUSDAL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3532-2023</t>
        </is>
      </c>
      <c r="B1650" s="1" t="n">
        <v>44950</v>
      </c>
      <c r="C1650" s="1" t="n">
        <v>46076</v>
      </c>
      <c r="D1650" t="inlineStr">
        <is>
          <t>GÄVLEBORGS LÄN</t>
        </is>
      </c>
      <c r="E1650" t="inlineStr">
        <is>
          <t>LJUSDAL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21965-2022</t>
        </is>
      </c>
      <c r="B1651" s="1" t="n">
        <v>44711</v>
      </c>
      <c r="C1651" s="1" t="n">
        <v>46076</v>
      </c>
      <c r="D1651" t="inlineStr">
        <is>
          <t>GÄVLEBORGS LÄN</t>
        </is>
      </c>
      <c r="E1651" t="inlineStr">
        <is>
          <t>LJUSDAL</t>
        </is>
      </c>
      <c r="F1651" t="inlineStr">
        <is>
          <t>Bergvik skog väst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60099-2022</t>
        </is>
      </c>
      <c r="B1652" s="1" t="n">
        <v>44909.62553240741</v>
      </c>
      <c r="C1652" s="1" t="n">
        <v>46076</v>
      </c>
      <c r="D1652" t="inlineStr">
        <is>
          <t>GÄVLEBORGS LÄN</t>
        </is>
      </c>
      <c r="E1652" t="inlineStr">
        <is>
          <t>LJUSDAL</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32832-2022</t>
        </is>
      </c>
      <c r="B1653" s="1" t="n">
        <v>44784.42042824074</v>
      </c>
      <c r="C1653" s="1" t="n">
        <v>46076</v>
      </c>
      <c r="D1653" t="inlineStr">
        <is>
          <t>GÄVLEBORGS LÄN</t>
        </is>
      </c>
      <c r="E1653" t="inlineStr">
        <is>
          <t>LJUSDAL</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52915-2024</t>
        </is>
      </c>
      <c r="B1654" s="1" t="n">
        <v>45610.71055555555</v>
      </c>
      <c r="C1654" s="1" t="n">
        <v>46076</v>
      </c>
      <c r="D1654" t="inlineStr">
        <is>
          <t>GÄVLEBORGS LÄN</t>
        </is>
      </c>
      <c r="E1654" t="inlineStr">
        <is>
          <t>LJUSDAL</t>
        </is>
      </c>
      <c r="F1654" t="inlineStr">
        <is>
          <t>Allmännings- och besparingsskogar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20288-2024</t>
        </is>
      </c>
      <c r="B1655" s="1" t="n">
        <v>45435</v>
      </c>
      <c r="C1655" s="1" t="n">
        <v>46076</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3635-2023</t>
        </is>
      </c>
      <c r="B1656" s="1" t="n">
        <v>44950</v>
      </c>
      <c r="C1656" s="1" t="n">
        <v>46076</v>
      </c>
      <c r="D1656" t="inlineStr">
        <is>
          <t>GÄVLEBORGS LÄN</t>
        </is>
      </c>
      <c r="E1656" t="inlineStr">
        <is>
          <t>LJUSDAL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51869-2024</t>
        </is>
      </c>
      <c r="B1657" s="1" t="n">
        <v>45607.553125</v>
      </c>
      <c r="C1657" s="1" t="n">
        <v>46076</v>
      </c>
      <c r="D1657" t="inlineStr">
        <is>
          <t>GÄVLEBORGS LÄN</t>
        </is>
      </c>
      <c r="E1657" t="inlineStr">
        <is>
          <t>LJUSDAL</t>
        </is>
      </c>
      <c r="F1657" t="inlineStr">
        <is>
          <t>Naturvårdsverket</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51634-2022</t>
        </is>
      </c>
      <c r="B1658" s="1" t="n">
        <v>44872</v>
      </c>
      <c r="C1658" s="1" t="n">
        <v>46076</v>
      </c>
      <c r="D1658" t="inlineStr">
        <is>
          <t>GÄVLEBORGS LÄN</t>
        </is>
      </c>
      <c r="E1658" t="inlineStr">
        <is>
          <t>LJUSDAL</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10514-2024</t>
        </is>
      </c>
      <c r="B1659" s="1" t="n">
        <v>45366</v>
      </c>
      <c r="C1659" s="1" t="n">
        <v>46076</v>
      </c>
      <c r="D1659" t="inlineStr">
        <is>
          <t>GÄVLEBORGS LÄN</t>
        </is>
      </c>
      <c r="E1659" t="inlineStr">
        <is>
          <t>LJUSDAL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21756-2024</t>
        </is>
      </c>
      <c r="B1660" s="1" t="n">
        <v>45442</v>
      </c>
      <c r="C1660" s="1" t="n">
        <v>46076</v>
      </c>
      <c r="D1660" t="inlineStr">
        <is>
          <t>GÄVLEBORGS LÄN</t>
        </is>
      </c>
      <c r="E1660" t="inlineStr">
        <is>
          <t>LJUSDAL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29586-2021</t>
        </is>
      </c>
      <c r="B1661" s="1" t="n">
        <v>44361.9196875</v>
      </c>
      <c r="C1661" s="1" t="n">
        <v>46076</v>
      </c>
      <c r="D1661" t="inlineStr">
        <is>
          <t>GÄVLEBORGS LÄN</t>
        </is>
      </c>
      <c r="E1661" t="inlineStr">
        <is>
          <t>LJUSDAL</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48148-2024</t>
        </is>
      </c>
      <c r="B1662" s="1" t="n">
        <v>45589.67875</v>
      </c>
      <c r="C1662" s="1" t="n">
        <v>46076</v>
      </c>
      <c r="D1662" t="inlineStr">
        <is>
          <t>GÄVLEBORGS LÄN</t>
        </is>
      </c>
      <c r="E1662" t="inlineStr">
        <is>
          <t>LJUSDAL</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52842-2023</t>
        </is>
      </c>
      <c r="B1663" s="1" t="n">
        <v>45226.43016203704</v>
      </c>
      <c r="C1663" s="1" t="n">
        <v>46076</v>
      </c>
      <c r="D1663" t="inlineStr">
        <is>
          <t>GÄVLEBORGS LÄN</t>
        </is>
      </c>
      <c r="E1663" t="inlineStr">
        <is>
          <t>LJUSDAL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9111-2024</t>
        </is>
      </c>
      <c r="B1664" s="1" t="n">
        <v>45357.96122685185</v>
      </c>
      <c r="C1664" s="1" t="n">
        <v>46076</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47268-2021</t>
        </is>
      </c>
      <c r="B1665" s="1" t="n">
        <v>44447</v>
      </c>
      <c r="C1665" s="1" t="n">
        <v>46076</v>
      </c>
      <c r="D1665" t="inlineStr">
        <is>
          <t>GÄVLEBORGS LÄN</t>
        </is>
      </c>
      <c r="E1665" t="inlineStr">
        <is>
          <t>LJUSDAL</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20513-2025</t>
        </is>
      </c>
      <c r="B1666" s="1" t="n">
        <v>45775.59555555556</v>
      </c>
      <c r="C1666" s="1" t="n">
        <v>46076</v>
      </c>
      <c r="D1666" t="inlineStr">
        <is>
          <t>GÄVLEBORGS LÄN</t>
        </is>
      </c>
      <c r="E1666" t="inlineStr">
        <is>
          <t>LJUSDAL</t>
        </is>
      </c>
      <c r="F1666" t="inlineStr">
        <is>
          <t>Sveaskog</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61474-2024</t>
        </is>
      </c>
      <c r="B1667" s="1" t="n">
        <v>45646.51774305556</v>
      </c>
      <c r="C1667" s="1" t="n">
        <v>46076</v>
      </c>
      <c r="D1667" t="inlineStr">
        <is>
          <t>GÄVLEBORGS LÄN</t>
        </is>
      </c>
      <c r="E1667" t="inlineStr">
        <is>
          <t>LJUSDAL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28114-2023</t>
        </is>
      </c>
      <c r="B1668" s="1" t="n">
        <v>45099</v>
      </c>
      <c r="C1668" s="1" t="n">
        <v>46076</v>
      </c>
      <c r="D1668" t="inlineStr">
        <is>
          <t>GÄVLEBORGS LÄN</t>
        </is>
      </c>
      <c r="E1668" t="inlineStr">
        <is>
          <t>LJUSDAL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16925-2021</t>
        </is>
      </c>
      <c r="B1669" s="1" t="n">
        <v>44295</v>
      </c>
      <c r="C1669" s="1" t="n">
        <v>46076</v>
      </c>
      <c r="D1669" t="inlineStr">
        <is>
          <t>GÄVLEBORGS LÄN</t>
        </is>
      </c>
      <c r="E1669" t="inlineStr">
        <is>
          <t>LJUSDAL</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52626-2022</t>
        </is>
      </c>
      <c r="B1670" s="1" t="n">
        <v>44874</v>
      </c>
      <c r="C1670" s="1" t="n">
        <v>46076</v>
      </c>
      <c r="D1670" t="inlineStr">
        <is>
          <t>GÄVLEBORGS LÄN</t>
        </is>
      </c>
      <c r="E1670" t="inlineStr">
        <is>
          <t>LJUSDAL</t>
        </is>
      </c>
      <c r="F1670" t="inlineStr">
        <is>
          <t>Kyrkan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26073-2024</t>
        </is>
      </c>
      <c r="B1671" s="1" t="n">
        <v>45468.3650462963</v>
      </c>
      <c r="C1671" s="1" t="n">
        <v>46076</v>
      </c>
      <c r="D1671" t="inlineStr">
        <is>
          <t>GÄVLEBORGS LÄN</t>
        </is>
      </c>
      <c r="E1671" t="inlineStr">
        <is>
          <t>LJUSDAL</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26078-2024</t>
        </is>
      </c>
      <c r="B1672" s="1" t="n">
        <v>45468.37726851852</v>
      </c>
      <c r="C1672" s="1" t="n">
        <v>46076</v>
      </c>
      <c r="D1672" t="inlineStr">
        <is>
          <t>GÄVLEBORGS LÄN</t>
        </is>
      </c>
      <c r="E1672" t="inlineStr">
        <is>
          <t>LJUSDAL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18854-2025</t>
        </is>
      </c>
      <c r="B1673" s="1" t="n">
        <v>45764.42233796296</v>
      </c>
      <c r="C1673" s="1" t="n">
        <v>46076</v>
      </c>
      <c r="D1673" t="inlineStr">
        <is>
          <t>GÄVLEBORGS LÄN</t>
        </is>
      </c>
      <c r="E1673" t="inlineStr">
        <is>
          <t>LJUSDAL</t>
        </is>
      </c>
      <c r="F1673" t="inlineStr">
        <is>
          <t>Sveaskog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16962-2025</t>
        </is>
      </c>
      <c r="B1674" s="1" t="n">
        <v>45755</v>
      </c>
      <c r="C1674" s="1" t="n">
        <v>46076</v>
      </c>
      <c r="D1674" t="inlineStr">
        <is>
          <t>GÄVLEBORGS LÄN</t>
        </is>
      </c>
      <c r="E1674" t="inlineStr">
        <is>
          <t>LJUSDAL</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51880-2024</t>
        </is>
      </c>
      <c r="B1675" s="1" t="n">
        <v>45607.5674537037</v>
      </c>
      <c r="C1675" s="1" t="n">
        <v>46076</v>
      </c>
      <c r="D1675" t="inlineStr">
        <is>
          <t>GÄVLEBORGS LÄN</t>
        </is>
      </c>
      <c r="E1675" t="inlineStr">
        <is>
          <t>LJUSDAL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40554-2022</t>
        </is>
      </c>
      <c r="B1676" s="1" t="n">
        <v>44823.66243055555</v>
      </c>
      <c r="C1676" s="1" t="n">
        <v>46076</v>
      </c>
      <c r="D1676" t="inlineStr">
        <is>
          <t>GÄVLEBORGS LÄN</t>
        </is>
      </c>
      <c r="E1676" t="inlineStr">
        <is>
          <t>LJUSDAL</t>
        </is>
      </c>
      <c r="F1676" t="inlineStr">
        <is>
          <t>Bergvik skog väst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8153-2022</t>
        </is>
      </c>
      <c r="B1677" s="1" t="n">
        <v>44609.62958333334</v>
      </c>
      <c r="C1677" s="1" t="n">
        <v>46076</v>
      </c>
      <c r="D1677" t="inlineStr">
        <is>
          <t>GÄVLEBORGS LÄN</t>
        </is>
      </c>
      <c r="E1677" t="inlineStr">
        <is>
          <t>LJUSDAL</t>
        </is>
      </c>
      <c r="F1677" t="inlineStr">
        <is>
          <t>Holmen skog AB</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32151-2023</t>
        </is>
      </c>
      <c r="B1678" s="1" t="n">
        <v>45119.70157407408</v>
      </c>
      <c r="C1678" s="1" t="n">
        <v>46076</v>
      </c>
      <c r="D1678" t="inlineStr">
        <is>
          <t>GÄVLEBORGS LÄN</t>
        </is>
      </c>
      <c r="E1678" t="inlineStr">
        <is>
          <t>LJUSDAL</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47291-2024</t>
        </is>
      </c>
      <c r="B1679" s="1" t="n">
        <v>45587.33782407407</v>
      </c>
      <c r="C1679" s="1" t="n">
        <v>46076</v>
      </c>
      <c r="D1679" t="inlineStr">
        <is>
          <t>GÄVLEBORGS LÄN</t>
        </is>
      </c>
      <c r="E1679" t="inlineStr">
        <is>
          <t>LJUSDAL</t>
        </is>
      </c>
      <c r="F1679" t="inlineStr">
        <is>
          <t>Holmen skog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42703-2024</t>
        </is>
      </c>
      <c r="B1680" s="1" t="n">
        <v>45566.43296296296</v>
      </c>
      <c r="C1680" s="1" t="n">
        <v>46076</v>
      </c>
      <c r="D1680" t="inlineStr">
        <is>
          <t>GÄVLEBORGS LÄN</t>
        </is>
      </c>
      <c r="E1680" t="inlineStr">
        <is>
          <t>LJUSDAL</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4864-2023</t>
        </is>
      </c>
      <c r="B1681" s="1" t="n">
        <v>44957.92511574074</v>
      </c>
      <c r="C1681" s="1" t="n">
        <v>46076</v>
      </c>
      <c r="D1681" t="inlineStr">
        <is>
          <t>GÄVLEBORGS LÄN</t>
        </is>
      </c>
      <c r="E1681" t="inlineStr">
        <is>
          <t>LJUSDAL</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57344-2021</t>
        </is>
      </c>
      <c r="B1682" s="1" t="n">
        <v>44483.48961805556</v>
      </c>
      <c r="C1682" s="1" t="n">
        <v>46076</v>
      </c>
      <c r="D1682" t="inlineStr">
        <is>
          <t>GÄVLEBORGS LÄN</t>
        </is>
      </c>
      <c r="E1682" t="inlineStr">
        <is>
          <t>LJUSDAL</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574-2022</t>
        </is>
      </c>
      <c r="B1683" s="1" t="n">
        <v>44566</v>
      </c>
      <c r="C1683" s="1" t="n">
        <v>46076</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22559-2023</t>
        </is>
      </c>
      <c r="B1684" s="1" t="n">
        <v>45071.44723379629</v>
      </c>
      <c r="C1684" s="1" t="n">
        <v>46076</v>
      </c>
      <c r="D1684" t="inlineStr">
        <is>
          <t>GÄVLEBORGS LÄN</t>
        </is>
      </c>
      <c r="E1684" t="inlineStr">
        <is>
          <t>LJUSDAL</t>
        </is>
      </c>
      <c r="F1684" t="inlineStr">
        <is>
          <t>Holmen skog AB</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1445-2023</t>
        </is>
      </c>
      <c r="B1685" s="1" t="n">
        <v>44937.38020833334</v>
      </c>
      <c r="C1685" s="1" t="n">
        <v>46076</v>
      </c>
      <c r="D1685" t="inlineStr">
        <is>
          <t>GÄVLEBORGS LÄN</t>
        </is>
      </c>
      <c r="E1685" t="inlineStr">
        <is>
          <t>LJUSDAL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13882-2025</t>
        </is>
      </c>
      <c r="B1686" s="1" t="n">
        <v>45737.60047453704</v>
      </c>
      <c r="C1686" s="1" t="n">
        <v>46076</v>
      </c>
      <c r="D1686" t="inlineStr">
        <is>
          <t>GÄVLEBORGS LÄN</t>
        </is>
      </c>
      <c r="E1686" t="inlineStr">
        <is>
          <t>LJUSDAL</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15864-2025</t>
        </is>
      </c>
      <c r="B1687" s="1" t="n">
        <v>45749.35642361111</v>
      </c>
      <c r="C1687" s="1" t="n">
        <v>46076</v>
      </c>
      <c r="D1687" t="inlineStr">
        <is>
          <t>GÄVLEBORGS LÄN</t>
        </is>
      </c>
      <c r="E1687" t="inlineStr">
        <is>
          <t>LJUSDAL</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20847-2025</t>
        </is>
      </c>
      <c r="B1688" s="1" t="n">
        <v>45777.29842592592</v>
      </c>
      <c r="C1688" s="1" t="n">
        <v>46076</v>
      </c>
      <c r="D1688" t="inlineStr">
        <is>
          <t>GÄVLEBORGS LÄN</t>
        </is>
      </c>
      <c r="E1688" t="inlineStr">
        <is>
          <t>LJUSDAL</t>
        </is>
      </c>
      <c r="G1688" t="n">
        <v>21.6</v>
      </c>
      <c r="H1688" t="n">
        <v>0</v>
      </c>
      <c r="I1688" t="n">
        <v>0</v>
      </c>
      <c r="J1688" t="n">
        <v>0</v>
      </c>
      <c r="K1688" t="n">
        <v>0</v>
      </c>
      <c r="L1688" t="n">
        <v>0</v>
      </c>
      <c r="M1688" t="n">
        <v>0</v>
      </c>
      <c r="N1688" t="n">
        <v>0</v>
      </c>
      <c r="O1688" t="n">
        <v>0</v>
      </c>
      <c r="P1688" t="n">
        <v>0</v>
      </c>
      <c r="Q1688" t="n">
        <v>0</v>
      </c>
      <c r="R1688" s="2" t="inlineStr"/>
    </row>
    <row r="1689" ht="15" customHeight="1">
      <c r="A1689" t="inlineStr">
        <is>
          <t>A 21071-2025</t>
        </is>
      </c>
      <c r="B1689" s="1" t="n">
        <v>45777.59451388889</v>
      </c>
      <c r="C1689" s="1" t="n">
        <v>46076</v>
      </c>
      <c r="D1689" t="inlineStr">
        <is>
          <t>GÄVLEBORGS LÄN</t>
        </is>
      </c>
      <c r="E1689" t="inlineStr">
        <is>
          <t>LJUSDAL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21098-2025</t>
        </is>
      </c>
      <c r="B1690" s="1" t="n">
        <v>45777.6434837963</v>
      </c>
      <c r="C1690" s="1" t="n">
        <v>46076</v>
      </c>
      <c r="D1690" t="inlineStr">
        <is>
          <t>GÄVLEBORGS LÄN</t>
        </is>
      </c>
      <c r="E1690" t="inlineStr">
        <is>
          <t>LJUSDAL</t>
        </is>
      </c>
      <c r="F1690" t="inlineStr">
        <is>
          <t>Sveaskog</t>
        </is>
      </c>
      <c r="G1690" t="n">
        <v>30.7</v>
      </c>
      <c r="H1690" t="n">
        <v>0</v>
      </c>
      <c r="I1690" t="n">
        <v>0</v>
      </c>
      <c r="J1690" t="n">
        <v>0</v>
      </c>
      <c r="K1690" t="n">
        <v>0</v>
      </c>
      <c r="L1690" t="n">
        <v>0</v>
      </c>
      <c r="M1690" t="n">
        <v>0</v>
      </c>
      <c r="N1690" t="n">
        <v>0</v>
      </c>
      <c r="O1690" t="n">
        <v>0</v>
      </c>
      <c r="P1690" t="n">
        <v>0</v>
      </c>
      <c r="Q1690" t="n">
        <v>0</v>
      </c>
      <c r="R1690" s="2" t="inlineStr"/>
    </row>
    <row r="1691" ht="15" customHeight="1">
      <c r="A1691" t="inlineStr">
        <is>
          <t>A 7179-2025</t>
        </is>
      </c>
      <c r="B1691" s="1" t="n">
        <v>45702</v>
      </c>
      <c r="C1691" s="1" t="n">
        <v>46076</v>
      </c>
      <c r="D1691" t="inlineStr">
        <is>
          <t>GÄVLEBORGS LÄN</t>
        </is>
      </c>
      <c r="E1691" t="inlineStr">
        <is>
          <t>LJUSDAL</t>
        </is>
      </c>
      <c r="F1691" t="inlineStr">
        <is>
          <t>Kommuner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21592-2025</t>
        </is>
      </c>
      <c r="B1692" s="1" t="n">
        <v>45783.34420138889</v>
      </c>
      <c r="C1692" s="1" t="n">
        <v>46076</v>
      </c>
      <c r="D1692" t="inlineStr">
        <is>
          <t>GÄVLEBORGS LÄN</t>
        </is>
      </c>
      <c r="E1692" t="inlineStr">
        <is>
          <t>LJUSDAL</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21588-2025</t>
        </is>
      </c>
      <c r="B1693" s="1" t="n">
        <v>45783.30799768519</v>
      </c>
      <c r="C1693" s="1" t="n">
        <v>46076</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21334-2025</t>
        </is>
      </c>
      <c r="B1694" s="1" t="n">
        <v>45782.37358796296</v>
      </c>
      <c r="C1694" s="1" t="n">
        <v>46076</v>
      </c>
      <c r="D1694" t="inlineStr">
        <is>
          <t>GÄVLEBORGS LÄN</t>
        </is>
      </c>
      <c r="E1694" t="inlineStr">
        <is>
          <t>LJUSDAL</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33199-2024</t>
        </is>
      </c>
      <c r="B1695" s="1" t="n">
        <v>45518.51728009259</v>
      </c>
      <c r="C1695" s="1" t="n">
        <v>46076</v>
      </c>
      <c r="D1695" t="inlineStr">
        <is>
          <t>GÄVLEBORGS LÄN</t>
        </is>
      </c>
      <c r="E1695" t="inlineStr">
        <is>
          <t>LJUSDAL</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22194-2025</t>
        </is>
      </c>
      <c r="B1696" s="1" t="n">
        <v>45785.64438657407</v>
      </c>
      <c r="C1696" s="1" t="n">
        <v>46076</v>
      </c>
      <c r="D1696" t="inlineStr">
        <is>
          <t>GÄVLEBORGS LÄN</t>
        </is>
      </c>
      <c r="E1696" t="inlineStr">
        <is>
          <t>LJUSDAL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22713-2024</t>
        </is>
      </c>
      <c r="B1697" s="1" t="n">
        <v>45448.35930555555</v>
      </c>
      <c r="C1697" s="1" t="n">
        <v>46076</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21940-2025</t>
        </is>
      </c>
      <c r="B1698" s="1" t="n">
        <v>45784.58482638889</v>
      </c>
      <c r="C1698" s="1" t="n">
        <v>46076</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41385-2024</t>
        </is>
      </c>
      <c r="B1699" s="1" t="n">
        <v>45560.29936342593</v>
      </c>
      <c r="C1699" s="1" t="n">
        <v>46076</v>
      </c>
      <c r="D1699" t="inlineStr">
        <is>
          <t>GÄVLEBORGS LÄN</t>
        </is>
      </c>
      <c r="E1699" t="inlineStr">
        <is>
          <t>LJUSDAL</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41525-2022</t>
        </is>
      </c>
      <c r="B1700" s="1" t="n">
        <v>44827.34787037037</v>
      </c>
      <c r="C1700" s="1" t="n">
        <v>46076</v>
      </c>
      <c r="D1700" t="inlineStr">
        <is>
          <t>GÄVLEBORGS LÄN</t>
        </is>
      </c>
      <c r="E1700" t="inlineStr">
        <is>
          <t>LJUSDAL</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22786-2024</t>
        </is>
      </c>
      <c r="B1701" s="1" t="n">
        <v>45448.48175925926</v>
      </c>
      <c r="C1701" s="1" t="n">
        <v>46076</v>
      </c>
      <c r="D1701" t="inlineStr">
        <is>
          <t>GÄVLEBORGS LÄN</t>
        </is>
      </c>
      <c r="E1701" t="inlineStr">
        <is>
          <t>LJUSDAL</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18297-2024</t>
        </is>
      </c>
      <c r="B1702" s="1" t="n">
        <v>45422.43357638889</v>
      </c>
      <c r="C1702" s="1" t="n">
        <v>46076</v>
      </c>
      <c r="D1702" t="inlineStr">
        <is>
          <t>GÄVLEBORGS LÄN</t>
        </is>
      </c>
      <c r="E1702" t="inlineStr">
        <is>
          <t>LJUSDAL</t>
        </is>
      </c>
      <c r="F1702" t="inlineStr">
        <is>
          <t>Holmen skog AB</t>
        </is>
      </c>
      <c r="G1702" t="n">
        <v>1.6</v>
      </c>
      <c r="H1702" t="n">
        <v>0</v>
      </c>
      <c r="I1702" t="n">
        <v>0</v>
      </c>
      <c r="J1702" t="n">
        <v>0</v>
      </c>
      <c r="K1702" t="n">
        <v>0</v>
      </c>
      <c r="L1702" t="n">
        <v>0</v>
      </c>
      <c r="M1702" t="n">
        <v>0</v>
      </c>
      <c r="N1702" t="n">
        <v>0</v>
      </c>
      <c r="O1702" t="n">
        <v>0</v>
      </c>
      <c r="P1702" t="n">
        <v>0</v>
      </c>
      <c r="Q1702" t="n">
        <v>0</v>
      </c>
      <c r="R1702" s="2" t="inlineStr"/>
      <c r="U1702">
        <f>HYPERLINK("https://klasma.github.io/Logging_2161/knärot/A 18297-2024 karta knärot.png", "A 18297-2024")</f>
        <v/>
      </c>
      <c r="V1702">
        <f>HYPERLINK("https://klasma.github.io/Logging_2161/klagomål/A 18297-2024 FSC-klagomål.docx", "A 18297-2024")</f>
        <v/>
      </c>
      <c r="W1702">
        <f>HYPERLINK("https://klasma.github.io/Logging_2161/klagomålsmail/A 18297-2024 FSC-klagomål mail.docx", "A 18297-2024")</f>
        <v/>
      </c>
      <c r="X1702">
        <f>HYPERLINK("https://klasma.github.io/Logging_2161/tillsyn/A 18297-2024 tillsynsbegäran.docx", "A 18297-2024")</f>
        <v/>
      </c>
      <c r="Y1702">
        <f>HYPERLINK("https://klasma.github.io/Logging_2161/tillsynsmail/A 18297-2024 tillsynsbegäran mail.docx", "A 18297-2024")</f>
        <v/>
      </c>
    </row>
    <row r="1703" ht="15" customHeight="1">
      <c r="A1703" t="inlineStr">
        <is>
          <t>A 10105-2024</t>
        </is>
      </c>
      <c r="B1703" s="1" t="n">
        <v>45364.53116898148</v>
      </c>
      <c r="C1703" s="1" t="n">
        <v>46076</v>
      </c>
      <c r="D1703" t="inlineStr">
        <is>
          <t>GÄVLEBORGS LÄN</t>
        </is>
      </c>
      <c r="E1703" t="inlineStr">
        <is>
          <t>LJUSDAL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22163-2025</t>
        </is>
      </c>
      <c r="B1704" s="1" t="n">
        <v>45785.59113425926</v>
      </c>
      <c r="C1704" s="1" t="n">
        <v>46076</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20897-2024</t>
        </is>
      </c>
      <c r="B1705" s="1" t="n">
        <v>45439.46805555555</v>
      </c>
      <c r="C1705" s="1" t="n">
        <v>46076</v>
      </c>
      <c r="D1705" t="inlineStr">
        <is>
          <t>GÄVLEBORGS LÄN</t>
        </is>
      </c>
      <c r="E1705" t="inlineStr">
        <is>
          <t>LJUSDAL</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21957-2025</t>
        </is>
      </c>
      <c r="B1706" s="1" t="n">
        <v>45784.6053587963</v>
      </c>
      <c r="C1706" s="1" t="n">
        <v>46076</v>
      </c>
      <c r="D1706" t="inlineStr">
        <is>
          <t>GÄVLEBORGS LÄN</t>
        </is>
      </c>
      <c r="E1706" t="inlineStr">
        <is>
          <t>LJUSDAL</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35789-2024</t>
        </is>
      </c>
      <c r="B1707" s="1" t="n">
        <v>45532</v>
      </c>
      <c r="C1707" s="1" t="n">
        <v>46076</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33947-2024</t>
        </is>
      </c>
      <c r="B1708" s="1" t="n">
        <v>45523</v>
      </c>
      <c r="C1708" s="1" t="n">
        <v>46076</v>
      </c>
      <c r="D1708" t="inlineStr">
        <is>
          <t>GÄVLEBORGS LÄN</t>
        </is>
      </c>
      <c r="E1708" t="inlineStr">
        <is>
          <t>LJUSDAL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22598-2025</t>
        </is>
      </c>
      <c r="B1709" s="1" t="n">
        <v>45789.41481481482</v>
      </c>
      <c r="C1709" s="1" t="n">
        <v>46076</v>
      </c>
      <c r="D1709" t="inlineStr">
        <is>
          <t>GÄVLEBORGS LÄN</t>
        </is>
      </c>
      <c r="E1709" t="inlineStr">
        <is>
          <t>LJUSDAL</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6964-2025</t>
        </is>
      </c>
      <c r="B1710" s="1" t="n">
        <v>45701</v>
      </c>
      <c r="C1710" s="1" t="n">
        <v>46076</v>
      </c>
      <c r="D1710" t="inlineStr">
        <is>
          <t>GÄVLEBORGS LÄN</t>
        </is>
      </c>
      <c r="E1710" t="inlineStr">
        <is>
          <t>LJUSDAL</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23340-2025</t>
        </is>
      </c>
      <c r="B1711" s="1" t="n">
        <v>45791.65630787037</v>
      </c>
      <c r="C1711" s="1" t="n">
        <v>46076</v>
      </c>
      <c r="D1711" t="inlineStr">
        <is>
          <t>GÄVLEBORGS LÄN</t>
        </is>
      </c>
      <c r="E1711" t="inlineStr">
        <is>
          <t>LJUSDAL</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44041-2022</t>
        </is>
      </c>
      <c r="B1712" s="1" t="n">
        <v>44838.94871527778</v>
      </c>
      <c r="C1712" s="1" t="n">
        <v>46076</v>
      </c>
      <c r="D1712" t="inlineStr">
        <is>
          <t>GÄVLEBORGS LÄN</t>
        </is>
      </c>
      <c r="E1712" t="inlineStr">
        <is>
          <t>LJUSDAL</t>
        </is>
      </c>
      <c r="F1712" t="inlineStr">
        <is>
          <t>Naturvårdsverket</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23353-2025</t>
        </is>
      </c>
      <c r="B1713" s="1" t="n">
        <v>45791.66635416666</v>
      </c>
      <c r="C1713" s="1" t="n">
        <v>46076</v>
      </c>
      <c r="D1713" t="inlineStr">
        <is>
          <t>GÄVLEBORGS LÄN</t>
        </is>
      </c>
      <c r="E1713" t="inlineStr">
        <is>
          <t>LJUSDAL</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23350-2025</t>
        </is>
      </c>
      <c r="B1714" s="1" t="n">
        <v>45791.660625</v>
      </c>
      <c r="C1714" s="1" t="n">
        <v>46076</v>
      </c>
      <c r="D1714" t="inlineStr">
        <is>
          <t>GÄVLEBORGS LÄN</t>
        </is>
      </c>
      <c r="E1714" t="inlineStr">
        <is>
          <t>LJUSDAL</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9359-2024</t>
        </is>
      </c>
      <c r="B1715" s="1" t="n">
        <v>45359.32847222222</v>
      </c>
      <c r="C1715" s="1" t="n">
        <v>46076</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23036-2025</t>
        </is>
      </c>
      <c r="B1716" s="1" t="n">
        <v>45790.66123842593</v>
      </c>
      <c r="C1716" s="1" t="n">
        <v>46076</v>
      </c>
      <c r="D1716" t="inlineStr">
        <is>
          <t>GÄVLEBORGS LÄN</t>
        </is>
      </c>
      <c r="E1716" t="inlineStr">
        <is>
          <t>LJUSDAL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23016-2025</t>
        </is>
      </c>
      <c r="B1717" s="1" t="n">
        <v>45790.6394212963</v>
      </c>
      <c r="C1717" s="1" t="n">
        <v>46076</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23594-2025</t>
        </is>
      </c>
      <c r="B1718" s="1" t="n">
        <v>45792.64136574074</v>
      </c>
      <c r="C1718" s="1" t="n">
        <v>46076</v>
      </c>
      <c r="D1718" t="inlineStr">
        <is>
          <t>GÄVLEBORGS LÄN</t>
        </is>
      </c>
      <c r="E1718" t="inlineStr">
        <is>
          <t>LJUSDAL</t>
        </is>
      </c>
      <c r="F1718" t="inlineStr">
        <is>
          <t>Bergvik skog väst AB</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23591-2025</t>
        </is>
      </c>
      <c r="B1719" s="1" t="n">
        <v>45792.63633101852</v>
      </c>
      <c r="C1719" s="1" t="n">
        <v>46076</v>
      </c>
      <c r="D1719" t="inlineStr">
        <is>
          <t>GÄVLEBORGS LÄN</t>
        </is>
      </c>
      <c r="E1719" t="inlineStr">
        <is>
          <t>LJUSDAL</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23603-2025</t>
        </is>
      </c>
      <c r="B1720" s="1" t="n">
        <v>45792.65420138889</v>
      </c>
      <c r="C1720" s="1" t="n">
        <v>46076</v>
      </c>
      <c r="D1720" t="inlineStr">
        <is>
          <t>GÄVLEBORGS LÄN</t>
        </is>
      </c>
      <c r="E1720" t="inlineStr">
        <is>
          <t>LJUSDAL</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23710-2025</t>
        </is>
      </c>
      <c r="B1721" s="1" t="n">
        <v>45793.38253472222</v>
      </c>
      <c r="C1721" s="1" t="n">
        <v>46076</v>
      </c>
      <c r="D1721" t="inlineStr">
        <is>
          <t>GÄVLEBORGS LÄN</t>
        </is>
      </c>
      <c r="E1721" t="inlineStr">
        <is>
          <t>LJUSDAL</t>
        </is>
      </c>
      <c r="F1721" t="inlineStr">
        <is>
          <t>Bergvik skog väst AB</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23571-2025</t>
        </is>
      </c>
      <c r="B1722" s="1" t="n">
        <v>45792.61167824074</v>
      </c>
      <c r="C1722" s="1" t="n">
        <v>46076</v>
      </c>
      <c r="D1722" t="inlineStr">
        <is>
          <t>GÄVLEBORGS LÄN</t>
        </is>
      </c>
      <c r="E1722" t="inlineStr">
        <is>
          <t>LJUSDAL</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23595-2025</t>
        </is>
      </c>
      <c r="B1723" s="1" t="n">
        <v>45792.64585648148</v>
      </c>
      <c r="C1723" s="1" t="n">
        <v>46076</v>
      </c>
      <c r="D1723" t="inlineStr">
        <is>
          <t>GÄVLEBORGS LÄN</t>
        </is>
      </c>
      <c r="E1723" t="inlineStr">
        <is>
          <t>LJUSDAL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23656-2025</t>
        </is>
      </c>
      <c r="B1724" s="1" t="n">
        <v>45792.7308449074</v>
      </c>
      <c r="C1724" s="1" t="n">
        <v>46076</v>
      </c>
      <c r="D1724" t="inlineStr">
        <is>
          <t>GÄVLEBORGS LÄN</t>
        </is>
      </c>
      <c r="E1724" t="inlineStr">
        <is>
          <t>LJUSDAL</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4420-2024</t>
        </is>
      </c>
      <c r="B1725" s="1" t="n">
        <v>45327</v>
      </c>
      <c r="C1725" s="1" t="n">
        <v>46076</v>
      </c>
      <c r="D1725" t="inlineStr">
        <is>
          <t>GÄVLEBORGS LÄN</t>
        </is>
      </c>
      <c r="E1725" t="inlineStr">
        <is>
          <t>LJUSDAL</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23477-2025</t>
        </is>
      </c>
      <c r="B1726" s="1" t="n">
        <v>45792.45667824074</v>
      </c>
      <c r="C1726" s="1" t="n">
        <v>46076</v>
      </c>
      <c r="D1726" t="inlineStr">
        <is>
          <t>GÄVLEBORGS LÄN</t>
        </is>
      </c>
      <c r="E1726" t="inlineStr">
        <is>
          <t>LJUSDAL</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26631-2024</t>
        </is>
      </c>
      <c r="B1727" s="1" t="n">
        <v>45469</v>
      </c>
      <c r="C1727" s="1" t="n">
        <v>46076</v>
      </c>
      <c r="D1727" t="inlineStr">
        <is>
          <t>GÄVLEBORGS LÄN</t>
        </is>
      </c>
      <c r="E1727" t="inlineStr">
        <is>
          <t>LJUSDAL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60957-2023</t>
        </is>
      </c>
      <c r="B1728" s="1" t="n">
        <v>45261</v>
      </c>
      <c r="C1728" s="1" t="n">
        <v>46076</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24398-2025</t>
        </is>
      </c>
      <c r="B1729" s="1" t="n">
        <v>45797.64421296296</v>
      </c>
      <c r="C1729" s="1" t="n">
        <v>46076</v>
      </c>
      <c r="D1729" t="inlineStr">
        <is>
          <t>GÄVLEBORGS LÄN</t>
        </is>
      </c>
      <c r="E1729" t="inlineStr">
        <is>
          <t>LJUSDAL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24400-2025</t>
        </is>
      </c>
      <c r="B1730" s="1" t="n">
        <v>45797.64821759259</v>
      </c>
      <c r="C1730" s="1" t="n">
        <v>46076</v>
      </c>
      <c r="D1730" t="inlineStr">
        <is>
          <t>GÄVLEBORGS LÄN</t>
        </is>
      </c>
      <c r="E1730" t="inlineStr">
        <is>
          <t>LJUSDAL</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48870-2023</t>
        </is>
      </c>
      <c r="B1731" s="1" t="n">
        <v>45209.46043981481</v>
      </c>
      <c r="C1731" s="1" t="n">
        <v>46076</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24405-2025</t>
        </is>
      </c>
      <c r="B1732" s="1" t="n">
        <v>45797.65386574074</v>
      </c>
      <c r="C1732" s="1" t="n">
        <v>46076</v>
      </c>
      <c r="D1732" t="inlineStr">
        <is>
          <t>GÄVLEBORGS LÄN</t>
        </is>
      </c>
      <c r="E1732" t="inlineStr">
        <is>
          <t>LJUSDAL</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52722-2024</t>
        </is>
      </c>
      <c r="B1733" s="1" t="n">
        <v>45610.43961805556</v>
      </c>
      <c r="C1733" s="1" t="n">
        <v>46076</v>
      </c>
      <c r="D1733" t="inlineStr">
        <is>
          <t>GÄVLEBORGS LÄN</t>
        </is>
      </c>
      <c r="E1733" t="inlineStr">
        <is>
          <t>LJUSDAL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24257-2025</t>
        </is>
      </c>
      <c r="B1734" s="1" t="n">
        <v>45797.40664351852</v>
      </c>
      <c r="C1734" s="1" t="n">
        <v>46076</v>
      </c>
      <c r="D1734" t="inlineStr">
        <is>
          <t>GÄVLEBORGS LÄN</t>
        </is>
      </c>
      <c r="E1734" t="inlineStr">
        <is>
          <t>LJUSDAL</t>
        </is>
      </c>
      <c r="G1734" t="n">
        <v>26.5</v>
      </c>
      <c r="H1734" t="n">
        <v>0</v>
      </c>
      <c r="I1734" t="n">
        <v>0</v>
      </c>
      <c r="J1734" t="n">
        <v>0</v>
      </c>
      <c r="K1734" t="n">
        <v>0</v>
      </c>
      <c r="L1734" t="n">
        <v>0</v>
      </c>
      <c r="M1734" t="n">
        <v>0</v>
      </c>
      <c r="N1734" t="n">
        <v>0</v>
      </c>
      <c r="O1734" t="n">
        <v>0</v>
      </c>
      <c r="P1734" t="n">
        <v>0</v>
      </c>
      <c r="Q1734" t="n">
        <v>0</v>
      </c>
      <c r="R1734" s="2" t="inlineStr"/>
    </row>
    <row r="1735" ht="15" customHeight="1">
      <c r="A1735" t="inlineStr">
        <is>
          <t>A 23914-2025</t>
        </is>
      </c>
      <c r="B1735" s="1" t="n">
        <v>45795.34452546296</v>
      </c>
      <c r="C1735" s="1" t="n">
        <v>46076</v>
      </c>
      <c r="D1735" t="inlineStr">
        <is>
          <t>GÄVLEBORGS LÄN</t>
        </is>
      </c>
      <c r="E1735" t="inlineStr">
        <is>
          <t>LJUSDAL</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23918-2025</t>
        </is>
      </c>
      <c r="B1736" s="1" t="n">
        <v>45795.34489583333</v>
      </c>
      <c r="C1736" s="1" t="n">
        <v>46076</v>
      </c>
      <c r="D1736" t="inlineStr">
        <is>
          <t>GÄVLEBORGS LÄN</t>
        </is>
      </c>
      <c r="E1736" t="inlineStr">
        <is>
          <t>LJUSDAL</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24286-2025</t>
        </is>
      </c>
      <c r="B1737" s="1" t="n">
        <v>45797.46030092592</v>
      </c>
      <c r="C1737" s="1" t="n">
        <v>46076</v>
      </c>
      <c r="D1737" t="inlineStr">
        <is>
          <t>GÄVLEBORGS LÄN</t>
        </is>
      </c>
      <c r="E1737" t="inlineStr">
        <is>
          <t>LJUSDAL</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24452-2025</t>
        </is>
      </c>
      <c r="B1738" s="1" t="n">
        <v>45798.34284722222</v>
      </c>
      <c r="C1738" s="1" t="n">
        <v>46076</v>
      </c>
      <c r="D1738" t="inlineStr">
        <is>
          <t>GÄVLEBORGS LÄN</t>
        </is>
      </c>
      <c r="E1738" t="inlineStr">
        <is>
          <t>LJUSDAL</t>
        </is>
      </c>
      <c r="F1738" t="inlineStr">
        <is>
          <t>Holmen skog AB</t>
        </is>
      </c>
      <c r="G1738" t="n">
        <v>19.7</v>
      </c>
      <c r="H1738" t="n">
        <v>0</v>
      </c>
      <c r="I1738" t="n">
        <v>0</v>
      </c>
      <c r="J1738" t="n">
        <v>0</v>
      </c>
      <c r="K1738" t="n">
        <v>0</v>
      </c>
      <c r="L1738" t="n">
        <v>0</v>
      </c>
      <c r="M1738" t="n">
        <v>0</v>
      </c>
      <c r="N1738" t="n">
        <v>0</v>
      </c>
      <c r="O1738" t="n">
        <v>0</v>
      </c>
      <c r="P1738" t="n">
        <v>0</v>
      </c>
      <c r="Q1738" t="n">
        <v>0</v>
      </c>
      <c r="R1738" s="2" t="inlineStr"/>
    </row>
    <row r="1739" ht="15" customHeight="1">
      <c r="A1739" t="inlineStr">
        <is>
          <t>A 25047-2025</t>
        </is>
      </c>
      <c r="B1739" s="1" t="n">
        <v>45799.66768518519</v>
      </c>
      <c r="C1739" s="1" t="n">
        <v>46076</v>
      </c>
      <c r="D1739" t="inlineStr">
        <is>
          <t>GÄVLEBORGS LÄN</t>
        </is>
      </c>
      <c r="E1739" t="inlineStr">
        <is>
          <t>LJUSDAL</t>
        </is>
      </c>
      <c r="F1739" t="inlineStr">
        <is>
          <t>Holmen skog AB</t>
        </is>
      </c>
      <c r="G1739" t="n">
        <v>24.1</v>
      </c>
      <c r="H1739" t="n">
        <v>0</v>
      </c>
      <c r="I1739" t="n">
        <v>0</v>
      </c>
      <c r="J1739" t="n">
        <v>0</v>
      </c>
      <c r="K1739" t="n">
        <v>0</v>
      </c>
      <c r="L1739" t="n">
        <v>0</v>
      </c>
      <c r="M1739" t="n">
        <v>0</v>
      </c>
      <c r="N1739" t="n">
        <v>0</v>
      </c>
      <c r="O1739" t="n">
        <v>0</v>
      </c>
      <c r="P1739" t="n">
        <v>0</v>
      </c>
      <c r="Q1739" t="n">
        <v>0</v>
      </c>
      <c r="R1739" s="2" t="inlineStr"/>
    </row>
    <row r="1740" ht="15" customHeight="1">
      <c r="A1740" t="inlineStr">
        <is>
          <t>A 25048-2025</t>
        </is>
      </c>
      <c r="B1740" s="1" t="n">
        <v>45799.66791666667</v>
      </c>
      <c r="C1740" s="1" t="n">
        <v>46076</v>
      </c>
      <c r="D1740" t="inlineStr">
        <is>
          <t>GÄVLEBORGS LÄN</t>
        </is>
      </c>
      <c r="E1740" t="inlineStr">
        <is>
          <t>LJUSDAL</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24943-2025</t>
        </is>
      </c>
      <c r="B1741" s="1" t="n">
        <v>45799.56239583333</v>
      </c>
      <c r="C1741" s="1" t="n">
        <v>46076</v>
      </c>
      <c r="D1741" t="inlineStr">
        <is>
          <t>GÄVLEBORGS LÄN</t>
        </is>
      </c>
      <c r="E1741" t="inlineStr">
        <is>
          <t>LJUSDAL</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24945-2025</t>
        </is>
      </c>
      <c r="B1742" s="1" t="n">
        <v>45799.56395833333</v>
      </c>
      <c r="C1742" s="1" t="n">
        <v>46076</v>
      </c>
      <c r="D1742" t="inlineStr">
        <is>
          <t>GÄVLEBORGS LÄN</t>
        </is>
      </c>
      <c r="E1742" t="inlineStr">
        <is>
          <t>LJUSDAL</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24778-2025</t>
        </is>
      </c>
      <c r="B1743" s="1" t="n">
        <v>45799.40810185186</v>
      </c>
      <c r="C1743" s="1" t="n">
        <v>46076</v>
      </c>
      <c r="D1743" t="inlineStr">
        <is>
          <t>GÄVLEBORGS LÄN</t>
        </is>
      </c>
      <c r="E1743" t="inlineStr">
        <is>
          <t>LJUSDAL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24810-2025</t>
        </is>
      </c>
      <c r="B1744" s="1" t="n">
        <v>45799.44596064815</v>
      </c>
      <c r="C1744" s="1" t="n">
        <v>46076</v>
      </c>
      <c r="D1744" t="inlineStr">
        <is>
          <t>GÄVLEBORGS LÄN</t>
        </is>
      </c>
      <c r="E1744" t="inlineStr">
        <is>
          <t>LJUSDAL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25057-2025</t>
        </is>
      </c>
      <c r="B1745" s="1" t="n">
        <v>45799.68395833333</v>
      </c>
      <c r="C1745" s="1" t="n">
        <v>46076</v>
      </c>
      <c r="D1745" t="inlineStr">
        <is>
          <t>GÄVLEBORGS LÄN</t>
        </is>
      </c>
      <c r="E1745" t="inlineStr">
        <is>
          <t>LJUSDAL</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25037-2025</t>
        </is>
      </c>
      <c r="B1746" s="1" t="n">
        <v>45799.65700231482</v>
      </c>
      <c r="C1746" s="1" t="n">
        <v>46076</v>
      </c>
      <c r="D1746" t="inlineStr">
        <is>
          <t>GÄVLEBORGS LÄN</t>
        </is>
      </c>
      <c r="E1746" t="inlineStr">
        <is>
          <t>LJUSDAL</t>
        </is>
      </c>
      <c r="G1746" t="n">
        <v>12.3</v>
      </c>
      <c r="H1746" t="n">
        <v>0</v>
      </c>
      <c r="I1746" t="n">
        <v>0</v>
      </c>
      <c r="J1746" t="n">
        <v>0</v>
      </c>
      <c r="K1746" t="n">
        <v>0</v>
      </c>
      <c r="L1746" t="n">
        <v>0</v>
      </c>
      <c r="M1746" t="n">
        <v>0</v>
      </c>
      <c r="N1746" t="n">
        <v>0</v>
      </c>
      <c r="O1746" t="n">
        <v>0</v>
      </c>
      <c r="P1746" t="n">
        <v>0</v>
      </c>
      <c r="Q1746" t="n">
        <v>0</v>
      </c>
      <c r="R1746" s="2" t="inlineStr"/>
    </row>
    <row r="1747" ht="15" customHeight="1">
      <c r="A1747" t="inlineStr">
        <is>
          <t>A 24840-2025</t>
        </is>
      </c>
      <c r="B1747" s="1" t="n">
        <v>45799.46436342593</v>
      </c>
      <c r="C1747" s="1" t="n">
        <v>46076</v>
      </c>
      <c r="D1747" t="inlineStr">
        <is>
          <t>GÄVLEBORGS LÄN</t>
        </is>
      </c>
      <c r="E1747" t="inlineStr">
        <is>
          <t>LJUSDAL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24881-2025</t>
        </is>
      </c>
      <c r="B1748" s="1" t="n">
        <v>45799.49890046296</v>
      </c>
      <c r="C1748" s="1" t="n">
        <v>46076</v>
      </c>
      <c r="D1748" t="inlineStr">
        <is>
          <t>GÄVLEBORGS LÄN</t>
        </is>
      </c>
      <c r="E1748" t="inlineStr">
        <is>
          <t>LJUSDAL</t>
        </is>
      </c>
      <c r="F1748" t="inlineStr">
        <is>
          <t>Holmen skog AB</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24713-2025</t>
        </is>
      </c>
      <c r="B1749" s="1" t="n">
        <v>45798.91952546296</v>
      </c>
      <c r="C1749" s="1" t="n">
        <v>46076</v>
      </c>
      <c r="D1749" t="inlineStr">
        <is>
          <t>GÄVLEBORGS LÄN</t>
        </is>
      </c>
      <c r="E1749" t="inlineStr">
        <is>
          <t>LJUSDAL</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25614-2025</t>
        </is>
      </c>
      <c r="B1750" s="1" t="n">
        <v>45803.56303240741</v>
      </c>
      <c r="C1750" s="1" t="n">
        <v>46076</v>
      </c>
      <c r="D1750" t="inlineStr">
        <is>
          <t>GÄVLEBORGS LÄN</t>
        </is>
      </c>
      <c r="E1750" t="inlineStr">
        <is>
          <t>LJUSDAL</t>
        </is>
      </c>
      <c r="F1750" t="inlineStr">
        <is>
          <t>Holmen skog AB</t>
        </is>
      </c>
      <c r="G1750" t="n">
        <v>16.3</v>
      </c>
      <c r="H1750" t="n">
        <v>0</v>
      </c>
      <c r="I1750" t="n">
        <v>0</v>
      </c>
      <c r="J1750" t="n">
        <v>0</v>
      </c>
      <c r="K1750" t="n">
        <v>0</v>
      </c>
      <c r="L1750" t="n">
        <v>0</v>
      </c>
      <c r="M1750" t="n">
        <v>0</v>
      </c>
      <c r="N1750" t="n">
        <v>0</v>
      </c>
      <c r="O1750" t="n">
        <v>0</v>
      </c>
      <c r="P1750" t="n">
        <v>0</v>
      </c>
      <c r="Q1750" t="n">
        <v>0</v>
      </c>
      <c r="R1750" s="2" t="inlineStr"/>
    </row>
    <row r="1751" ht="15" customHeight="1">
      <c r="A1751" t="inlineStr">
        <is>
          <t>A 25684-2025</t>
        </is>
      </c>
      <c r="B1751" s="1" t="n">
        <v>45803.65211805556</v>
      </c>
      <c r="C1751" s="1" t="n">
        <v>46076</v>
      </c>
      <c r="D1751" t="inlineStr">
        <is>
          <t>GÄVLEBORGS LÄN</t>
        </is>
      </c>
      <c r="E1751" t="inlineStr">
        <is>
          <t>LJUSDAL</t>
        </is>
      </c>
      <c r="F1751" t="inlineStr">
        <is>
          <t>Holmen skog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25613-2025</t>
        </is>
      </c>
      <c r="B1752" s="1" t="n">
        <v>45800</v>
      </c>
      <c r="C1752" s="1" t="n">
        <v>46076</v>
      </c>
      <c r="D1752" t="inlineStr">
        <is>
          <t>GÄVLEBORGS LÄN</t>
        </is>
      </c>
      <c r="E1752" t="inlineStr">
        <is>
          <t>LJUSDAL</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25569-2025</t>
        </is>
      </c>
      <c r="B1753" s="1" t="n">
        <v>45803.4665625</v>
      </c>
      <c r="C1753" s="1" t="n">
        <v>46076</v>
      </c>
      <c r="D1753" t="inlineStr">
        <is>
          <t>GÄVLEBORGS LÄN</t>
        </is>
      </c>
      <c r="E1753" t="inlineStr">
        <is>
          <t>LJUSDAL</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44696-2021</t>
        </is>
      </c>
      <c r="B1754" s="1" t="n">
        <v>44438.34721064815</v>
      </c>
      <c r="C1754" s="1" t="n">
        <v>46076</v>
      </c>
      <c r="D1754" t="inlineStr">
        <is>
          <t>GÄVLEBORGS LÄN</t>
        </is>
      </c>
      <c r="E1754" t="inlineStr">
        <is>
          <t>LJUSDAL</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25539-2025</t>
        </is>
      </c>
      <c r="B1755" s="1" t="n">
        <v>45803.42452546296</v>
      </c>
      <c r="C1755" s="1" t="n">
        <v>46076</v>
      </c>
      <c r="D1755" t="inlineStr">
        <is>
          <t>GÄVLEBORGS LÄN</t>
        </is>
      </c>
      <c r="E1755" t="inlineStr">
        <is>
          <t>LJUSDAL</t>
        </is>
      </c>
      <c r="F1755" t="inlineStr">
        <is>
          <t>Holmen skog AB</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25602-2025</t>
        </is>
      </c>
      <c r="B1756" s="1" t="n">
        <v>45800</v>
      </c>
      <c r="C1756" s="1" t="n">
        <v>46076</v>
      </c>
      <c r="D1756" t="inlineStr">
        <is>
          <t>GÄVLEBORGS LÄN</t>
        </is>
      </c>
      <c r="E1756" t="inlineStr">
        <is>
          <t>LJUSDAL</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25504-2025</t>
        </is>
      </c>
      <c r="B1757" s="1" t="n">
        <v>45803.35074074074</v>
      </c>
      <c r="C1757" s="1" t="n">
        <v>46076</v>
      </c>
      <c r="D1757" t="inlineStr">
        <is>
          <t>GÄVLEBORGS LÄN</t>
        </is>
      </c>
      <c r="E1757" t="inlineStr">
        <is>
          <t>LJUSDAL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25832-2025</t>
        </is>
      </c>
      <c r="B1758" s="1" t="n">
        <v>45804.44728009259</v>
      </c>
      <c r="C1758" s="1" t="n">
        <v>46076</v>
      </c>
      <c r="D1758" t="inlineStr">
        <is>
          <t>GÄVLEBORGS LÄN</t>
        </is>
      </c>
      <c r="E1758" t="inlineStr">
        <is>
          <t>LJUSDAL</t>
        </is>
      </c>
      <c r="F1758" t="inlineStr">
        <is>
          <t>Holmen skog AB</t>
        </is>
      </c>
      <c r="G1758" t="n">
        <v>23.1</v>
      </c>
      <c r="H1758" t="n">
        <v>0</v>
      </c>
      <c r="I1758" t="n">
        <v>0</v>
      </c>
      <c r="J1758" t="n">
        <v>0</v>
      </c>
      <c r="K1758" t="n">
        <v>0</v>
      </c>
      <c r="L1758" t="n">
        <v>0</v>
      </c>
      <c r="M1758" t="n">
        <v>0</v>
      </c>
      <c r="N1758" t="n">
        <v>0</v>
      </c>
      <c r="O1758" t="n">
        <v>0</v>
      </c>
      <c r="P1758" t="n">
        <v>0</v>
      </c>
      <c r="Q1758" t="n">
        <v>0</v>
      </c>
      <c r="R1758" s="2" t="inlineStr"/>
    </row>
    <row r="1759" ht="15" customHeight="1">
      <c r="A1759" t="inlineStr">
        <is>
          <t>A 25993-2025</t>
        </is>
      </c>
      <c r="B1759" s="1" t="n">
        <v>45804.65660879629</v>
      </c>
      <c r="C1759" s="1" t="n">
        <v>46076</v>
      </c>
      <c r="D1759" t="inlineStr">
        <is>
          <t>GÄVLEBORGS LÄN</t>
        </is>
      </c>
      <c r="E1759" t="inlineStr">
        <is>
          <t>LJUSDAL</t>
        </is>
      </c>
      <c r="F1759" t="inlineStr">
        <is>
          <t>Holmen skog AB</t>
        </is>
      </c>
      <c r="G1759" t="n">
        <v>26.6</v>
      </c>
      <c r="H1759" t="n">
        <v>0</v>
      </c>
      <c r="I1759" t="n">
        <v>0</v>
      </c>
      <c r="J1759" t="n">
        <v>0</v>
      </c>
      <c r="K1759" t="n">
        <v>0</v>
      </c>
      <c r="L1759" t="n">
        <v>0</v>
      </c>
      <c r="M1759" t="n">
        <v>0</v>
      </c>
      <c r="N1759" t="n">
        <v>0</v>
      </c>
      <c r="O1759" t="n">
        <v>0</v>
      </c>
      <c r="P1759" t="n">
        <v>0</v>
      </c>
      <c r="Q1759" t="n">
        <v>0</v>
      </c>
      <c r="R1759" s="2" t="inlineStr"/>
    </row>
    <row r="1760" ht="15" customHeight="1">
      <c r="A1760" t="inlineStr">
        <is>
          <t>A 26268-2025</t>
        </is>
      </c>
      <c r="B1760" s="1" t="n">
        <v>45805.59122685185</v>
      </c>
      <c r="C1760" s="1" t="n">
        <v>46076</v>
      </c>
      <c r="D1760" t="inlineStr">
        <is>
          <t>GÄVLEBORGS LÄN</t>
        </is>
      </c>
      <c r="E1760" t="inlineStr">
        <is>
          <t>LJUSDAL</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26091-2025</t>
        </is>
      </c>
      <c r="B1761" s="1" t="n">
        <v>45805.34539351852</v>
      </c>
      <c r="C1761" s="1" t="n">
        <v>46076</v>
      </c>
      <c r="D1761" t="inlineStr">
        <is>
          <t>GÄVLEBORGS LÄN</t>
        </is>
      </c>
      <c r="E1761" t="inlineStr">
        <is>
          <t>LJUSDAL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20016-2023</t>
        </is>
      </c>
      <c r="B1762" s="1" t="n">
        <v>45054.63719907407</v>
      </c>
      <c r="C1762" s="1" t="n">
        <v>46076</v>
      </c>
      <c r="D1762" t="inlineStr">
        <is>
          <t>GÄVLEBORGS LÄN</t>
        </is>
      </c>
      <c r="E1762" t="inlineStr">
        <is>
          <t>LJUSDAL</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25756-2025</t>
        </is>
      </c>
      <c r="B1763" s="1" t="n">
        <v>45804.32913194445</v>
      </c>
      <c r="C1763" s="1" t="n">
        <v>46076</v>
      </c>
      <c r="D1763" t="inlineStr">
        <is>
          <t>GÄVLEBORGS LÄN</t>
        </is>
      </c>
      <c r="E1763" t="inlineStr">
        <is>
          <t>LJUSDAL</t>
        </is>
      </c>
      <c r="F1763" t="inlineStr">
        <is>
          <t>Holmen skog AB</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25898-2025</t>
        </is>
      </c>
      <c r="B1764" s="1" t="n">
        <v>45804.54803240741</v>
      </c>
      <c r="C1764" s="1" t="n">
        <v>46076</v>
      </c>
      <c r="D1764" t="inlineStr">
        <is>
          <t>GÄVLEBORGS LÄN</t>
        </is>
      </c>
      <c r="E1764" t="inlineStr">
        <is>
          <t>LJUSDAL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26103-2025</t>
        </is>
      </c>
      <c r="B1765" s="1" t="n">
        <v>45805.35861111111</v>
      </c>
      <c r="C1765" s="1" t="n">
        <v>46076</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25884-2025</t>
        </is>
      </c>
      <c r="B1766" s="1" t="n">
        <v>45804.50662037037</v>
      </c>
      <c r="C1766" s="1" t="n">
        <v>46076</v>
      </c>
      <c r="D1766" t="inlineStr">
        <is>
          <t>GÄVLEBORGS LÄN</t>
        </is>
      </c>
      <c r="E1766" t="inlineStr">
        <is>
          <t>LJUSDAL</t>
        </is>
      </c>
      <c r="F1766" t="inlineStr">
        <is>
          <t>Holmen skog AB</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26557-2025</t>
        </is>
      </c>
      <c r="B1767" s="1" t="n">
        <v>45807.62958333334</v>
      </c>
      <c r="C1767" s="1" t="n">
        <v>46076</v>
      </c>
      <c r="D1767" t="inlineStr">
        <is>
          <t>GÄVLEBORGS LÄN</t>
        </is>
      </c>
      <c r="E1767" t="inlineStr">
        <is>
          <t>LJUSDAL</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26538-2025</t>
        </is>
      </c>
      <c r="B1768" s="1" t="n">
        <v>45807.57506944444</v>
      </c>
      <c r="C1768" s="1" t="n">
        <v>46076</v>
      </c>
      <c r="D1768" t="inlineStr">
        <is>
          <t>GÄVLEBORGS LÄN</t>
        </is>
      </c>
      <c r="E1768" t="inlineStr">
        <is>
          <t>LJUSDAL</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27027-2025</t>
        </is>
      </c>
      <c r="B1769" s="1" t="n">
        <v>45811.58193287037</v>
      </c>
      <c r="C1769" s="1" t="n">
        <v>46076</v>
      </c>
      <c r="D1769" t="inlineStr">
        <is>
          <t>GÄVLEBORGS LÄN</t>
        </is>
      </c>
      <c r="E1769" t="inlineStr">
        <is>
          <t>LJUSDAL</t>
        </is>
      </c>
      <c r="F1769" t="inlineStr">
        <is>
          <t>Holmen skog AB</t>
        </is>
      </c>
      <c r="G1769" t="n">
        <v>27.2</v>
      </c>
      <c r="H1769" t="n">
        <v>0</v>
      </c>
      <c r="I1769" t="n">
        <v>0</v>
      </c>
      <c r="J1769" t="n">
        <v>0</v>
      </c>
      <c r="K1769" t="n">
        <v>0</v>
      </c>
      <c r="L1769" t="n">
        <v>0</v>
      </c>
      <c r="M1769" t="n">
        <v>0</v>
      </c>
      <c r="N1769" t="n">
        <v>0</v>
      </c>
      <c r="O1769" t="n">
        <v>0</v>
      </c>
      <c r="P1769" t="n">
        <v>0</v>
      </c>
      <c r="Q1769" t="n">
        <v>0</v>
      </c>
      <c r="R1769" s="2" t="inlineStr"/>
    </row>
    <row r="1770" ht="15" customHeight="1">
      <c r="A1770" t="inlineStr">
        <is>
          <t>A 27086-2025</t>
        </is>
      </c>
      <c r="B1770" s="1" t="n">
        <v>45811.66273148148</v>
      </c>
      <c r="C1770" s="1" t="n">
        <v>46076</v>
      </c>
      <c r="D1770" t="inlineStr">
        <is>
          <t>GÄVLEBORGS LÄN</t>
        </is>
      </c>
      <c r="E1770" t="inlineStr">
        <is>
          <t>LJUSDAL</t>
        </is>
      </c>
      <c r="F1770" t="inlineStr">
        <is>
          <t>Holmen skog AB</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10074-2022</t>
        </is>
      </c>
      <c r="B1771" s="1" t="n">
        <v>44621</v>
      </c>
      <c r="C1771" s="1" t="n">
        <v>46076</v>
      </c>
      <c r="D1771" t="inlineStr">
        <is>
          <t>GÄVLEBORGS LÄN</t>
        </is>
      </c>
      <c r="E1771" t="inlineStr">
        <is>
          <t>LJUSDAL</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29812-2024</t>
        </is>
      </c>
      <c r="B1772" s="1" t="n">
        <v>45485</v>
      </c>
      <c r="C1772" s="1" t="n">
        <v>46076</v>
      </c>
      <c r="D1772" t="inlineStr">
        <is>
          <t>GÄVLEBORGS LÄN</t>
        </is>
      </c>
      <c r="E1772" t="inlineStr">
        <is>
          <t>LJUSDAL</t>
        </is>
      </c>
      <c r="F1772" t="inlineStr">
        <is>
          <t>Allmännings- och besparingsskogar</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33297-2024</t>
        </is>
      </c>
      <c r="B1773" s="1" t="n">
        <v>45518.93506944444</v>
      </c>
      <c r="C1773" s="1" t="n">
        <v>46076</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21194-2024</t>
        </is>
      </c>
      <c r="B1774" s="1" t="n">
        <v>45440</v>
      </c>
      <c r="C1774" s="1" t="n">
        <v>46076</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26819-2025</t>
        </is>
      </c>
      <c r="B1775" s="1" t="n">
        <v>45810.63636574074</v>
      </c>
      <c r="C1775" s="1" t="n">
        <v>46076</v>
      </c>
      <c r="D1775" t="inlineStr">
        <is>
          <t>GÄVLEBORGS LÄN</t>
        </is>
      </c>
      <c r="E1775" t="inlineStr">
        <is>
          <t>LJUSDAL</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26816-2025</t>
        </is>
      </c>
      <c r="B1776" s="1" t="n">
        <v>45810.63582175926</v>
      </c>
      <c r="C1776" s="1" t="n">
        <v>46076</v>
      </c>
      <c r="D1776" t="inlineStr">
        <is>
          <t>GÄVLEBORGS LÄN</t>
        </is>
      </c>
      <c r="E1776" t="inlineStr">
        <is>
          <t>LJUSDAL</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56355-2024</t>
        </is>
      </c>
      <c r="B1777" s="1" t="n">
        <v>45624.9339699074</v>
      </c>
      <c r="C1777" s="1" t="n">
        <v>46076</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39665-2024</t>
        </is>
      </c>
      <c r="B1778" s="1" t="n">
        <v>45552.51726851852</v>
      </c>
      <c r="C1778" s="1" t="n">
        <v>46076</v>
      </c>
      <c r="D1778" t="inlineStr">
        <is>
          <t>GÄVLEBORGS LÄN</t>
        </is>
      </c>
      <c r="E1778" t="inlineStr">
        <is>
          <t>LJUSDAL</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7472-2022</t>
        </is>
      </c>
      <c r="B1779" s="1" t="n">
        <v>44607.39039351852</v>
      </c>
      <c r="C1779" s="1" t="n">
        <v>46076</v>
      </c>
      <c r="D1779" t="inlineStr">
        <is>
          <t>GÄVLEBORGS LÄN</t>
        </is>
      </c>
      <c r="E1779" t="inlineStr">
        <is>
          <t>LJUSDAL</t>
        </is>
      </c>
      <c r="F1779" t="inlineStr">
        <is>
          <t>Holmen skog AB</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42732-2023</t>
        </is>
      </c>
      <c r="B1780" s="1" t="n">
        <v>45181</v>
      </c>
      <c r="C1780" s="1" t="n">
        <v>46076</v>
      </c>
      <c r="D1780" t="inlineStr">
        <is>
          <t>GÄVLEBORGS LÄN</t>
        </is>
      </c>
      <c r="E1780" t="inlineStr">
        <is>
          <t>LJUSDAL</t>
        </is>
      </c>
      <c r="F1780" t="inlineStr">
        <is>
          <t>Kommuner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20023-2025</t>
        </is>
      </c>
      <c r="B1781" s="1" t="n">
        <v>45772.34421296296</v>
      </c>
      <c r="C1781" s="1" t="n">
        <v>46076</v>
      </c>
      <c r="D1781" t="inlineStr">
        <is>
          <t>GÄVLEBORGS LÄN</t>
        </is>
      </c>
      <c r="E1781" t="inlineStr">
        <is>
          <t>LJUSDAL</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26999-2025</t>
        </is>
      </c>
      <c r="B1782" s="1" t="n">
        <v>45811.54422453704</v>
      </c>
      <c r="C1782" s="1" t="n">
        <v>46076</v>
      </c>
      <c r="D1782" t="inlineStr">
        <is>
          <t>GÄVLEBORGS LÄN</t>
        </is>
      </c>
      <c r="E1782" t="inlineStr">
        <is>
          <t>LJUSDAL</t>
        </is>
      </c>
      <c r="F1782" t="inlineStr">
        <is>
          <t>Bergvik skog väst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27409-2025</t>
        </is>
      </c>
      <c r="B1783" s="1" t="n">
        <v>45812.74663194444</v>
      </c>
      <c r="C1783" s="1" t="n">
        <v>46076</v>
      </c>
      <c r="D1783" t="inlineStr">
        <is>
          <t>GÄVLEBORGS LÄN</t>
        </is>
      </c>
      <c r="E1783" t="inlineStr">
        <is>
          <t>LJUSDAL</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27200-2025</t>
        </is>
      </c>
      <c r="B1784" s="1" t="n">
        <v>45812.3918287037</v>
      </c>
      <c r="C1784" s="1" t="n">
        <v>46076</v>
      </c>
      <c r="D1784" t="inlineStr">
        <is>
          <t>GÄVLEBORGS LÄN</t>
        </is>
      </c>
      <c r="E1784" t="inlineStr">
        <is>
          <t>LJUSDAL</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27241-2025</t>
        </is>
      </c>
      <c r="B1785" s="1" t="n">
        <v>45812.45516203704</v>
      </c>
      <c r="C1785" s="1" t="n">
        <v>46076</v>
      </c>
      <c r="D1785" t="inlineStr">
        <is>
          <t>GÄVLEBORGS LÄN</t>
        </is>
      </c>
      <c r="E1785" t="inlineStr">
        <is>
          <t>LJUSDAL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27376-2025</t>
        </is>
      </c>
      <c r="B1786" s="1" t="n">
        <v>45812.65765046296</v>
      </c>
      <c r="C1786" s="1" t="n">
        <v>46076</v>
      </c>
      <c r="D1786" t="inlineStr">
        <is>
          <t>GÄVLEBORGS LÄN</t>
        </is>
      </c>
      <c r="E1786" t="inlineStr">
        <is>
          <t>LJUSDAL</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27443-2025</t>
        </is>
      </c>
      <c r="B1787" s="1" t="n">
        <v>45813.3215625</v>
      </c>
      <c r="C1787" s="1" t="n">
        <v>46076</v>
      </c>
      <c r="D1787" t="inlineStr">
        <is>
          <t>GÄVLEBORGS LÄN</t>
        </is>
      </c>
      <c r="E1787" t="inlineStr">
        <is>
          <t>LJUSDAL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27373-2025</t>
        </is>
      </c>
      <c r="B1788" s="1" t="n">
        <v>45812.65377314815</v>
      </c>
      <c r="C1788" s="1" t="n">
        <v>46076</v>
      </c>
      <c r="D1788" t="inlineStr">
        <is>
          <t>GÄVLEBORGS LÄN</t>
        </is>
      </c>
      <c r="E1788" t="inlineStr">
        <is>
          <t>LJUSDAL</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27408-2025</t>
        </is>
      </c>
      <c r="B1789" s="1" t="n">
        <v>45812.74564814815</v>
      </c>
      <c r="C1789" s="1" t="n">
        <v>46076</v>
      </c>
      <c r="D1789" t="inlineStr">
        <is>
          <t>GÄVLEBORGS LÄN</t>
        </is>
      </c>
      <c r="E1789" t="inlineStr">
        <is>
          <t>LJUSDAL</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27410-2025</t>
        </is>
      </c>
      <c r="B1790" s="1" t="n">
        <v>45812.74857638889</v>
      </c>
      <c r="C1790" s="1" t="n">
        <v>46076</v>
      </c>
      <c r="D1790" t="inlineStr">
        <is>
          <t>GÄVLEBORGS LÄN</t>
        </is>
      </c>
      <c r="E1790" t="inlineStr">
        <is>
          <t>LJUSDAL</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27599-2025</t>
        </is>
      </c>
      <c r="B1791" s="1" t="n">
        <v>45813.52609953703</v>
      </c>
      <c r="C1791" s="1" t="n">
        <v>46076</v>
      </c>
      <c r="D1791" t="inlineStr">
        <is>
          <t>GÄVLEBORGS LÄN</t>
        </is>
      </c>
      <c r="E1791" t="inlineStr">
        <is>
          <t>LJUSDAL</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27305-2025</t>
        </is>
      </c>
      <c r="B1792" s="1" t="n">
        <v>45812.57285879629</v>
      </c>
      <c r="C1792" s="1" t="n">
        <v>46076</v>
      </c>
      <c r="D1792" t="inlineStr">
        <is>
          <t>GÄVLEBORGS LÄN</t>
        </is>
      </c>
      <c r="E1792" t="inlineStr">
        <is>
          <t>LJUSDAL</t>
        </is>
      </c>
      <c r="F1792" t="inlineStr">
        <is>
          <t>Allmännings- och besparingsskogar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33052-2024</t>
        </is>
      </c>
      <c r="B1793" s="1" t="n">
        <v>45517.63001157407</v>
      </c>
      <c r="C1793" s="1" t="n">
        <v>46076</v>
      </c>
      <c r="D1793" t="inlineStr">
        <is>
          <t>GÄVLEBORGS LÄN</t>
        </is>
      </c>
      <c r="E1793" t="inlineStr">
        <is>
          <t>LJUSDAL</t>
        </is>
      </c>
      <c r="F1793" t="inlineStr">
        <is>
          <t>Allmännings- och besparingsskogar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27186-2025</t>
        </is>
      </c>
      <c r="B1794" s="1" t="n">
        <v>45812.36540509259</v>
      </c>
      <c r="C1794" s="1" t="n">
        <v>46076</v>
      </c>
      <c r="D1794" t="inlineStr">
        <is>
          <t>GÄVLEBORGS LÄN</t>
        </is>
      </c>
      <c r="E1794" t="inlineStr">
        <is>
          <t>LJUSDAL</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27839-2025</t>
        </is>
      </c>
      <c r="B1795" s="1" t="n">
        <v>45817.37427083333</v>
      </c>
      <c r="C1795" s="1" t="n">
        <v>46076</v>
      </c>
      <c r="D1795" t="inlineStr">
        <is>
          <t>GÄVLEBORGS LÄN</t>
        </is>
      </c>
      <c r="E1795" t="inlineStr">
        <is>
          <t>LJUSDAL</t>
        </is>
      </c>
      <c r="F1795" t="inlineStr">
        <is>
          <t>Holmen skog AB</t>
        </is>
      </c>
      <c r="G1795" t="n">
        <v>20.9</v>
      </c>
      <c r="H1795" t="n">
        <v>0</v>
      </c>
      <c r="I1795" t="n">
        <v>0</v>
      </c>
      <c r="J1795" t="n">
        <v>0</v>
      </c>
      <c r="K1795" t="n">
        <v>0</v>
      </c>
      <c r="L1795" t="n">
        <v>0</v>
      </c>
      <c r="M1795" t="n">
        <v>0</v>
      </c>
      <c r="N1795" t="n">
        <v>0</v>
      </c>
      <c r="O1795" t="n">
        <v>0</v>
      </c>
      <c r="P1795" t="n">
        <v>0</v>
      </c>
      <c r="Q1795" t="n">
        <v>0</v>
      </c>
      <c r="R1795" s="2" t="inlineStr"/>
    </row>
    <row r="1796" ht="15" customHeight="1">
      <c r="A1796" t="inlineStr">
        <is>
          <t>A 48848-2024</t>
        </is>
      </c>
      <c r="B1796" s="1" t="n">
        <v>45593.8021875</v>
      </c>
      <c r="C1796" s="1" t="n">
        <v>46076</v>
      </c>
      <c r="D1796" t="inlineStr">
        <is>
          <t>GÄVLEBORGS LÄN</t>
        </is>
      </c>
      <c r="E1796" t="inlineStr">
        <is>
          <t>LJUSDAL</t>
        </is>
      </c>
      <c r="F1796" t="inlineStr">
        <is>
          <t>Bergvik skog väst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27905-2025</t>
        </is>
      </c>
      <c r="B1797" s="1" t="n">
        <v>45817.46819444445</v>
      </c>
      <c r="C1797" s="1" t="n">
        <v>46076</v>
      </c>
      <c r="D1797" t="inlineStr">
        <is>
          <t>GÄVLEBORGS LÄN</t>
        </is>
      </c>
      <c r="E1797" t="inlineStr">
        <is>
          <t>LJUSDAL</t>
        </is>
      </c>
      <c r="F1797" t="inlineStr">
        <is>
          <t>Holmen skog AB</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27916-2025</t>
        </is>
      </c>
      <c r="B1798" s="1" t="n">
        <v>45817.48046296297</v>
      </c>
      <c r="C1798" s="1" t="n">
        <v>46076</v>
      </c>
      <c r="D1798" t="inlineStr">
        <is>
          <t>GÄVLEBORGS LÄN</t>
        </is>
      </c>
      <c r="E1798" t="inlineStr">
        <is>
          <t>LJUSDAL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27928-2025</t>
        </is>
      </c>
      <c r="B1799" s="1" t="n">
        <v>45817.49019675926</v>
      </c>
      <c r="C1799" s="1" t="n">
        <v>46076</v>
      </c>
      <c r="D1799" t="inlineStr">
        <is>
          <t>GÄVLEBORGS LÄN</t>
        </is>
      </c>
      <c r="E1799" t="inlineStr">
        <is>
          <t>LJUSDAL</t>
        </is>
      </c>
      <c r="G1799" t="n">
        <v>2.6</v>
      </c>
      <c r="H1799" t="n">
        <v>0</v>
      </c>
      <c r="I1799" t="n">
        <v>0</v>
      </c>
      <c r="J1799" t="n">
        <v>0</v>
      </c>
      <c r="K1799" t="n">
        <v>0</v>
      </c>
      <c r="L1799" t="n">
        <v>0</v>
      </c>
      <c r="M1799" t="n">
        <v>0</v>
      </c>
      <c r="N1799" t="n">
        <v>0</v>
      </c>
      <c r="O1799" t="n">
        <v>0</v>
      </c>
      <c r="P1799" t="n">
        <v>0</v>
      </c>
      <c r="Q1799" t="n">
        <v>0</v>
      </c>
      <c r="R1799" s="2" t="inlineStr"/>
    </row>
    <row r="1800">
      <c r="A1800" t="inlineStr">
        <is>
          <t>A 27817-2025</t>
        </is>
      </c>
      <c r="B1800" s="1" t="n">
        <v>45817.33469907408</v>
      </c>
      <c r="C1800" s="1" t="n">
        <v>46076</v>
      </c>
      <c r="D1800" t="inlineStr">
        <is>
          <t>GÄVLEBORGS LÄN</t>
        </is>
      </c>
      <c r="E1800" t="inlineStr">
        <is>
          <t>LJUSDAL</t>
        </is>
      </c>
      <c r="G1800" t="n">
        <v>8.9</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2026-02-23T11:06:13Z</dcterms:created>
  <dcterms:modified xmlns:dcterms="http://purl.org/dc/terms/" xmlns:xsi="http://www.w3.org/2001/XMLSchema-instance" xsi:type="dcterms:W3CDTF">2026-02-23T11:06:15Z</dcterms:modified>
</cp:coreProperties>
</file>