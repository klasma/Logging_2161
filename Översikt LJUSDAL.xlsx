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45639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45639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45639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45639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45639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45639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45639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45639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45639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45639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45639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45639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45639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45639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45639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45639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45639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45639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45639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45639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45639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45639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45639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45639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45639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45639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45639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45639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45639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45639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45639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45639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45639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45639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45639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45639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45639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45639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45639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45639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45639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45639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45639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45639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45639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45639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45639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45639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45639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45639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45639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45639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45639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45639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45639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45639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45639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45639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45639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45639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45639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45639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45639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45639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45639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45639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45639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45639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45639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45639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45639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45639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45639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45639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45639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45639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45639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45639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45639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45639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45639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45639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45639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45639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45639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45639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45639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45639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45639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45639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45639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45639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45639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45639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45639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45639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45639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45639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45639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45639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45639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45639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45639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45639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45639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45639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45639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45639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45639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45639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45639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45639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45639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45639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45639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45639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45639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45639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45639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45639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45639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45639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45639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45639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45639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45639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45639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45639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45639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45639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45639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45639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45639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45639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45639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45639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45639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45639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45639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45639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45639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45639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45639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45639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45639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45639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45639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45639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45639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45639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45639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45639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45639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45639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45639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45639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45639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45639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45639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45639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45639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45639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45639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45639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45639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45639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45639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45639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45639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45639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45639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45639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45639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45639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45639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45639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45639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45639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45639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45639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45639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45639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45639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45639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45639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45639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45639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45639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45639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45639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45639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45639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45639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45639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45639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45639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45639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45639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45639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45639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45639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45639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45639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45639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45639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45639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45639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45639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45639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45639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45639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45639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45639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45639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45639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45639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45639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45639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45639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45639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45639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45639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45639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45639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45639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45639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45639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45639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45639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45639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45639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45639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45639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45639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45639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45639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45639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45639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45639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45639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45639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45639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45639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45639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45639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45639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45639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45639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45639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45639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45639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45639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45639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45639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45639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45639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45639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45639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45639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45639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45639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45639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45639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45639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55326-2024</t>
        </is>
      </c>
      <c r="B266" s="1" t="n">
        <v>45621</v>
      </c>
      <c r="C266" s="1" t="n">
        <v>45639</v>
      </c>
      <c r="D266" t="inlineStr">
        <is>
          <t>GÄVLEBORGS LÄN</t>
        </is>
      </c>
      <c r="E266" t="inlineStr">
        <is>
          <t>LJUSDAL</t>
        </is>
      </c>
      <c r="G266" t="n">
        <v>11.1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Vedskivlav</t>
        </is>
      </c>
      <c r="S266">
        <f>HYPERLINK("https://klasma.github.io/Logging_2161/artfynd/A 55326-2024 artfynd.xlsx", "A 55326-2024")</f>
        <v/>
      </c>
      <c r="T266">
        <f>HYPERLINK("https://klasma.github.io/Logging_2161/kartor/A 55326-2024 karta.png", "A 55326-2024")</f>
        <v/>
      </c>
      <c r="U266">
        <f>HYPERLINK("https://klasma.github.io/Logging_2161/knärot/A 55326-2024 karta knärot.png", "A 55326-2024")</f>
        <v/>
      </c>
      <c r="V266">
        <f>HYPERLINK("https://klasma.github.io/Logging_2161/klagomål/A 55326-2024 FSC-klagomål.docx", "A 55326-2024")</f>
        <v/>
      </c>
      <c r="W266">
        <f>HYPERLINK("https://klasma.github.io/Logging_2161/klagomålsmail/A 55326-2024 FSC-klagomål mail.docx", "A 55326-2024")</f>
        <v/>
      </c>
      <c r="X266">
        <f>HYPERLINK("https://klasma.github.io/Logging_2161/tillsyn/A 55326-2024 tillsynsbegäran.docx", "A 55326-2024")</f>
        <v/>
      </c>
      <c r="Y266">
        <f>HYPERLINK("https://klasma.github.io/Logging_2161/tillsynsmail/A 55326-2024 tillsynsbegäran mail.docx", "A 55326-2024")</f>
        <v/>
      </c>
    </row>
    <row r="267" ht="15" customHeight="1">
      <c r="A267" t="inlineStr">
        <is>
          <t>A 55289-2024</t>
        </is>
      </c>
      <c r="B267" s="1" t="n">
        <v>45621</v>
      </c>
      <c r="C267" s="1" t="n">
        <v>45639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55289-2024 artfynd.xlsx", "A 55289-2024")</f>
        <v/>
      </c>
      <c r="T267">
        <f>HYPERLINK("https://klasma.github.io/Logging_2161/kartor/A 55289-2024 karta.png", "A 55289-2024")</f>
        <v/>
      </c>
      <c r="V267">
        <f>HYPERLINK("https://klasma.github.io/Logging_2161/klagomål/A 55289-2024 FSC-klagomål.docx", "A 55289-2024")</f>
        <v/>
      </c>
      <c r="W267">
        <f>HYPERLINK("https://klasma.github.io/Logging_2161/klagomålsmail/A 55289-2024 FSC-klagomål mail.docx", "A 55289-2024")</f>
        <v/>
      </c>
      <c r="X267">
        <f>HYPERLINK("https://klasma.github.io/Logging_2161/tillsyn/A 55289-2024 tillsynsbegäran.docx", "A 55289-2024")</f>
        <v/>
      </c>
      <c r="Y267">
        <f>HYPERLINK("https://klasma.github.io/Logging_2161/tillsynsmail/A 55289-2024 tillsynsbegäran mail.docx", "A 55289-2024")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45639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45639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45639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45639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45639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45639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45639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45639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45639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45639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45639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45639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45639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45639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45639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45639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45639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45639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45639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45639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45639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45639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45639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45639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45639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45639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45639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45639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45639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45639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45639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45639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45639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45639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45639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45639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45639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45639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45639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45639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45639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45639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45639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45639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45639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45639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45639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45639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45639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45639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45639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45639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45639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45639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45639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45639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45639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45639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45639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45639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45639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45639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45639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45639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45639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45639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45639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45639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45639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45639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45639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45639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45639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45639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45639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45639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45639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45639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45639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45639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45639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45639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45639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45639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45639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45639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45639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45639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45639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45639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45639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45639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45639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45639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45639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45639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45639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45639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45639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45639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45639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45639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45639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45639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45639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45639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45639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45639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45639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45639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45639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45639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45639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45639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45639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45639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45639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45639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45639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45639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45639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45639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45639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45639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45639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45639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45639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45639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45639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45639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45639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45639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45639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45639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45639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45639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45639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45639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45639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45639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45639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45639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45639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45639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45639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45639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45639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45639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45639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45639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45639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45639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45639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45639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45639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45639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45639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45639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45639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45639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45639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45639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45639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45639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45639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45639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45639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45639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45639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45639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45639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45639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45639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45639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45639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45639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45639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45639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45639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45639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45639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45639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45639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45639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45639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45639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45639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45639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45639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45639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45639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45639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45639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45639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45639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45639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45639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45639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45639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45639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45639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45639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45639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45639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45639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45639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45639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45639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45639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45639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45639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45639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45639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45639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45639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45639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45639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45639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45639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45639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45639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45639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45639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45639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45639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45639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45639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45639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45639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45639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45639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45639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45639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45639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45639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45639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45639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45639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45639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45639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45639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45639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45639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45639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45639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45639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45639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45639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45639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45639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45639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45639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45639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45639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45639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45639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45639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45639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45639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45639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45639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45639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45639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45639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45639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45639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45639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45639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45639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45639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45639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45639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45639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45639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45639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45639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45639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45639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45639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45639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45639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45639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45639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45639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45639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45639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45639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45639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45639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45639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45639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45639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45639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45639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45639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45639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45639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45639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45639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45639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45639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45639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45639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45639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45639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45639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45639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45639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45639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45639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45639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45639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45639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45639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45639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45639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45639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45639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45639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45639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45639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45639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45639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45639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45639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45639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45639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45639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45639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45639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45639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45639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45639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45639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45639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45639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45639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45639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45639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45639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45639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45639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45639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45639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45639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45639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45639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45639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45639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45639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45639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45639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45639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45639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45639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45639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45639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45639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45639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45639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45639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45639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45639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45639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45639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45639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45639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45639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45639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45639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45639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45639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45639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45639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45639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45639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45639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45639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45639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45639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45639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45639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45639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45639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45639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45639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45639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45639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45639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45639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45639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45639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45639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45639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45639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45639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45639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45639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45639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45639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45639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45639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45639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45639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45639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45639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45639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45639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45639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45639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45639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45639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45639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45639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45639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45639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45639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45639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45639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45639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45639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45639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45639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45639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45639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45639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45639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45639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45639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45639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45639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45639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45639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45639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45639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45639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45639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45639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45639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45639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45639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45639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45639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45639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45639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45639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45639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45639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45639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45639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45639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45639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45639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45639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45639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45639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45639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45639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45639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45639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45639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45639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45639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45639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45639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45639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45639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45639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45639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45639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45639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45639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45639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45639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45639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45639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45639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45639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45639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45639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45639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45639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45639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45639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45639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45639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45639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45639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45639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45639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45639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45639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45639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45639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45639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45639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45639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45639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45639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45639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45639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45639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45639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45639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45639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45639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45639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45639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45639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45639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45639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45639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45639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45639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45639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45639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45639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45639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45639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45639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45639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45639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45639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45639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45639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45639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45639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45639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45639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45639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45639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45639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45639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45639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45639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45639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45639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45639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45639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45639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45639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45639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45639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45639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45639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45639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45639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45639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45639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45639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45639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45639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45639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45639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45639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45639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45639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45639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45639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45639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45639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45639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45639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45639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45639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45639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45639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45639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45639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45639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45639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45639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45639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45639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45639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45639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45639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45639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45639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45639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45639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45639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45639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45639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45639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45639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45639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45639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45639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45639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45639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45639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45639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45639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45639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45639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45639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45639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45639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45639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45639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45639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45639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45639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45639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45639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45639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45639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45639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45639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45639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45639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45639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45639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45639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45639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45639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45639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45639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45639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45639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45639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45639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45639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45639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45639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45639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45639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45639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45639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45639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45639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45639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45639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45639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45639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45639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45639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45639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45639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45639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45639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45639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45639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45639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45639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45639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45639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45639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45639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45639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45639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45639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45639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45639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45639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45639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45639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45639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45639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45639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45639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45639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45639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45639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45639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45639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45639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45639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45639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45639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45639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45639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45639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45639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45639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45639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45639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45639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45639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45639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45639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45639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45639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45639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45639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45639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45639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45639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45639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45639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45639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45639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45639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45639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45639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45639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45639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45639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45639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45639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45639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45639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45639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45639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45639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45639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45639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45639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45639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45639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45639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45639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45639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45639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45639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45639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45639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45639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45639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45639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45639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45639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45639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45639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45639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45639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45639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45639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45639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45639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45639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45639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45639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45639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45639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45639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45639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45639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45639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45639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45639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45639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45639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45639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45639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45639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45639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45639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45639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45639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45639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45639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45639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45639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45639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45639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45639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45639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45639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45639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45639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45639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45639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45639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45639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45639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45639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45639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45639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45639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45639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45639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45639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45639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45639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45639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45639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45639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45639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45639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45639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45639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45639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45639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45639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45639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45639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45639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45639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45639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45639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45639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45639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45639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45639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45639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45639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45639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45639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45639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45639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45639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45639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45639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45639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45639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45639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45639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45639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45639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45639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45639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45639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45639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45639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45639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45639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45639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45639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45639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45639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45639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45639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45639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45639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45639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45639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45639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45639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45639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45639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45639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45639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45639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45639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45639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45639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45639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45639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45639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45639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45639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45639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45639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45639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45639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45639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45639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45639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45639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45639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45639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45639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45639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45639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45639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45639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45639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45639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45639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45639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45639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45639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45639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45639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45639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45639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45639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45639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45639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45639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45639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45639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45639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45639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45639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45639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45639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45639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45639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45639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45639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45639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45639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45639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45639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45639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45639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45639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45639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45639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45639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45639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45639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45639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45639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45639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45639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45639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45639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45639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45639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45639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45639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45639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45639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45639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45639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45639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45639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45639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45639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45639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45639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45639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45639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45639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45639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45639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45639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45639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45639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45639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45639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45639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45639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45639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45639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45639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45639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45639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45639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45639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45639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45639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45639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45639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45639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45639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45639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45639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45639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45639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45639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45639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45639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45639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45639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45639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45639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45639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45639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45639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45639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45639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45639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45639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45639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45639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45639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45639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45639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45639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45639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45639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45639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45639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45639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45639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45639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45639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45639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45639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45639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45639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45639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45639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45639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45639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45639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45639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45639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45639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45639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45639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45639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45639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45639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45639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45639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45639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45639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45639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45639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45639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45639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45639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45639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45639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45639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45639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45639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45639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45639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45639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45639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45639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45639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45639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45639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45639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45639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45639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45639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45639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45639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45639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45639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45639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45639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45639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45639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45639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45639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45639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45639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45639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45639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45639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45639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45639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45639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45639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45639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45639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45639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45639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45639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45639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45639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45639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45639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45639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45639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45639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45639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45639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45639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45639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45639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45639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45639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45639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45639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45639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45639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45639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45639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45639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45639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45639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45639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45639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45639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45639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45639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45639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45639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45639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45639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45639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45639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45639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45639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45639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45639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45639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45639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45639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45639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45639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45639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45639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45639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45639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45639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45639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45639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45639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45639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45639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45639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45639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45639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45639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45639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45639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45639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45639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45639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45639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45639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45639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45639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45639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45639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45639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45639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45639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45639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45639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45639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45639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45639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45639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45639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45639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45639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45639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45639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45639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45639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45639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45639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45639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45639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45639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45639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45639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45639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45639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45639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45639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45639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45639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45639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45639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45639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45639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45639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45639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45639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45639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45639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45639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45639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45639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45639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45639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45639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45639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45639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45639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45639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45639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45639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45639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45639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45639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45639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45639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45639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45639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45639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45639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45639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45639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45639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45639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45639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45639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45639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45639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45639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45639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45639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45639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45639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45639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45639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45639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45639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45639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45639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45639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45639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45639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45639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45639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45639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45639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45639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45639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45639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45639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45639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45639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45639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45639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45639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45639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45639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45639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45639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45639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45639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45639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45639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45639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45639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45639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45639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45639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45639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45639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45639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45639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45639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45639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45639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45639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45639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45639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45639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45639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45639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45639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45639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45639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45639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45639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45639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45639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45639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45639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45639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45639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45639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45639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45639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45639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45639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45639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45639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45639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45639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45639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45639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45639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45639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45639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45639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45639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45639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45639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45639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45639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45639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45639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45639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45639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45639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45639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45639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45639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45639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45639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45639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45639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45639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45639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45639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45639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45639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45639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45639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45639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45639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45639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45639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45639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45639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45639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45639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45639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45639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45639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45639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45639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45639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45639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45639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45639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45639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45639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45639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45639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45639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45639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45639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45639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45639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45639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45639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45639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45639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45639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45639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45639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45639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45639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45639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45639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45639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45639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45639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45639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45639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45639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45639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45639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45639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45639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45639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45639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45639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45639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45639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45639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45639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45639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45639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45639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45639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45639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45639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45639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45639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45639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45639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45639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45639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45639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45639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45639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45639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45639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45639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45639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45639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45639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45639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45639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45639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45639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45639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45639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45639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45639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45639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45639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45639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45639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45639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45639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45639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45639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45639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45639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45639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45639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45639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45639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45639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45639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45639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45639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45639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45639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45639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45639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45639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45639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45639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45639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45639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45639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45639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45639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45639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45639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45639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45639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45639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45639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45639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45639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45639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45639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45639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45639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45639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45639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45639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45639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45639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45639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45639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45639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45639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45639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45639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45639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45639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45639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45639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45639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45639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45639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45639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45639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45639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45639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45639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45639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45639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45639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45639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45639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45639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45639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45639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45639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45639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45639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45639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45639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45639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45639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45639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45639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45639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45639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45639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45639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45639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45639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45639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45639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45639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45639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45639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45639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45639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45639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45639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45639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45639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45639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45639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45639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45639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45639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45639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45639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45639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45639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45639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45639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45639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45639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45639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45639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45639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45639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45639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45639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45639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45639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45639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45639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45639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45639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45639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45639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45639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45639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45639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45639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45639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45639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45639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45639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45639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45639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45639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45639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45639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45639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45639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45639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45639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45639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45639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45639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45639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45639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45639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45639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45639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45639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45639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45639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45639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45639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45639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45639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45639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45639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45639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45639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45639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45639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45639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45639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45639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45639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45639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45639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45639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45639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45639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45639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45639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45639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45639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45639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45639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45639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45639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45639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45639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45639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45639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45639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45639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45639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45639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45639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45639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45639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45639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45639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45639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45639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45639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45639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45639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45639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45639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45639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45639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45639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45639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45639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45639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45639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45639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45639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45639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45639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45639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45639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45639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45639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45639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45639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45639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45639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45639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45639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45639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45639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45639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45639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45639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45639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45639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45639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45639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45639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45639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45639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45639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45639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45639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45639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45639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45639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45639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45639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45639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45639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45639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45639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45639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45639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45639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45639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45639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45639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45639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45639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45639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45639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45639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45639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45639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45639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45639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45639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45639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45639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45639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45639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45639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45639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45639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45639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45639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45639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45639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45639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45639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45639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45639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45639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45639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45639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45639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45639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45639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45639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45639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45639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45639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45639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45639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45639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45639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45639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45639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45639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45639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45639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45639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45639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45639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45639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45639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45639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45639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45639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45639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45639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45639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45639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45639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45639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45639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45639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45639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45639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45639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45639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45639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45639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45639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45639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45639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45639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45639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45639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45639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45639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45639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45639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45639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45639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45639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45639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45639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45639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45639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45639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45639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45639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45639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45639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45639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45639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45639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45639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45639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45639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45639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45639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45639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45639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45639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45639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45639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45639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45639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45639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45639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45639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45639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45639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45639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45639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45639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45639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45639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45639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45639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45639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45639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45639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45639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45639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45639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45639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45639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45639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45639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45639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45639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45639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45639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45639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45639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45639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45639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45639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45639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45639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45639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45639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45639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45639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45639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45639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45639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45639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45639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45639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45639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45639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45639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45639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45639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45639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45639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45639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45639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45639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45639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45639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45639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45639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45639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45639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45639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45639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45639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45639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45639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45639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45639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45639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45639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45639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45639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45639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45639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45639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45639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45639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45639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45639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45639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45639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45639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45639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45639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45639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45639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45639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45639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45639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45639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45639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45639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45639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45639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45639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45639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45639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45639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45639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45639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45639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45639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45639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45639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45639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45639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45639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45639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45639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45639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45639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45639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45639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45639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45639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45639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45639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45639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45639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45639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45639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45639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45639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45639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45639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45639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45639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45639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45639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45639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45639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45639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45639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45639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45639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45639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45639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45639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45639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45639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45639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45639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45639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45639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45639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45639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45639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45639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45639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45639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45639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45639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45639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45639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45639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45639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45639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45639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45639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45639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45639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45639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45639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45639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45639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45639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45639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45639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45639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45639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45639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45639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45639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45639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45639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45639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45639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45639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45639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45639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45639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45639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45639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45639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45639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45639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45639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45639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45639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45639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45639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45639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45639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45639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45639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45639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45639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45639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45639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45639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45639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45639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45639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45639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45639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45639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45639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45639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45639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45639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45639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45639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45639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45639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45639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45639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45639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45639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45639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45639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45639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45639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45639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45639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45639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45639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45639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45639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45639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45639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45639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45639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45639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45639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45639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45639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45639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45639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45639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45639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45639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45639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45639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45639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45639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45639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45639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45639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45639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45639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45639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45639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45639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45639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45639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45639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45639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45639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45639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45639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45639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45639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45639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45639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45639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45639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45639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45639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45639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45639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45639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45639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45639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45639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45639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45639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45639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45639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45639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45639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45639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45639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45639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45639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45639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45639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45639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45639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45639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45639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45639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45639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45639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45639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45639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45639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45639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45639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45639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45639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45639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45639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45639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45639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45639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45639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45639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45639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45639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45639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45639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45639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45639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45639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45639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45639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45639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45639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45639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45639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45639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45639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45639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45639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45639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45639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45639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45639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45639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45639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45639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45639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45639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45639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45639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45639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45639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45639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45639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45639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45639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45639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45639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45639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45639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45639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45639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45639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45639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45639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45639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45639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45639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45639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45639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45639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45639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45639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45639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45639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45639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45639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45639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45639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45639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45639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45639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45639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45639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45639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45639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45639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45639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45639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45639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45639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45639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45639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45639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45639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45639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45639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45639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45639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45639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45639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45639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45639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45639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45639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45639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45639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45639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45639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45639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45639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45639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45639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45639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45639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45639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45639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45639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45639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45639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45639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45639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45639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45639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45639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45639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45639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45639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45639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45639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45639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45639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45639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45639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45639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45639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45639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45639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45639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45639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45639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45639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45639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45639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45639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45639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45639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45639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45639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45639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45639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45639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45639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45639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45639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45639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45639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45639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45639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45639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45639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45639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45639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45639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45639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45639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45639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45639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45639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45639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45639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45639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45639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45639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45639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45639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45639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45639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45639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45639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45639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45639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45639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45639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45639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45639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45639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45639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45639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45639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45639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45639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45639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45639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45639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45639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45639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45639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45639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45639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45639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45639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45639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45639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45639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45639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45639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45639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45639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45639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45639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45639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45639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45639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45639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45639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45639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45639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45639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45639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45639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45639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45639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45639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45639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45639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45639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45639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45639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45639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45639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45639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45639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45639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45639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45639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45639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45639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45639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45639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45639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45639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45639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45639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45639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45639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45639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45639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45639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45639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45639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45639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45639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45639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45639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45639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45639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45639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45639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45639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45639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45639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45639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45639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45639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45639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45639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45639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45639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45639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45639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45639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45639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45639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45639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45639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45639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45639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45639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45639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45639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45639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45639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45639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45639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45639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45639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45639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45639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45639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45639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45639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45639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45639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45639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45639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45639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45639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45639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45639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45639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45639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45639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45639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45639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45639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45639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45639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45639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45639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45639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45639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45639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45639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45639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45639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45639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45639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45639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45639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45639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45639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45639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45639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45639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45639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45639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45639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45639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45639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45639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45639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45639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45639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45639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45639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45639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45639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45639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45639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45639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45639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45639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45639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45639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45639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45639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45639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45639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45639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45639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45639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45639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45639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45639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45639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45639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45639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45639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45639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45639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45639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45639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45639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45639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45639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45639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45639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45639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45639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45639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45639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45639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45639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45639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52783-2024</t>
        </is>
      </c>
      <c r="B2641" s="1" t="n">
        <v>45610</v>
      </c>
      <c r="C2641" s="1" t="n">
        <v>45639</v>
      </c>
      <c r="D2641" t="inlineStr">
        <is>
          <t>GÄVLEBORGS LÄN</t>
        </is>
      </c>
      <c r="E2641" t="inlineStr">
        <is>
          <t>LJUSDAL</t>
        </is>
      </c>
      <c r="F2641" t="inlineStr">
        <is>
          <t>SCA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52787-2024</t>
        </is>
      </c>
      <c r="B2642" s="1" t="n">
        <v>45610</v>
      </c>
      <c r="C2642" s="1" t="n">
        <v>45639</v>
      </c>
      <c r="D2642" t="inlineStr">
        <is>
          <t>GÄVLEBORGS LÄN</t>
        </is>
      </c>
      <c r="E2642" t="inlineStr">
        <is>
          <t>LJUSDAL</t>
        </is>
      </c>
      <c r="F2642" t="inlineStr">
        <is>
          <t>SCA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52915-2024</t>
        </is>
      </c>
      <c r="B2643" s="1" t="n">
        <v>45610</v>
      </c>
      <c r="C2643" s="1" t="n">
        <v>45639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52919-2024</t>
        </is>
      </c>
      <c r="B2644" s="1" t="n">
        <v>45610</v>
      </c>
      <c r="C2644" s="1" t="n">
        <v>45639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45639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45639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45639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52672-2024</t>
        </is>
      </c>
      <c r="B2648" s="1" t="n">
        <v>45610</v>
      </c>
      <c r="C2648" s="1" t="n">
        <v>45639</v>
      </c>
      <c r="D2648" t="inlineStr">
        <is>
          <t>GÄVLEBORGS LÄN</t>
        </is>
      </c>
      <c r="E2648" t="inlineStr">
        <is>
          <t>LJUSDAL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52967-2024</t>
        </is>
      </c>
      <c r="B2649" s="1" t="n">
        <v>45611</v>
      </c>
      <c r="C2649" s="1" t="n">
        <v>45639</v>
      </c>
      <c r="D2649" t="inlineStr">
        <is>
          <t>GÄVLEBORGS LÄN</t>
        </is>
      </c>
      <c r="E2649" t="inlineStr">
        <is>
          <t>LJUSDAL</t>
        </is>
      </c>
      <c r="G2649" t="n">
        <v>5.4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52971-2024</t>
        </is>
      </c>
      <c r="B2650" s="1" t="n">
        <v>45611</v>
      </c>
      <c r="C2650" s="1" t="n">
        <v>45639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52970-2024</t>
        </is>
      </c>
      <c r="B2651" s="1" t="n">
        <v>45611</v>
      </c>
      <c r="C2651" s="1" t="n">
        <v>45639</v>
      </c>
      <c r="D2651" t="inlineStr">
        <is>
          <t>GÄVLEBORGS LÄN</t>
        </is>
      </c>
      <c r="E2651" t="inlineStr">
        <is>
          <t>LJUSDAL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53007-2024</t>
        </is>
      </c>
      <c r="B2652" s="1" t="n">
        <v>45611</v>
      </c>
      <c r="C2652" s="1" t="n">
        <v>45639</v>
      </c>
      <c r="D2652" t="inlineStr">
        <is>
          <t>GÄVLEBORGS LÄN</t>
        </is>
      </c>
      <c r="E2652" t="inlineStr">
        <is>
          <t>LJUSDAL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53050-2024</t>
        </is>
      </c>
      <c r="B2653" s="1" t="n">
        <v>45611</v>
      </c>
      <c r="C2653" s="1" t="n">
        <v>45639</v>
      </c>
      <c r="D2653" t="inlineStr">
        <is>
          <t>GÄVLEBORGS LÄN</t>
        </is>
      </c>
      <c r="E2653" t="inlineStr">
        <is>
          <t>LJUSDAL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45639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45639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52973-2024</t>
        </is>
      </c>
      <c r="B2656" s="1" t="n">
        <v>45611</v>
      </c>
      <c r="C2656" s="1" t="n">
        <v>45639</v>
      </c>
      <c r="D2656" t="inlineStr">
        <is>
          <t>GÄVLEBORGS LÄN</t>
        </is>
      </c>
      <c r="E2656" t="inlineStr">
        <is>
          <t>LJUSDAL</t>
        </is>
      </c>
      <c r="G2656" t="n">
        <v>8.1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45639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45639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45639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53410-2024</t>
        </is>
      </c>
      <c r="B2660" s="1" t="n">
        <v>45614</v>
      </c>
      <c r="C2660" s="1" t="n">
        <v>45639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53508-2024</t>
        </is>
      </c>
      <c r="B2661" s="1" t="n">
        <v>45614</v>
      </c>
      <c r="C2661" s="1" t="n">
        <v>45639</v>
      </c>
      <c r="D2661" t="inlineStr">
        <is>
          <t>GÄVLEBORGS LÄN</t>
        </is>
      </c>
      <c r="E2661" t="inlineStr">
        <is>
          <t>LJUSDAL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45639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53751-2024</t>
        </is>
      </c>
      <c r="B2663" s="1" t="n">
        <v>45615</v>
      </c>
      <c r="C2663" s="1" t="n">
        <v>45639</v>
      </c>
      <c r="D2663" t="inlineStr">
        <is>
          <t>GÄVLEBORGS LÄN</t>
        </is>
      </c>
      <c r="E2663" t="inlineStr">
        <is>
          <t>LJUSDAL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45639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45639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45639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45639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54906-2024</t>
        </is>
      </c>
      <c r="B2668" s="1" t="n">
        <v>45618</v>
      </c>
      <c r="C2668" s="1" t="n">
        <v>45639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54918-2024</t>
        </is>
      </c>
      <c r="B2669" s="1" t="n">
        <v>45618</v>
      </c>
      <c r="C2669" s="1" t="n">
        <v>45639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54926-2024</t>
        </is>
      </c>
      <c r="B2670" s="1" t="n">
        <v>45618</v>
      </c>
      <c r="C2670" s="1" t="n">
        <v>45639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55291-2024</t>
        </is>
      </c>
      <c r="B2671" s="1" t="n">
        <v>45621</v>
      </c>
      <c r="C2671" s="1" t="n">
        <v>45639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55320-2024</t>
        </is>
      </c>
      <c r="B2672" s="1" t="n">
        <v>45621</v>
      </c>
      <c r="C2672" s="1" t="n">
        <v>45639</v>
      </c>
      <c r="D2672" t="inlineStr">
        <is>
          <t>GÄVLEBORGS LÄN</t>
        </is>
      </c>
      <c r="E2672" t="inlineStr">
        <is>
          <t>LJUSDAL</t>
        </is>
      </c>
      <c r="G2672" t="n">
        <v>9.6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55324-2024</t>
        </is>
      </c>
      <c r="B2673" s="1" t="n">
        <v>45621</v>
      </c>
      <c r="C2673" s="1" t="n">
        <v>45639</v>
      </c>
      <c r="D2673" t="inlineStr">
        <is>
          <t>GÄVLEBORGS LÄN</t>
        </is>
      </c>
      <c r="E2673" t="inlineStr">
        <is>
          <t>LJUSDAL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55687-2024</t>
        </is>
      </c>
      <c r="B2674" s="1" t="n">
        <v>45622</v>
      </c>
      <c r="C2674" s="1" t="n">
        <v>45639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45639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45639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55676-2024</t>
        </is>
      </c>
      <c r="B2677" s="1" t="n">
        <v>45622</v>
      </c>
      <c r="C2677" s="1" t="n">
        <v>45639</v>
      </c>
      <c r="D2677" t="inlineStr">
        <is>
          <t>GÄVLEBORGS LÄN</t>
        </is>
      </c>
      <c r="E2677" t="inlineStr">
        <is>
          <t>LJUSDAL</t>
        </is>
      </c>
      <c r="G2677" t="n">
        <v>11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55983-2024</t>
        </is>
      </c>
      <c r="B2678" s="1" t="n">
        <v>45623</v>
      </c>
      <c r="C2678" s="1" t="n">
        <v>45639</v>
      </c>
      <c r="D2678" t="inlineStr">
        <is>
          <t>GÄVLEBORGS LÄN</t>
        </is>
      </c>
      <c r="E2678" t="inlineStr">
        <is>
          <t>LJUSDAL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56008-2024</t>
        </is>
      </c>
      <c r="B2679" s="1" t="n">
        <v>45623</v>
      </c>
      <c r="C2679" s="1" t="n">
        <v>45639</v>
      </c>
      <c r="D2679" t="inlineStr">
        <is>
          <t>GÄVLEBORGS LÄN</t>
        </is>
      </c>
      <c r="E2679" t="inlineStr">
        <is>
          <t>LJUSDAL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45639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56075-2024</t>
        </is>
      </c>
      <c r="B2681" s="1" t="n">
        <v>45624</v>
      </c>
      <c r="C2681" s="1" t="n">
        <v>45639</v>
      </c>
      <c r="D2681" t="inlineStr">
        <is>
          <t>GÄVLEBORGS LÄN</t>
        </is>
      </c>
      <c r="E2681" t="inlineStr">
        <is>
          <t>LJUSDAL</t>
        </is>
      </c>
      <c r="F2681" t="inlineStr">
        <is>
          <t>SCA</t>
        </is>
      </c>
      <c r="G2681" t="n">
        <v>9.1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45639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56158-2024</t>
        </is>
      </c>
      <c r="B2683" s="1" t="n">
        <v>45624</v>
      </c>
      <c r="C2683" s="1" t="n">
        <v>45639</v>
      </c>
      <c r="D2683" t="inlineStr">
        <is>
          <t>GÄVLEBORGS LÄN</t>
        </is>
      </c>
      <c r="E2683" t="inlineStr">
        <is>
          <t>LJUSDAL</t>
        </is>
      </c>
      <c r="G2683" t="n">
        <v>7.5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56267-2024</t>
        </is>
      </c>
      <c r="B2684" s="1" t="n">
        <v>45624</v>
      </c>
      <c r="C2684" s="1" t="n">
        <v>45639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56264-2024</t>
        </is>
      </c>
      <c r="B2685" s="1" t="n">
        <v>45624</v>
      </c>
      <c r="C2685" s="1" t="n">
        <v>45639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56272-2024</t>
        </is>
      </c>
      <c r="B2686" s="1" t="n">
        <v>45624</v>
      </c>
      <c r="C2686" s="1" t="n">
        <v>45639</v>
      </c>
      <c r="D2686" t="inlineStr">
        <is>
          <t>GÄVLEBORGS LÄN</t>
        </is>
      </c>
      <c r="E2686" t="inlineStr">
        <is>
          <t>LJUSDAL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56035-2024</t>
        </is>
      </c>
      <c r="B2687" s="1" t="n">
        <v>45624</v>
      </c>
      <c r="C2687" s="1" t="n">
        <v>45639</v>
      </c>
      <c r="D2687" t="inlineStr">
        <is>
          <t>GÄVLEBORGS LÄN</t>
        </is>
      </c>
      <c r="E2687" t="inlineStr">
        <is>
          <t>LJUSDAL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56355-2024</t>
        </is>
      </c>
      <c r="B2688" s="1" t="n">
        <v>45624</v>
      </c>
      <c r="C2688" s="1" t="n">
        <v>45639</v>
      </c>
      <c r="D2688" t="inlineStr">
        <is>
          <t>GÄVLEBORGS LÄN</t>
        </is>
      </c>
      <c r="E2688" t="inlineStr">
        <is>
          <t>LJUSDAL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45639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56380-2024</t>
        </is>
      </c>
      <c r="B2690" s="1" t="n">
        <v>45625</v>
      </c>
      <c r="C2690" s="1" t="n">
        <v>45639</v>
      </c>
      <c r="D2690" t="inlineStr">
        <is>
          <t>GÄVLEBORGS LÄN</t>
        </is>
      </c>
      <c r="E2690" t="inlineStr">
        <is>
          <t>LJUSDAL</t>
        </is>
      </c>
      <c r="F2690" t="inlineStr">
        <is>
          <t>Holmen skog AB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56616-2024</t>
        </is>
      </c>
      <c r="B2691" s="1" t="n">
        <v>45625</v>
      </c>
      <c r="C2691" s="1" t="n">
        <v>45639</v>
      </c>
      <c r="D2691" t="inlineStr">
        <is>
          <t>GÄVLEBORGS LÄN</t>
        </is>
      </c>
      <c r="E2691" t="inlineStr">
        <is>
          <t>LJUSDAL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56666-2024</t>
        </is>
      </c>
      <c r="B2692" s="1" t="n">
        <v>45626</v>
      </c>
      <c r="C2692" s="1" t="n">
        <v>45639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57091-2024</t>
        </is>
      </c>
      <c r="B2693" s="1" t="n">
        <v>45629</v>
      </c>
      <c r="C2693" s="1" t="n">
        <v>45639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45639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45639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57113-2024</t>
        </is>
      </c>
      <c r="B2696" s="1" t="n">
        <v>45629</v>
      </c>
      <c r="C2696" s="1" t="n">
        <v>45639</v>
      </c>
      <c r="D2696" t="inlineStr">
        <is>
          <t>GÄVLEBORGS LÄN</t>
        </is>
      </c>
      <c r="E2696" t="inlineStr">
        <is>
          <t>LJUSDAL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57164-2024</t>
        </is>
      </c>
      <c r="B2697" s="1" t="n">
        <v>45629</v>
      </c>
      <c r="C2697" s="1" t="n">
        <v>45639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18.5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57193-2024</t>
        </is>
      </c>
      <c r="B2698" s="1" t="n">
        <v>45629</v>
      </c>
      <c r="C2698" s="1" t="n">
        <v>45639</v>
      </c>
      <c r="D2698" t="inlineStr">
        <is>
          <t>GÄVLEBORGS LÄN</t>
        </is>
      </c>
      <c r="E2698" t="inlineStr">
        <is>
          <t>LJUSDAL</t>
        </is>
      </c>
      <c r="F2698" t="inlineStr">
        <is>
          <t>Naturvårdsverket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57106-2024</t>
        </is>
      </c>
      <c r="B2699" s="1" t="n">
        <v>45629</v>
      </c>
      <c r="C2699" s="1" t="n">
        <v>45639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6.8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45639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57356-2024</t>
        </is>
      </c>
      <c r="B2701" s="1" t="n">
        <v>45629</v>
      </c>
      <c r="C2701" s="1" t="n">
        <v>45639</v>
      </c>
      <c r="D2701" t="inlineStr">
        <is>
          <t>GÄVLEBORGS LÄN</t>
        </is>
      </c>
      <c r="E2701" t="inlineStr">
        <is>
          <t>LJUSDAL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57664-2024</t>
        </is>
      </c>
      <c r="B2702" s="1" t="n">
        <v>45630</v>
      </c>
      <c r="C2702" s="1" t="n">
        <v>45639</v>
      </c>
      <c r="D2702" t="inlineStr">
        <is>
          <t>GÄVLEBORGS LÄN</t>
        </is>
      </c>
      <c r="E2702" t="inlineStr">
        <is>
          <t>LJUSDAL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45639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45639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57886-2024</t>
        </is>
      </c>
      <c r="B2705" s="1" t="n">
        <v>45631</v>
      </c>
      <c r="C2705" s="1" t="n">
        <v>45639</v>
      </c>
      <c r="D2705" t="inlineStr">
        <is>
          <t>GÄVLEBORGS LÄN</t>
        </is>
      </c>
      <c r="E2705" t="inlineStr">
        <is>
          <t>LJUSDAL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45639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58053-2024</t>
        </is>
      </c>
      <c r="B2707" s="1" t="n">
        <v>45631</v>
      </c>
      <c r="C2707" s="1" t="n">
        <v>45639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58322-2024</t>
        </is>
      </c>
      <c r="B2708" s="1" t="n">
        <v>45632</v>
      </c>
      <c r="C2708" s="1" t="n">
        <v>45639</v>
      </c>
      <c r="D2708" t="inlineStr">
        <is>
          <t>GÄVLEBORGS LÄN</t>
        </is>
      </c>
      <c r="E2708" t="inlineStr">
        <is>
          <t>LJUSDAL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58372-2024</t>
        </is>
      </c>
      <c r="B2709" s="1" t="n">
        <v>45632</v>
      </c>
      <c r="C2709" s="1" t="n">
        <v>45639</v>
      </c>
      <c r="D2709" t="inlineStr">
        <is>
          <t>GÄVLEBORGS LÄN</t>
        </is>
      </c>
      <c r="E2709" t="inlineStr">
        <is>
          <t>LJUSDAL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58168-2024</t>
        </is>
      </c>
      <c r="B2710" s="1" t="n">
        <v>45632</v>
      </c>
      <c r="C2710" s="1" t="n">
        <v>45639</v>
      </c>
      <c r="D2710" t="inlineStr">
        <is>
          <t>GÄVLEBORGS LÄN</t>
        </is>
      </c>
      <c r="E2710" t="inlineStr">
        <is>
          <t>LJUSDAL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58173-2024</t>
        </is>
      </c>
      <c r="B2711" s="1" t="n">
        <v>45632</v>
      </c>
      <c r="C2711" s="1" t="n">
        <v>45639</v>
      </c>
      <c r="D2711" t="inlineStr">
        <is>
          <t>GÄVLEBORGS LÄN</t>
        </is>
      </c>
      <c r="E2711" t="inlineStr">
        <is>
          <t>LJUSDAL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58320-2024</t>
        </is>
      </c>
      <c r="B2712" s="1" t="n">
        <v>45632</v>
      </c>
      <c r="C2712" s="1" t="n">
        <v>45639</v>
      </c>
      <c r="D2712" t="inlineStr">
        <is>
          <t>GÄVLEBORGS LÄN</t>
        </is>
      </c>
      <c r="E2712" t="inlineStr">
        <is>
          <t>LJUSDAL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58604-2024</t>
        </is>
      </c>
      <c r="B2713" s="1" t="n">
        <v>45632</v>
      </c>
      <c r="C2713" s="1" t="n">
        <v>45639</v>
      </c>
      <c r="D2713" t="inlineStr">
        <is>
          <t>GÄVLEBORGS LÄN</t>
        </is>
      </c>
      <c r="E2713" t="inlineStr">
        <is>
          <t>LJUSDAL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58599-2024</t>
        </is>
      </c>
      <c r="B2714" s="1" t="n">
        <v>45635</v>
      </c>
      <c r="C2714" s="1" t="n">
        <v>45639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45639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45639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45639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58802-2024</t>
        </is>
      </c>
      <c r="B2718" s="1" t="n">
        <v>45636</v>
      </c>
      <c r="C2718" s="1" t="n">
        <v>45639</v>
      </c>
      <c r="D2718" t="inlineStr">
        <is>
          <t>GÄVLEBORGS LÄN</t>
        </is>
      </c>
      <c r="E2718" t="inlineStr">
        <is>
          <t>LJUSDAL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58894-2024</t>
        </is>
      </c>
      <c r="B2719" s="1" t="n">
        <v>45636</v>
      </c>
      <c r="C2719" s="1" t="n">
        <v>45639</v>
      </c>
      <c r="D2719" t="inlineStr">
        <is>
          <t>GÄVLEBORGS LÄN</t>
        </is>
      </c>
      <c r="E2719" t="inlineStr">
        <is>
          <t>LJUSDAL</t>
        </is>
      </c>
      <c r="G2719" t="n">
        <v>4.4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45639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59251-2024</t>
        </is>
      </c>
      <c r="B2721" s="1" t="n">
        <v>45637</v>
      </c>
      <c r="C2721" s="1" t="n">
        <v>45639</v>
      </c>
      <c r="D2721" t="inlineStr">
        <is>
          <t>GÄVLEBORGS LÄN</t>
        </is>
      </c>
      <c r="E2721" t="inlineStr">
        <is>
          <t>LJUSDAL</t>
        </is>
      </c>
      <c r="G2721" t="n">
        <v>0.4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>
      <c r="A2722" t="inlineStr">
        <is>
          <t>A 59252-2024</t>
        </is>
      </c>
      <c r="B2722" s="1" t="n">
        <v>45637</v>
      </c>
      <c r="C2722" s="1" t="n">
        <v>45639</v>
      </c>
      <c r="D2722" t="inlineStr">
        <is>
          <t>GÄVLEBORGS LÄN</t>
        </is>
      </c>
      <c r="E2722" t="inlineStr">
        <is>
          <t>LJUSDAL</t>
        </is>
      </c>
      <c r="G2722" t="n">
        <v>0.2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2024-12-13T15:23:21Z</dcterms:created>
  <dcterms:modified xmlns:dcterms="http://purl.org/dc/terms/" xmlns:xsi="http://www.w3.org/2001/XMLSchema-instance" xsi:type="dcterms:W3CDTF">2024-12-13T15:23:23Z</dcterms:modified>
</cp:coreProperties>
</file>