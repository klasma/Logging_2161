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46292</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46292</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46292</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46292</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46292</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46292</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46292</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46292</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46292</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46292</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46292</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46292</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46292</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46292</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46292</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25595-2025</t>
        </is>
      </c>
      <c r="B22" t="inlineStr">
        <is>
          <t>avverkningsanmälan</t>
        </is>
      </c>
      <c r="C22" t="inlineStr">
        <is>
          <t>Föryngringsavverkning</t>
        </is>
      </c>
      <c r="D22" s="1" t="n">
        <v>45803</v>
      </c>
      <c r="E22" s="1" t="n">
        <v>46292</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28754-2024</t>
        </is>
      </c>
      <c r="B23" t="inlineStr">
        <is>
          <t>avverkningsanmälan</t>
        </is>
      </c>
      <c r="C23" t="inlineStr">
        <is>
          <t>Föryngringsavverkning</t>
        </is>
      </c>
      <c r="D23" s="1" t="n">
        <v>45478</v>
      </c>
      <c r="E23" s="1" t="n">
        <v>46292</v>
      </c>
      <c r="F23" t="inlineStr">
        <is>
          <t>GÄVLEBORGS LÄN</t>
        </is>
      </c>
      <c r="G23" t="inlineStr">
        <is>
          <t>LJUSDAL</t>
        </is>
      </c>
      <c r="H23" t="inlineStr">
        <is>
          <t>Allmännings- och besparingsskogar</t>
        </is>
      </c>
      <c r="I23" t="n">
        <v>7.4</v>
      </c>
      <c r="J23" t="n">
        <v>1</v>
      </c>
      <c r="K23" t="n">
        <v>1</v>
      </c>
      <c r="L23" t="n">
        <v>14</v>
      </c>
      <c r="M23" t="n">
        <v>1</v>
      </c>
      <c r="N23" t="n">
        <v>0</v>
      </c>
      <c r="O23" t="n">
        <v>0</v>
      </c>
      <c r="P23" t="n">
        <v>0</v>
      </c>
      <c r="Q23" t="n">
        <v>15</v>
      </c>
      <c r="R23" t="n">
        <v>1</v>
      </c>
      <c r="S23" t="n">
        <v>16</v>
      </c>
      <c r="T23" t="n">
        <v>120</v>
      </c>
      <c r="U23" t="n">
        <v>120</v>
      </c>
      <c r="V23" s="2" t="inlineStr">
        <is>
          <t>Garnlav
Blanksvart spiklav
Blågrå svartspik
Doftskinn
Dvärgbägarlav
Kolflarnlav
Kortskaftad ärgspik
Mörk kolflarnlav
Skuggblåslav
Tallticka
Talltita
Vedflamlav
Vedskivlav
Violettgrå tagellav
Vitgrynig nållav
Mindre märgborre</t>
        </is>
      </c>
      <c r="W23">
        <f>HYPERLINK("https://klasma.github.io/Logging_2161/artfynd/A 28754-2024 artfynd.xlsx", "A 28754-2024")</f>
        <v/>
      </c>
      <c r="X23">
        <f>HYPERLINK("https://klasma.github.io/Logging_2161/kartor/A 28754-2024 karta.png", "A 28754-2024")</f>
        <v/>
      </c>
      <c r="Y23">
        <f>HYPERLINK("https://klasma.github.io/Logging_2161/kartor_geotiff/A 28754-2024 georefererad karta.tif", "A 28754-2024")</f>
        <v/>
      </c>
      <c r="AA23">
        <f>HYPERLINK("https://klasma.github.io/Logging_2161/klagomål/A 28754-2024 FSC-klagomål.docx", "A 28754-2024")</f>
        <v/>
      </c>
      <c r="AB23">
        <f>HYPERLINK("https://klasma.github.io/Logging_2161/klagomålsmail/A 28754-2024 FSC-klagomål mail.docx", "A 28754-2024")</f>
        <v/>
      </c>
      <c r="AC23">
        <f>HYPERLINK("https://klasma.github.io/Logging_2161/tillsyn/A 28754-2024 tillsynsbegäran.docx", "A 28754-2024")</f>
        <v/>
      </c>
      <c r="AD23">
        <f>HYPERLINK("https://klasma.github.io/Logging_2161/tillsynsmail/A 28754-2024 tillsynsbegäran mail.docx", "A 28754-2024")</f>
        <v/>
      </c>
      <c r="AE23">
        <f>HYPERLINK("https://klasma.github.io/Logging_2161/fåglar/A 28754-2024 prioriterade fågelarter.docx", "A 28754-2024")</f>
        <v/>
      </c>
    </row>
    <row r="24" ht="15" customHeight="1">
      <c r="A24" t="inlineStr">
        <is>
          <t>A 24423-2026</t>
        </is>
      </c>
      <c r="B24" t="inlineStr">
        <is>
          <t>avverkningsanmälan</t>
        </is>
      </c>
      <c r="C24" t="inlineStr">
        <is>
          <t>Föryngringsavverkning</t>
        </is>
      </c>
      <c r="D24" s="1" t="n">
        <v>46168</v>
      </c>
      <c r="E24" s="1" t="n">
        <v>46292</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46292</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59809-2025</t>
        </is>
      </c>
      <c r="B26" t="inlineStr">
        <is>
          <t>avverkningsanmälan</t>
        </is>
      </c>
      <c r="C26" t="inlineStr">
        <is>
          <t>Föryngringsavverkning</t>
        </is>
      </c>
      <c r="D26" s="1" t="n">
        <v>45992</v>
      </c>
      <c r="E26" s="1" t="n">
        <v>46292</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38648-2025</t>
        </is>
      </c>
      <c r="B27" t="inlineStr">
        <is>
          <t>avverkningsanmälan</t>
        </is>
      </c>
      <c r="C27" t="inlineStr">
        <is>
          <t>Föryngringsavverkning</t>
        </is>
      </c>
      <c r="D27" s="1" t="n">
        <v>45884</v>
      </c>
      <c r="E27" s="1" t="n">
        <v>46292</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46292</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46292</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46292</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46292</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46292</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46292</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46292</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46292</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46292</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46292</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46292</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46292</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53688-2025</t>
        </is>
      </c>
      <c r="B40" t="inlineStr">
        <is>
          <t>avverkningsanmälan</t>
        </is>
      </c>
      <c r="C40" t="inlineStr">
        <is>
          <t>Föryngringsavverkning</t>
        </is>
      </c>
      <c r="D40" s="1" t="n">
        <v>45960</v>
      </c>
      <c r="E40" s="1" t="n">
        <v>46292</v>
      </c>
      <c r="F40" t="inlineStr">
        <is>
          <t>GÄVLEBORGS LÄN</t>
        </is>
      </c>
      <c r="G40" t="inlineStr">
        <is>
          <t>LJUSDAL</t>
        </is>
      </c>
      <c r="H40" t="inlineStr">
        <is>
          <t>Allmännings- och besparingsskogar</t>
        </is>
      </c>
      <c r="I40" t="n">
        <v>16.2</v>
      </c>
      <c r="J40" t="n">
        <v>2</v>
      </c>
      <c r="K40" t="n">
        <v>1</v>
      </c>
      <c r="L40" t="n">
        <v>10</v>
      </c>
      <c r="M40" t="n">
        <v>1</v>
      </c>
      <c r="N40" t="n">
        <v>0</v>
      </c>
      <c r="O40" t="n">
        <v>0</v>
      </c>
      <c r="P40" t="n">
        <v>0</v>
      </c>
      <c r="Q40" t="n">
        <v>11</v>
      </c>
      <c r="R40" t="n">
        <v>1</v>
      </c>
      <c r="S40" t="n">
        <v>12</v>
      </c>
      <c r="T40" t="n">
        <v>62</v>
      </c>
      <c r="U40" t="n">
        <v>62</v>
      </c>
      <c r="V40" s="2" t="inlineStr">
        <is>
          <t>Garnlav
Blanksvart spiklav
Blågrå svartspik
Kolflarnlav
Kortskaftad ärgspik
Lavskrika
Mörk kolflarnlav
Tretåig hackspett
Vedflamlav
Vedskivlav
Violettgrå tagellav
Nästlav</t>
        </is>
      </c>
      <c r="W40">
        <f>HYPERLINK("https://klasma.github.io/Logging_2161/artfynd/A 53688-2025 artfynd.xlsx", "A 53688-2025")</f>
        <v/>
      </c>
      <c r="X40">
        <f>HYPERLINK("https://klasma.github.io/Logging_2161/kartor/A 53688-2025 karta.png", "A 53688-2025")</f>
        <v/>
      </c>
      <c r="Y40">
        <f>HYPERLINK("https://klasma.github.io/Logging_2161/kartor_geotiff/A 53688-2025 georefererad karta.tif", "A 53688-2025")</f>
        <v/>
      </c>
      <c r="AA40">
        <f>HYPERLINK("https://klasma.github.io/Logging_2161/klagomål/A 53688-2025 FSC-klagomål.docx", "A 53688-2025")</f>
        <v/>
      </c>
      <c r="AB40">
        <f>HYPERLINK("https://klasma.github.io/Logging_2161/klagomålsmail/A 53688-2025 FSC-klagomål mail.docx", "A 53688-2025")</f>
        <v/>
      </c>
      <c r="AC40">
        <f>HYPERLINK("https://klasma.github.io/Logging_2161/tillsyn/A 53688-2025 tillsynsbegäran.docx", "A 53688-2025")</f>
        <v/>
      </c>
      <c r="AD40">
        <f>HYPERLINK("https://klasma.github.io/Logging_2161/tillsynsmail/A 53688-2025 tillsynsbegäran mail.docx", "A 53688-2025")</f>
        <v/>
      </c>
      <c r="AE40">
        <f>HYPERLINK("https://klasma.github.io/Logging_2161/fåglar/A 53688-2025 prioriterade fågelarter.docx", "A 53688-2025")</f>
        <v/>
      </c>
    </row>
    <row r="41" ht="15" customHeight="1">
      <c r="A41" t="inlineStr">
        <is>
          <t>A 44202-2025</t>
        </is>
      </c>
      <c r="B41" t="inlineStr">
        <is>
          <t>avverkningsanmälan</t>
        </is>
      </c>
      <c r="C41" t="inlineStr">
        <is>
          <t>Föryngringsavverkning</t>
        </is>
      </c>
      <c r="D41" s="1" t="n">
        <v>45915</v>
      </c>
      <c r="E41" s="1" t="n">
        <v>46292</v>
      </c>
      <c r="F41" t="inlineStr">
        <is>
          <t>GÄVLEBORGS LÄN</t>
        </is>
      </c>
      <c r="G41" t="inlineStr">
        <is>
          <t>LJUSDAL</t>
        </is>
      </c>
      <c r="H41" t="inlineStr">
        <is>
          <t>Sveaskog</t>
        </is>
      </c>
      <c r="I41" t="n">
        <v>3.8</v>
      </c>
      <c r="J41" t="n">
        <v>4</v>
      </c>
      <c r="K41" t="n">
        <v>0</v>
      </c>
      <c r="L41" t="n">
        <v>10</v>
      </c>
      <c r="M41" t="n">
        <v>1</v>
      </c>
      <c r="N41" t="n">
        <v>0</v>
      </c>
      <c r="O41" t="n">
        <v>0</v>
      </c>
      <c r="P41" t="n">
        <v>0</v>
      </c>
      <c r="Q41" t="n">
        <v>11</v>
      </c>
      <c r="R41" t="n">
        <v>1</v>
      </c>
      <c r="S41" t="n">
        <v>12</v>
      </c>
      <c r="T41" t="n">
        <v>30</v>
      </c>
      <c r="U41" t="n">
        <v>29</v>
      </c>
      <c r="V41" s="2" t="inlineStr">
        <is>
          <t>Knärot
Dropptaggsvamp
Kolflarnlav
Lavskrika
Lunglav
Nordtagging
Skarp dropptaggsvamp
Skrovellav
Talltita
Vedskivlav
Violettgrå tagellav
Revlummer</t>
        </is>
      </c>
      <c r="W41">
        <f>HYPERLINK("https://klasma.github.io/Logging_2161/artfynd/A 44202-2025 artfynd.xlsx", "A 44202-2025")</f>
        <v/>
      </c>
      <c r="X41">
        <f>HYPERLINK("https://klasma.github.io/Logging_2161/kartor/A 44202-2025 karta.png", "A 44202-2025")</f>
        <v/>
      </c>
      <c r="Y41">
        <f>HYPERLINK("https://klasma.github.io/Logging_2161/kartor_geotiff/A 44202-2025 georefererad karta.tif", "A 44202-2025")</f>
        <v/>
      </c>
      <c r="Z41">
        <f>HYPERLINK("https://klasma.github.io/Logging_2161/knärot/A 44202-2025 karta knärot.png", "A 44202-2025")</f>
        <v/>
      </c>
      <c r="AA41">
        <f>HYPERLINK("https://klasma.github.io/Logging_2161/klagomål/A 44202-2025 FSC-klagomål.docx", "A 44202-2025")</f>
        <v/>
      </c>
      <c r="AB41">
        <f>HYPERLINK("https://klasma.github.io/Logging_2161/klagomålsmail/A 44202-2025 FSC-klagomål mail.docx", "A 44202-2025")</f>
        <v/>
      </c>
      <c r="AC41">
        <f>HYPERLINK("https://klasma.github.io/Logging_2161/tillsyn/A 44202-2025 tillsynsbegäran.docx", "A 44202-2025")</f>
        <v/>
      </c>
      <c r="AD41">
        <f>HYPERLINK("https://klasma.github.io/Logging_2161/tillsynsmail/A 44202-2025 tillsynsbegäran mail.docx", "A 44202-2025")</f>
        <v/>
      </c>
      <c r="AE41">
        <f>HYPERLINK("https://klasma.github.io/Logging_2161/fåglar/A 44202-2025 prioriterade fågelarter.docx", "A 44202-2025")</f>
        <v/>
      </c>
    </row>
    <row r="42" ht="15" customHeight="1">
      <c r="A42" t="inlineStr">
        <is>
          <t>A 26649-2025</t>
        </is>
      </c>
      <c r="B42" t="inlineStr">
        <is>
          <t>avverkningsanmälan</t>
        </is>
      </c>
      <c r="C42" t="inlineStr">
        <is>
          <t>Föryngringsavverkning</t>
        </is>
      </c>
      <c r="D42" s="1" t="n">
        <v>45810</v>
      </c>
      <c r="E42" s="1" t="n">
        <v>46292</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59757-2025</t>
        </is>
      </c>
      <c r="B43" t="inlineStr">
        <is>
          <t>avverkningsanmälan</t>
        </is>
      </c>
      <c r="C43" t="inlineStr">
        <is>
          <t>Föryngringsavverkning</t>
        </is>
      </c>
      <c r="D43" s="1" t="n">
        <v>45992</v>
      </c>
      <c r="E43" s="1" t="n">
        <v>46292</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22714-2026</t>
        </is>
      </c>
      <c r="B44" t="inlineStr">
        <is>
          <t>avverkningsanmälan</t>
        </is>
      </c>
      <c r="C44" t="inlineStr">
        <is>
          <t>Föryngringsavverkning</t>
        </is>
      </c>
      <c r="D44" s="1" t="n">
        <v>46156</v>
      </c>
      <c r="E44" s="1" t="n">
        <v>46292</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A 30010-2026</t>
        </is>
      </c>
      <c r="B45" t="inlineStr">
        <is>
          <t>avverkningsanmälan</t>
        </is>
      </c>
      <c r="C45" t="inlineStr">
        <is>
          <t>Föryngringsavverkning</t>
        </is>
      </c>
      <c r="D45" s="1" t="n">
        <v>46205</v>
      </c>
      <c r="E45" s="1" t="n">
        <v>46292</v>
      </c>
      <c r="F45" t="inlineStr">
        <is>
          <t>GÄVLEBORGS LÄN</t>
        </is>
      </c>
      <c r="G45" t="inlineStr">
        <is>
          <t>LJUSDAL</t>
        </is>
      </c>
      <c r="H45" t="inlineStr">
        <is>
          <t>Sveaskog</t>
        </is>
      </c>
      <c r="I45" t="n">
        <v>18.2</v>
      </c>
      <c r="J45" t="n">
        <v>6</v>
      </c>
      <c r="K45" t="n">
        <v>1</v>
      </c>
      <c r="L45" t="n">
        <v>6</v>
      </c>
      <c r="M45" t="n">
        <v>2</v>
      </c>
      <c r="N45" t="n">
        <v>0</v>
      </c>
      <c r="O45" t="n">
        <v>0</v>
      </c>
      <c r="P45" t="n">
        <v>0</v>
      </c>
      <c r="Q45" t="n">
        <v>8</v>
      </c>
      <c r="R45" t="n">
        <v>2</v>
      </c>
      <c r="S45" t="n">
        <v>12</v>
      </c>
      <c r="T45" t="n">
        <v>38</v>
      </c>
      <c r="U45" t="n">
        <v>37</v>
      </c>
      <c r="V45" s="2" t="inlineStr">
        <is>
          <t>Garnlav
Knärot
Dropptaggsvamp
Kolflarnlav
Lunglav
Motaggsvamp
Rödvingetrast
Skrovellav
Plattlummer
Tjäder
Fläcknycklar
Nattviol</t>
        </is>
      </c>
      <c r="W45">
        <f>HYPERLINK("https://klasma.github.io/Logging_2161/artfynd/A 30010-2026 artfynd.xlsx", "A 30010-2026")</f>
        <v/>
      </c>
      <c r="X45">
        <f>HYPERLINK("https://klasma.github.io/Logging_2161/kartor/A 30010-2026 karta.png", "A 30010-2026")</f>
        <v/>
      </c>
      <c r="Y45">
        <f>HYPERLINK("https://klasma.github.io/Logging_2161/kartor_geotiff/A 30010-2026 georefererad karta.tif", "A 30010-2026")</f>
        <v/>
      </c>
      <c r="Z45">
        <f>HYPERLINK("https://klasma.github.io/Logging_2161/knärot/A 30010-2026 karta knärot.png", "A 30010-2026")</f>
        <v/>
      </c>
      <c r="AA45">
        <f>HYPERLINK("https://klasma.github.io/Logging_2161/klagomål/A 30010-2026 FSC-klagomål.docx", "A 30010-2026")</f>
        <v/>
      </c>
      <c r="AB45">
        <f>HYPERLINK("https://klasma.github.io/Logging_2161/klagomålsmail/A 30010-2026 FSC-klagomål mail.docx", "A 30010-2026")</f>
        <v/>
      </c>
      <c r="AC45">
        <f>HYPERLINK("https://klasma.github.io/Logging_2161/tillsyn/A 30010-2026 tillsynsbegäran.docx", "A 30010-2026")</f>
        <v/>
      </c>
      <c r="AD45">
        <f>HYPERLINK("https://klasma.github.io/Logging_2161/tillsynsmail/A 30010-2026 tillsynsbegäran mail.docx", "A 30010-2026")</f>
        <v/>
      </c>
      <c r="AE45">
        <f>HYPERLINK("https://klasma.github.io/Logging_2161/fåglar/A 30010-2026 prioriterade fågelarter.docx", "A 30010-2026")</f>
        <v/>
      </c>
    </row>
    <row r="46" ht="15" customHeight="1">
      <c r="A46" t="inlineStr">
        <is>
          <t>S 3386-2025</t>
        </is>
      </c>
      <c r="B46" t="inlineStr">
        <is>
          <t>samrådsanmälan</t>
        </is>
      </c>
      <c r="C46" t="inlineStr">
        <is>
          <t>Skogsgödsling</t>
        </is>
      </c>
      <c r="D46" s="1" t="n">
        <v>45993</v>
      </c>
      <c r="E46" s="1" t="n">
        <v>46292</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31613-2025</t>
        </is>
      </c>
      <c r="B47" t="inlineStr">
        <is>
          <t>avverkningsanmälan</t>
        </is>
      </c>
      <c r="C47" t="inlineStr">
        <is>
          <t>Föryngringsavverkning</t>
        </is>
      </c>
      <c r="D47" s="1" t="n">
        <v>45833</v>
      </c>
      <c r="E47" s="1" t="n">
        <v>46292</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46292</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46292</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20438-2026</t>
        </is>
      </c>
      <c r="B50" t="inlineStr">
        <is>
          <t>avverkningsanmälan</t>
        </is>
      </c>
      <c r="C50" t="inlineStr">
        <is>
          <t>Föryngringsavverkning</t>
        </is>
      </c>
      <c r="D50" s="1" t="n">
        <v>46140</v>
      </c>
      <c r="E50" s="1" t="n">
        <v>46292</v>
      </c>
      <c r="F50" t="inlineStr">
        <is>
          <t>GÄVLEBORGS LÄN</t>
        </is>
      </c>
      <c r="G50" t="inlineStr">
        <is>
          <t>LJUSDAL</t>
        </is>
      </c>
      <c r="H50" t="inlineStr">
        <is>
          <t>Allmännings- och besparingsskogar</t>
        </is>
      </c>
      <c r="I50" t="n">
        <v>5.7</v>
      </c>
      <c r="J50" t="n">
        <v>3</v>
      </c>
      <c r="K50" t="n">
        <v>3</v>
      </c>
      <c r="L50" t="n">
        <v>5</v>
      </c>
      <c r="M50" t="n">
        <v>1</v>
      </c>
      <c r="N50" t="n">
        <v>0</v>
      </c>
      <c r="O50" t="n">
        <v>0</v>
      </c>
      <c r="P50" t="n">
        <v>0</v>
      </c>
      <c r="Q50" t="n">
        <v>6</v>
      </c>
      <c r="R50" t="n">
        <v>1</v>
      </c>
      <c r="S50" t="n">
        <v>11</v>
      </c>
      <c r="T50" t="n">
        <v>21</v>
      </c>
      <c r="U50" t="n">
        <v>21</v>
      </c>
      <c r="V50" s="2" t="inlineStr">
        <is>
          <t>Garnlav
Dropptaggsvamp
Skogshare
Stjärntagging
Tretåig hackspett
Ullticka
Bronshjon
Mindre märgborre
Stuplav
Tjäder
Svartvit flugsnappare</t>
        </is>
      </c>
      <c r="W50">
        <f>HYPERLINK("https://klasma.github.io/Logging_2161/artfynd/A 20438-2026 artfynd.xlsx", "A 20438-2026")</f>
        <v/>
      </c>
      <c r="X50">
        <f>HYPERLINK("https://klasma.github.io/Logging_2161/kartor/A 20438-2026 karta.png", "A 20438-2026")</f>
        <v/>
      </c>
      <c r="Y50">
        <f>HYPERLINK("https://klasma.github.io/Logging_2161/kartor_geotiff/A 20438-2026 georefererad karta.tif", "A 20438-2026")</f>
        <v/>
      </c>
      <c r="AA50">
        <f>HYPERLINK("https://klasma.github.io/Logging_2161/klagomål/A 20438-2026 FSC-klagomål.docx", "A 20438-2026")</f>
        <v/>
      </c>
      <c r="AB50">
        <f>HYPERLINK("https://klasma.github.io/Logging_2161/klagomålsmail/A 20438-2026 FSC-klagomål mail.docx", "A 20438-2026")</f>
        <v/>
      </c>
      <c r="AC50">
        <f>HYPERLINK("https://klasma.github.io/Logging_2161/tillsyn/A 20438-2026 tillsynsbegäran.docx", "A 20438-2026")</f>
        <v/>
      </c>
      <c r="AD50">
        <f>HYPERLINK("https://klasma.github.io/Logging_2161/tillsynsmail/A 20438-2026 tillsynsbegäran mail.docx", "A 20438-2026")</f>
        <v/>
      </c>
      <c r="AE50">
        <f>HYPERLINK("https://klasma.github.io/Logging_2161/fåglar/A 20438-2026 prioriterade fågelarter.docx", "A 20438-2026")</f>
        <v/>
      </c>
    </row>
    <row r="51" ht="15" customHeight="1">
      <c r="A51" t="inlineStr">
        <is>
          <t>A 33353-2024</t>
        </is>
      </c>
      <c r="B51" t="inlineStr">
        <is>
          <t>avverkningsanmälan</t>
        </is>
      </c>
      <c r="C51" t="inlineStr">
        <is>
          <t>Avverkning för att bevara och utveckla /försöksver</t>
        </is>
      </c>
      <c r="D51" s="1" t="n">
        <v>45519</v>
      </c>
      <c r="E51" s="1" t="n">
        <v>46292</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46292</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46292</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46292</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46292</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44201-2025</t>
        </is>
      </c>
      <c r="B56" t="inlineStr">
        <is>
          <t>avverkningsanmälan</t>
        </is>
      </c>
      <c r="C56" t="inlineStr">
        <is>
          <t>Föryngringsavverkning</t>
        </is>
      </c>
      <c r="D56" s="1" t="n">
        <v>45915</v>
      </c>
      <c r="E56" s="1" t="n">
        <v>46292</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55498-2025</t>
        </is>
      </c>
      <c r="B57" t="inlineStr">
        <is>
          <t>avverkningsanmälan</t>
        </is>
      </c>
      <c r="C57" t="inlineStr">
        <is>
          <t>Föryngringsavverkning</t>
        </is>
      </c>
      <c r="D57" s="1" t="n">
        <v>45971</v>
      </c>
      <c r="E57" s="1" t="n">
        <v>46292</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28857-2025</t>
        </is>
      </c>
      <c r="B58" t="inlineStr">
        <is>
          <t>avverkningsanmälan</t>
        </is>
      </c>
      <c r="C58" t="inlineStr">
        <is>
          <t>Föryngringsavverkning</t>
        </is>
      </c>
      <c r="D58" s="1" t="n">
        <v>45820</v>
      </c>
      <c r="E58" s="1" t="n">
        <v>46292</v>
      </c>
      <c r="F58" t="inlineStr">
        <is>
          <t>GÄVLEBORGS LÄN</t>
        </is>
      </c>
      <c r="G58" t="inlineStr">
        <is>
          <t>LJUSDAL</t>
        </is>
      </c>
      <c r="H58" t="inlineStr">
        <is>
          <t>Bergvik skog väst AB</t>
        </is>
      </c>
      <c r="I58" t="n">
        <v>12.5</v>
      </c>
      <c r="J58" t="n">
        <v>6</v>
      </c>
      <c r="K58" t="n">
        <v>0</v>
      </c>
      <c r="L58" t="n">
        <v>3</v>
      </c>
      <c r="M58" t="n">
        <v>1</v>
      </c>
      <c r="N58" t="n">
        <v>0</v>
      </c>
      <c r="O58" t="n">
        <v>0</v>
      </c>
      <c r="P58" t="n">
        <v>0</v>
      </c>
      <c r="Q58" t="n">
        <v>4</v>
      </c>
      <c r="R58" t="n">
        <v>1</v>
      </c>
      <c r="S58" t="n">
        <v>9</v>
      </c>
      <c r="T58" t="n">
        <v>34</v>
      </c>
      <c r="U58" t="n">
        <v>34</v>
      </c>
      <c r="V58" s="2" t="inlineStr">
        <is>
          <t>Garnlav
Lunglav
Talltita
Vedskivlav
Järpe
Tjäder
Grönsiska
Kungsfågel
Svartvit flugsnappare</t>
        </is>
      </c>
      <c r="W58">
        <f>HYPERLINK("https://klasma.github.io/Logging_2161/artfynd/A 28857-2025 artfynd.xlsx", "A 28857-2025")</f>
        <v/>
      </c>
      <c r="X58">
        <f>HYPERLINK("https://klasma.github.io/Logging_2161/kartor/A 28857-2025 karta.png", "A 28857-2025")</f>
        <v/>
      </c>
      <c r="Y58">
        <f>HYPERLINK("https://klasma.github.io/Logging_2161/kartor_geotiff/A 28857-2025 georefererad karta.tif", "A 28857-2025")</f>
        <v/>
      </c>
      <c r="AA58">
        <f>HYPERLINK("https://klasma.github.io/Logging_2161/klagomål/A 28857-2025 FSC-klagomål.docx", "A 28857-2025")</f>
        <v/>
      </c>
      <c r="AB58">
        <f>HYPERLINK("https://klasma.github.io/Logging_2161/klagomålsmail/A 28857-2025 FSC-klagomål mail.docx", "A 28857-2025")</f>
        <v/>
      </c>
      <c r="AC58">
        <f>HYPERLINK("https://klasma.github.io/Logging_2161/tillsyn/A 28857-2025 tillsynsbegäran.docx", "A 28857-2025")</f>
        <v/>
      </c>
      <c r="AD58">
        <f>HYPERLINK("https://klasma.github.io/Logging_2161/tillsynsmail/A 28857-2025 tillsynsbegäran mail.docx", "A 28857-2025")</f>
        <v/>
      </c>
      <c r="AE58">
        <f>HYPERLINK("https://klasma.github.io/Logging_2161/fåglar/A 28857-2025 prioriterade fågelarter.docx", "A 28857-2025")</f>
        <v/>
      </c>
    </row>
    <row r="59" ht="15" customHeight="1">
      <c r="A59" t="inlineStr">
        <is>
          <t>A 17701-2025</t>
        </is>
      </c>
      <c r="B59" t="inlineStr">
        <is>
          <t>avverkningsanmälan</t>
        </is>
      </c>
      <c r="C59" t="inlineStr">
        <is>
          <t>Föryngringsavverkning</t>
        </is>
      </c>
      <c r="D59" s="1" t="n">
        <v>45758</v>
      </c>
      <c r="E59" s="1" t="n">
        <v>46292</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53691-2025</t>
        </is>
      </c>
      <c r="B60" t="inlineStr">
        <is>
          <t>avverkningsanmälan</t>
        </is>
      </c>
      <c r="C60" t="inlineStr">
        <is>
          <t>Föryngringsavverkning</t>
        </is>
      </c>
      <c r="D60" s="1" t="n">
        <v>45960</v>
      </c>
      <c r="E60" s="1" t="n">
        <v>46292</v>
      </c>
      <c r="F60" t="inlineStr">
        <is>
          <t>GÄVLEBORGS LÄN</t>
        </is>
      </c>
      <c r="G60" t="inlineStr">
        <is>
          <t>LJUSDAL</t>
        </is>
      </c>
      <c r="H60" t="inlineStr">
        <is>
          <t>Allmännings- och besparingsskogar</t>
        </is>
      </c>
      <c r="I60" t="n">
        <v>3.9</v>
      </c>
      <c r="J60" t="n">
        <v>1</v>
      </c>
      <c r="K60" t="n">
        <v>1</v>
      </c>
      <c r="L60" t="n">
        <v>6</v>
      </c>
      <c r="M60" t="n">
        <v>1</v>
      </c>
      <c r="N60" t="n">
        <v>0</v>
      </c>
      <c r="O60" t="n">
        <v>0</v>
      </c>
      <c r="P60" t="n">
        <v>0</v>
      </c>
      <c r="Q60" t="n">
        <v>7</v>
      </c>
      <c r="R60" t="n">
        <v>1</v>
      </c>
      <c r="S60" t="n">
        <v>8</v>
      </c>
      <c r="T60" t="n">
        <v>25</v>
      </c>
      <c r="U60" t="n">
        <v>25</v>
      </c>
      <c r="V60" s="2" t="inlineStr">
        <is>
          <t>Garnlav
Kolflarnlav
Mörk kolflarnlav
Tretåig hackspett
Vedflamlav
Vedskivlav
Violettgrå tagellav
Nästlav</t>
        </is>
      </c>
      <c r="W60">
        <f>HYPERLINK("https://klasma.github.io/Logging_2161/artfynd/A 53691-2025 artfynd.xlsx", "A 53691-2025")</f>
        <v/>
      </c>
      <c r="X60">
        <f>HYPERLINK("https://klasma.github.io/Logging_2161/kartor/A 53691-2025 karta.png", "A 53691-2025")</f>
        <v/>
      </c>
      <c r="Y60">
        <f>HYPERLINK("https://klasma.github.io/Logging_2161/kartor_geotiff/A 53691-2025 georefererad karta.tif", "A 53691-2025")</f>
        <v/>
      </c>
      <c r="AA60">
        <f>HYPERLINK("https://klasma.github.io/Logging_2161/klagomål/A 53691-2025 FSC-klagomål.docx", "A 53691-2025")</f>
        <v/>
      </c>
      <c r="AB60">
        <f>HYPERLINK("https://klasma.github.io/Logging_2161/klagomålsmail/A 53691-2025 FSC-klagomål mail.docx", "A 53691-2025")</f>
        <v/>
      </c>
      <c r="AC60">
        <f>HYPERLINK("https://klasma.github.io/Logging_2161/tillsyn/A 53691-2025 tillsynsbegäran.docx", "A 53691-2025")</f>
        <v/>
      </c>
      <c r="AD60">
        <f>HYPERLINK("https://klasma.github.io/Logging_2161/tillsynsmail/A 53691-2025 tillsynsbegäran mail.docx", "A 53691-2025")</f>
        <v/>
      </c>
      <c r="AE60">
        <f>HYPERLINK("https://klasma.github.io/Logging_2161/fåglar/A 53691-2025 prioriterade fågelarter.docx", "A 53691-2025")</f>
        <v/>
      </c>
    </row>
    <row r="61" ht="15" customHeight="1">
      <c r="A61" t="inlineStr">
        <is>
          <t>A 20596-2025</t>
        </is>
      </c>
      <c r="B61" t="inlineStr">
        <is>
          <t>avverkningsanmälan</t>
        </is>
      </c>
      <c r="C61" t="inlineStr">
        <is>
          <t>Föryngringsavverkning</t>
        </is>
      </c>
      <c r="D61" s="1" t="n">
        <v>45775</v>
      </c>
      <c r="E61" s="1" t="n">
        <v>46292</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16924-2026</t>
        </is>
      </c>
      <c r="B62" t="inlineStr">
        <is>
          <t>avverkningsanmälan</t>
        </is>
      </c>
      <c r="C62" t="inlineStr">
        <is>
          <t>Föryngringsavverkning</t>
        </is>
      </c>
      <c r="D62" s="1" t="n">
        <v>46113</v>
      </c>
      <c r="E62" s="1" t="n">
        <v>46292</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21</v>
      </c>
      <c r="U62" t="n">
        <v>3</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21134-2024</t>
        </is>
      </c>
      <c r="B63" t="inlineStr">
        <is>
          <t>avverkningsanmälan</t>
        </is>
      </c>
      <c r="C63" t="inlineStr">
        <is>
          <t>Föryngringsavverkning</t>
        </is>
      </c>
      <c r="D63" s="1" t="n">
        <v>45440</v>
      </c>
      <c r="E63" s="1" t="n">
        <v>46292</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61183-2025</t>
        </is>
      </c>
      <c r="B64" t="inlineStr">
        <is>
          <t>avverkningsanmälan</t>
        </is>
      </c>
      <c r="C64" t="inlineStr">
        <is>
          <t>Föryngringsavverkning</t>
        </is>
      </c>
      <c r="D64" s="1" t="n">
        <v>46000</v>
      </c>
      <c r="E64" s="1" t="n">
        <v>46292</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28859-2025</t>
        </is>
      </c>
      <c r="B65" t="inlineStr">
        <is>
          <t>avverkningsanmälan</t>
        </is>
      </c>
      <c r="C65" t="inlineStr">
        <is>
          <t>Föryngringsavverkning</t>
        </is>
      </c>
      <c r="D65" s="1" t="n">
        <v>45820</v>
      </c>
      <c r="E65" s="1" t="n">
        <v>46292</v>
      </c>
      <c r="F65" t="inlineStr">
        <is>
          <t>GÄVLEBORGS LÄN</t>
        </is>
      </c>
      <c r="G65" t="inlineStr">
        <is>
          <t>LJUSDAL</t>
        </is>
      </c>
      <c r="H65" t="inlineStr">
        <is>
          <t>Bergvik skog väst AB</t>
        </is>
      </c>
      <c r="I65" t="n">
        <v>10.2</v>
      </c>
      <c r="J65" t="n">
        <v>6</v>
      </c>
      <c r="K65" t="n">
        <v>0</v>
      </c>
      <c r="L65" t="n">
        <v>4</v>
      </c>
      <c r="M65" t="n">
        <v>1</v>
      </c>
      <c r="N65" t="n">
        <v>0</v>
      </c>
      <c r="O65" t="n">
        <v>0</v>
      </c>
      <c r="P65" t="n">
        <v>0</v>
      </c>
      <c r="Q65" t="n">
        <v>5</v>
      </c>
      <c r="R65" t="n">
        <v>1</v>
      </c>
      <c r="S65" t="n">
        <v>8</v>
      </c>
      <c r="T65" t="n">
        <v>17</v>
      </c>
      <c r="U65" t="n">
        <v>17</v>
      </c>
      <c r="V65" s="2" t="inlineStr">
        <is>
          <t>Garnlav
Lavskrika
Lunglav
Talltita
Tretåig hackspett
Tjäder
Grönsiska
Kungsfågel</t>
        </is>
      </c>
      <c r="W65">
        <f>HYPERLINK("https://klasma.github.io/Logging_2161/artfynd/A 28859-2025 artfynd.xlsx", "A 28859-2025")</f>
        <v/>
      </c>
      <c r="X65">
        <f>HYPERLINK("https://klasma.github.io/Logging_2161/kartor/A 28859-2025 karta.png", "A 28859-2025")</f>
        <v/>
      </c>
      <c r="Y65">
        <f>HYPERLINK("https://klasma.github.io/Logging_2161/kartor_geotiff/A 28859-2025 georefererad karta.tif", "A 28859-2025")</f>
        <v/>
      </c>
      <c r="AA65">
        <f>HYPERLINK("https://klasma.github.io/Logging_2161/klagomål/A 28859-2025 FSC-klagomål.docx", "A 28859-2025")</f>
        <v/>
      </c>
      <c r="AB65">
        <f>HYPERLINK("https://klasma.github.io/Logging_2161/klagomålsmail/A 28859-2025 FSC-klagomål mail.docx", "A 28859-2025")</f>
        <v/>
      </c>
      <c r="AC65">
        <f>HYPERLINK("https://klasma.github.io/Logging_2161/tillsyn/A 28859-2025 tillsynsbegäran.docx", "A 28859-2025")</f>
        <v/>
      </c>
      <c r="AD65">
        <f>HYPERLINK("https://klasma.github.io/Logging_2161/tillsynsmail/A 28859-2025 tillsynsbegäran mail.docx", "A 28859-2025")</f>
        <v/>
      </c>
      <c r="AE65">
        <f>HYPERLINK("https://klasma.github.io/Logging_2161/fåglar/A 28859-2025 prioriterade fågelarter.docx", "A 28859-2025")</f>
        <v/>
      </c>
    </row>
    <row r="66" ht="15" customHeight="1">
      <c r="A66" t="inlineStr">
        <is>
          <t>A 37022-2026</t>
        </is>
      </c>
      <c r="B66" t="inlineStr">
        <is>
          <t>avverkningsanmälan</t>
        </is>
      </c>
      <c r="C66" t="inlineStr">
        <is>
          <t>Föryngringsavverkning</t>
        </is>
      </c>
      <c r="D66" s="1" t="n">
        <v>46273</v>
      </c>
      <c r="E66" s="1" t="n">
        <v>46292</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38642-2026</t>
        </is>
      </c>
      <c r="B67" t="inlineStr">
        <is>
          <t>avverkningsanmälan</t>
        </is>
      </c>
      <c r="C67" t="inlineStr">
        <is>
          <t>Avverkning för annat ändamål</t>
        </is>
      </c>
      <c r="D67" s="1" t="n">
        <v>46283</v>
      </c>
      <c r="E67" s="1" t="n">
        <v>46292</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29934-2024</t>
        </is>
      </c>
      <c r="B68" t="inlineStr">
        <is>
          <t>avverkningsanmälan</t>
        </is>
      </c>
      <c r="C68" t="inlineStr">
        <is>
          <t>Föryngringsavverkning</t>
        </is>
      </c>
      <c r="D68" s="1" t="n">
        <v>45488</v>
      </c>
      <c r="E68" s="1" t="n">
        <v>46292</v>
      </c>
      <c r="F68" t="inlineStr">
        <is>
          <t>GÄVLEBORGS LÄN</t>
        </is>
      </c>
      <c r="G68" t="inlineStr">
        <is>
          <t>LJUSDAL</t>
        </is>
      </c>
      <c r="H68" t="inlineStr">
        <is>
          <t>Bergvik skog väst AB</t>
        </is>
      </c>
      <c r="I68" t="n">
        <v>13.9</v>
      </c>
      <c r="J68" t="n">
        <v>0</v>
      </c>
      <c r="K68" t="n">
        <v>2</v>
      </c>
      <c r="L68" t="n">
        <v>5</v>
      </c>
      <c r="M68" t="n">
        <v>1</v>
      </c>
      <c r="N68" t="n">
        <v>0</v>
      </c>
      <c r="O68" t="n">
        <v>0</v>
      </c>
      <c r="P68" t="n">
        <v>0</v>
      </c>
      <c r="Q68" t="n">
        <v>6</v>
      </c>
      <c r="R68" t="n">
        <v>1</v>
      </c>
      <c r="S68" t="n">
        <v>8</v>
      </c>
      <c r="T68" t="n">
        <v>22</v>
      </c>
      <c r="U68" t="n">
        <v>22</v>
      </c>
      <c r="V68" s="2" t="inlineStr">
        <is>
          <t>Garnlav
Dropptaggsvamp
Dvärgbägarlav
Kolflarnlav
Mörk kolflarnlav
Vedskivlav
Mindre märgborre
Skinnlav</t>
        </is>
      </c>
      <c r="W68">
        <f>HYPERLINK("https://klasma.github.io/Logging_2161/artfynd/A 29934-2024 artfynd.xlsx", "A 29934-2024")</f>
        <v/>
      </c>
      <c r="X68">
        <f>HYPERLINK("https://klasma.github.io/Logging_2161/kartor/A 29934-2024 karta.png", "A 29934-2024")</f>
        <v/>
      </c>
      <c r="Y68">
        <f>HYPERLINK("https://klasma.github.io/Logging_2161/kartor_geotiff/A 29934-2024 georefererad karta.tif", "A 29934-2024")</f>
        <v/>
      </c>
      <c r="AA68">
        <f>HYPERLINK("https://klasma.github.io/Logging_2161/klagomål/A 29934-2024 FSC-klagomål.docx", "A 29934-2024")</f>
        <v/>
      </c>
      <c r="AB68">
        <f>HYPERLINK("https://klasma.github.io/Logging_2161/klagomålsmail/A 29934-2024 FSC-klagomål mail.docx", "A 29934-2024")</f>
        <v/>
      </c>
      <c r="AC68">
        <f>HYPERLINK("https://klasma.github.io/Logging_2161/tillsyn/A 29934-2024 tillsynsbegäran.docx", "A 29934-2024")</f>
        <v/>
      </c>
      <c r="AD68">
        <f>HYPERLINK("https://klasma.github.io/Logging_2161/tillsynsmail/A 29934-2024 tillsynsbegäran mail.docx", "A 29934-2024")</f>
        <v/>
      </c>
    </row>
    <row r="69" ht="15" customHeight="1">
      <c r="A69" t="inlineStr">
        <is>
          <t>S 376-2023</t>
        </is>
      </c>
      <c r="B69" t="inlineStr">
        <is>
          <t>samrådsanmälan</t>
        </is>
      </c>
      <c r="C69" t="inlineStr">
        <is>
          <t>Skogsgödsling</t>
        </is>
      </c>
      <c r="D69" s="1" t="n">
        <v>44959</v>
      </c>
      <c r="E69" s="1" t="n">
        <v>46292</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46292</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18098-2024</t>
        </is>
      </c>
      <c r="B71" t="inlineStr">
        <is>
          <t>avverkningsanmälan</t>
        </is>
      </c>
      <c r="C71" t="inlineStr">
        <is>
          <t>Föryngringsavverkning</t>
        </is>
      </c>
      <c r="D71" s="1" t="n">
        <v>45420</v>
      </c>
      <c r="E71" s="1" t="n">
        <v>46292</v>
      </c>
      <c r="F71" t="inlineStr">
        <is>
          <t>GÄVLEBORGS LÄN</t>
        </is>
      </c>
      <c r="G71" t="inlineStr">
        <is>
          <t>LJUSDAL</t>
        </is>
      </c>
      <c r="H71" t="inlineStr">
        <is>
          <t>Sveaskog</t>
        </is>
      </c>
      <c r="I71" t="n">
        <v>3.3</v>
      </c>
      <c r="J71" t="n">
        <v>1</v>
      </c>
      <c r="K71" t="n">
        <v>1</v>
      </c>
      <c r="L71" t="n">
        <v>5</v>
      </c>
      <c r="M71" t="n">
        <v>1</v>
      </c>
      <c r="N71" t="n">
        <v>0</v>
      </c>
      <c r="O71" t="n">
        <v>0</v>
      </c>
      <c r="P71" t="n">
        <v>0</v>
      </c>
      <c r="Q71" t="n">
        <v>6</v>
      </c>
      <c r="R71" t="n">
        <v>1</v>
      </c>
      <c r="S71" t="n">
        <v>7</v>
      </c>
      <c r="T71" t="n">
        <v>22</v>
      </c>
      <c r="U71" t="n">
        <v>22</v>
      </c>
      <c r="V71" s="2" t="inlineStr">
        <is>
          <t>Garnlav
Kolflarnlav
Varglav
Vedflamlav
Vedskivlav
Vedtrappmossa
Nästlav</t>
        </is>
      </c>
      <c r="W71">
        <f>HYPERLINK("https://klasma.github.io/Logging_2161/artfynd/A 18098-2024 artfynd.xlsx", "A 18098-2024")</f>
        <v/>
      </c>
      <c r="X71">
        <f>HYPERLINK("https://klasma.github.io/Logging_2161/kartor/A 18098-2024 karta.png", "A 18098-2024")</f>
        <v/>
      </c>
      <c r="Y71">
        <f>HYPERLINK("https://klasma.github.io/Logging_2161/kartor_geotiff/A 18098-2024 georefererad karta.tif", "A 18098-2024")</f>
        <v/>
      </c>
      <c r="AA71">
        <f>HYPERLINK("https://klasma.github.io/Logging_2161/klagomål/A 18098-2024 FSC-klagomål.docx", "A 18098-2024")</f>
        <v/>
      </c>
      <c r="AB71">
        <f>HYPERLINK("https://klasma.github.io/Logging_2161/klagomålsmail/A 18098-2024 FSC-klagomål mail.docx", "A 18098-2024")</f>
        <v/>
      </c>
      <c r="AC71">
        <f>HYPERLINK("https://klasma.github.io/Logging_2161/tillsyn/A 18098-2024 tillsynsbegäran.docx", "A 18098-2024")</f>
        <v/>
      </c>
      <c r="AD71">
        <f>HYPERLINK("https://klasma.github.io/Logging_2161/tillsynsmail/A 18098-2024 tillsynsbegäran mail.docx", "A 18098-2024")</f>
        <v/>
      </c>
    </row>
    <row r="72" ht="15" customHeight="1">
      <c r="A72" t="inlineStr">
        <is>
          <t>A 40143-2025</t>
        </is>
      </c>
      <c r="B72" t="inlineStr">
        <is>
          <t>avverkningsanmälan</t>
        </is>
      </c>
      <c r="C72" t="inlineStr">
        <is>
          <t>Föryngringsavverkning</t>
        </is>
      </c>
      <c r="D72" s="1" t="n">
        <v>45894</v>
      </c>
      <c r="E72" s="1" t="n">
        <v>46292</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46292</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26489-2025</t>
        </is>
      </c>
      <c r="B74" t="inlineStr">
        <is>
          <t>avverkningsanmälan</t>
        </is>
      </c>
      <c r="C74" t="inlineStr">
        <is>
          <t>Föryngringsavverkning</t>
        </is>
      </c>
      <c r="D74" s="1" t="n">
        <v>45807</v>
      </c>
      <c r="E74" s="1" t="n">
        <v>46292</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48335-2025</t>
        </is>
      </c>
      <c r="B75" t="inlineStr">
        <is>
          <t>avverkningsanmälan</t>
        </is>
      </c>
      <c r="C75" t="inlineStr">
        <is>
          <t>Föryngringsavverkning</t>
        </is>
      </c>
      <c r="D75" s="1" t="n">
        <v>45933</v>
      </c>
      <c r="E75" s="1" t="n">
        <v>46292</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55957-2025</t>
        </is>
      </c>
      <c r="B76" t="inlineStr">
        <is>
          <t>avverkningsanmälan</t>
        </is>
      </c>
      <c r="C76" t="inlineStr">
        <is>
          <t>Föryngringsavverkning</t>
        </is>
      </c>
      <c r="D76" s="1" t="n">
        <v>45973</v>
      </c>
      <c r="E76" s="1" t="n">
        <v>46292</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32489-2025</t>
        </is>
      </c>
      <c r="B77" t="inlineStr">
        <is>
          <t>avverkningsanmälan</t>
        </is>
      </c>
      <c r="C77" t="inlineStr">
        <is>
          <t>Föryngringsavverkning</t>
        </is>
      </c>
      <c r="D77" s="1" t="n">
        <v>45838</v>
      </c>
      <c r="E77" s="1" t="n">
        <v>46292</v>
      </c>
      <c r="F77" t="inlineStr">
        <is>
          <t>GÄVLEBORGS LÄN</t>
        </is>
      </c>
      <c r="G77" t="inlineStr">
        <is>
          <t>LJUSDAL</t>
        </is>
      </c>
      <c r="H77" t="inlineStr">
        <is>
          <t>Allmännings- och besparingsskogar</t>
        </is>
      </c>
      <c r="I77" t="n">
        <v>21</v>
      </c>
      <c r="J77" t="n">
        <v>2</v>
      </c>
      <c r="K77" t="n">
        <v>0</v>
      </c>
      <c r="L77" t="n">
        <v>6</v>
      </c>
      <c r="M77" t="n">
        <v>1</v>
      </c>
      <c r="N77" t="n">
        <v>0</v>
      </c>
      <c r="O77" t="n">
        <v>0</v>
      </c>
      <c r="P77" t="n">
        <v>0</v>
      </c>
      <c r="Q77" t="n">
        <v>7</v>
      </c>
      <c r="R77" t="n">
        <v>1</v>
      </c>
      <c r="S77" t="n">
        <v>7</v>
      </c>
      <c r="T77" t="n">
        <v>13</v>
      </c>
      <c r="U77" t="n">
        <v>11</v>
      </c>
      <c r="V77" s="2" t="inlineStr">
        <is>
          <t>Garnlav
Dropptaggsvamp
Kungsörn
Mörk kolflarnlav
Stjärntagging
Tretåig hackspett
Violettgrå tagellav</t>
        </is>
      </c>
      <c r="W77">
        <f>HYPERLINK("https://klasma.github.io/Logging_2161/artfynd/A 32489-2025 artfynd.xlsx", "A 32489-2025")</f>
        <v/>
      </c>
      <c r="X77">
        <f>HYPERLINK("https://klasma.github.io/Logging_2161/kartor/A 32489-2025 karta.png", "A 32489-2025")</f>
        <v/>
      </c>
      <c r="Y77">
        <f>HYPERLINK("https://klasma.github.io/Logging_2161/kartor_geotiff/A 32489-2025 georefererad karta.tif", "A 32489-2025")</f>
        <v/>
      </c>
      <c r="AA77">
        <f>HYPERLINK("https://klasma.github.io/Logging_2161/klagomål/A 32489-2025 FSC-klagomål.docx", "A 32489-2025")</f>
        <v/>
      </c>
      <c r="AB77">
        <f>HYPERLINK("https://klasma.github.io/Logging_2161/klagomålsmail/A 32489-2025 FSC-klagomål mail.docx", "A 32489-2025")</f>
        <v/>
      </c>
      <c r="AC77">
        <f>HYPERLINK("https://klasma.github.io/Logging_2161/tillsyn/A 32489-2025 tillsynsbegäran.docx", "A 32489-2025")</f>
        <v/>
      </c>
      <c r="AD77">
        <f>HYPERLINK("https://klasma.github.io/Logging_2161/tillsynsmail/A 32489-2025 tillsynsbegäran mail.docx", "A 32489-2025")</f>
        <v/>
      </c>
      <c r="AE77">
        <f>HYPERLINK("https://klasma.github.io/Logging_2161/fåglar/A 32489-2025 prioriterade fågelarter.docx", "A 32489-2025")</f>
        <v/>
      </c>
    </row>
    <row r="78" ht="15" customHeight="1">
      <c r="A78" t="inlineStr">
        <is>
          <t>A 24187-2026</t>
        </is>
      </c>
      <c r="B78" t="inlineStr">
        <is>
          <t>avverkningsanmälan</t>
        </is>
      </c>
      <c r="C78" t="inlineStr">
        <is>
          <t>Föryngringsavverkning</t>
        </is>
      </c>
      <c r="D78" s="1" t="n">
        <v>46168</v>
      </c>
      <c r="E78" s="1" t="n">
        <v>46292</v>
      </c>
      <c r="F78" t="inlineStr">
        <is>
          <t>GÄVLEBORGS LÄN</t>
        </is>
      </c>
      <c r="G78" t="inlineStr">
        <is>
          <t>LJUSDAL</t>
        </is>
      </c>
      <c r="H78" t="inlineStr">
        <is>
          <t>Sveaskog</t>
        </is>
      </c>
      <c r="I78" t="n">
        <v>8.1</v>
      </c>
      <c r="J78" t="n">
        <v>1</v>
      </c>
      <c r="K78" t="n">
        <v>2</v>
      </c>
      <c r="L78" t="n">
        <v>4</v>
      </c>
      <c r="M78" t="n">
        <v>1</v>
      </c>
      <c r="N78" t="n">
        <v>0</v>
      </c>
      <c r="O78" t="n">
        <v>0</v>
      </c>
      <c r="P78" t="n">
        <v>0</v>
      </c>
      <c r="Q78" t="n">
        <v>5</v>
      </c>
      <c r="R78" t="n">
        <v>1</v>
      </c>
      <c r="S78" t="n">
        <v>7</v>
      </c>
      <c r="T78" t="n">
        <v>9</v>
      </c>
      <c r="U78" t="n">
        <v>0</v>
      </c>
      <c r="V78" s="2" t="inlineStr">
        <is>
          <t>Garnlav
Kolflarnlav
Mörk kolflarnlav
Skarp dropptaggsvamp
Vedflamlav
Plattlummer
Vedticka</t>
        </is>
      </c>
      <c r="W78">
        <f>HYPERLINK("https://klasma.github.io/Logging_2161/artfynd/A 24187-2026 artfynd.xlsx", "A 24187-2026")</f>
        <v/>
      </c>
      <c r="X78">
        <f>HYPERLINK("https://klasma.github.io/Logging_2161/kartor/A 24187-2026 karta.png", "A 24187-2026")</f>
        <v/>
      </c>
      <c r="Y78">
        <f>HYPERLINK("https://klasma.github.io/Logging_2161/kartor_geotiff/A 24187-2026 georefererad karta.tif", "A 24187-2026")</f>
        <v/>
      </c>
      <c r="AA78">
        <f>HYPERLINK("https://klasma.github.io/Logging_2161/klagomål/A 24187-2026 FSC-klagomål.docx", "A 24187-2026")</f>
        <v/>
      </c>
      <c r="AB78">
        <f>HYPERLINK("https://klasma.github.io/Logging_2161/klagomålsmail/A 24187-2026 FSC-klagomål mail.docx", "A 24187-2026")</f>
        <v/>
      </c>
      <c r="AC78">
        <f>HYPERLINK("https://klasma.github.io/Logging_2161/tillsyn/A 24187-2026 tillsynsbegäran.docx", "A 24187-2026")</f>
        <v/>
      </c>
      <c r="AD78">
        <f>HYPERLINK("https://klasma.github.io/Logging_2161/tillsynsmail/A 24187-2026 tillsynsbegäran mail.docx", "A 24187-2026")</f>
        <v/>
      </c>
    </row>
    <row r="79" ht="15" customHeight="1">
      <c r="A79" t="inlineStr">
        <is>
          <t>A 34739-2026</t>
        </is>
      </c>
      <c r="B79" t="inlineStr">
        <is>
          <t>avverkningsanmälan</t>
        </is>
      </c>
      <c r="C79" t="inlineStr">
        <is>
          <t>Föryngringsavverkning</t>
        </is>
      </c>
      <c r="D79" s="1" t="n">
        <v>46258</v>
      </c>
      <c r="E79" s="1" t="n">
        <v>46292</v>
      </c>
      <c r="F79" t="inlineStr">
        <is>
          <t>GÄVLEBORGS LÄN</t>
        </is>
      </c>
      <c r="G79" t="inlineStr">
        <is>
          <t>LJUSDAL</t>
        </is>
      </c>
      <c r="H79" t="inlineStr">
        <is>
          <t>Sveaskog</t>
        </is>
      </c>
      <c r="I79" t="n">
        <v>5.1</v>
      </c>
      <c r="J79" t="n">
        <v>3</v>
      </c>
      <c r="K79" t="n">
        <v>0</v>
      </c>
      <c r="L79" t="n">
        <v>3</v>
      </c>
      <c r="M79" t="n">
        <v>2</v>
      </c>
      <c r="N79" t="n">
        <v>0</v>
      </c>
      <c r="O79" t="n">
        <v>0</v>
      </c>
      <c r="P79" t="n">
        <v>0</v>
      </c>
      <c r="Q79" t="n">
        <v>5</v>
      </c>
      <c r="R79" t="n">
        <v>2</v>
      </c>
      <c r="S79" t="n">
        <v>7</v>
      </c>
      <c r="T79" t="n">
        <v>11</v>
      </c>
      <c r="U79" t="n">
        <v>0</v>
      </c>
      <c r="V79" s="2" t="inlineStr">
        <is>
          <t>Garnlav
Knärot
Kolflarnlav
Lunglav
Vedflamlav
Tjäder
Nattviol</t>
        </is>
      </c>
      <c r="W79">
        <f>HYPERLINK("https://klasma.github.io/Logging_2161/artfynd/A 34739-2026 artfynd.xlsx", "A 34739-2026")</f>
        <v/>
      </c>
      <c r="X79">
        <f>HYPERLINK("https://klasma.github.io/Logging_2161/kartor/A 34739-2026 karta.png", "A 34739-2026")</f>
        <v/>
      </c>
      <c r="Y79">
        <f>HYPERLINK("https://klasma.github.io/Logging_2161/kartor_geotiff/A 34739-2026 georefererad karta.tif", "A 34739-2026")</f>
        <v/>
      </c>
      <c r="Z79">
        <f>HYPERLINK("https://klasma.github.io/Logging_2161/knärot/A 34739-2026 karta knärot.png", "A 34739-2026")</f>
        <v/>
      </c>
      <c r="AA79">
        <f>HYPERLINK("https://klasma.github.io/Logging_2161/klagomål/A 34739-2026 FSC-klagomål.docx", "A 34739-2026")</f>
        <v/>
      </c>
      <c r="AB79">
        <f>HYPERLINK("https://klasma.github.io/Logging_2161/klagomålsmail/A 34739-2026 FSC-klagomål mail.docx", "A 34739-2026")</f>
        <v/>
      </c>
      <c r="AC79">
        <f>HYPERLINK("https://klasma.github.io/Logging_2161/tillsyn/A 34739-2026 tillsynsbegäran.docx", "A 34739-2026")</f>
        <v/>
      </c>
      <c r="AD79">
        <f>HYPERLINK("https://klasma.github.io/Logging_2161/tillsynsmail/A 34739-2026 tillsynsbegäran mail.docx", "A 34739-2026")</f>
        <v/>
      </c>
      <c r="AE79">
        <f>HYPERLINK("https://klasma.github.io/Logging_2161/fåglar/A 34739-2026 prioriterade fågelarter.docx", "A 34739-2026")</f>
        <v/>
      </c>
    </row>
    <row r="80" ht="15" customHeight="1">
      <c r="A80" t="inlineStr">
        <is>
          <t>A 53858-2023</t>
        </is>
      </c>
      <c r="B80" t="inlineStr">
        <is>
          <t>avverkningsanmälan</t>
        </is>
      </c>
      <c r="C80" t="inlineStr">
        <is>
          <t>Avverkning för annat ändamål</t>
        </is>
      </c>
      <c r="D80" s="1" t="n">
        <v>45231</v>
      </c>
      <c r="E80" s="1" t="n">
        <v>46292</v>
      </c>
      <c r="F80" t="inlineStr">
        <is>
          <t>GÄVLEBORGS LÄN</t>
        </is>
      </c>
      <c r="G80" t="inlineStr">
        <is>
          <t>LJUSDAL</t>
        </is>
      </c>
      <c r="H80" t="inlineStr">
        <is>
          <t>Allmännings- och besparingsskogar</t>
        </is>
      </c>
      <c r="I80" t="n">
        <v>2.3</v>
      </c>
      <c r="J80" t="n">
        <v>1</v>
      </c>
      <c r="K80" t="n">
        <v>0</v>
      </c>
      <c r="L80" t="n">
        <v>6</v>
      </c>
      <c r="M80" t="n">
        <v>1</v>
      </c>
      <c r="N80" t="n">
        <v>0</v>
      </c>
      <c r="O80" t="n">
        <v>0</v>
      </c>
      <c r="P80" t="n">
        <v>0</v>
      </c>
      <c r="Q80" t="n">
        <v>7</v>
      </c>
      <c r="R80" t="n">
        <v>1</v>
      </c>
      <c r="S80" t="n">
        <v>7</v>
      </c>
      <c r="T80" t="n">
        <v>15</v>
      </c>
      <c r="U80" t="n">
        <v>15</v>
      </c>
      <c r="V80" s="2" t="inlineStr">
        <is>
          <t>Spadskinn
Blanksvart spiklav
Kolflarnlav
Mellanlummer
Mörk kolflarnlav
Vedflamlav
Vedskivlav</t>
        </is>
      </c>
      <c r="W80">
        <f>HYPERLINK("https://klasma.github.io/Logging_2161/artfynd/A 53858-2023 artfynd.xlsx", "A 53858-2023")</f>
        <v/>
      </c>
      <c r="X80">
        <f>HYPERLINK("https://klasma.github.io/Logging_2161/kartor/A 53858-2023 karta.png", "A 53858-2023")</f>
        <v/>
      </c>
      <c r="Y80">
        <f>HYPERLINK("https://klasma.github.io/Logging_2161/kartor_geotiff/A 53858-2023 georefererad karta.tif", "A 53858-2023")</f>
        <v/>
      </c>
      <c r="AA80">
        <f>HYPERLINK("https://klasma.github.io/Logging_2161/klagomål/A 53858-2023 FSC-klagomål.docx", "A 53858-2023")</f>
        <v/>
      </c>
      <c r="AB80">
        <f>HYPERLINK("https://klasma.github.io/Logging_2161/klagomålsmail/A 53858-2023 FSC-klagomål mail.docx", "A 53858-2023")</f>
        <v/>
      </c>
      <c r="AC80">
        <f>HYPERLINK("https://klasma.github.io/Logging_2161/tillsyn/A 53858-2023 tillsynsbegäran.docx", "A 53858-2023")</f>
        <v/>
      </c>
      <c r="AD80">
        <f>HYPERLINK("https://klasma.github.io/Logging_2161/tillsynsmail/A 53858-2023 tillsynsbegäran mail.docx", "A 53858-2023")</f>
        <v/>
      </c>
    </row>
    <row r="81" ht="15" customHeight="1">
      <c r="A81" t="inlineStr">
        <is>
          <t>A 36152-2026</t>
        </is>
      </c>
      <c r="B81" t="inlineStr">
        <is>
          <t>avverkningsanmälan</t>
        </is>
      </c>
      <c r="C81" t="inlineStr">
        <is>
          <t>Föryngringsavverkning</t>
        </is>
      </c>
      <c r="D81" s="1" t="n">
        <v>46267</v>
      </c>
      <c r="E81" s="1" t="n">
        <v>46292</v>
      </c>
      <c r="F81" t="inlineStr">
        <is>
          <t>GÄVLEBORGS LÄN</t>
        </is>
      </c>
      <c r="G81" t="inlineStr">
        <is>
          <t>LJUSDAL</t>
        </is>
      </c>
      <c r="H81" t="inlineStr">
        <is>
          <t>Bergvik skog väst AB</t>
        </is>
      </c>
      <c r="I81" t="n">
        <v>2.3</v>
      </c>
      <c r="J81" t="n">
        <v>1</v>
      </c>
      <c r="K81" t="n">
        <v>4</v>
      </c>
      <c r="L81" t="n">
        <v>1</v>
      </c>
      <c r="M81" t="n">
        <v>2</v>
      </c>
      <c r="N81" t="n">
        <v>0</v>
      </c>
      <c r="O81" t="n">
        <v>0</v>
      </c>
      <c r="P81" t="n">
        <v>0</v>
      </c>
      <c r="Q81" t="n">
        <v>3</v>
      </c>
      <c r="R81" t="n">
        <v>2</v>
      </c>
      <c r="S81" t="n">
        <v>7</v>
      </c>
      <c r="T81" t="n">
        <v>7</v>
      </c>
      <c r="U81" t="n">
        <v>0</v>
      </c>
      <c r="V81" s="2" t="inlineStr">
        <is>
          <t>Garnlav
Gränsticka
Doftskinn
Mörk husmossa
Spindelblomster
Vedticka
Vågbandad barkbock</t>
        </is>
      </c>
      <c r="W81">
        <f>HYPERLINK("https://klasma.github.io/Logging_2161/artfynd/A 36152-2026 artfynd.xlsx", "A 36152-2026")</f>
        <v/>
      </c>
      <c r="X81">
        <f>HYPERLINK("https://klasma.github.io/Logging_2161/kartor/A 36152-2026 karta.png", "A 36152-2026")</f>
        <v/>
      </c>
      <c r="Y81">
        <f>HYPERLINK("https://klasma.github.io/Logging_2161/kartor_geotiff/A 36152-2026 georefererad karta.tif", "A 36152-2026")</f>
        <v/>
      </c>
      <c r="AA81">
        <f>HYPERLINK("https://klasma.github.io/Logging_2161/klagomål/A 36152-2026 FSC-klagomål.docx", "A 36152-2026")</f>
        <v/>
      </c>
      <c r="AB81">
        <f>HYPERLINK("https://klasma.github.io/Logging_2161/klagomålsmail/A 36152-2026 FSC-klagomål mail.docx", "A 36152-2026")</f>
        <v/>
      </c>
      <c r="AC81">
        <f>HYPERLINK("https://klasma.github.io/Logging_2161/tillsyn/A 36152-2026 tillsynsbegäran.docx", "A 36152-2026")</f>
        <v/>
      </c>
      <c r="AD81">
        <f>HYPERLINK("https://klasma.github.io/Logging_2161/tillsynsmail/A 36152-2026 tillsynsbegäran mail.docx", "A 36152-2026")</f>
        <v/>
      </c>
    </row>
    <row r="82" ht="15" customHeight="1">
      <c r="A82" t="inlineStr">
        <is>
          <t>A 18297-2024</t>
        </is>
      </c>
      <c r="B82" t="inlineStr">
        <is>
          <t>avverkningsanmälan</t>
        </is>
      </c>
      <c r="C82" t="inlineStr">
        <is>
          <t>Föryngringsavverkning</t>
        </is>
      </c>
      <c r="D82" s="1" t="n">
        <v>45422</v>
      </c>
      <c r="E82" s="1" t="n">
        <v>46292</v>
      </c>
      <c r="F82" t="inlineStr">
        <is>
          <t>GÄVLEBORGS LÄN</t>
        </is>
      </c>
      <c r="G82" t="inlineStr">
        <is>
          <t>LJUSDAL</t>
        </is>
      </c>
      <c r="H82" t="inlineStr">
        <is>
          <t>Holmen skog AB</t>
        </is>
      </c>
      <c r="I82" t="n">
        <v>1.6</v>
      </c>
      <c r="J82" t="n">
        <v>1</v>
      </c>
      <c r="K82" t="n">
        <v>0</v>
      </c>
      <c r="L82" t="n">
        <v>5</v>
      </c>
      <c r="M82" t="n">
        <v>2</v>
      </c>
      <c r="N82" t="n">
        <v>0</v>
      </c>
      <c r="O82" t="n">
        <v>0</v>
      </c>
      <c r="P82" t="n">
        <v>0</v>
      </c>
      <c r="Q82" t="n">
        <v>7</v>
      </c>
      <c r="R82" t="n">
        <v>2</v>
      </c>
      <c r="S82" t="n">
        <v>7</v>
      </c>
      <c r="T82" t="n">
        <v>15</v>
      </c>
      <c r="U82" t="n">
        <v>15</v>
      </c>
      <c r="V82" s="2" t="inlineStr">
        <is>
          <t>Garnlav
Knärot
Kattfotslav
Rosenticka
Ullticka
Violettgrå tagellav
Vitgrynig nållav</t>
        </is>
      </c>
      <c r="W82">
        <f>HYPERLINK("https://klasma.github.io/Logging_2161/artfynd/A 18297-2024 artfynd.xlsx", "A 18297-2024")</f>
        <v/>
      </c>
      <c r="X82">
        <f>HYPERLINK("https://klasma.github.io/Logging_2161/kartor/A 18297-2024 karta.png", "A 18297-2024")</f>
        <v/>
      </c>
      <c r="Y82">
        <f>HYPERLINK("https://klasma.github.io/Logging_2161/kartor_geotiff/A 18297-2024 georefererad karta.tif", "A 18297-2024")</f>
        <v/>
      </c>
      <c r="Z82">
        <f>HYPERLINK("https://klasma.github.io/Logging_2161/knärot/A 18297-2024 karta knärot.png", "A 18297-2024")</f>
        <v/>
      </c>
      <c r="AA82">
        <f>HYPERLINK("https://klasma.github.io/Logging_2161/klagomål/A 18297-2024 FSC-klagomål.docx", "A 18297-2024")</f>
        <v/>
      </c>
      <c r="AB82">
        <f>HYPERLINK("https://klasma.github.io/Logging_2161/klagomålsmail/A 18297-2024 FSC-klagomål mail.docx", "A 18297-2024")</f>
        <v/>
      </c>
      <c r="AC82">
        <f>HYPERLINK("https://klasma.github.io/Logging_2161/tillsyn/A 18297-2024 tillsynsbegäran.docx", "A 18297-2024")</f>
        <v/>
      </c>
      <c r="AD82">
        <f>HYPERLINK("https://klasma.github.io/Logging_2161/tillsynsmail/A 18297-2024 tillsynsbegäran mail.docx", "A 18297-2024")</f>
        <v/>
      </c>
    </row>
    <row r="83" ht="15" customHeight="1">
      <c r="A83" t="inlineStr">
        <is>
          <t>S 1220-2025</t>
        </is>
      </c>
      <c r="B83" t="inlineStr">
        <is>
          <t>samrådsanmälan</t>
        </is>
      </c>
      <c r="C83" t="inlineStr">
        <is>
          <t>Annan skogsbruksåtgärd</t>
        </is>
      </c>
      <c r="D83" s="1" t="n">
        <v>45761</v>
      </c>
      <c r="E83" s="1" t="n">
        <v>46292</v>
      </c>
      <c r="F83" t="inlineStr">
        <is>
          <t>GÄVLEBORGS LÄN</t>
        </is>
      </c>
      <c r="G83" t="inlineStr">
        <is>
          <t>LJUSDAL</t>
        </is>
      </c>
      <c r="H83" t="inlineStr">
        <is>
          <t>Sveaskog</t>
        </is>
      </c>
      <c r="I83" t="n">
        <v>14.3</v>
      </c>
      <c r="J83" t="n">
        <v>2</v>
      </c>
      <c r="K83" t="n">
        <v>0</v>
      </c>
      <c r="L83" t="n">
        <v>6</v>
      </c>
      <c r="M83" t="n">
        <v>1</v>
      </c>
      <c r="N83" t="n">
        <v>0</v>
      </c>
      <c r="O83" t="n">
        <v>0</v>
      </c>
      <c r="P83" t="n">
        <v>0</v>
      </c>
      <c r="Q83" t="n">
        <v>7</v>
      </c>
      <c r="R83" t="n">
        <v>1</v>
      </c>
      <c r="S83" t="n">
        <v>7</v>
      </c>
      <c r="T83" t="n">
        <v>9</v>
      </c>
      <c r="U83" t="n">
        <v>2</v>
      </c>
      <c r="V83" s="2" t="inlineStr">
        <is>
          <t>Knärot
Dropptaggsvamp
Kolflarnlav
Mörk kolflarnlav
Skarp dropptaggsvamp
Tallticka
Tretåig hackspett</t>
        </is>
      </c>
      <c r="W83">
        <f>HYPERLINK("https://klasma.github.io/Logging_2161/artfynd/S 1220-2025 artfynd.xlsx", "S 1220-2025")</f>
        <v/>
      </c>
      <c r="X83">
        <f>HYPERLINK("https://klasma.github.io/Logging_2161/kartor/S 1220-2025 karta.png", "S 1220-2025")</f>
        <v/>
      </c>
      <c r="Y83">
        <f>HYPERLINK("https://klasma.github.io/Logging_2161/kartor_geotiff/S 1220-2025 georefererad karta.tif", "S 1220-2025")</f>
        <v/>
      </c>
      <c r="Z83">
        <f>HYPERLINK("https://klasma.github.io/Logging_2161/knärot/S 1220-2025 karta knärot.png", "S 1220-2025")</f>
        <v/>
      </c>
      <c r="AA83">
        <f>HYPERLINK("https://klasma.github.io/Logging_2161/klagomål/S 1220-2025 FSC-klagomål.docx", "S 1220-2025")</f>
        <v/>
      </c>
      <c r="AB83">
        <f>HYPERLINK("https://klasma.github.io/Logging_2161/klagomålsmail/S 1220-2025 FSC-klagomål mail.docx", "S 1220-2025")</f>
        <v/>
      </c>
      <c r="AC83">
        <f>HYPERLINK("https://klasma.github.io/Logging_2161/tillsyn/S 1220-2025 tillsynsbegäran.docx", "S 1220-2025")</f>
        <v/>
      </c>
      <c r="AD83">
        <f>HYPERLINK("https://klasma.github.io/Logging_2161/tillsynsmail/S 1220-2025 tillsynsbegäran mail.docx", "S 1220-2025")</f>
        <v/>
      </c>
      <c r="AE83">
        <f>HYPERLINK("https://klasma.github.io/Logging_2161/fåglar/S 1220-2025 prioriterade fågelarter.docx", "S 1220-2025")</f>
        <v/>
      </c>
    </row>
    <row r="84" ht="15" customHeight="1">
      <c r="A84" t="inlineStr">
        <is>
          <t>A 18103-2024</t>
        </is>
      </c>
      <c r="B84" t="inlineStr">
        <is>
          <t>avverkningsanmälan</t>
        </is>
      </c>
      <c r="C84" t="inlineStr">
        <is>
          <t>Föryngringsavverkning</t>
        </is>
      </c>
      <c r="D84" s="1" t="n">
        <v>45420</v>
      </c>
      <c r="E84" s="1" t="n">
        <v>46292</v>
      </c>
      <c r="F84" t="inlineStr">
        <is>
          <t>GÄVLEBORGS LÄN</t>
        </is>
      </c>
      <c r="G84" t="inlineStr">
        <is>
          <t>LJUSDAL</t>
        </is>
      </c>
      <c r="H84" t="inlineStr">
        <is>
          <t>Sveaskog</t>
        </is>
      </c>
      <c r="I84" t="n">
        <v>3.9</v>
      </c>
      <c r="J84" t="n">
        <v>0</v>
      </c>
      <c r="K84" t="n">
        <v>0</v>
      </c>
      <c r="L84" t="n">
        <v>4</v>
      </c>
      <c r="M84" t="n">
        <v>1</v>
      </c>
      <c r="N84" t="n">
        <v>0</v>
      </c>
      <c r="O84" t="n">
        <v>0</v>
      </c>
      <c r="P84" t="n">
        <v>0</v>
      </c>
      <c r="Q84" t="n">
        <v>5</v>
      </c>
      <c r="R84" t="n">
        <v>1</v>
      </c>
      <c r="S84" t="n">
        <v>6</v>
      </c>
      <c r="T84" t="n">
        <v>17</v>
      </c>
      <c r="U84" t="n">
        <v>17</v>
      </c>
      <c r="V84" s="2" t="inlineStr">
        <is>
          <t>Garnlav
Dvärgbägarlav
Kolflarnlav
Mörk kolflarnlav
Vedskivlav
Sälg</t>
        </is>
      </c>
      <c r="W84">
        <f>HYPERLINK("https://klasma.github.io/Logging_2161/artfynd/A 18103-2024 artfynd.xlsx", "A 18103-2024")</f>
        <v/>
      </c>
      <c r="X84">
        <f>HYPERLINK("https://klasma.github.io/Logging_2161/kartor/A 18103-2024 karta.png", "A 18103-2024")</f>
        <v/>
      </c>
      <c r="Y84">
        <f>HYPERLINK("https://klasma.github.io/Logging_2161/kartor_geotiff/A 18103-2024 georefererad karta.tif", "A 18103-2024")</f>
        <v/>
      </c>
      <c r="AA84">
        <f>HYPERLINK("https://klasma.github.io/Logging_2161/klagomål/A 18103-2024 FSC-klagomål.docx", "A 18103-2024")</f>
        <v/>
      </c>
      <c r="AB84">
        <f>HYPERLINK("https://klasma.github.io/Logging_2161/klagomålsmail/A 18103-2024 FSC-klagomål mail.docx", "A 18103-2024")</f>
        <v/>
      </c>
      <c r="AC84">
        <f>HYPERLINK("https://klasma.github.io/Logging_2161/tillsyn/A 18103-2024 tillsynsbegäran.docx", "A 18103-2024")</f>
        <v/>
      </c>
      <c r="AD84">
        <f>HYPERLINK("https://klasma.github.io/Logging_2161/tillsynsmail/A 18103-2024 tillsynsbegäran mail.docx", "A 18103-2024")</f>
        <v/>
      </c>
    </row>
    <row r="85" ht="15" customHeight="1">
      <c r="A85" t="inlineStr">
        <is>
          <t>A 51955-2023</t>
        </is>
      </c>
      <c r="B85" t="inlineStr">
        <is>
          <t>avverkningsanmälan</t>
        </is>
      </c>
      <c r="C85" t="inlineStr">
        <is>
          <t>Föryngringsavverkning</t>
        </is>
      </c>
      <c r="D85" s="1" t="n">
        <v>45223</v>
      </c>
      <c r="E85" s="1" t="n">
        <v>46292</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63252-2023</t>
        </is>
      </c>
      <c r="B86" t="inlineStr">
        <is>
          <t>avverkningsanmälan</t>
        </is>
      </c>
      <c r="C86" t="inlineStr">
        <is>
          <t>Föryngringsavverkning</t>
        </is>
      </c>
      <c r="D86" s="1" t="n">
        <v>45273</v>
      </c>
      <c r="E86" s="1" t="n">
        <v>46292</v>
      </c>
      <c r="F86" t="inlineStr">
        <is>
          <t>GÄVLEBORGS LÄN</t>
        </is>
      </c>
      <c r="G86" t="inlineStr">
        <is>
          <t>LJUSDAL</t>
        </is>
      </c>
      <c r="I86" t="n">
        <v>17.1</v>
      </c>
      <c r="J86" t="n">
        <v>0</v>
      </c>
      <c r="K86" t="n">
        <v>0</v>
      </c>
      <c r="L86" t="n">
        <v>5</v>
      </c>
      <c r="M86" t="n">
        <v>1</v>
      </c>
      <c r="N86" t="n">
        <v>0</v>
      </c>
      <c r="O86" t="n">
        <v>0</v>
      </c>
      <c r="P86" t="n">
        <v>0</v>
      </c>
      <c r="Q86" t="n">
        <v>6</v>
      </c>
      <c r="R86" t="n">
        <v>1</v>
      </c>
      <c r="S86" t="n">
        <v>6</v>
      </c>
      <c r="T86" t="n">
        <v>6</v>
      </c>
      <c r="U86" t="n">
        <v>0</v>
      </c>
      <c r="V86" s="2" t="inlineStr">
        <is>
          <t>Garnlav
Dropptaggsvamp
Lunglav
Motaggsvamp
Skarp dropptaggsvamp
Tallticka</t>
        </is>
      </c>
      <c r="W86">
        <f>HYPERLINK("https://klasma.github.io/Logging_2161/artfynd/A 63252-2023 artfynd.xlsx", "A 63252-2023")</f>
        <v/>
      </c>
      <c r="X86">
        <f>HYPERLINK("https://klasma.github.io/Logging_2161/kartor/A 63252-2023 karta.png", "A 63252-2023")</f>
        <v/>
      </c>
      <c r="Y86">
        <f>HYPERLINK("https://klasma.github.io/Logging_2161/kartor_geotiff/A 63252-2023 georefererad karta.tif", "A 63252-2023")</f>
        <v/>
      </c>
      <c r="AA86">
        <f>HYPERLINK("https://klasma.github.io/Logging_2161/klagomål/A 63252-2023 FSC-klagomål.docx", "A 63252-2023")</f>
        <v/>
      </c>
      <c r="AB86">
        <f>HYPERLINK("https://klasma.github.io/Logging_2161/klagomålsmail/A 63252-2023 FSC-klagomål mail.docx", "A 63252-2023")</f>
        <v/>
      </c>
      <c r="AC86">
        <f>HYPERLINK("https://klasma.github.io/Logging_2161/tillsyn/A 63252-2023 tillsynsbegäran.docx", "A 63252-2023")</f>
        <v/>
      </c>
      <c r="AD86">
        <f>HYPERLINK("https://klasma.github.io/Logging_2161/tillsynsmail/A 63252-2023 tillsynsbegäran mail.docx", "A 63252-2023")</f>
        <v/>
      </c>
    </row>
    <row r="87" ht="15" customHeight="1">
      <c r="A87" t="inlineStr">
        <is>
          <t>A 43829-2025</t>
        </is>
      </c>
      <c r="B87" t="inlineStr">
        <is>
          <t>avverkningsanmälan</t>
        </is>
      </c>
      <c r="C87" t="inlineStr">
        <is>
          <t>Föryngringsavverkning</t>
        </is>
      </c>
      <c r="D87" s="1" t="n">
        <v>45912</v>
      </c>
      <c r="E87" s="1" t="n">
        <v>46292</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44198-2025</t>
        </is>
      </c>
      <c r="B88" t="inlineStr">
        <is>
          <t>avverkningsanmälan</t>
        </is>
      </c>
      <c r="C88" t="inlineStr">
        <is>
          <t>Föryngringsavverkning</t>
        </is>
      </c>
      <c r="D88" s="1" t="n">
        <v>45915</v>
      </c>
      <c r="E88" s="1" t="n">
        <v>46292</v>
      </c>
      <c r="F88" t="inlineStr">
        <is>
          <t>GÄVLEBORGS LÄN</t>
        </is>
      </c>
      <c r="G88" t="inlineStr">
        <is>
          <t>LJUSDAL</t>
        </is>
      </c>
      <c r="H88" t="inlineStr">
        <is>
          <t>Sveaskog</t>
        </is>
      </c>
      <c r="I88" t="n">
        <v>17.7</v>
      </c>
      <c r="J88" t="n">
        <v>4</v>
      </c>
      <c r="K88" t="n">
        <v>1</v>
      </c>
      <c r="L88" t="n">
        <v>3</v>
      </c>
      <c r="M88" t="n">
        <v>1</v>
      </c>
      <c r="N88" t="n">
        <v>0</v>
      </c>
      <c r="O88" t="n">
        <v>0</v>
      </c>
      <c r="P88" t="n">
        <v>0</v>
      </c>
      <c r="Q88" t="n">
        <v>4</v>
      </c>
      <c r="R88" t="n">
        <v>1</v>
      </c>
      <c r="S88" t="n">
        <v>6</v>
      </c>
      <c r="T88" t="n">
        <v>33</v>
      </c>
      <c r="U88" t="n">
        <v>30</v>
      </c>
      <c r="V88" s="2" t="inlineStr">
        <is>
          <t>Knärot
Kolflarnlav
Talltita
Violettgrå tagellav
Plattlummer
Revlummer</t>
        </is>
      </c>
      <c r="W88">
        <f>HYPERLINK("https://klasma.github.io/Logging_2161/artfynd/A 44198-2025 artfynd.xlsx", "A 44198-2025")</f>
        <v/>
      </c>
      <c r="X88">
        <f>HYPERLINK("https://klasma.github.io/Logging_2161/kartor/A 44198-2025 karta.png", "A 44198-2025")</f>
        <v/>
      </c>
      <c r="Y88">
        <f>HYPERLINK("https://klasma.github.io/Logging_2161/kartor_geotiff/A 44198-2025 georefererad karta.tif", "A 44198-2025")</f>
        <v/>
      </c>
      <c r="Z88">
        <f>HYPERLINK("https://klasma.github.io/Logging_2161/knärot/A 44198-2025 karta knärot.png", "A 44198-2025")</f>
        <v/>
      </c>
      <c r="AA88">
        <f>HYPERLINK("https://klasma.github.io/Logging_2161/klagomål/A 44198-2025 FSC-klagomål.docx", "A 44198-2025")</f>
        <v/>
      </c>
      <c r="AB88">
        <f>HYPERLINK("https://klasma.github.io/Logging_2161/klagomålsmail/A 44198-2025 FSC-klagomål mail.docx", "A 44198-2025")</f>
        <v/>
      </c>
      <c r="AC88">
        <f>HYPERLINK("https://klasma.github.io/Logging_2161/tillsyn/A 44198-2025 tillsynsbegäran.docx", "A 44198-2025")</f>
        <v/>
      </c>
      <c r="AD88">
        <f>HYPERLINK("https://klasma.github.io/Logging_2161/tillsynsmail/A 44198-2025 tillsynsbegäran mail.docx", "A 44198-2025")</f>
        <v/>
      </c>
      <c r="AE88">
        <f>HYPERLINK("https://klasma.github.io/Logging_2161/fåglar/A 44198-2025 prioriterade fågelarter.docx", "A 44198-2025")</f>
        <v/>
      </c>
    </row>
    <row r="89" ht="15" customHeight="1">
      <c r="A89" t="inlineStr">
        <is>
          <t>A 26446-2025</t>
        </is>
      </c>
      <c r="B89" t="inlineStr">
        <is>
          <t>avverkningsanmälan</t>
        </is>
      </c>
      <c r="C89" t="inlineStr">
        <is>
          <t>Föryngringsavverkning</t>
        </is>
      </c>
      <c r="D89" s="1" t="n">
        <v>45807</v>
      </c>
      <c r="E89" s="1" t="n">
        <v>46292</v>
      </c>
      <c r="F89" t="inlineStr">
        <is>
          <t>GÄVLEBORGS LÄN</t>
        </is>
      </c>
      <c r="G89" t="inlineStr">
        <is>
          <t>LJUSDAL</t>
        </is>
      </c>
      <c r="I89" t="n">
        <v>10.4</v>
      </c>
      <c r="J89" t="n">
        <v>3</v>
      </c>
      <c r="K89" t="n">
        <v>2</v>
      </c>
      <c r="L89" t="n">
        <v>1</v>
      </c>
      <c r="M89" t="n">
        <v>1</v>
      </c>
      <c r="N89" t="n">
        <v>0</v>
      </c>
      <c r="O89" t="n">
        <v>0</v>
      </c>
      <c r="P89" t="n">
        <v>0</v>
      </c>
      <c r="Q89" t="n">
        <v>2</v>
      </c>
      <c r="R89" t="n">
        <v>1</v>
      </c>
      <c r="S89" t="n">
        <v>6</v>
      </c>
      <c r="T89" t="n">
        <v>8</v>
      </c>
      <c r="U89" t="n">
        <v>0</v>
      </c>
      <c r="V89" s="2" t="inlineStr">
        <is>
          <t>Garnlav
Talltita
Skinnlav
Stuplav
Tjäder
Revlummer</t>
        </is>
      </c>
      <c r="W89">
        <f>HYPERLINK("https://klasma.github.io/Logging_2161/artfynd/A 26446-2025 artfynd.xlsx", "A 26446-2025")</f>
        <v/>
      </c>
      <c r="X89">
        <f>HYPERLINK("https://klasma.github.io/Logging_2161/kartor/A 26446-2025 karta.png", "A 26446-2025")</f>
        <v/>
      </c>
      <c r="Y89">
        <f>HYPERLINK("https://klasma.github.io/Logging_2161/kartor_geotiff/A 26446-2025 georefererad karta.tif", "A 26446-2025")</f>
        <v/>
      </c>
      <c r="AA89">
        <f>HYPERLINK("https://klasma.github.io/Logging_2161/klagomål/A 26446-2025 FSC-klagomål.docx", "A 26446-2025")</f>
        <v/>
      </c>
      <c r="AB89">
        <f>HYPERLINK("https://klasma.github.io/Logging_2161/klagomålsmail/A 26446-2025 FSC-klagomål mail.docx", "A 26446-2025")</f>
        <v/>
      </c>
      <c r="AC89">
        <f>HYPERLINK("https://klasma.github.io/Logging_2161/tillsyn/A 26446-2025 tillsynsbegäran.docx", "A 26446-2025")</f>
        <v/>
      </c>
      <c r="AD89">
        <f>HYPERLINK("https://klasma.github.io/Logging_2161/tillsynsmail/A 26446-2025 tillsynsbegäran mail.docx", "A 26446-2025")</f>
        <v/>
      </c>
      <c r="AE89">
        <f>HYPERLINK("https://klasma.github.io/Logging_2161/fåglar/A 26446-2025 prioriterade fågelarter.docx", "A 26446-2025")</f>
        <v/>
      </c>
    </row>
    <row r="90" ht="15" customHeight="1">
      <c r="A90" t="inlineStr">
        <is>
          <t>A 27029-2025</t>
        </is>
      </c>
      <c r="B90" t="inlineStr">
        <is>
          <t>avverkningsanmälan</t>
        </is>
      </c>
      <c r="C90" t="inlineStr">
        <is>
          <t>Föryngringsavverkning</t>
        </is>
      </c>
      <c r="D90" s="1" t="n">
        <v>45811</v>
      </c>
      <c r="E90" s="1" t="n">
        <v>46292</v>
      </c>
      <c r="F90" t="inlineStr">
        <is>
          <t>GÄVLEBORGS LÄN</t>
        </is>
      </c>
      <c r="G90" t="inlineStr">
        <is>
          <t>LJUSDAL</t>
        </is>
      </c>
      <c r="H90" t="inlineStr">
        <is>
          <t>Allmännings- och besparingsskogar</t>
        </is>
      </c>
      <c r="I90" t="n">
        <v>1.6</v>
      </c>
      <c r="J90" t="n">
        <v>1</v>
      </c>
      <c r="K90" t="n">
        <v>0</v>
      </c>
      <c r="L90" t="n">
        <v>4</v>
      </c>
      <c r="M90" t="n">
        <v>1</v>
      </c>
      <c r="N90" t="n">
        <v>0</v>
      </c>
      <c r="O90" t="n">
        <v>0</v>
      </c>
      <c r="P90" t="n">
        <v>0</v>
      </c>
      <c r="Q90" t="n">
        <v>5</v>
      </c>
      <c r="R90" t="n">
        <v>1</v>
      </c>
      <c r="S90" t="n">
        <v>6</v>
      </c>
      <c r="T90" t="n">
        <v>19</v>
      </c>
      <c r="U90" t="n">
        <v>19</v>
      </c>
      <c r="V90" s="2" t="inlineStr">
        <is>
          <t>Garnlav
Kolflarnlav
Mörk kolflarnlav
Tallticka
Vedskivlav
Tjäder</t>
        </is>
      </c>
      <c r="W90">
        <f>HYPERLINK("https://klasma.github.io/Logging_2161/artfynd/A 27029-2025 artfynd.xlsx", "A 27029-2025")</f>
        <v/>
      </c>
      <c r="X90">
        <f>HYPERLINK("https://klasma.github.io/Logging_2161/kartor/A 27029-2025 karta.png", "A 27029-2025")</f>
        <v/>
      </c>
      <c r="Y90">
        <f>HYPERLINK("https://klasma.github.io/Logging_2161/kartor_geotiff/A 27029-2025 georefererad karta.tif", "A 27029-2025")</f>
        <v/>
      </c>
      <c r="AA90">
        <f>HYPERLINK("https://klasma.github.io/Logging_2161/klagomål/A 27029-2025 FSC-klagomål.docx", "A 27029-2025")</f>
        <v/>
      </c>
      <c r="AB90">
        <f>HYPERLINK("https://klasma.github.io/Logging_2161/klagomålsmail/A 27029-2025 FSC-klagomål mail.docx", "A 27029-2025")</f>
        <v/>
      </c>
      <c r="AC90">
        <f>HYPERLINK("https://klasma.github.io/Logging_2161/tillsyn/A 27029-2025 tillsynsbegäran.docx", "A 27029-2025")</f>
        <v/>
      </c>
      <c r="AD90">
        <f>HYPERLINK("https://klasma.github.io/Logging_2161/tillsynsmail/A 27029-2025 tillsynsbegäran mail.docx", "A 27029-2025")</f>
        <v/>
      </c>
      <c r="AE90">
        <f>HYPERLINK("https://klasma.github.io/Logging_2161/fåglar/A 27029-2025 prioriterade fågelarter.docx", "A 27029-2025")</f>
        <v/>
      </c>
    </row>
    <row r="91" ht="15" customHeight="1">
      <c r="A91" t="inlineStr">
        <is>
          <t>A 26675-2023</t>
        </is>
      </c>
      <c r="B91" t="inlineStr">
        <is>
          <t>avverkningsanmälan</t>
        </is>
      </c>
      <c r="C91" t="inlineStr">
        <is>
          <t>Föryngringsavverkning</t>
        </is>
      </c>
      <c r="D91" s="1" t="n">
        <v>45093</v>
      </c>
      <c r="E91" s="1" t="n">
        <v>46292</v>
      </c>
      <c r="F91" t="inlineStr">
        <is>
          <t>GÄVLEBORGS LÄN</t>
        </is>
      </c>
      <c r="G91" t="inlineStr">
        <is>
          <t>LJUSDAL</t>
        </is>
      </c>
      <c r="H91" t="inlineStr">
        <is>
          <t>Sveaskog</t>
        </is>
      </c>
      <c r="I91" t="n">
        <v>8.300000000000001</v>
      </c>
      <c r="J91" t="n">
        <v>3</v>
      </c>
      <c r="K91" t="n">
        <v>0</v>
      </c>
      <c r="L91" t="n">
        <v>3</v>
      </c>
      <c r="M91" t="n">
        <v>1</v>
      </c>
      <c r="N91" t="n">
        <v>0</v>
      </c>
      <c r="O91" t="n">
        <v>0</v>
      </c>
      <c r="P91" t="n">
        <v>0</v>
      </c>
      <c r="Q91" t="n">
        <v>4</v>
      </c>
      <c r="R91" t="n">
        <v>1</v>
      </c>
      <c r="S91" t="n">
        <v>6</v>
      </c>
      <c r="T91" t="n">
        <v>9</v>
      </c>
      <c r="U91" t="n">
        <v>1</v>
      </c>
      <c r="V91" s="2" t="inlineStr">
        <is>
          <t>Garnlav
Kolflarnlav
Mörk kolflarnlav
Talltita
Tjäder
Kungsfågel</t>
        </is>
      </c>
      <c r="W91">
        <f>HYPERLINK("https://klasma.github.io/Logging_2161/artfynd/A 26675-2023 artfynd.xlsx", "A 26675-2023")</f>
        <v/>
      </c>
      <c r="X91">
        <f>HYPERLINK("https://klasma.github.io/Logging_2161/kartor/A 26675-2023 karta.png", "A 26675-2023")</f>
        <v/>
      </c>
      <c r="Y91">
        <f>HYPERLINK("https://klasma.github.io/Logging_2161/kartor_geotiff/A 26675-2023 georefererad karta.tif", "A 26675-2023")</f>
        <v/>
      </c>
      <c r="AA91">
        <f>HYPERLINK("https://klasma.github.io/Logging_2161/klagomål/A 26675-2023 FSC-klagomål.docx", "A 26675-2023")</f>
        <v/>
      </c>
      <c r="AB91">
        <f>HYPERLINK("https://klasma.github.io/Logging_2161/klagomålsmail/A 26675-2023 FSC-klagomål mail.docx", "A 26675-2023")</f>
        <v/>
      </c>
      <c r="AC91">
        <f>HYPERLINK("https://klasma.github.io/Logging_2161/tillsyn/A 26675-2023 tillsynsbegäran.docx", "A 26675-2023")</f>
        <v/>
      </c>
      <c r="AD91">
        <f>HYPERLINK("https://klasma.github.io/Logging_2161/tillsynsmail/A 26675-2023 tillsynsbegäran mail.docx", "A 26675-2023")</f>
        <v/>
      </c>
      <c r="AE91">
        <f>HYPERLINK("https://klasma.github.io/Logging_2161/fåglar/A 26675-2023 prioriterade fågelarter.docx", "A 26675-2023")</f>
        <v/>
      </c>
    </row>
    <row r="92" ht="15" customHeight="1">
      <c r="A92" t="inlineStr">
        <is>
          <t>A 56800-2023</t>
        </is>
      </c>
      <c r="B92" t="inlineStr">
        <is>
          <t>avverkningsanmälan</t>
        </is>
      </c>
      <c r="C92" t="inlineStr">
        <is>
          <t>Avverkning för att bevara och utveckla /försöksver</t>
        </is>
      </c>
      <c r="D92" s="1" t="n">
        <v>45244</v>
      </c>
      <c r="E92" s="1" t="n">
        <v>46292</v>
      </c>
      <c r="F92" t="inlineStr">
        <is>
          <t>GÄVLEBORGS LÄN</t>
        </is>
      </c>
      <c r="G92" t="inlineStr">
        <is>
          <t>LJUSDAL</t>
        </is>
      </c>
      <c r="H92" t="inlineStr">
        <is>
          <t>Sveaskog</t>
        </is>
      </c>
      <c r="I92" t="n">
        <v>7.3</v>
      </c>
      <c r="J92" t="n">
        <v>0</v>
      </c>
      <c r="K92" t="n">
        <v>1</v>
      </c>
      <c r="L92" t="n">
        <v>2</v>
      </c>
      <c r="M92" t="n">
        <v>3</v>
      </c>
      <c r="N92" t="n">
        <v>0</v>
      </c>
      <c r="O92" t="n">
        <v>0</v>
      </c>
      <c r="P92" t="n">
        <v>0</v>
      </c>
      <c r="Q92" t="n">
        <v>5</v>
      </c>
      <c r="R92" t="n">
        <v>3</v>
      </c>
      <c r="S92" t="n">
        <v>6</v>
      </c>
      <c r="T92" t="n">
        <v>7</v>
      </c>
      <c r="U92" t="n">
        <v>7</v>
      </c>
      <c r="V92" s="2" t="inlineStr">
        <is>
          <t>Garnlav
Gräddporing
Gränsticka
Lunglav
Skrovellav
Trådticka</t>
        </is>
      </c>
      <c r="W92">
        <f>HYPERLINK("https://klasma.github.io/Logging_2161/artfynd/A 56800-2023 artfynd.xlsx", "A 56800-2023")</f>
        <v/>
      </c>
      <c r="X92">
        <f>HYPERLINK("https://klasma.github.io/Logging_2161/kartor/A 56800-2023 karta.png", "A 56800-2023")</f>
        <v/>
      </c>
      <c r="Y92">
        <f>HYPERLINK("https://klasma.github.io/Logging_2161/kartor_geotiff/A 56800-2023 georefererad karta.tif", "A 56800-2023")</f>
        <v/>
      </c>
      <c r="AA92">
        <f>HYPERLINK("https://klasma.github.io/Logging_2161/klagomål/A 56800-2023 FSC-klagomål.docx", "A 56800-2023")</f>
        <v/>
      </c>
      <c r="AB92">
        <f>HYPERLINK("https://klasma.github.io/Logging_2161/klagomålsmail/A 56800-2023 FSC-klagomål mail.docx", "A 56800-2023")</f>
        <v/>
      </c>
      <c r="AC92">
        <f>HYPERLINK("https://klasma.github.io/Logging_2161/tillsyn/A 56800-2023 tillsynsbegäran.docx", "A 56800-2023")</f>
        <v/>
      </c>
      <c r="AD92">
        <f>HYPERLINK("https://klasma.github.io/Logging_2161/tillsynsmail/A 56800-2023 tillsynsbegäran mail.docx", "A 56800-2023")</f>
        <v/>
      </c>
    </row>
    <row r="93" ht="15" customHeight="1">
      <c r="A93" t="inlineStr">
        <is>
          <t>A 26085-2025</t>
        </is>
      </c>
      <c r="B93" t="inlineStr">
        <is>
          <t>avverkningsanmälan</t>
        </is>
      </c>
      <c r="C93" t="inlineStr">
        <is>
          <t>Föryngringsavverkning</t>
        </is>
      </c>
      <c r="D93" s="1" t="n">
        <v>45805</v>
      </c>
      <c r="E93" s="1" t="n">
        <v>46292</v>
      </c>
      <c r="F93" t="inlineStr">
        <is>
          <t>GÄVLEBORGS LÄN</t>
        </is>
      </c>
      <c r="G93" t="inlineStr">
        <is>
          <t>LJUSDAL</t>
        </is>
      </c>
      <c r="H93" t="inlineStr">
        <is>
          <t>SCA</t>
        </is>
      </c>
      <c r="I93" t="n">
        <v>11.3</v>
      </c>
      <c r="J93" t="n">
        <v>2</v>
      </c>
      <c r="K93" t="n">
        <v>3</v>
      </c>
      <c r="L93" t="n">
        <v>1</v>
      </c>
      <c r="M93" t="n">
        <v>0</v>
      </c>
      <c r="N93" t="n">
        <v>0</v>
      </c>
      <c r="O93" t="n">
        <v>0</v>
      </c>
      <c r="P93" t="n">
        <v>0</v>
      </c>
      <c r="Q93" t="n">
        <v>1</v>
      </c>
      <c r="R93" t="n">
        <v>0</v>
      </c>
      <c r="S93" t="n">
        <v>6</v>
      </c>
      <c r="T93" t="n">
        <v>12</v>
      </c>
      <c r="U93" t="n">
        <v>12</v>
      </c>
      <c r="V93" s="2" t="inlineStr">
        <is>
          <t>Skuggviol
Kransrams
Svart trolldruva
Underviol
Blåsippa
Lopplummer (aggregat)</t>
        </is>
      </c>
      <c r="W93">
        <f>HYPERLINK("https://klasma.github.io/Logging_2161/artfynd/A 26085-2025 artfynd.xlsx", "A 26085-2025")</f>
        <v/>
      </c>
      <c r="X93">
        <f>HYPERLINK("https://klasma.github.io/Logging_2161/kartor/A 26085-2025 karta.png", "A 26085-2025")</f>
        <v/>
      </c>
      <c r="Y93">
        <f>HYPERLINK("https://klasma.github.io/Logging_2161/kartor_geotiff/A 26085-2025 georefererad karta.tif", "A 26085-2025")</f>
        <v/>
      </c>
      <c r="AA93">
        <f>HYPERLINK("https://klasma.github.io/Logging_2161/klagomål/A 26085-2025 FSC-klagomål.docx", "A 26085-2025")</f>
        <v/>
      </c>
      <c r="AB93">
        <f>HYPERLINK("https://klasma.github.io/Logging_2161/klagomålsmail/A 26085-2025 FSC-klagomål mail.docx", "A 26085-2025")</f>
        <v/>
      </c>
      <c r="AC93">
        <f>HYPERLINK("https://klasma.github.io/Logging_2161/tillsyn/A 26085-2025 tillsynsbegäran.docx", "A 26085-2025")</f>
        <v/>
      </c>
      <c r="AD93">
        <f>HYPERLINK("https://klasma.github.io/Logging_2161/tillsynsmail/A 26085-2025 tillsynsbegäran mail.docx", "A 26085-2025")</f>
        <v/>
      </c>
    </row>
    <row r="94" ht="15" customHeight="1">
      <c r="A94" t="inlineStr">
        <is>
          <t>A 7148-2023</t>
        </is>
      </c>
      <c r="B94" t="inlineStr">
        <is>
          <t>avverkningsanmälan</t>
        </is>
      </c>
      <c r="C94" t="inlineStr">
        <is>
          <t>Föryngringsavverkning</t>
        </is>
      </c>
      <c r="D94" s="1" t="n">
        <v>44970</v>
      </c>
      <c r="E94" s="1" t="n">
        <v>46292</v>
      </c>
      <c r="F94" t="inlineStr">
        <is>
          <t>GÄVLEBORGS LÄN</t>
        </is>
      </c>
      <c r="G94" t="inlineStr">
        <is>
          <t>LJUSDAL</t>
        </is>
      </c>
      <c r="H94" t="inlineStr">
        <is>
          <t>Holmen skog AB</t>
        </is>
      </c>
      <c r="I94" t="n">
        <v>4.9</v>
      </c>
      <c r="J94" t="n">
        <v>0</v>
      </c>
      <c r="K94" t="n">
        <v>2</v>
      </c>
      <c r="L94" t="n">
        <v>3</v>
      </c>
      <c r="M94" t="n">
        <v>1</v>
      </c>
      <c r="N94" t="n">
        <v>0</v>
      </c>
      <c r="O94" t="n">
        <v>0</v>
      </c>
      <c r="P94" t="n">
        <v>0</v>
      </c>
      <c r="Q94" t="n">
        <v>4</v>
      </c>
      <c r="R94" t="n">
        <v>1</v>
      </c>
      <c r="S94" t="n">
        <v>6</v>
      </c>
      <c r="T94" t="n">
        <v>11</v>
      </c>
      <c r="U94" t="n">
        <v>11</v>
      </c>
      <c r="V94" s="2" t="inlineStr">
        <is>
          <t>Garnlav
Dropptaggsvamp
Gammelgransskål
Vitgrynig nållav
Bollvitmossa
Vedticka</t>
        </is>
      </c>
      <c r="W94">
        <f>HYPERLINK("https://klasma.github.io/Logging_2161/artfynd/A 7148-2023 artfynd.xlsx", "A 7148-2023")</f>
        <v/>
      </c>
      <c r="X94">
        <f>HYPERLINK("https://klasma.github.io/Logging_2161/kartor/A 7148-2023 karta.png", "A 7148-2023")</f>
        <v/>
      </c>
      <c r="Y94">
        <f>HYPERLINK("https://klasma.github.io/Logging_2161/kartor_geotiff/A 7148-2023 georefererad karta.tif", "A 7148-2023")</f>
        <v/>
      </c>
      <c r="Z94">
        <f>HYPERLINK("https://klasma.github.io/Logging_2161/knärot/A 7148-2023 karta knärot.png", "A 7148-2023")</f>
        <v/>
      </c>
      <c r="AA94">
        <f>HYPERLINK("https://klasma.github.io/Logging_2161/klagomål/A 7148-2023 FSC-klagomål.docx", "A 7148-2023")</f>
        <v/>
      </c>
      <c r="AB94">
        <f>HYPERLINK("https://klasma.github.io/Logging_2161/klagomålsmail/A 7148-2023 FSC-klagomål mail.docx", "A 7148-2023")</f>
        <v/>
      </c>
      <c r="AC94">
        <f>HYPERLINK("https://klasma.github.io/Logging_2161/tillsyn/A 7148-2023 tillsynsbegäran.docx", "A 7148-2023")</f>
        <v/>
      </c>
      <c r="AD94">
        <f>HYPERLINK("https://klasma.github.io/Logging_2161/tillsynsmail/A 7148-2023 tillsynsbegäran mail.docx", "A 7148-2023")</f>
        <v/>
      </c>
    </row>
    <row r="95" ht="15" customHeight="1">
      <c r="A95" t="inlineStr">
        <is>
          <t>A 32536-2025</t>
        </is>
      </c>
      <c r="B95" t="inlineStr">
        <is>
          <t>avverkningsanmälan</t>
        </is>
      </c>
      <c r="C95" t="inlineStr">
        <is>
          <t>Föryngringsavverkning</t>
        </is>
      </c>
      <c r="D95" s="1" t="n">
        <v>45838</v>
      </c>
      <c r="E95" s="1" t="n">
        <v>46292</v>
      </c>
      <c r="F95" t="inlineStr">
        <is>
          <t>GÄVLEBORGS LÄN</t>
        </is>
      </c>
      <c r="G95" t="inlineStr">
        <is>
          <t>LJUSDAL</t>
        </is>
      </c>
      <c r="H95" t="inlineStr">
        <is>
          <t>Sveaskog</t>
        </is>
      </c>
      <c r="I95" t="n">
        <v>4.6</v>
      </c>
      <c r="J95" t="n">
        <v>1</v>
      </c>
      <c r="K95" t="n">
        <v>0</v>
      </c>
      <c r="L95" t="n">
        <v>4</v>
      </c>
      <c r="M95" t="n">
        <v>1</v>
      </c>
      <c r="N95" t="n">
        <v>0</v>
      </c>
      <c r="O95" t="n">
        <v>0</v>
      </c>
      <c r="P95" t="n">
        <v>0</v>
      </c>
      <c r="Q95" t="n">
        <v>5</v>
      </c>
      <c r="R95" t="n">
        <v>1</v>
      </c>
      <c r="S95" t="n">
        <v>6</v>
      </c>
      <c r="T95" t="n">
        <v>10</v>
      </c>
      <c r="U95" t="n">
        <v>10</v>
      </c>
      <c r="V95" s="2" t="inlineStr">
        <is>
          <t>Garnlav
Kolflarnlav
Lunglav
Skrovellav
Vedflamlav
Fläcknycklar</t>
        </is>
      </c>
      <c r="W95">
        <f>HYPERLINK("https://klasma.github.io/Logging_2161/artfynd/A 32536-2025 artfynd.xlsx", "A 32536-2025")</f>
        <v/>
      </c>
      <c r="X95">
        <f>HYPERLINK("https://klasma.github.io/Logging_2161/kartor/A 32536-2025 karta.png", "A 32536-2025")</f>
        <v/>
      </c>
      <c r="Y95">
        <f>HYPERLINK("https://klasma.github.io/Logging_2161/kartor_geotiff/A 32536-2025 georefererad karta.tif", "A 32536-2025")</f>
        <v/>
      </c>
      <c r="AA95">
        <f>HYPERLINK("https://klasma.github.io/Logging_2161/klagomål/A 32536-2025 FSC-klagomål.docx", "A 32536-2025")</f>
        <v/>
      </c>
      <c r="AB95">
        <f>HYPERLINK("https://klasma.github.io/Logging_2161/klagomålsmail/A 32536-2025 FSC-klagomål mail.docx", "A 32536-2025")</f>
        <v/>
      </c>
      <c r="AC95">
        <f>HYPERLINK("https://klasma.github.io/Logging_2161/tillsyn/A 32536-2025 tillsynsbegäran.docx", "A 32536-2025")</f>
        <v/>
      </c>
      <c r="AD95">
        <f>HYPERLINK("https://klasma.github.io/Logging_2161/tillsynsmail/A 32536-2025 tillsynsbegäran mail.docx", "A 32536-2025")</f>
        <v/>
      </c>
    </row>
    <row r="96" ht="15" customHeight="1">
      <c r="A96" t="inlineStr">
        <is>
          <t>A 35605-2025</t>
        </is>
      </c>
      <c r="B96" t="inlineStr">
        <is>
          <t>avverkningsanmälan</t>
        </is>
      </c>
      <c r="C96" t="inlineStr">
        <is>
          <t>Föryngringsavverkning</t>
        </is>
      </c>
      <c r="D96" s="1" t="n">
        <v>45859</v>
      </c>
      <c r="E96" s="1" t="n">
        <v>46292</v>
      </c>
      <c r="F96" t="inlineStr">
        <is>
          <t>GÄVLEBORGS LÄN</t>
        </is>
      </c>
      <c r="G96" t="inlineStr">
        <is>
          <t>LJUSDAL</t>
        </is>
      </c>
      <c r="H96" t="inlineStr">
        <is>
          <t>Bergvik skog väst AB</t>
        </is>
      </c>
      <c r="I96" t="n">
        <v>3.1</v>
      </c>
      <c r="J96" t="n">
        <v>3</v>
      </c>
      <c r="K96" t="n">
        <v>1</v>
      </c>
      <c r="L96" t="n">
        <v>2</v>
      </c>
      <c r="M96" t="n">
        <v>1</v>
      </c>
      <c r="N96" t="n">
        <v>0</v>
      </c>
      <c r="O96" t="n">
        <v>0</v>
      </c>
      <c r="P96" t="n">
        <v>0</v>
      </c>
      <c r="Q96" t="n">
        <v>3</v>
      </c>
      <c r="R96" t="n">
        <v>1</v>
      </c>
      <c r="S96" t="n">
        <v>6</v>
      </c>
      <c r="T96" t="n">
        <v>9</v>
      </c>
      <c r="U96" t="n">
        <v>0</v>
      </c>
      <c r="V96" s="2" t="inlineStr">
        <is>
          <t>Knärot
Lunglav
Vitgrynig nållav
Skinnlav
Spillkråka
Nattviol</t>
        </is>
      </c>
      <c r="W96">
        <f>HYPERLINK("https://klasma.github.io/Logging_2161/artfynd/A 35605-2025 artfynd.xlsx", "A 35605-2025")</f>
        <v/>
      </c>
      <c r="X96">
        <f>HYPERLINK("https://klasma.github.io/Logging_2161/kartor/A 35605-2025 karta.png", "A 35605-2025")</f>
        <v/>
      </c>
      <c r="Y96">
        <f>HYPERLINK("https://klasma.github.io/Logging_2161/kartor_geotiff/A 35605-2025 georefererad karta.tif", "A 35605-2025")</f>
        <v/>
      </c>
      <c r="Z96">
        <f>HYPERLINK("https://klasma.github.io/Logging_2161/knärot/A 35605-2025 karta knärot.png", "A 35605-2025")</f>
        <v/>
      </c>
      <c r="AA96">
        <f>HYPERLINK("https://klasma.github.io/Logging_2161/klagomål/A 35605-2025 FSC-klagomål.docx", "A 35605-2025")</f>
        <v/>
      </c>
      <c r="AB96">
        <f>HYPERLINK("https://klasma.github.io/Logging_2161/klagomålsmail/A 35605-2025 FSC-klagomål mail.docx", "A 35605-2025")</f>
        <v/>
      </c>
      <c r="AC96">
        <f>HYPERLINK("https://klasma.github.io/Logging_2161/tillsyn/A 35605-2025 tillsynsbegäran.docx", "A 35605-2025")</f>
        <v/>
      </c>
      <c r="AD96">
        <f>HYPERLINK("https://klasma.github.io/Logging_2161/tillsynsmail/A 35605-2025 tillsynsbegäran mail.docx", "A 35605-2025")</f>
        <v/>
      </c>
      <c r="AE96">
        <f>HYPERLINK("https://klasma.github.io/Logging_2161/fåglar/A 35605-2025 prioriterade fågelarter.docx", "A 35605-2025")</f>
        <v/>
      </c>
    </row>
    <row r="97" ht="15" customHeight="1">
      <c r="A97" t="inlineStr">
        <is>
          <t>A 25235-2026</t>
        </is>
      </c>
      <c r="B97" t="inlineStr">
        <is>
          <t>avverkningsanmälan</t>
        </is>
      </c>
      <c r="C97" t="inlineStr">
        <is>
          <t>Föryngringsavverkning</t>
        </is>
      </c>
      <c r="D97" s="1" t="n">
        <v>46175</v>
      </c>
      <c r="E97" s="1" t="n">
        <v>46292</v>
      </c>
      <c r="F97" t="inlineStr">
        <is>
          <t>GÄVLEBORGS LÄN</t>
        </is>
      </c>
      <c r="G97" t="inlineStr">
        <is>
          <t>LJUSDAL</t>
        </is>
      </c>
      <c r="H97" t="inlineStr">
        <is>
          <t>Allmännings- och besparingsskogar</t>
        </is>
      </c>
      <c r="I97" t="n">
        <v>3.3</v>
      </c>
      <c r="J97" t="n">
        <v>2</v>
      </c>
      <c r="K97" t="n">
        <v>0</v>
      </c>
      <c r="L97" t="n">
        <v>3</v>
      </c>
      <c r="M97" t="n">
        <v>1</v>
      </c>
      <c r="N97" t="n">
        <v>0</v>
      </c>
      <c r="O97" t="n">
        <v>0</v>
      </c>
      <c r="P97" t="n">
        <v>0</v>
      </c>
      <c r="Q97" t="n">
        <v>4</v>
      </c>
      <c r="R97" t="n">
        <v>1</v>
      </c>
      <c r="S97" t="n">
        <v>6</v>
      </c>
      <c r="T97" t="n">
        <v>10</v>
      </c>
      <c r="U97" t="n">
        <v>10</v>
      </c>
      <c r="V97" s="2" t="inlineStr">
        <is>
          <t>Garnlav
Blågrå svartspik
Kolflarnlav
Vedskivlav
Spillkråka
Tofsmes</t>
        </is>
      </c>
      <c r="W97">
        <f>HYPERLINK("https://klasma.github.io/Logging_2161/artfynd/A 25235-2026 artfynd.xlsx", "A 25235-2026")</f>
        <v/>
      </c>
      <c r="X97">
        <f>HYPERLINK("https://klasma.github.io/Logging_2161/kartor/A 25235-2026 karta.png", "A 25235-2026")</f>
        <v/>
      </c>
      <c r="Y97">
        <f>HYPERLINK("https://klasma.github.io/Logging_2161/kartor_geotiff/A 25235-2026 georefererad karta.tif", "A 25235-2026")</f>
        <v/>
      </c>
      <c r="AA97">
        <f>HYPERLINK("https://klasma.github.io/Logging_2161/klagomål/A 25235-2026 FSC-klagomål.docx", "A 25235-2026")</f>
        <v/>
      </c>
      <c r="AB97">
        <f>HYPERLINK("https://klasma.github.io/Logging_2161/klagomålsmail/A 25235-2026 FSC-klagomål mail.docx", "A 25235-2026")</f>
        <v/>
      </c>
      <c r="AC97">
        <f>HYPERLINK("https://klasma.github.io/Logging_2161/tillsyn/A 25235-2026 tillsynsbegäran.docx", "A 25235-2026")</f>
        <v/>
      </c>
      <c r="AD97">
        <f>HYPERLINK("https://klasma.github.io/Logging_2161/tillsynsmail/A 25235-2026 tillsynsbegäran mail.docx", "A 25235-2026")</f>
        <v/>
      </c>
      <c r="AE97">
        <f>HYPERLINK("https://klasma.github.io/Logging_2161/fåglar/A 25235-2026 prioriterade fågelarter.docx", "A 25235-2026")</f>
        <v/>
      </c>
    </row>
    <row r="98" ht="15" customHeight="1">
      <c r="A98" t="inlineStr">
        <is>
          <t>A 27600-2026</t>
        </is>
      </c>
      <c r="B98" t="inlineStr">
        <is>
          <t>avverkningsanmälan</t>
        </is>
      </c>
      <c r="C98" t="inlineStr">
        <is>
          <t>Föryngringsavverkning</t>
        </is>
      </c>
      <c r="D98" s="1" t="n">
        <v>46190</v>
      </c>
      <c r="E98" s="1" t="n">
        <v>46292</v>
      </c>
      <c r="F98" t="inlineStr">
        <is>
          <t>GÄVLEBORGS LÄN</t>
        </is>
      </c>
      <c r="G98" t="inlineStr">
        <is>
          <t>LJUSDAL</t>
        </is>
      </c>
      <c r="H98" t="inlineStr">
        <is>
          <t>Sveaskog</t>
        </is>
      </c>
      <c r="I98" t="n">
        <v>9.4</v>
      </c>
      <c r="J98" t="n">
        <v>1</v>
      </c>
      <c r="K98" t="n">
        <v>0</v>
      </c>
      <c r="L98" t="n">
        <v>3</v>
      </c>
      <c r="M98" t="n">
        <v>1</v>
      </c>
      <c r="N98" t="n">
        <v>0</v>
      </c>
      <c r="O98" t="n">
        <v>0</v>
      </c>
      <c r="P98" t="n">
        <v>0</v>
      </c>
      <c r="Q98" t="n">
        <v>4</v>
      </c>
      <c r="R98" t="n">
        <v>1</v>
      </c>
      <c r="S98" t="n">
        <v>6</v>
      </c>
      <c r="T98" t="n">
        <v>12</v>
      </c>
      <c r="U98" t="n">
        <v>8</v>
      </c>
      <c r="V98" s="2" t="inlineStr">
        <is>
          <t>Garnlav
Lunglav
Skrovellav
Violettgrå tagellav
Torta
Fläcknycklar</t>
        </is>
      </c>
      <c r="W98">
        <f>HYPERLINK("https://klasma.github.io/Logging_2161/artfynd/A 27600-2026 artfynd.xlsx", "A 27600-2026")</f>
        <v/>
      </c>
      <c r="X98">
        <f>HYPERLINK("https://klasma.github.io/Logging_2161/kartor/A 27600-2026 karta.png", "A 27600-2026")</f>
        <v/>
      </c>
      <c r="Y98">
        <f>HYPERLINK("https://klasma.github.io/Logging_2161/kartor_geotiff/A 27600-2026 georefererad karta.tif", "A 27600-2026")</f>
        <v/>
      </c>
      <c r="AA98">
        <f>HYPERLINK("https://klasma.github.io/Logging_2161/klagomål/A 27600-2026 FSC-klagomål.docx", "A 27600-2026")</f>
        <v/>
      </c>
      <c r="AB98">
        <f>HYPERLINK("https://klasma.github.io/Logging_2161/klagomålsmail/A 27600-2026 FSC-klagomål mail.docx", "A 27600-2026")</f>
        <v/>
      </c>
      <c r="AC98">
        <f>HYPERLINK("https://klasma.github.io/Logging_2161/tillsyn/A 27600-2026 tillsynsbegäran.docx", "A 27600-2026")</f>
        <v/>
      </c>
      <c r="AD98">
        <f>HYPERLINK("https://klasma.github.io/Logging_2161/tillsynsmail/A 27600-2026 tillsynsbegäran mail.docx", "A 27600-2026")</f>
        <v/>
      </c>
    </row>
    <row r="99" ht="15" customHeight="1">
      <c r="A99" t="inlineStr">
        <is>
          <t>A 35543-2026</t>
        </is>
      </c>
      <c r="B99" t="inlineStr">
        <is>
          <t>avverkningsanmälan</t>
        </is>
      </c>
      <c r="C99" t="inlineStr">
        <is>
          <t>Föryngringsavverkning</t>
        </is>
      </c>
      <c r="D99" s="1" t="n">
        <v>46262</v>
      </c>
      <c r="E99" s="1" t="n">
        <v>46292</v>
      </c>
      <c r="F99" t="inlineStr">
        <is>
          <t>GÄVLEBORGS LÄN</t>
        </is>
      </c>
      <c r="G99" t="inlineStr">
        <is>
          <t>LJUSDAL</t>
        </is>
      </c>
      <c r="I99" t="n">
        <v>16.6</v>
      </c>
      <c r="J99" t="n">
        <v>1</v>
      </c>
      <c r="K99" t="n">
        <v>4</v>
      </c>
      <c r="L99" t="n">
        <v>0</v>
      </c>
      <c r="M99" t="n">
        <v>2</v>
      </c>
      <c r="N99" t="n">
        <v>0</v>
      </c>
      <c r="O99" t="n">
        <v>0</v>
      </c>
      <c r="P99" t="n">
        <v>0</v>
      </c>
      <c r="Q99" t="n">
        <v>2</v>
      </c>
      <c r="R99" t="n">
        <v>2</v>
      </c>
      <c r="S99" t="n">
        <v>6</v>
      </c>
      <c r="T99" t="n">
        <v>16</v>
      </c>
      <c r="U99" t="n">
        <v>16</v>
      </c>
      <c r="V99" s="2" t="inlineStr">
        <is>
          <t>Aspgelélav
Knärot
Korallblylav
Mörk husmossa
Skinnlav
Stor aspticka</t>
        </is>
      </c>
      <c r="W99">
        <f>HYPERLINK("https://klasma.github.io/Logging_2161/artfynd/A 35543-2026 artfynd.xlsx", "A 35543-2026")</f>
        <v/>
      </c>
      <c r="X99">
        <f>HYPERLINK("https://klasma.github.io/Logging_2161/kartor/A 35543-2026 karta.png", "A 35543-2026")</f>
        <v/>
      </c>
      <c r="Y99">
        <f>HYPERLINK("https://klasma.github.io/Logging_2161/kartor_geotiff/A 35543-2026 georefererad karta.tif", "A 35543-2026")</f>
        <v/>
      </c>
      <c r="Z99">
        <f>HYPERLINK("https://klasma.github.io/Logging_2161/knärot/A 35543-2026 karta knärot.png", "A 35543-2026")</f>
        <v/>
      </c>
      <c r="AA99">
        <f>HYPERLINK("https://klasma.github.io/Logging_2161/klagomål/A 35543-2026 FSC-klagomål.docx", "A 35543-2026")</f>
        <v/>
      </c>
      <c r="AB99">
        <f>HYPERLINK("https://klasma.github.io/Logging_2161/klagomålsmail/A 35543-2026 FSC-klagomål mail.docx", "A 35543-2026")</f>
        <v/>
      </c>
      <c r="AC99">
        <f>HYPERLINK("https://klasma.github.io/Logging_2161/tillsyn/A 35543-2026 tillsynsbegäran.docx", "A 35543-2026")</f>
        <v/>
      </c>
      <c r="AD99">
        <f>HYPERLINK("https://klasma.github.io/Logging_2161/tillsynsmail/A 35543-2026 tillsynsbegäran mail.docx", "A 35543-2026")</f>
        <v/>
      </c>
    </row>
    <row r="100" ht="15" customHeight="1">
      <c r="A100" t="inlineStr">
        <is>
          <t>A 38297-2026</t>
        </is>
      </c>
      <c r="B100" t="inlineStr">
        <is>
          <t>avverkningsanmälan</t>
        </is>
      </c>
      <c r="C100" t="inlineStr">
        <is>
          <t>Föryngringsavverkning</t>
        </is>
      </c>
      <c r="D100" s="1" t="n">
        <v>46282</v>
      </c>
      <c r="E100" s="1" t="n">
        <v>46292</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46292</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46292</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46292</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38485-2025</t>
        </is>
      </c>
      <c r="B104" t="inlineStr">
        <is>
          <t>avverkningsanmälan</t>
        </is>
      </c>
      <c r="C104" t="inlineStr">
        <is>
          <t>Föryngringsavverkning</t>
        </is>
      </c>
      <c r="D104" s="1" t="n">
        <v>45884</v>
      </c>
      <c r="E104" s="1" t="n">
        <v>46292</v>
      </c>
      <c r="F104" t="inlineStr">
        <is>
          <t>GÄVLEBORGS LÄN</t>
        </is>
      </c>
      <c r="G104" t="inlineStr">
        <is>
          <t>LJUSDAL</t>
        </is>
      </c>
      <c r="H104" t="inlineStr">
        <is>
          <t>Bergvik skog väst AB</t>
        </is>
      </c>
      <c r="I104" t="n">
        <v>9.300000000000001</v>
      </c>
      <c r="J104" t="n">
        <v>0</v>
      </c>
      <c r="K104" t="n">
        <v>1</v>
      </c>
      <c r="L104" t="n">
        <v>3</v>
      </c>
      <c r="M104" t="n">
        <v>1</v>
      </c>
      <c r="N104" t="n">
        <v>0</v>
      </c>
      <c r="O104" t="n">
        <v>0</v>
      </c>
      <c r="P104" t="n">
        <v>0</v>
      </c>
      <c r="Q104" t="n">
        <v>4</v>
      </c>
      <c r="R104" t="n">
        <v>1</v>
      </c>
      <c r="S104" t="n">
        <v>5</v>
      </c>
      <c r="T104" t="n">
        <v>5</v>
      </c>
      <c r="U104" t="n">
        <v>0</v>
      </c>
      <c r="V104" s="2" t="inlineStr">
        <is>
          <t>Garnlav
Kortskaftad ärgspik
Lunglav
Vitgrynig nållav
Skinnlav</t>
        </is>
      </c>
      <c r="W104">
        <f>HYPERLINK("https://klasma.github.io/Logging_2161/artfynd/A 38485-2025 artfynd.xlsx", "A 38485-2025")</f>
        <v/>
      </c>
      <c r="X104">
        <f>HYPERLINK("https://klasma.github.io/Logging_2161/kartor/A 38485-2025 karta.png", "A 38485-2025")</f>
        <v/>
      </c>
      <c r="Y104">
        <f>HYPERLINK("https://klasma.github.io/Logging_2161/kartor_geotiff/A 38485-2025 georefererad karta.tif", "A 38485-2025")</f>
        <v/>
      </c>
      <c r="AA104">
        <f>HYPERLINK("https://klasma.github.io/Logging_2161/klagomål/A 38485-2025 FSC-klagomål.docx", "A 38485-2025")</f>
        <v/>
      </c>
      <c r="AB104">
        <f>HYPERLINK("https://klasma.github.io/Logging_2161/klagomålsmail/A 38485-2025 FSC-klagomål mail.docx", "A 38485-2025")</f>
        <v/>
      </c>
      <c r="AC104">
        <f>HYPERLINK("https://klasma.github.io/Logging_2161/tillsyn/A 38485-2025 tillsynsbegäran.docx", "A 38485-2025")</f>
        <v/>
      </c>
      <c r="AD104">
        <f>HYPERLINK("https://klasma.github.io/Logging_2161/tillsynsmail/A 38485-2025 tillsynsbegäran mail.docx", "A 38485-2025")</f>
        <v/>
      </c>
    </row>
    <row r="105" ht="15" customHeight="1">
      <c r="A105" t="inlineStr">
        <is>
          <t>A 42179-2025</t>
        </is>
      </c>
      <c r="B105" t="inlineStr">
        <is>
          <t>avverkningsanmälan</t>
        </is>
      </c>
      <c r="C105" t="inlineStr">
        <is>
          <t>Föryngringsavverkning</t>
        </is>
      </c>
      <c r="D105" s="1" t="n">
        <v>45904</v>
      </c>
      <c r="E105" s="1" t="n">
        <v>46292</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44207-2025</t>
        </is>
      </c>
      <c r="B106" t="inlineStr">
        <is>
          <t>avverkningsanmälan</t>
        </is>
      </c>
      <c r="C106" t="inlineStr">
        <is>
          <t>Föryngringsavverkning</t>
        </is>
      </c>
      <c r="D106" s="1" t="n">
        <v>45915</v>
      </c>
      <c r="E106" s="1" t="n">
        <v>46292</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18101-2024</t>
        </is>
      </c>
      <c r="B107" t="inlineStr">
        <is>
          <t>avverkningsanmälan</t>
        </is>
      </c>
      <c r="C107" t="inlineStr">
        <is>
          <t>Föryngringsavverkning</t>
        </is>
      </c>
      <c r="D107" s="1" t="n">
        <v>45420</v>
      </c>
      <c r="E107" s="1" t="n">
        <v>46292</v>
      </c>
      <c r="F107" t="inlineStr">
        <is>
          <t>GÄVLEBORGS LÄN</t>
        </is>
      </c>
      <c r="G107" t="inlineStr">
        <is>
          <t>LJUSDAL</t>
        </is>
      </c>
      <c r="H107" t="inlineStr">
        <is>
          <t>Sveaskog</t>
        </is>
      </c>
      <c r="I107" t="n">
        <v>2.8</v>
      </c>
      <c r="J107" t="n">
        <v>1</v>
      </c>
      <c r="K107" t="n">
        <v>0</v>
      </c>
      <c r="L107" t="n">
        <v>5</v>
      </c>
      <c r="M107" t="n">
        <v>0</v>
      </c>
      <c r="N107" t="n">
        <v>0</v>
      </c>
      <c r="O107" t="n">
        <v>0</v>
      </c>
      <c r="P107" t="n">
        <v>0</v>
      </c>
      <c r="Q107" t="n">
        <v>5</v>
      </c>
      <c r="R107" t="n">
        <v>0</v>
      </c>
      <c r="S107" t="n">
        <v>5</v>
      </c>
      <c r="T107" t="n">
        <v>16</v>
      </c>
      <c r="U107" t="n">
        <v>16</v>
      </c>
      <c r="V107" s="2" t="inlineStr">
        <is>
          <t>Kolflarnlav
Mörk kolflarnlav
Varglav
Vedflamlav
Vedskivlav</t>
        </is>
      </c>
      <c r="W107">
        <f>HYPERLINK("https://klasma.github.io/Logging_2161/artfynd/A 18101-2024 artfynd.xlsx", "A 18101-2024")</f>
        <v/>
      </c>
      <c r="X107">
        <f>HYPERLINK("https://klasma.github.io/Logging_2161/kartor/A 18101-2024 karta.png", "A 18101-2024")</f>
        <v/>
      </c>
      <c r="Y107">
        <f>HYPERLINK("https://klasma.github.io/Logging_2161/kartor_geotiff/A 18101-2024 georefererad karta.tif", "A 18101-2024")</f>
        <v/>
      </c>
      <c r="AA107">
        <f>HYPERLINK("https://klasma.github.io/Logging_2161/klagomål/A 18101-2024 FSC-klagomål.docx", "A 18101-2024")</f>
        <v/>
      </c>
      <c r="AB107">
        <f>HYPERLINK("https://klasma.github.io/Logging_2161/klagomålsmail/A 18101-2024 FSC-klagomål mail.docx", "A 18101-2024")</f>
        <v/>
      </c>
      <c r="AC107">
        <f>HYPERLINK("https://klasma.github.io/Logging_2161/tillsyn/A 18101-2024 tillsynsbegäran.docx", "A 18101-2024")</f>
        <v/>
      </c>
      <c r="AD107">
        <f>HYPERLINK("https://klasma.github.io/Logging_2161/tillsynsmail/A 18101-2024 tillsynsbegäran mail.docx", "A 18101-2024")</f>
        <v/>
      </c>
    </row>
    <row r="108" ht="15" customHeight="1">
      <c r="A108" t="inlineStr">
        <is>
          <t>A 26415-2025</t>
        </is>
      </c>
      <c r="B108" t="inlineStr">
        <is>
          <t>avverkningsanmälan</t>
        </is>
      </c>
      <c r="C108" t="inlineStr">
        <is>
          <t>Föryngringsavverkning</t>
        </is>
      </c>
      <c r="D108" s="1" t="n">
        <v>45807</v>
      </c>
      <c r="E108" s="1" t="n">
        <v>46292</v>
      </c>
      <c r="F108" t="inlineStr">
        <is>
          <t>GÄVLEBORGS LÄN</t>
        </is>
      </c>
      <c r="G108" t="inlineStr">
        <is>
          <t>LJUSDAL</t>
        </is>
      </c>
      <c r="H108" t="inlineStr">
        <is>
          <t>Naturvårdsverket</t>
        </is>
      </c>
      <c r="I108" t="n">
        <v>16.2</v>
      </c>
      <c r="J108" t="n">
        <v>2</v>
      </c>
      <c r="K108" t="n">
        <v>0</v>
      </c>
      <c r="L108" t="n">
        <v>2</v>
      </c>
      <c r="M108" t="n">
        <v>1</v>
      </c>
      <c r="N108" t="n">
        <v>0</v>
      </c>
      <c r="O108" t="n">
        <v>0</v>
      </c>
      <c r="P108" t="n">
        <v>0</v>
      </c>
      <c r="Q108" t="n">
        <v>3</v>
      </c>
      <c r="R108" t="n">
        <v>1</v>
      </c>
      <c r="S108" t="n">
        <v>5</v>
      </c>
      <c r="T108" t="n">
        <v>5</v>
      </c>
      <c r="U108" t="n">
        <v>0</v>
      </c>
      <c r="V108" s="2" t="inlineStr">
        <is>
          <t>Garnlav
Vedskivlav
Violettgrå tagellav
Spillkråka
Revlummer</t>
        </is>
      </c>
      <c r="W108">
        <f>HYPERLINK("https://klasma.github.io/Logging_2161/artfynd/A 26415-2025 artfynd.xlsx", "A 26415-2025")</f>
        <v/>
      </c>
      <c r="X108">
        <f>HYPERLINK("https://klasma.github.io/Logging_2161/kartor/A 26415-2025 karta.png", "A 26415-2025")</f>
        <v/>
      </c>
      <c r="Y108">
        <f>HYPERLINK("https://klasma.github.io/Logging_2161/kartor_geotiff/A 26415-2025 georefererad karta.tif", "A 26415-2025")</f>
        <v/>
      </c>
      <c r="AA108">
        <f>HYPERLINK("https://klasma.github.io/Logging_2161/klagomål/A 26415-2025 FSC-klagomål.docx", "A 26415-2025")</f>
        <v/>
      </c>
      <c r="AB108">
        <f>HYPERLINK("https://klasma.github.io/Logging_2161/klagomålsmail/A 26415-2025 FSC-klagomål mail.docx", "A 26415-2025")</f>
        <v/>
      </c>
      <c r="AC108">
        <f>HYPERLINK("https://klasma.github.io/Logging_2161/tillsyn/A 26415-2025 tillsynsbegäran.docx", "A 26415-2025")</f>
        <v/>
      </c>
      <c r="AD108">
        <f>HYPERLINK("https://klasma.github.io/Logging_2161/tillsynsmail/A 26415-2025 tillsynsbegäran mail.docx", "A 26415-2025")</f>
        <v/>
      </c>
      <c r="AE108">
        <f>HYPERLINK("https://klasma.github.io/Logging_2161/fåglar/A 26415-2025 prioriterade fågelarter.docx", "A 26415-2025")</f>
        <v/>
      </c>
    </row>
    <row r="109" ht="15" customHeight="1">
      <c r="A109" t="inlineStr">
        <is>
          <t>A 12801-2026</t>
        </is>
      </c>
      <c r="B109" t="inlineStr">
        <is>
          <t>avverkningsanmälan</t>
        </is>
      </c>
      <c r="C109" t="inlineStr">
        <is>
          <t>Föryngringsavverkning</t>
        </is>
      </c>
      <c r="D109" s="1" t="n">
        <v>46092</v>
      </c>
      <c r="E109" s="1" t="n">
        <v>46292</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5</v>
      </c>
      <c r="V109" s="2" t="inlineStr">
        <is>
          <t>Dropptaggsvamp
Lunglav
Skrovellav
Luddlav
Tjäder</t>
        </is>
      </c>
      <c r="W109">
        <f>HYPERLINK("https://klasma.github.io/Logging_2161/artfynd/A 12801-2026 artfynd.xlsx", "A 12801-2026")</f>
        <v/>
      </c>
      <c r="X109">
        <f>HYPERLINK("https://klasma.github.io/Logging_2161/kartor/A 12801-2026 karta.png", "A 12801-2026")</f>
        <v/>
      </c>
      <c r="Y109">
        <f>HYPERLINK("https://klasma.github.io/Logging_2161/kartor_geotiff/A 12801-2026 georefererad karta.tif", "A 12801-2026")</f>
        <v/>
      </c>
      <c r="AA109">
        <f>HYPERLINK("https://klasma.github.io/Logging_2161/klagomål/A 12801-2026 FSC-klagomål.docx", "A 12801-2026")</f>
        <v/>
      </c>
      <c r="AB109">
        <f>HYPERLINK("https://klasma.github.io/Logging_2161/klagomålsmail/A 12801-2026 FSC-klagomål mail.docx", "A 12801-2026")</f>
        <v/>
      </c>
      <c r="AC109">
        <f>HYPERLINK("https://klasma.github.io/Logging_2161/tillsyn/A 12801-2026 tillsynsbegäran.docx", "A 12801-2026")</f>
        <v/>
      </c>
      <c r="AD109">
        <f>HYPERLINK("https://klasma.github.io/Logging_2161/tillsynsmail/A 12801-2026 tillsynsbegäran mail.docx", "A 12801-2026")</f>
        <v/>
      </c>
      <c r="AE109">
        <f>HYPERLINK("https://klasma.github.io/Logging_2161/fåglar/A 12801-2026 prioriterade fågelarter.docx", "A 12801-2026")</f>
        <v/>
      </c>
    </row>
    <row r="110" ht="15" customHeight="1">
      <c r="A110" t="inlineStr">
        <is>
          <t>A 14547-2026</t>
        </is>
      </c>
      <c r="B110" t="inlineStr">
        <is>
          <t>avverkningsanmälan</t>
        </is>
      </c>
      <c r="C110" t="inlineStr">
        <is>
          <t>Avverkning för att bevara och utveckla /försöksver</t>
        </is>
      </c>
      <c r="D110" s="1" t="n">
        <v>46100</v>
      </c>
      <c r="E110" s="1" t="n">
        <v>46292</v>
      </c>
      <c r="F110" t="inlineStr">
        <is>
          <t>GÄVLEBORGS LÄN</t>
        </is>
      </c>
      <c r="G110" t="inlineStr">
        <is>
          <t>LJUSDAL</t>
        </is>
      </c>
      <c r="H110" t="inlineStr">
        <is>
          <t>Sveaskog</t>
        </is>
      </c>
      <c r="I110" t="n">
        <v>1.8</v>
      </c>
      <c r="J110" t="n">
        <v>0</v>
      </c>
      <c r="K110" t="n">
        <v>0</v>
      </c>
      <c r="L110" t="n">
        <v>5</v>
      </c>
      <c r="M110" t="n">
        <v>0</v>
      </c>
      <c r="N110" t="n">
        <v>0</v>
      </c>
      <c r="O110" t="n">
        <v>0</v>
      </c>
      <c r="P110" t="n">
        <v>0</v>
      </c>
      <c r="Q110" t="n">
        <v>5</v>
      </c>
      <c r="R110" t="n">
        <v>0</v>
      </c>
      <c r="S110" t="n">
        <v>5</v>
      </c>
      <c r="T110" t="n">
        <v>11</v>
      </c>
      <c r="U110" t="n">
        <v>9</v>
      </c>
      <c r="V110" s="2" t="inlineStr">
        <is>
          <t>Blanksvart spiklav
Kolflarnlav
Lunglav
Mörk kolflarnlav
Vedflamlav</t>
        </is>
      </c>
      <c r="W110">
        <f>HYPERLINK("https://klasma.github.io/Logging_2161/artfynd/A 14547-2026 artfynd.xlsx", "A 14547-2026")</f>
        <v/>
      </c>
      <c r="X110">
        <f>HYPERLINK("https://klasma.github.io/Logging_2161/kartor/A 14547-2026 karta.png", "A 14547-2026")</f>
        <v/>
      </c>
      <c r="Y110">
        <f>HYPERLINK("https://klasma.github.io/Logging_2161/kartor_geotiff/A 14547-2026 georefererad karta.tif", "A 14547-2026")</f>
        <v/>
      </c>
      <c r="AA110">
        <f>HYPERLINK("https://klasma.github.io/Logging_2161/klagomål/A 14547-2026 FSC-klagomål.docx", "A 14547-2026")</f>
        <v/>
      </c>
      <c r="AB110">
        <f>HYPERLINK("https://klasma.github.io/Logging_2161/klagomålsmail/A 14547-2026 FSC-klagomål mail.docx", "A 14547-2026")</f>
        <v/>
      </c>
      <c r="AC110">
        <f>HYPERLINK("https://klasma.github.io/Logging_2161/tillsyn/A 14547-2026 tillsynsbegäran.docx", "A 14547-2026")</f>
        <v/>
      </c>
      <c r="AD110">
        <f>HYPERLINK("https://klasma.github.io/Logging_2161/tillsynsmail/A 14547-2026 tillsynsbegäran mail.docx", "A 14547-2026")</f>
        <v/>
      </c>
    </row>
    <row r="111" ht="15" customHeight="1">
      <c r="A111" t="inlineStr">
        <is>
          <t>A 50662-2025</t>
        </is>
      </c>
      <c r="B111" t="inlineStr">
        <is>
          <t>avverkningsanmälan</t>
        </is>
      </c>
      <c r="C111" t="inlineStr">
        <is>
          <t>Föryngringsavverkning</t>
        </is>
      </c>
      <c r="D111" s="1" t="n">
        <v>45945</v>
      </c>
      <c r="E111" s="1" t="n">
        <v>46292</v>
      </c>
      <c r="F111" t="inlineStr">
        <is>
          <t>GÄVLEBORGS LÄN</t>
        </is>
      </c>
      <c r="G111" t="inlineStr">
        <is>
          <t>LJUSDAL</t>
        </is>
      </c>
      <c r="H111" t="inlineStr">
        <is>
          <t>Sveaskog</t>
        </is>
      </c>
      <c r="I111" t="n">
        <v>16.9</v>
      </c>
      <c r="J111" t="n">
        <v>1</v>
      </c>
      <c r="K111" t="n">
        <v>1</v>
      </c>
      <c r="L111" t="n">
        <v>3</v>
      </c>
      <c r="M111" t="n">
        <v>0</v>
      </c>
      <c r="N111" t="n">
        <v>0</v>
      </c>
      <c r="O111" t="n">
        <v>0</v>
      </c>
      <c r="P111" t="n">
        <v>0</v>
      </c>
      <c r="Q111" t="n">
        <v>3</v>
      </c>
      <c r="R111" t="n">
        <v>0</v>
      </c>
      <c r="S111" t="n">
        <v>5</v>
      </c>
      <c r="T111" t="n">
        <v>11</v>
      </c>
      <c r="U111" t="n">
        <v>10</v>
      </c>
      <c r="V111" s="2" t="inlineStr">
        <is>
          <t>Dropptaggsvamp
Lunglav
Skrovellav
Luddlav
Tjäder</t>
        </is>
      </c>
      <c r="W111">
        <f>HYPERLINK("https://klasma.github.io/Logging_2161/artfynd/A 50662-2025 artfynd.xlsx", "A 50662-2025")</f>
        <v/>
      </c>
      <c r="X111">
        <f>HYPERLINK("https://klasma.github.io/Logging_2161/kartor/A 50662-2025 karta.png", "A 50662-2025")</f>
        <v/>
      </c>
      <c r="Y111">
        <f>HYPERLINK("https://klasma.github.io/Logging_2161/kartor_geotiff/A 50662-2025 georefererad karta.tif", "A 50662-2025")</f>
        <v/>
      </c>
      <c r="AA111">
        <f>HYPERLINK("https://klasma.github.io/Logging_2161/klagomål/A 50662-2025 FSC-klagomål.docx", "A 50662-2025")</f>
        <v/>
      </c>
      <c r="AB111">
        <f>HYPERLINK("https://klasma.github.io/Logging_2161/klagomålsmail/A 50662-2025 FSC-klagomål mail.docx", "A 50662-2025")</f>
        <v/>
      </c>
      <c r="AC111">
        <f>HYPERLINK("https://klasma.github.io/Logging_2161/tillsyn/A 50662-2025 tillsynsbegäran.docx", "A 50662-2025")</f>
        <v/>
      </c>
      <c r="AD111">
        <f>HYPERLINK("https://klasma.github.io/Logging_2161/tillsynsmail/A 50662-2025 tillsynsbegäran mail.docx", "A 50662-2025")</f>
        <v/>
      </c>
      <c r="AE111">
        <f>HYPERLINK("https://klasma.github.io/Logging_2161/fåglar/A 50662-2025 prioriterade fågelarter.docx", "A 50662-2025")</f>
        <v/>
      </c>
    </row>
    <row r="112" ht="15" customHeight="1">
      <c r="A112" t="inlineStr">
        <is>
          <t>A 6417-2025</t>
        </is>
      </c>
      <c r="B112" t="inlineStr">
        <is>
          <t>avverkningsanmälan</t>
        </is>
      </c>
      <c r="C112" t="inlineStr">
        <is>
          <t>Föryngringsavverkning</t>
        </is>
      </c>
      <c r="D112" s="1" t="n">
        <v>45699</v>
      </c>
      <c r="E112" s="1" t="n">
        <v>46292</v>
      </c>
      <c r="F112" t="inlineStr">
        <is>
          <t>GÄVLEBORGS LÄN</t>
        </is>
      </c>
      <c r="G112" t="inlineStr">
        <is>
          <t>LJUSDAL</t>
        </is>
      </c>
      <c r="H112" t="inlineStr">
        <is>
          <t>Holmen skog AB</t>
        </is>
      </c>
      <c r="I112" t="n">
        <v>42.3</v>
      </c>
      <c r="J112" t="n">
        <v>1</v>
      </c>
      <c r="K112" t="n">
        <v>2</v>
      </c>
      <c r="L112" t="n">
        <v>2</v>
      </c>
      <c r="M112" t="n">
        <v>1</v>
      </c>
      <c r="N112" t="n">
        <v>0</v>
      </c>
      <c r="O112" t="n">
        <v>0</v>
      </c>
      <c r="P112" t="n">
        <v>0</v>
      </c>
      <c r="Q112" t="n">
        <v>3</v>
      </c>
      <c r="R112" t="n">
        <v>1</v>
      </c>
      <c r="S112" t="n">
        <v>5</v>
      </c>
      <c r="T112" t="n">
        <v>68</v>
      </c>
      <c r="U112" t="n">
        <v>68</v>
      </c>
      <c r="V112" s="2" t="inlineStr">
        <is>
          <t>Knärot
Kötticka
Lunglav
Korallblylav
Skinnlav</t>
        </is>
      </c>
      <c r="W112">
        <f>HYPERLINK("https://klasma.github.io/Logging_2161/artfynd/A 6417-2025 artfynd.xlsx", "A 6417-2025")</f>
        <v/>
      </c>
      <c r="X112">
        <f>HYPERLINK("https://klasma.github.io/Logging_2161/kartor/A 6417-2025 karta.png", "A 6417-2025")</f>
        <v/>
      </c>
      <c r="Y112">
        <f>HYPERLINK("https://klasma.github.io/Logging_2161/kartor_geotiff/A 6417-2025 georefererad karta.tif", "A 6417-2025")</f>
        <v/>
      </c>
      <c r="Z112">
        <f>HYPERLINK("https://klasma.github.io/Logging_2161/knärot/A 6417-2025 karta knärot.png", "A 6417-2025")</f>
        <v/>
      </c>
      <c r="AA112">
        <f>HYPERLINK("https://klasma.github.io/Logging_2161/klagomål/A 6417-2025 FSC-klagomål.docx", "A 6417-2025")</f>
        <v/>
      </c>
      <c r="AB112">
        <f>HYPERLINK("https://klasma.github.io/Logging_2161/klagomålsmail/A 6417-2025 FSC-klagomål mail.docx", "A 6417-2025")</f>
        <v/>
      </c>
      <c r="AC112">
        <f>HYPERLINK("https://klasma.github.io/Logging_2161/tillsyn/A 6417-2025 tillsynsbegäran.docx", "A 6417-2025")</f>
        <v/>
      </c>
      <c r="AD112">
        <f>HYPERLINK("https://klasma.github.io/Logging_2161/tillsynsmail/A 6417-2025 tillsynsbegäran mail.docx", "A 6417-2025")</f>
        <v/>
      </c>
    </row>
    <row r="113" ht="15" customHeight="1">
      <c r="A113" t="inlineStr">
        <is>
          <t>A 62566-2025</t>
        </is>
      </c>
      <c r="B113" t="inlineStr">
        <is>
          <t>avverkningsanmälan</t>
        </is>
      </c>
      <c r="C113" t="inlineStr">
        <is>
          <t>Föryngringsavverkning</t>
        </is>
      </c>
      <c r="D113" s="1" t="n">
        <v>46007</v>
      </c>
      <c r="E113" s="1" t="n">
        <v>46292</v>
      </c>
      <c r="F113" t="inlineStr">
        <is>
          <t>GÄVLEBORGS LÄN</t>
        </is>
      </c>
      <c r="G113" t="inlineStr">
        <is>
          <t>LJUSDAL</t>
        </is>
      </c>
      <c r="I113" t="n">
        <v>4</v>
      </c>
      <c r="J113" t="n">
        <v>3</v>
      </c>
      <c r="K113" t="n">
        <v>2</v>
      </c>
      <c r="L113" t="n">
        <v>1</v>
      </c>
      <c r="M113" t="n">
        <v>1</v>
      </c>
      <c r="N113" t="n">
        <v>0</v>
      </c>
      <c r="O113" t="n">
        <v>0</v>
      </c>
      <c r="P113" t="n">
        <v>0</v>
      </c>
      <c r="Q113" t="n">
        <v>2</v>
      </c>
      <c r="R113" t="n">
        <v>1</v>
      </c>
      <c r="S113" t="n">
        <v>5</v>
      </c>
      <c r="T113" t="n">
        <v>6</v>
      </c>
      <c r="U113" t="n">
        <v>6</v>
      </c>
      <c r="V113" s="2" t="inlineStr">
        <is>
          <t>Knärot
Tallticka
Nästlav
Plattlummer
Tjäder</t>
        </is>
      </c>
      <c r="W113">
        <f>HYPERLINK("https://klasma.github.io/Logging_2161/artfynd/A 62566-2025 artfynd.xlsx", "A 62566-2025")</f>
        <v/>
      </c>
      <c r="X113">
        <f>HYPERLINK("https://klasma.github.io/Logging_2161/kartor/A 62566-2025 karta.png", "A 62566-2025")</f>
        <v/>
      </c>
      <c r="Y113">
        <f>HYPERLINK("https://klasma.github.io/Logging_2161/kartor_geotiff/A 62566-2025 georefererad karta.tif", "A 62566-2025")</f>
        <v/>
      </c>
      <c r="Z113">
        <f>HYPERLINK("https://klasma.github.io/Logging_2161/knärot/A 62566-2025 karta knärot.png", "A 62566-2025")</f>
        <v/>
      </c>
      <c r="AA113">
        <f>HYPERLINK("https://klasma.github.io/Logging_2161/klagomål/A 62566-2025 FSC-klagomål.docx", "A 62566-2025")</f>
        <v/>
      </c>
      <c r="AB113">
        <f>HYPERLINK("https://klasma.github.io/Logging_2161/klagomålsmail/A 62566-2025 FSC-klagomål mail.docx", "A 62566-2025")</f>
        <v/>
      </c>
      <c r="AC113">
        <f>HYPERLINK("https://klasma.github.io/Logging_2161/tillsyn/A 62566-2025 tillsynsbegäran.docx", "A 62566-2025")</f>
        <v/>
      </c>
      <c r="AD113">
        <f>HYPERLINK("https://klasma.github.io/Logging_2161/tillsynsmail/A 62566-2025 tillsynsbegäran mail.docx", "A 62566-2025")</f>
        <v/>
      </c>
      <c r="AE113">
        <f>HYPERLINK("https://klasma.github.io/Logging_2161/fåglar/A 62566-2025 prioriterade fågelarter.docx", "A 62566-2025")</f>
        <v/>
      </c>
    </row>
    <row r="114" ht="15" customHeight="1">
      <c r="A114" t="inlineStr">
        <is>
          <t>A 53654-2025</t>
        </is>
      </c>
      <c r="B114" t="inlineStr">
        <is>
          <t>avverkningsanmälan</t>
        </is>
      </c>
      <c r="C114" t="inlineStr">
        <is>
          <t>Föryngringsavverkning</t>
        </is>
      </c>
      <c r="D114" s="1" t="n">
        <v>45960</v>
      </c>
      <c r="E114" s="1" t="n">
        <v>46292</v>
      </c>
      <c r="F114" t="inlineStr">
        <is>
          <t>GÄVLEBORGS LÄN</t>
        </is>
      </c>
      <c r="G114" t="inlineStr">
        <is>
          <t>LJUSDAL</t>
        </is>
      </c>
      <c r="H114" t="inlineStr">
        <is>
          <t>Bergvik skog väst AB</t>
        </is>
      </c>
      <c r="I114" t="n">
        <v>12.9</v>
      </c>
      <c r="J114" t="n">
        <v>3</v>
      </c>
      <c r="K114" t="n">
        <v>0</v>
      </c>
      <c r="L114" t="n">
        <v>2</v>
      </c>
      <c r="M114" t="n">
        <v>1</v>
      </c>
      <c r="N114" t="n">
        <v>0</v>
      </c>
      <c r="O114" t="n">
        <v>0</v>
      </c>
      <c r="P114" t="n">
        <v>0</v>
      </c>
      <c r="Q114" t="n">
        <v>3</v>
      </c>
      <c r="R114" t="n">
        <v>1</v>
      </c>
      <c r="S114" t="n">
        <v>5</v>
      </c>
      <c r="T114" t="n">
        <v>9</v>
      </c>
      <c r="U114" t="n">
        <v>6</v>
      </c>
      <c r="V114" s="2" t="inlineStr">
        <is>
          <t>Garnlav
Mörk kolflarnlav
Varglav
Orre
Fläcknycklar</t>
        </is>
      </c>
      <c r="W114">
        <f>HYPERLINK("https://klasma.github.io/Logging_2161/artfynd/A 53654-2025 artfynd.xlsx", "A 53654-2025")</f>
        <v/>
      </c>
      <c r="X114">
        <f>HYPERLINK("https://klasma.github.io/Logging_2161/kartor/A 53654-2025 karta.png", "A 53654-2025")</f>
        <v/>
      </c>
      <c r="Y114">
        <f>HYPERLINK("https://klasma.github.io/Logging_2161/kartor_geotiff/A 53654-2025 georefererad karta.tif", "A 53654-2025")</f>
        <v/>
      </c>
      <c r="AA114">
        <f>HYPERLINK("https://klasma.github.io/Logging_2161/klagomål/A 53654-2025 FSC-klagomål.docx", "A 53654-2025")</f>
        <v/>
      </c>
      <c r="AB114">
        <f>HYPERLINK("https://klasma.github.io/Logging_2161/klagomålsmail/A 53654-2025 FSC-klagomål mail.docx", "A 53654-2025")</f>
        <v/>
      </c>
      <c r="AC114">
        <f>HYPERLINK("https://klasma.github.io/Logging_2161/tillsyn/A 53654-2025 tillsynsbegäran.docx", "A 53654-2025")</f>
        <v/>
      </c>
      <c r="AD114">
        <f>HYPERLINK("https://klasma.github.io/Logging_2161/tillsynsmail/A 53654-2025 tillsynsbegäran mail.docx", "A 53654-2025")</f>
        <v/>
      </c>
      <c r="AE114">
        <f>HYPERLINK("https://klasma.github.io/Logging_2161/fåglar/A 53654-2025 prioriterade fågelarter.docx", "A 53654-2025")</f>
        <v/>
      </c>
    </row>
    <row r="115" ht="15" customHeight="1">
      <c r="A115" t="inlineStr">
        <is>
          <t>A 27605-2026</t>
        </is>
      </c>
      <c r="B115" t="inlineStr">
        <is>
          <t>avverkningsanmälan</t>
        </is>
      </c>
      <c r="C115" t="inlineStr">
        <is>
          <t>Föryngringsavverkning</t>
        </is>
      </c>
      <c r="D115" s="1" t="n">
        <v>46190</v>
      </c>
      <c r="E115" s="1" t="n">
        <v>46292</v>
      </c>
      <c r="F115" t="inlineStr">
        <is>
          <t>GÄVLEBORGS LÄN</t>
        </is>
      </c>
      <c r="G115" t="inlineStr">
        <is>
          <t>LJUSDAL</t>
        </is>
      </c>
      <c r="H115" t="inlineStr">
        <is>
          <t>Sveaskog</t>
        </is>
      </c>
      <c r="I115" t="n">
        <v>11</v>
      </c>
      <c r="J115" t="n">
        <v>5</v>
      </c>
      <c r="K115" t="n">
        <v>0</v>
      </c>
      <c r="L115" t="n">
        <v>2</v>
      </c>
      <c r="M115" t="n">
        <v>2</v>
      </c>
      <c r="N115" t="n">
        <v>0</v>
      </c>
      <c r="O115" t="n">
        <v>0</v>
      </c>
      <c r="P115" t="n">
        <v>0</v>
      </c>
      <c r="Q115" t="n">
        <v>4</v>
      </c>
      <c r="R115" t="n">
        <v>2</v>
      </c>
      <c r="S115" t="n">
        <v>5</v>
      </c>
      <c r="T115" t="n">
        <v>6</v>
      </c>
      <c r="U115" t="n">
        <v>5</v>
      </c>
      <c r="V115" s="2" t="inlineStr">
        <is>
          <t>Doftticka
Knärot
Talltita
Tretåig hackspett
Fläcknycklar</t>
        </is>
      </c>
      <c r="W115">
        <f>HYPERLINK("https://klasma.github.io/Logging_2161/artfynd/A 27605-2026 artfynd.xlsx", "A 27605-2026")</f>
        <v/>
      </c>
      <c r="X115">
        <f>HYPERLINK("https://klasma.github.io/Logging_2161/kartor/A 27605-2026 karta.png", "A 27605-2026")</f>
        <v/>
      </c>
      <c r="Y115">
        <f>HYPERLINK("https://klasma.github.io/Logging_2161/kartor_geotiff/A 27605-2026 georefererad karta.tif", "A 27605-2026")</f>
        <v/>
      </c>
      <c r="Z115">
        <f>HYPERLINK("https://klasma.github.io/Logging_2161/knärot/A 27605-2026 karta knärot.png", "A 27605-2026")</f>
        <v/>
      </c>
      <c r="AA115">
        <f>HYPERLINK("https://klasma.github.io/Logging_2161/klagomål/A 27605-2026 FSC-klagomål.docx", "A 27605-2026")</f>
        <v/>
      </c>
      <c r="AB115">
        <f>HYPERLINK("https://klasma.github.io/Logging_2161/klagomålsmail/A 27605-2026 FSC-klagomål mail.docx", "A 27605-2026")</f>
        <v/>
      </c>
      <c r="AC115">
        <f>HYPERLINK("https://klasma.github.io/Logging_2161/tillsyn/A 27605-2026 tillsynsbegäran.docx", "A 27605-2026")</f>
        <v/>
      </c>
      <c r="AD115">
        <f>HYPERLINK("https://klasma.github.io/Logging_2161/tillsynsmail/A 27605-2026 tillsynsbegäran mail.docx", "A 27605-2026")</f>
        <v/>
      </c>
      <c r="AE115">
        <f>HYPERLINK("https://klasma.github.io/Logging_2161/fåglar/A 27605-2026 prioriterade fågelarter.docx", "A 27605-2026")</f>
        <v/>
      </c>
    </row>
    <row r="116" ht="15" customHeight="1">
      <c r="A116" t="inlineStr">
        <is>
          <t>A 37835-2025</t>
        </is>
      </c>
      <c r="B116" t="inlineStr">
        <is>
          <t>avverkningsanmälan</t>
        </is>
      </c>
      <c r="C116" t="inlineStr">
        <is>
          <t>Föryngringsavverkning</t>
        </is>
      </c>
      <c r="D116" s="1" t="n">
        <v>45881</v>
      </c>
      <c r="E116" s="1" t="n">
        <v>46292</v>
      </c>
      <c r="F116" t="inlineStr">
        <is>
          <t>GÄVLEBORGS LÄN</t>
        </is>
      </c>
      <c r="G116" t="inlineStr">
        <is>
          <t>LJUSDAL</t>
        </is>
      </c>
      <c r="H116" t="inlineStr">
        <is>
          <t>Bergvik skog väst AB</t>
        </is>
      </c>
      <c r="I116" t="n">
        <v>2.3</v>
      </c>
      <c r="J116" t="n">
        <v>2</v>
      </c>
      <c r="K116" t="n">
        <v>0</v>
      </c>
      <c r="L116" t="n">
        <v>3</v>
      </c>
      <c r="M116" t="n">
        <v>1</v>
      </c>
      <c r="N116" t="n">
        <v>0</v>
      </c>
      <c r="O116" t="n">
        <v>0</v>
      </c>
      <c r="P116" t="n">
        <v>0</v>
      </c>
      <c r="Q116" t="n">
        <v>4</v>
      </c>
      <c r="R116" t="n">
        <v>1</v>
      </c>
      <c r="S116" t="n">
        <v>5</v>
      </c>
      <c r="T116" t="n">
        <v>5</v>
      </c>
      <c r="U116" t="n">
        <v>5</v>
      </c>
      <c r="V116" s="2" t="inlineStr">
        <is>
          <t>Garnlav
Lunglav
Talltita
Vedflamlav
Järpe</t>
        </is>
      </c>
      <c r="W116">
        <f>HYPERLINK("https://klasma.github.io/Logging_2161/artfynd/A 37835-2025 artfynd.xlsx", "A 37835-2025")</f>
        <v/>
      </c>
      <c r="X116">
        <f>HYPERLINK("https://klasma.github.io/Logging_2161/kartor/A 37835-2025 karta.png", "A 37835-2025")</f>
        <v/>
      </c>
      <c r="Y116">
        <f>HYPERLINK("https://klasma.github.io/Logging_2161/kartor_geotiff/A 37835-2025 georefererad karta.tif", "A 37835-2025")</f>
        <v/>
      </c>
      <c r="AA116">
        <f>HYPERLINK("https://klasma.github.io/Logging_2161/klagomål/A 37835-2025 FSC-klagomål.docx", "A 37835-2025")</f>
        <v/>
      </c>
      <c r="AB116">
        <f>HYPERLINK("https://klasma.github.io/Logging_2161/klagomålsmail/A 37835-2025 FSC-klagomål mail.docx", "A 37835-2025")</f>
        <v/>
      </c>
      <c r="AC116">
        <f>HYPERLINK("https://klasma.github.io/Logging_2161/tillsyn/A 37835-2025 tillsynsbegäran.docx", "A 37835-2025")</f>
        <v/>
      </c>
      <c r="AD116">
        <f>HYPERLINK("https://klasma.github.io/Logging_2161/tillsynsmail/A 37835-2025 tillsynsbegäran mail.docx", "A 37835-2025")</f>
        <v/>
      </c>
      <c r="AE116">
        <f>HYPERLINK("https://klasma.github.io/Logging_2161/fåglar/A 37835-2025 prioriterade fågelarter.docx", "A 37835-2025")</f>
        <v/>
      </c>
    </row>
    <row r="117" ht="15" customHeight="1">
      <c r="A117" t="inlineStr">
        <is>
          <t>A 37833-2025</t>
        </is>
      </c>
      <c r="B117" t="inlineStr">
        <is>
          <t>avverkningsanmälan</t>
        </is>
      </c>
      <c r="C117" t="inlineStr">
        <is>
          <t>Föryngringsavverkning</t>
        </is>
      </c>
      <c r="D117" s="1" t="n">
        <v>45881</v>
      </c>
      <c r="E117" s="1" t="n">
        <v>46292</v>
      </c>
      <c r="F117" t="inlineStr">
        <is>
          <t>GÄVLEBORGS LÄN</t>
        </is>
      </c>
      <c r="G117" t="inlineStr">
        <is>
          <t>LJUSDAL</t>
        </is>
      </c>
      <c r="H117" t="inlineStr">
        <is>
          <t>Bergvik skog väst AB</t>
        </is>
      </c>
      <c r="I117" t="n">
        <v>8.5</v>
      </c>
      <c r="J117" t="n">
        <v>2</v>
      </c>
      <c r="K117" t="n">
        <v>1</v>
      </c>
      <c r="L117" t="n">
        <v>3</v>
      </c>
      <c r="M117" t="n">
        <v>1</v>
      </c>
      <c r="N117" t="n">
        <v>0</v>
      </c>
      <c r="O117" t="n">
        <v>0</v>
      </c>
      <c r="P117" t="n">
        <v>0</v>
      </c>
      <c r="Q117" t="n">
        <v>4</v>
      </c>
      <c r="R117" t="n">
        <v>1</v>
      </c>
      <c r="S117" t="n">
        <v>5</v>
      </c>
      <c r="T117" t="n">
        <v>14</v>
      </c>
      <c r="U117" t="n">
        <v>14</v>
      </c>
      <c r="V117" s="2" t="inlineStr">
        <is>
          <t>Knärot
Lunglav
Skrovellav
Talltita
Luddlav</t>
        </is>
      </c>
      <c r="W117">
        <f>HYPERLINK("https://klasma.github.io/Logging_2161/artfynd/A 37833-2025 artfynd.xlsx", "A 37833-2025")</f>
        <v/>
      </c>
      <c r="X117">
        <f>HYPERLINK("https://klasma.github.io/Logging_2161/kartor/A 37833-2025 karta.png", "A 37833-2025")</f>
        <v/>
      </c>
      <c r="Y117">
        <f>HYPERLINK("https://klasma.github.io/Logging_2161/kartor_geotiff/A 37833-2025 georefererad karta.tif", "A 37833-2025")</f>
        <v/>
      </c>
      <c r="Z117">
        <f>HYPERLINK("https://klasma.github.io/Logging_2161/knärot/A 37833-2025 karta knärot.png", "A 37833-2025")</f>
        <v/>
      </c>
      <c r="AA117">
        <f>HYPERLINK("https://klasma.github.io/Logging_2161/klagomål/A 37833-2025 FSC-klagomål.docx", "A 37833-2025")</f>
        <v/>
      </c>
      <c r="AB117">
        <f>HYPERLINK("https://klasma.github.io/Logging_2161/klagomålsmail/A 37833-2025 FSC-klagomål mail.docx", "A 37833-2025")</f>
        <v/>
      </c>
      <c r="AC117">
        <f>HYPERLINK("https://klasma.github.io/Logging_2161/tillsyn/A 37833-2025 tillsynsbegäran.docx", "A 37833-2025")</f>
        <v/>
      </c>
      <c r="AD117">
        <f>HYPERLINK("https://klasma.github.io/Logging_2161/tillsynsmail/A 37833-2025 tillsynsbegäran mail.docx", "A 37833-2025")</f>
        <v/>
      </c>
      <c r="AE117">
        <f>HYPERLINK("https://klasma.github.io/Logging_2161/fåglar/A 37833-2025 prioriterade fågelarter.docx", "A 37833-2025")</f>
        <v/>
      </c>
    </row>
    <row r="118" ht="15" customHeight="1">
      <c r="A118" t="inlineStr">
        <is>
          <t>A 26606-2025</t>
        </is>
      </c>
      <c r="B118" t="inlineStr">
        <is>
          <t>avverkningsanmälan</t>
        </is>
      </c>
      <c r="C118" t="inlineStr">
        <is>
          <t>Avverkning för annat ändamål</t>
        </is>
      </c>
      <c r="D118" s="1" t="n">
        <v>45809</v>
      </c>
      <c r="E118" s="1" t="n">
        <v>46292</v>
      </c>
      <c r="F118" t="inlineStr">
        <is>
          <t>GÄVLEBORGS LÄN</t>
        </is>
      </c>
      <c r="G118" t="inlineStr">
        <is>
          <t>LJUSDAL</t>
        </is>
      </c>
      <c r="I118" t="n">
        <v>11.1</v>
      </c>
      <c r="J118" t="n">
        <v>0</v>
      </c>
      <c r="K118" t="n">
        <v>0</v>
      </c>
      <c r="L118" t="n">
        <v>4</v>
      </c>
      <c r="M118" t="n">
        <v>1</v>
      </c>
      <c r="N118" t="n">
        <v>0</v>
      </c>
      <c r="O118" t="n">
        <v>0</v>
      </c>
      <c r="P118" t="n">
        <v>0</v>
      </c>
      <c r="Q118" t="n">
        <v>5</v>
      </c>
      <c r="R118" t="n">
        <v>1</v>
      </c>
      <c r="S118" t="n">
        <v>5</v>
      </c>
      <c r="T118" t="n">
        <v>10</v>
      </c>
      <c r="U118" t="n">
        <v>0</v>
      </c>
      <c r="V118" s="2" t="inlineStr">
        <is>
          <t>Garnlav
Dropptaggsvamp
Dvärgbägarlav
Talltaggsvamp
Vedskivlav</t>
        </is>
      </c>
      <c r="W118">
        <f>HYPERLINK("https://klasma.github.io/Logging_2161/artfynd/A 26606-2025 artfynd.xlsx", "A 26606-2025")</f>
        <v/>
      </c>
      <c r="X118">
        <f>HYPERLINK("https://klasma.github.io/Logging_2161/kartor/A 26606-2025 karta.png", "A 26606-2025")</f>
        <v/>
      </c>
      <c r="Y118">
        <f>HYPERLINK("https://klasma.github.io/Logging_2161/kartor_geotiff/A 26606-2025 georefererad karta.tif", "A 26606-2025")</f>
        <v/>
      </c>
      <c r="AA118">
        <f>HYPERLINK("https://klasma.github.io/Logging_2161/klagomål/A 26606-2025 FSC-klagomål.docx", "A 26606-2025")</f>
        <v/>
      </c>
      <c r="AB118">
        <f>HYPERLINK("https://klasma.github.io/Logging_2161/klagomålsmail/A 26606-2025 FSC-klagomål mail.docx", "A 26606-2025")</f>
        <v/>
      </c>
      <c r="AC118">
        <f>HYPERLINK("https://klasma.github.io/Logging_2161/tillsyn/A 26606-2025 tillsynsbegäran.docx", "A 26606-2025")</f>
        <v/>
      </c>
      <c r="AD118">
        <f>HYPERLINK("https://klasma.github.io/Logging_2161/tillsynsmail/A 26606-2025 tillsynsbegäran mail.docx", "A 26606-2025")</f>
        <v/>
      </c>
    </row>
    <row r="119" ht="15" customHeight="1">
      <c r="A119" t="inlineStr">
        <is>
          <t>A 33891-2026</t>
        </is>
      </c>
      <c r="B119" t="inlineStr">
        <is>
          <t>avverkningsanmälan</t>
        </is>
      </c>
      <c r="C119" t="inlineStr">
        <is>
          <t>Föryngringsavverkning</t>
        </is>
      </c>
      <c r="D119" s="1" t="n">
        <v>46251</v>
      </c>
      <c r="E119" s="1" t="n">
        <v>46292</v>
      </c>
      <c r="F119" t="inlineStr">
        <is>
          <t>GÄVLEBORGS LÄN</t>
        </is>
      </c>
      <c r="G119" t="inlineStr">
        <is>
          <t>LJUSDAL</t>
        </is>
      </c>
      <c r="H119" t="inlineStr">
        <is>
          <t>Sveaskog</t>
        </is>
      </c>
      <c r="I119" t="n">
        <v>19.8</v>
      </c>
      <c r="J119" t="n">
        <v>2</v>
      </c>
      <c r="K119" t="n">
        <v>1</v>
      </c>
      <c r="L119" t="n">
        <v>2</v>
      </c>
      <c r="M119" t="n">
        <v>1</v>
      </c>
      <c r="N119" t="n">
        <v>0</v>
      </c>
      <c r="O119" t="n">
        <v>0</v>
      </c>
      <c r="P119" t="n">
        <v>0</v>
      </c>
      <c r="Q119" t="n">
        <v>3</v>
      </c>
      <c r="R119" t="n">
        <v>1</v>
      </c>
      <c r="S119" t="n">
        <v>5</v>
      </c>
      <c r="T119" t="n">
        <v>6</v>
      </c>
      <c r="U119" t="n">
        <v>6</v>
      </c>
      <c r="V119" s="2" t="inlineStr">
        <is>
          <t>Garnlav
Kolflarnlav
Lunglav
Plattlummer
Fläcknycklar</t>
        </is>
      </c>
      <c r="W119">
        <f>HYPERLINK("https://klasma.github.io/Logging_2161/artfynd/A 33891-2026 artfynd.xlsx", "A 33891-2026")</f>
        <v/>
      </c>
      <c r="X119">
        <f>HYPERLINK("https://klasma.github.io/Logging_2161/kartor/A 33891-2026 karta.png", "A 33891-2026")</f>
        <v/>
      </c>
      <c r="Y119">
        <f>HYPERLINK("https://klasma.github.io/Logging_2161/kartor_geotiff/A 33891-2026 georefererad karta.tif", "A 33891-2026")</f>
        <v/>
      </c>
      <c r="AA119">
        <f>HYPERLINK("https://klasma.github.io/Logging_2161/klagomål/A 33891-2026 FSC-klagomål.docx", "A 33891-2026")</f>
        <v/>
      </c>
      <c r="AB119">
        <f>HYPERLINK("https://klasma.github.io/Logging_2161/klagomålsmail/A 33891-2026 FSC-klagomål mail.docx", "A 33891-2026")</f>
        <v/>
      </c>
      <c r="AC119">
        <f>HYPERLINK("https://klasma.github.io/Logging_2161/tillsyn/A 33891-2026 tillsynsbegäran.docx", "A 33891-2026")</f>
        <v/>
      </c>
      <c r="AD119">
        <f>HYPERLINK("https://klasma.github.io/Logging_2161/tillsynsmail/A 33891-2026 tillsynsbegäran mail.docx", "A 33891-2026")</f>
        <v/>
      </c>
    </row>
    <row r="120" ht="15" customHeight="1">
      <c r="A120" t="inlineStr">
        <is>
          <t>A 38286-2026</t>
        </is>
      </c>
      <c r="B120" t="inlineStr">
        <is>
          <t>avverkningsanmälan</t>
        </is>
      </c>
      <c r="C120" t="inlineStr">
        <is>
          <t>Föryngringsavverkning</t>
        </is>
      </c>
      <c r="D120" s="1" t="n">
        <v>46281</v>
      </c>
      <c r="E120" s="1" t="n">
        <v>46292</v>
      </c>
      <c r="F120" t="inlineStr">
        <is>
          <t>GÄVLEBORGS LÄN</t>
        </is>
      </c>
      <c r="G120" t="inlineStr">
        <is>
          <t>LJUSDAL</t>
        </is>
      </c>
      <c r="H120" t="inlineStr">
        <is>
          <t>Sveaskog</t>
        </is>
      </c>
      <c r="I120" t="n">
        <v>15.7</v>
      </c>
      <c r="J120" t="n">
        <v>1</v>
      </c>
      <c r="K120" t="n">
        <v>1</v>
      </c>
      <c r="L120" t="n">
        <v>4</v>
      </c>
      <c r="M120" t="n">
        <v>0</v>
      </c>
      <c r="N120" t="n">
        <v>0</v>
      </c>
      <c r="O120" t="n">
        <v>0</v>
      </c>
      <c r="P120" t="n">
        <v>0</v>
      </c>
      <c r="Q120" t="n">
        <v>4</v>
      </c>
      <c r="R120" t="n">
        <v>0</v>
      </c>
      <c r="S120" t="n">
        <v>5</v>
      </c>
      <c r="T120" t="n">
        <v>5</v>
      </c>
      <c r="U120" t="n">
        <v>5</v>
      </c>
      <c r="V120" s="2" t="inlineStr">
        <is>
          <t>Kolflarnlav
Lunglav
Skrovellav
Talltaggsvamp
Plattlummer</t>
        </is>
      </c>
      <c r="W120">
        <f>HYPERLINK("https://klasma.github.io/Logging_2161/artfynd/A 38286-2026 artfynd.xlsx", "A 38286-2026")</f>
        <v/>
      </c>
      <c r="X120">
        <f>HYPERLINK("https://klasma.github.io/Logging_2161/kartor/A 38286-2026 karta.png", "A 38286-2026")</f>
        <v/>
      </c>
      <c r="Y120">
        <f>HYPERLINK("https://klasma.github.io/Logging_2161/kartor_geotiff/A 38286-2026 georefererad karta.tif", "A 38286-2026")</f>
        <v/>
      </c>
      <c r="AA120">
        <f>HYPERLINK("https://klasma.github.io/Logging_2161/klagomål/A 38286-2026 FSC-klagomål.docx", "A 38286-2026")</f>
        <v/>
      </c>
      <c r="AB120">
        <f>HYPERLINK("https://klasma.github.io/Logging_2161/klagomålsmail/A 38286-2026 FSC-klagomål mail.docx", "A 38286-2026")</f>
        <v/>
      </c>
      <c r="AC120">
        <f>HYPERLINK("https://klasma.github.io/Logging_2161/tillsyn/A 38286-2026 tillsynsbegäran.docx", "A 38286-2026")</f>
        <v/>
      </c>
      <c r="AD120">
        <f>HYPERLINK("https://klasma.github.io/Logging_2161/tillsynsmail/A 38286-2026 tillsynsbegäran mail.docx", "A 38286-2026")</f>
        <v/>
      </c>
    </row>
    <row r="121" ht="15" customHeight="1">
      <c r="A121" t="inlineStr">
        <is>
          <t>A 22067-2024</t>
        </is>
      </c>
      <c r="B121" t="inlineStr">
        <is>
          <t>avverkningsanmälan</t>
        </is>
      </c>
      <c r="C121" t="inlineStr">
        <is>
          <t>Föryngringsavverkning</t>
        </is>
      </c>
      <c r="D121" s="1" t="n">
        <v>45443</v>
      </c>
      <c r="E121" s="1" t="n">
        <v>46292</v>
      </c>
      <c r="F121" t="inlineStr">
        <is>
          <t>GÄVLEBORGS LÄN</t>
        </is>
      </c>
      <c r="G121" t="inlineStr">
        <is>
          <t>LJUSDAL</t>
        </is>
      </c>
      <c r="H121" t="inlineStr">
        <is>
          <t>Sveaskog</t>
        </is>
      </c>
      <c r="I121" t="n">
        <v>2.9</v>
      </c>
      <c r="J121" t="n">
        <v>1</v>
      </c>
      <c r="K121" t="n">
        <v>1</v>
      </c>
      <c r="L121" t="n">
        <v>3</v>
      </c>
      <c r="M121" t="n">
        <v>1</v>
      </c>
      <c r="N121" t="n">
        <v>0</v>
      </c>
      <c r="O121" t="n">
        <v>0</v>
      </c>
      <c r="P121" t="n">
        <v>0</v>
      </c>
      <c r="Q121" t="n">
        <v>4</v>
      </c>
      <c r="R121" t="n">
        <v>1</v>
      </c>
      <c r="S121" t="n">
        <v>5</v>
      </c>
      <c r="T121" t="n">
        <v>10</v>
      </c>
      <c r="U121" t="n">
        <v>10</v>
      </c>
      <c r="V121" s="2" t="inlineStr">
        <is>
          <t>Garnlav
Lunglav
Skrovellav
Violettgrå tagellav
Spindelblomster</t>
        </is>
      </c>
      <c r="W121">
        <f>HYPERLINK("https://klasma.github.io/Logging_2161/artfynd/A 22067-2024 artfynd.xlsx", "A 22067-2024")</f>
        <v/>
      </c>
      <c r="X121">
        <f>HYPERLINK("https://klasma.github.io/Logging_2161/kartor/A 22067-2024 karta.png", "A 22067-2024")</f>
        <v/>
      </c>
      <c r="Y121">
        <f>HYPERLINK("https://klasma.github.io/Logging_2161/kartor_geotiff/A 22067-2024 georefererad karta.tif", "A 22067-2024")</f>
        <v/>
      </c>
      <c r="AA121">
        <f>HYPERLINK("https://klasma.github.io/Logging_2161/klagomål/A 22067-2024 FSC-klagomål.docx", "A 22067-2024")</f>
        <v/>
      </c>
      <c r="AB121">
        <f>HYPERLINK("https://klasma.github.io/Logging_2161/klagomålsmail/A 22067-2024 FSC-klagomål mail.docx", "A 22067-2024")</f>
        <v/>
      </c>
      <c r="AC121">
        <f>HYPERLINK("https://klasma.github.io/Logging_2161/tillsyn/A 22067-2024 tillsynsbegäran.docx", "A 22067-2024")</f>
        <v/>
      </c>
      <c r="AD121">
        <f>HYPERLINK("https://klasma.github.io/Logging_2161/tillsynsmail/A 22067-2024 tillsynsbegäran mail.docx", "A 22067-2024")</f>
        <v/>
      </c>
    </row>
    <row r="122" ht="15" customHeight="1">
      <c r="A122" t="inlineStr">
        <is>
          <t>A 55326-2024</t>
        </is>
      </c>
      <c r="B122" t="inlineStr">
        <is>
          <t>avverkningsanmälan</t>
        </is>
      </c>
      <c r="C122" t="inlineStr">
        <is>
          <t>Föryngringsavverkning</t>
        </is>
      </c>
      <c r="D122" s="1" t="n">
        <v>45621</v>
      </c>
      <c r="E122" s="1" t="n">
        <v>46292</v>
      </c>
      <c r="F122" t="inlineStr">
        <is>
          <t>GÄVLEBORGS LÄN</t>
        </is>
      </c>
      <c r="G122" t="inlineStr">
        <is>
          <t>LJUSDAL</t>
        </is>
      </c>
      <c r="I122" t="n">
        <v>11.1</v>
      </c>
      <c r="J122" t="n">
        <v>1</v>
      </c>
      <c r="K122" t="n">
        <v>1</v>
      </c>
      <c r="L122" t="n">
        <v>2</v>
      </c>
      <c r="M122" t="n">
        <v>2</v>
      </c>
      <c r="N122" t="n">
        <v>0</v>
      </c>
      <c r="O122" t="n">
        <v>0</v>
      </c>
      <c r="P122" t="n">
        <v>0</v>
      </c>
      <c r="Q122" t="n">
        <v>4</v>
      </c>
      <c r="R122" t="n">
        <v>2</v>
      </c>
      <c r="S122" t="n">
        <v>5</v>
      </c>
      <c r="T122" t="n">
        <v>7</v>
      </c>
      <c r="U122" t="n">
        <v>0</v>
      </c>
      <c r="V122" s="2" t="inlineStr">
        <is>
          <t>Garnlav
Knärot
Mörk kolflarnlav
Vedskivlav
Vedticka</t>
        </is>
      </c>
      <c r="W122">
        <f>HYPERLINK("https://klasma.github.io/Logging_2161/artfynd/A 55326-2024 artfynd.xlsx", "A 55326-2024")</f>
        <v/>
      </c>
      <c r="X122">
        <f>HYPERLINK("https://klasma.github.io/Logging_2161/kartor/A 55326-2024 karta.png", "A 55326-2024")</f>
        <v/>
      </c>
      <c r="Y122">
        <f>HYPERLINK("https://klasma.github.io/Logging_2161/kartor_geotiff/A 55326-2024 georefererad karta.tif", "A 55326-2024")</f>
        <v/>
      </c>
      <c r="Z122">
        <f>HYPERLINK("https://klasma.github.io/Logging_2161/knärot/A 55326-2024 karta knärot.png", "A 55326-2024")</f>
        <v/>
      </c>
      <c r="AA122">
        <f>HYPERLINK("https://klasma.github.io/Logging_2161/klagomål/A 55326-2024 FSC-klagomål.docx", "A 55326-2024")</f>
        <v/>
      </c>
      <c r="AB122">
        <f>HYPERLINK("https://klasma.github.io/Logging_2161/klagomålsmail/A 55326-2024 FSC-klagomål mail.docx", "A 55326-2024")</f>
        <v/>
      </c>
      <c r="AC122">
        <f>HYPERLINK("https://klasma.github.io/Logging_2161/tillsyn/A 55326-2024 tillsynsbegäran.docx", "A 55326-2024")</f>
        <v/>
      </c>
      <c r="AD122">
        <f>HYPERLINK("https://klasma.github.io/Logging_2161/tillsynsmail/A 55326-2024 tillsynsbegäran mail.docx", "A 55326-2024")</f>
        <v/>
      </c>
    </row>
    <row r="123" ht="15" customHeight="1">
      <c r="A123" t="inlineStr">
        <is>
          <t>A 21038-2025</t>
        </is>
      </c>
      <c r="B123" t="inlineStr">
        <is>
          <t>avverkningsanmälan</t>
        </is>
      </c>
      <c r="C123" t="inlineStr">
        <is>
          <t>Föryngringsavverkning</t>
        </is>
      </c>
      <c r="D123" s="1" t="n">
        <v>45777</v>
      </c>
      <c r="E123" s="1" t="n">
        <v>46292</v>
      </c>
      <c r="F123" t="inlineStr">
        <is>
          <t>GÄVLEBORGS LÄN</t>
        </is>
      </c>
      <c r="G123" t="inlineStr">
        <is>
          <t>LJUSDAL</t>
        </is>
      </c>
      <c r="H123" t="inlineStr">
        <is>
          <t>SCA</t>
        </is>
      </c>
      <c r="I123" t="n">
        <v>3.8</v>
      </c>
      <c r="J123" t="n">
        <v>1</v>
      </c>
      <c r="K123" t="n">
        <v>0</v>
      </c>
      <c r="L123" t="n">
        <v>3</v>
      </c>
      <c r="M123" t="n">
        <v>1</v>
      </c>
      <c r="N123" t="n">
        <v>0</v>
      </c>
      <c r="O123" t="n">
        <v>0</v>
      </c>
      <c r="P123" t="n">
        <v>0</v>
      </c>
      <c r="Q123" t="n">
        <v>4</v>
      </c>
      <c r="R123" t="n">
        <v>1</v>
      </c>
      <c r="S123" t="n">
        <v>5</v>
      </c>
      <c r="T123" t="n">
        <v>9</v>
      </c>
      <c r="U123" t="n">
        <v>0</v>
      </c>
      <c r="V123" s="2" t="inlineStr">
        <is>
          <t>Garnlav
Gammelgransskål
Kolflarnlav
Lunglav
Revlummer</t>
        </is>
      </c>
      <c r="W123">
        <f>HYPERLINK("https://klasma.github.io/Logging_2161/artfynd/A 21038-2025 artfynd.xlsx", "A 21038-2025")</f>
        <v/>
      </c>
      <c r="X123">
        <f>HYPERLINK("https://klasma.github.io/Logging_2161/kartor/A 21038-2025 karta.png", "A 21038-2025")</f>
        <v/>
      </c>
      <c r="Y123">
        <f>HYPERLINK("https://klasma.github.io/Logging_2161/kartor_geotiff/A 21038-2025 georefererad karta.tif", "A 21038-2025")</f>
        <v/>
      </c>
      <c r="AA123">
        <f>HYPERLINK("https://klasma.github.io/Logging_2161/klagomål/A 21038-2025 FSC-klagomål.docx", "A 21038-2025")</f>
        <v/>
      </c>
      <c r="AB123">
        <f>HYPERLINK("https://klasma.github.io/Logging_2161/klagomålsmail/A 21038-2025 FSC-klagomål mail.docx", "A 21038-2025")</f>
        <v/>
      </c>
      <c r="AC123">
        <f>HYPERLINK("https://klasma.github.io/Logging_2161/tillsyn/A 21038-2025 tillsynsbegäran.docx", "A 21038-2025")</f>
        <v/>
      </c>
      <c r="AD123">
        <f>HYPERLINK("https://klasma.github.io/Logging_2161/tillsynsmail/A 21038-2025 tillsynsbegäran mail.docx", "A 21038-2025")</f>
        <v/>
      </c>
    </row>
    <row r="124" ht="15" customHeight="1">
      <c r="A124" t="inlineStr">
        <is>
          <t>S 104-2022</t>
        </is>
      </c>
      <c r="B124" t="inlineStr">
        <is>
          <t>samrådsanmälan</t>
        </is>
      </c>
      <c r="C124" t="inlineStr">
        <is>
          <t>Skogsgödsling</t>
        </is>
      </c>
      <c r="D124" s="1" t="n">
        <v>44566</v>
      </c>
      <c r="E124" s="1" t="n">
        <v>46292</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46292</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46292</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46292</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46292</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46292</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46292</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46292</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46292</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22978-2023</t>
        </is>
      </c>
      <c r="B133" t="inlineStr">
        <is>
          <t>avverkningsanmälan</t>
        </is>
      </c>
      <c r="C133" t="inlineStr">
        <is>
          <t>Föryngringsavverkning</t>
        </is>
      </c>
      <c r="D133" s="1" t="n">
        <v>45072</v>
      </c>
      <c r="E133" s="1" t="n">
        <v>46292</v>
      </c>
      <c r="F133" t="inlineStr">
        <is>
          <t>GÄVLEBORGS LÄN</t>
        </is>
      </c>
      <c r="G133" t="inlineStr">
        <is>
          <t>LJUSDAL</t>
        </is>
      </c>
      <c r="I133" t="n">
        <v>1.8</v>
      </c>
      <c r="J133" t="n">
        <v>2</v>
      </c>
      <c r="K133" t="n">
        <v>0</v>
      </c>
      <c r="L133" t="n">
        <v>2</v>
      </c>
      <c r="M133" t="n">
        <v>1</v>
      </c>
      <c r="N133" t="n">
        <v>0</v>
      </c>
      <c r="O133" t="n">
        <v>0</v>
      </c>
      <c r="P133" t="n">
        <v>0</v>
      </c>
      <c r="Q133" t="n">
        <v>3</v>
      </c>
      <c r="R133" t="n">
        <v>1</v>
      </c>
      <c r="S133" t="n">
        <v>4</v>
      </c>
      <c r="T133" t="n">
        <v>14</v>
      </c>
      <c r="U133" t="n">
        <v>0</v>
      </c>
      <c r="V133" s="2" t="inlineStr">
        <is>
          <t>Knärot
Rosenticka
Ullticka
Revlummer</t>
        </is>
      </c>
      <c r="W133">
        <f>HYPERLINK("https://klasma.github.io/Logging_2161/artfynd/A 22978-2023 artfynd.xlsx", "A 22978-2023")</f>
        <v/>
      </c>
      <c r="X133">
        <f>HYPERLINK("https://klasma.github.io/Logging_2161/kartor/A 22978-2023 karta.png", "A 22978-2023")</f>
        <v/>
      </c>
      <c r="Y133">
        <f>HYPERLINK("https://klasma.github.io/Logging_2161/kartor_geotiff/A 22978-2023 georefererad karta.tif", "A 22978-2023")</f>
        <v/>
      </c>
      <c r="Z133">
        <f>HYPERLINK("https://klasma.github.io/Logging_2161/knärot/A 22978-2023 karta knärot.png", "A 22978-2023")</f>
        <v/>
      </c>
      <c r="AA133">
        <f>HYPERLINK("https://klasma.github.io/Logging_2161/klagomål/A 22978-2023 FSC-klagomål.docx", "A 22978-2023")</f>
        <v/>
      </c>
      <c r="AB133">
        <f>HYPERLINK("https://klasma.github.io/Logging_2161/klagomålsmail/A 22978-2023 FSC-klagomål mail.docx", "A 22978-2023")</f>
        <v/>
      </c>
      <c r="AC133">
        <f>HYPERLINK("https://klasma.github.io/Logging_2161/tillsyn/A 22978-2023 tillsynsbegäran.docx", "A 22978-2023")</f>
        <v/>
      </c>
      <c r="AD133">
        <f>HYPERLINK("https://klasma.github.io/Logging_2161/tillsynsmail/A 22978-2023 tillsynsbegäran mail.docx", "A 22978-2023")</f>
        <v/>
      </c>
    </row>
    <row r="134" ht="15" customHeight="1">
      <c r="A134" t="inlineStr">
        <is>
          <t>A 53249-2023</t>
        </is>
      </c>
      <c r="B134" t="inlineStr">
        <is>
          <t>avverkningsanmälan</t>
        </is>
      </c>
      <c r="C134" t="inlineStr">
        <is>
          <t>Föryngringsavverkning</t>
        </is>
      </c>
      <c r="D134" s="1" t="n">
        <v>45229</v>
      </c>
      <c r="E134" s="1" t="n">
        <v>46292</v>
      </c>
      <c r="F134" t="inlineStr">
        <is>
          <t>GÄVLEBORGS LÄN</t>
        </is>
      </c>
      <c r="G134" t="inlineStr">
        <is>
          <t>LJUSDAL</t>
        </is>
      </c>
      <c r="H134" t="inlineStr">
        <is>
          <t>Sveaskog</t>
        </is>
      </c>
      <c r="I134" t="n">
        <v>3.2</v>
      </c>
      <c r="J134" t="n">
        <v>0</v>
      </c>
      <c r="K134" t="n">
        <v>0</v>
      </c>
      <c r="L134" t="n">
        <v>4</v>
      </c>
      <c r="M134" t="n">
        <v>0</v>
      </c>
      <c r="N134" t="n">
        <v>0</v>
      </c>
      <c r="O134" t="n">
        <v>0</v>
      </c>
      <c r="P134" t="n">
        <v>0</v>
      </c>
      <c r="Q134" t="n">
        <v>4</v>
      </c>
      <c r="R134" t="n">
        <v>0</v>
      </c>
      <c r="S134" t="n">
        <v>4</v>
      </c>
      <c r="T134" t="n">
        <v>4</v>
      </c>
      <c r="U134" t="n">
        <v>4</v>
      </c>
      <c r="V134" s="2" t="inlineStr">
        <is>
          <t>Kolflarnlav
Motaggsvamp
Orange taggsvamp
Vedflamlav</t>
        </is>
      </c>
      <c r="W134">
        <f>HYPERLINK("https://klasma.github.io/Logging_2161/artfynd/A 53249-2023 artfynd.xlsx", "A 53249-2023")</f>
        <v/>
      </c>
      <c r="X134">
        <f>HYPERLINK("https://klasma.github.io/Logging_2161/kartor/A 53249-2023 karta.png", "A 53249-2023")</f>
        <v/>
      </c>
      <c r="Y134">
        <f>HYPERLINK("https://klasma.github.io/Logging_2161/kartor_geotiff/A 53249-2023 georefererad karta.tif", "A 53249-2023")</f>
        <v/>
      </c>
      <c r="AA134">
        <f>HYPERLINK("https://klasma.github.io/Logging_2161/klagomål/A 53249-2023 FSC-klagomål.docx", "A 53249-2023")</f>
        <v/>
      </c>
      <c r="AB134">
        <f>HYPERLINK("https://klasma.github.io/Logging_2161/klagomålsmail/A 53249-2023 FSC-klagomål mail.docx", "A 53249-2023")</f>
        <v/>
      </c>
      <c r="AC134">
        <f>HYPERLINK("https://klasma.github.io/Logging_2161/tillsyn/A 53249-2023 tillsynsbegäran.docx", "A 53249-2023")</f>
        <v/>
      </c>
      <c r="AD134">
        <f>HYPERLINK("https://klasma.github.io/Logging_2161/tillsynsmail/A 53249-2023 tillsynsbegäran mail.docx", "A 53249-2023")</f>
        <v/>
      </c>
    </row>
    <row r="135" ht="15" customHeight="1">
      <c r="A135" t="inlineStr">
        <is>
          <t>A 23-2026</t>
        </is>
      </c>
      <c r="B135" t="inlineStr">
        <is>
          <t>avverkningsanmälan</t>
        </is>
      </c>
      <c r="C135" t="inlineStr">
        <is>
          <t>Föryngringsavverkning</t>
        </is>
      </c>
      <c r="D135" s="1" t="n">
        <v>46023</v>
      </c>
      <c r="E135" s="1" t="n">
        <v>46292</v>
      </c>
      <c r="F135" t="inlineStr">
        <is>
          <t>GÄVLEBORGS LÄN</t>
        </is>
      </c>
      <c r="G135" t="inlineStr">
        <is>
          <t>LJUSDAL</t>
        </is>
      </c>
      <c r="I135" t="n">
        <v>3.7</v>
      </c>
      <c r="J135" t="n">
        <v>0</v>
      </c>
      <c r="K135" t="n">
        <v>0</v>
      </c>
      <c r="L135" t="n">
        <v>2</v>
      </c>
      <c r="M135" t="n">
        <v>2</v>
      </c>
      <c r="N135" t="n">
        <v>0</v>
      </c>
      <c r="O135" t="n">
        <v>0</v>
      </c>
      <c r="P135" t="n">
        <v>0</v>
      </c>
      <c r="Q135" t="n">
        <v>4</v>
      </c>
      <c r="R135" t="n">
        <v>2</v>
      </c>
      <c r="S135" t="n">
        <v>4</v>
      </c>
      <c r="T135" t="n">
        <v>6</v>
      </c>
      <c r="U135" t="n">
        <v>0</v>
      </c>
      <c r="V135" s="2" t="inlineStr">
        <is>
          <t>Garnlav
Smalfotad taggsvamp
Dropptaggsvamp
Talltagel</t>
        </is>
      </c>
      <c r="W135">
        <f>HYPERLINK("https://klasma.github.io/Logging_2161/artfynd/A 23-2026 artfynd.xlsx", "A 23-2026")</f>
        <v/>
      </c>
      <c r="X135">
        <f>HYPERLINK("https://klasma.github.io/Logging_2161/kartor/A 23-2026 karta.png", "A 23-2026")</f>
        <v/>
      </c>
      <c r="Y135">
        <f>HYPERLINK("https://klasma.github.io/Logging_2161/kartor_geotiff/A 23-2026 georefererad karta.tif", "A 23-2026")</f>
        <v/>
      </c>
      <c r="AA135">
        <f>HYPERLINK("https://klasma.github.io/Logging_2161/klagomål/A 23-2026 FSC-klagomål.docx", "A 23-2026")</f>
        <v/>
      </c>
      <c r="AB135">
        <f>HYPERLINK("https://klasma.github.io/Logging_2161/klagomålsmail/A 23-2026 FSC-klagomål mail.docx", "A 23-2026")</f>
        <v/>
      </c>
      <c r="AC135">
        <f>HYPERLINK("https://klasma.github.io/Logging_2161/tillsyn/A 23-2026 tillsynsbegäran.docx", "A 23-2026")</f>
        <v/>
      </c>
      <c r="AD135">
        <f>HYPERLINK("https://klasma.github.io/Logging_2161/tillsynsmail/A 23-2026 tillsynsbegäran mail.docx", "A 23-2026")</f>
        <v/>
      </c>
    </row>
    <row r="136" ht="15" customHeight="1">
      <c r="A136" t="inlineStr">
        <is>
          <t>A 38591-2025</t>
        </is>
      </c>
      <c r="B136" t="inlineStr">
        <is>
          <t>avverkningsanmälan</t>
        </is>
      </c>
      <c r="C136" t="inlineStr">
        <is>
          <t>Föryngringsavverkning</t>
        </is>
      </c>
      <c r="D136" s="1" t="n">
        <v>45884</v>
      </c>
      <c r="E136" s="1" t="n">
        <v>46292</v>
      </c>
      <c r="F136" t="inlineStr">
        <is>
          <t>GÄVLEBORGS LÄN</t>
        </is>
      </c>
      <c r="G136" t="inlineStr">
        <is>
          <t>LJUSDAL</t>
        </is>
      </c>
      <c r="H136" t="inlineStr">
        <is>
          <t>Bergvik skog väst AB</t>
        </is>
      </c>
      <c r="I136" t="n">
        <v>0.7</v>
      </c>
      <c r="J136" t="n">
        <v>0</v>
      </c>
      <c r="K136" t="n">
        <v>2</v>
      </c>
      <c r="L136" t="n">
        <v>2</v>
      </c>
      <c r="M136" t="n">
        <v>0</v>
      </c>
      <c r="N136" t="n">
        <v>0</v>
      </c>
      <c r="O136" t="n">
        <v>0</v>
      </c>
      <c r="P136" t="n">
        <v>0</v>
      </c>
      <c r="Q136" t="n">
        <v>2</v>
      </c>
      <c r="R136" t="n">
        <v>0</v>
      </c>
      <c r="S136" t="n">
        <v>4</v>
      </c>
      <c r="T136" t="n">
        <v>4</v>
      </c>
      <c r="U136" t="n">
        <v>0</v>
      </c>
      <c r="V136" s="2" t="inlineStr">
        <is>
          <t>Lunglav
Skrovellav
Skinnlav
Stuplav</t>
        </is>
      </c>
      <c r="W136">
        <f>HYPERLINK("https://klasma.github.io/Logging_2161/artfynd/A 38591-2025 artfynd.xlsx", "A 38591-2025")</f>
        <v/>
      </c>
      <c r="X136">
        <f>HYPERLINK("https://klasma.github.io/Logging_2161/kartor/A 38591-2025 karta.png", "A 38591-2025")</f>
        <v/>
      </c>
      <c r="Y136">
        <f>HYPERLINK("https://klasma.github.io/Logging_2161/kartor_geotiff/A 38591-2025 georefererad karta.tif", "A 38591-2025")</f>
        <v/>
      </c>
      <c r="AA136">
        <f>HYPERLINK("https://klasma.github.io/Logging_2161/klagomål/A 38591-2025 FSC-klagomål.docx", "A 38591-2025")</f>
        <v/>
      </c>
      <c r="AB136">
        <f>HYPERLINK("https://klasma.github.io/Logging_2161/klagomålsmail/A 38591-2025 FSC-klagomål mail.docx", "A 38591-2025")</f>
        <v/>
      </c>
      <c r="AC136">
        <f>HYPERLINK("https://klasma.github.io/Logging_2161/tillsyn/A 38591-2025 tillsynsbegäran.docx", "A 38591-2025")</f>
        <v/>
      </c>
      <c r="AD136">
        <f>HYPERLINK("https://klasma.github.io/Logging_2161/tillsynsmail/A 38591-2025 tillsynsbegäran mail.docx", "A 38591-2025")</f>
        <v/>
      </c>
    </row>
    <row r="137" ht="15" customHeight="1">
      <c r="A137" t="inlineStr">
        <is>
          <t>A 36627-2024</t>
        </is>
      </c>
      <c r="B137" t="inlineStr">
        <is>
          <t>avverkningsanmälan</t>
        </is>
      </c>
      <c r="C137" t="inlineStr">
        <is>
          <t>Föryngringsavverkning</t>
        </is>
      </c>
      <c r="D137" s="1" t="n">
        <v>45537</v>
      </c>
      <c r="E137" s="1" t="n">
        <v>46292</v>
      </c>
      <c r="F137" t="inlineStr">
        <is>
          <t>GÄVLEBORGS LÄN</t>
        </is>
      </c>
      <c r="G137" t="inlineStr">
        <is>
          <t>LJUSDAL</t>
        </is>
      </c>
      <c r="H137" t="inlineStr">
        <is>
          <t>Sveaskog</t>
        </is>
      </c>
      <c r="I137" t="n">
        <v>11.8</v>
      </c>
      <c r="J137" t="n">
        <v>0</v>
      </c>
      <c r="K137" t="n">
        <v>0</v>
      </c>
      <c r="L137" t="n">
        <v>3</v>
      </c>
      <c r="M137" t="n">
        <v>1</v>
      </c>
      <c r="N137" t="n">
        <v>0</v>
      </c>
      <c r="O137" t="n">
        <v>0</v>
      </c>
      <c r="P137" t="n">
        <v>0</v>
      </c>
      <c r="Q137" t="n">
        <v>4</v>
      </c>
      <c r="R137" t="n">
        <v>1</v>
      </c>
      <c r="S137" t="n">
        <v>4</v>
      </c>
      <c r="T137" t="n">
        <v>7</v>
      </c>
      <c r="U137" t="n">
        <v>7</v>
      </c>
      <c r="V137" s="2" t="inlineStr">
        <is>
          <t>Garnlav
Kolflarnlav
Mörk kolflarnlav
Orange taggsvamp</t>
        </is>
      </c>
      <c r="W137">
        <f>HYPERLINK("https://klasma.github.io/Logging_2161/artfynd/A 36627-2024 artfynd.xlsx", "A 36627-2024")</f>
        <v/>
      </c>
      <c r="X137">
        <f>HYPERLINK("https://klasma.github.io/Logging_2161/kartor/A 36627-2024 karta.png", "A 36627-2024")</f>
        <v/>
      </c>
      <c r="Y137">
        <f>HYPERLINK("https://klasma.github.io/Logging_2161/kartor_geotiff/A 36627-2024 georefererad karta.tif", "A 36627-2024")</f>
        <v/>
      </c>
      <c r="AA137">
        <f>HYPERLINK("https://klasma.github.io/Logging_2161/klagomål/A 36627-2024 FSC-klagomål.docx", "A 36627-2024")</f>
        <v/>
      </c>
      <c r="AB137">
        <f>HYPERLINK("https://klasma.github.io/Logging_2161/klagomålsmail/A 36627-2024 FSC-klagomål mail.docx", "A 36627-2024")</f>
        <v/>
      </c>
      <c r="AC137">
        <f>HYPERLINK("https://klasma.github.io/Logging_2161/tillsyn/A 36627-2024 tillsynsbegäran.docx", "A 36627-2024")</f>
        <v/>
      </c>
      <c r="AD137">
        <f>HYPERLINK("https://klasma.github.io/Logging_2161/tillsynsmail/A 36627-2024 tillsynsbegäran mail.docx", "A 36627-2024")</f>
        <v/>
      </c>
    </row>
    <row r="138" ht="15" customHeight="1">
      <c r="A138" t="inlineStr">
        <is>
          <t>A 41922-2025</t>
        </is>
      </c>
      <c r="B138" t="inlineStr">
        <is>
          <t>avverkningsanmälan</t>
        </is>
      </c>
      <c r="C138" t="inlineStr">
        <is>
          <t>Föryngringsavverkning</t>
        </is>
      </c>
      <c r="D138" s="1" t="n">
        <v>45903</v>
      </c>
      <c r="E138" s="1" t="n">
        <v>46292</v>
      </c>
      <c r="F138" t="inlineStr">
        <is>
          <t>GÄVLEBORGS LÄN</t>
        </is>
      </c>
      <c r="G138" t="inlineStr">
        <is>
          <t>LJUSDAL</t>
        </is>
      </c>
      <c r="H138" t="inlineStr">
        <is>
          <t>Bergvik skog väst AB</t>
        </is>
      </c>
      <c r="I138" t="n">
        <v>3.7</v>
      </c>
      <c r="J138" t="n">
        <v>0</v>
      </c>
      <c r="K138" t="n">
        <v>1</v>
      </c>
      <c r="L138" t="n">
        <v>2</v>
      </c>
      <c r="M138" t="n">
        <v>1</v>
      </c>
      <c r="N138" t="n">
        <v>0</v>
      </c>
      <c r="O138" t="n">
        <v>0</v>
      </c>
      <c r="P138" t="n">
        <v>0</v>
      </c>
      <c r="Q138" t="n">
        <v>3</v>
      </c>
      <c r="R138" t="n">
        <v>1</v>
      </c>
      <c r="S138" t="n">
        <v>4</v>
      </c>
      <c r="T138" t="n">
        <v>6</v>
      </c>
      <c r="U138" t="n">
        <v>0</v>
      </c>
      <c r="V138" s="2" t="inlineStr">
        <is>
          <t>Garnlav
Blanksvart spiklav
Kolflarnlav
Bollvitmossa</t>
        </is>
      </c>
      <c r="W138">
        <f>HYPERLINK("https://klasma.github.io/Logging_2161/artfynd/A 41922-2025 artfynd.xlsx", "A 41922-2025")</f>
        <v/>
      </c>
      <c r="X138">
        <f>HYPERLINK("https://klasma.github.io/Logging_2161/kartor/A 41922-2025 karta.png", "A 41922-2025")</f>
        <v/>
      </c>
      <c r="Y138">
        <f>HYPERLINK("https://klasma.github.io/Logging_2161/kartor_geotiff/A 41922-2025 georefererad karta.tif", "A 41922-2025")</f>
        <v/>
      </c>
      <c r="AA138">
        <f>HYPERLINK("https://klasma.github.io/Logging_2161/klagomål/A 41922-2025 FSC-klagomål.docx", "A 41922-2025")</f>
        <v/>
      </c>
      <c r="AB138">
        <f>HYPERLINK("https://klasma.github.io/Logging_2161/klagomålsmail/A 41922-2025 FSC-klagomål mail.docx", "A 41922-2025")</f>
        <v/>
      </c>
      <c r="AC138">
        <f>HYPERLINK("https://klasma.github.io/Logging_2161/tillsyn/A 41922-2025 tillsynsbegäran.docx", "A 41922-2025")</f>
        <v/>
      </c>
      <c r="AD138">
        <f>HYPERLINK("https://klasma.github.io/Logging_2161/tillsynsmail/A 41922-2025 tillsynsbegäran mail.docx", "A 41922-2025")</f>
        <v/>
      </c>
    </row>
    <row r="139" ht="15" customHeight="1">
      <c r="A139" t="inlineStr">
        <is>
          <t>A 42022-2025</t>
        </is>
      </c>
      <c r="B139" t="inlineStr">
        <is>
          <t>avverkningsanmälan</t>
        </is>
      </c>
      <c r="C139" t="inlineStr">
        <is>
          <t>Föryngringsavverkning</t>
        </is>
      </c>
      <c r="D139" s="1" t="n">
        <v>45903</v>
      </c>
      <c r="E139" s="1" t="n">
        <v>46292</v>
      </c>
      <c r="F139" t="inlineStr">
        <is>
          <t>GÄVLEBORGS LÄN</t>
        </is>
      </c>
      <c r="G139" t="inlineStr">
        <is>
          <t>LJUSDAL</t>
        </is>
      </c>
      <c r="H139" t="inlineStr">
        <is>
          <t>Sveaskog</t>
        </is>
      </c>
      <c r="I139" t="n">
        <v>17.7</v>
      </c>
      <c r="J139" t="n">
        <v>1</v>
      </c>
      <c r="K139" t="n">
        <v>0</v>
      </c>
      <c r="L139" t="n">
        <v>3</v>
      </c>
      <c r="M139" t="n">
        <v>1</v>
      </c>
      <c r="N139" t="n">
        <v>0</v>
      </c>
      <c r="O139" t="n">
        <v>0</v>
      </c>
      <c r="P139" t="n">
        <v>0</v>
      </c>
      <c r="Q139" t="n">
        <v>4</v>
      </c>
      <c r="R139" t="n">
        <v>1</v>
      </c>
      <c r="S139" t="n">
        <v>4</v>
      </c>
      <c r="T139" t="n">
        <v>5</v>
      </c>
      <c r="U139" t="n">
        <v>5</v>
      </c>
      <c r="V139" s="2" t="inlineStr">
        <is>
          <t>Garnlav
Kolflarnlav
Lavskrika
Vedflamlav</t>
        </is>
      </c>
      <c r="W139">
        <f>HYPERLINK("https://klasma.github.io/Logging_2161/artfynd/A 42022-2025 artfynd.xlsx", "A 42022-2025")</f>
        <v/>
      </c>
      <c r="X139">
        <f>HYPERLINK("https://klasma.github.io/Logging_2161/kartor/A 42022-2025 karta.png", "A 42022-2025")</f>
        <v/>
      </c>
      <c r="Y139">
        <f>HYPERLINK("https://klasma.github.io/Logging_2161/kartor_geotiff/A 42022-2025 georefererad karta.tif", "A 42022-2025")</f>
        <v/>
      </c>
      <c r="AA139">
        <f>HYPERLINK("https://klasma.github.io/Logging_2161/klagomål/A 42022-2025 FSC-klagomål.docx", "A 42022-2025")</f>
        <v/>
      </c>
      <c r="AB139">
        <f>HYPERLINK("https://klasma.github.io/Logging_2161/klagomålsmail/A 42022-2025 FSC-klagomål mail.docx", "A 42022-2025")</f>
        <v/>
      </c>
      <c r="AC139">
        <f>HYPERLINK("https://klasma.github.io/Logging_2161/tillsyn/A 42022-2025 tillsynsbegäran.docx", "A 42022-2025")</f>
        <v/>
      </c>
      <c r="AD139">
        <f>HYPERLINK("https://klasma.github.io/Logging_2161/tillsynsmail/A 42022-2025 tillsynsbegäran mail.docx", "A 42022-2025")</f>
        <v/>
      </c>
      <c r="AE139">
        <f>HYPERLINK("https://klasma.github.io/Logging_2161/fåglar/A 42022-2025 prioriterade fågelarter.docx", "A 42022-2025")</f>
        <v/>
      </c>
    </row>
    <row r="140" ht="15" customHeight="1">
      <c r="A140" t="inlineStr">
        <is>
          <t>A 42046-2025</t>
        </is>
      </c>
      <c r="B140" t="inlineStr">
        <is>
          <t>avverkningsanmälan</t>
        </is>
      </c>
      <c r="C140" t="inlineStr">
        <is>
          <t>Föryngringsavverkning</t>
        </is>
      </c>
      <c r="D140" s="1" t="n">
        <v>45903</v>
      </c>
      <c r="E140" s="1" t="n">
        <v>46292</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42046-2025 artfynd.xlsx", "A 42046-2025")</f>
        <v/>
      </c>
      <c r="X140">
        <f>HYPERLINK("https://klasma.github.io/Logging_2161/kartor/A 42046-2025 karta.png", "A 42046-2025")</f>
        <v/>
      </c>
      <c r="Y140">
        <f>HYPERLINK("https://klasma.github.io/Logging_2161/kartor_geotiff/A 42046-2025 georefererad karta.tif", "A 42046-2025")</f>
        <v/>
      </c>
      <c r="AA140">
        <f>HYPERLINK("https://klasma.github.io/Logging_2161/klagomål/A 42046-2025 FSC-klagomål.docx", "A 42046-2025")</f>
        <v/>
      </c>
      <c r="AB140">
        <f>HYPERLINK("https://klasma.github.io/Logging_2161/klagomålsmail/A 42046-2025 FSC-klagomål mail.docx", "A 42046-2025")</f>
        <v/>
      </c>
      <c r="AC140">
        <f>HYPERLINK("https://klasma.github.io/Logging_2161/tillsyn/A 42046-2025 tillsynsbegäran.docx", "A 42046-2025")</f>
        <v/>
      </c>
      <c r="AD140">
        <f>HYPERLINK("https://klasma.github.io/Logging_2161/tillsynsmail/A 42046-2025 tillsynsbegäran mail.docx", "A 42046-2025")</f>
        <v/>
      </c>
    </row>
    <row r="141" ht="15" customHeight="1">
      <c r="A141" t="inlineStr">
        <is>
          <t>A 42460-2025</t>
        </is>
      </c>
      <c r="B141" t="inlineStr">
        <is>
          <t>avverkningsanmälan</t>
        </is>
      </c>
      <c r="C141" t="inlineStr">
        <is>
          <t>Föryngringsavverkning</t>
        </is>
      </c>
      <c r="D141" s="1" t="n">
        <v>45905</v>
      </c>
      <c r="E141" s="1" t="n">
        <v>46292</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42460-2025 artfynd.xlsx", "A 42460-2025")</f>
        <v/>
      </c>
      <c r="X141">
        <f>HYPERLINK("https://klasma.github.io/Logging_2161/kartor/A 42460-2025 karta.png", "A 42460-2025")</f>
        <v/>
      </c>
      <c r="Y141">
        <f>HYPERLINK("https://klasma.github.io/Logging_2161/kartor_geotiff/A 42460-2025 georefererad karta.tif", "A 42460-2025")</f>
        <v/>
      </c>
      <c r="AA141">
        <f>HYPERLINK("https://klasma.github.io/Logging_2161/klagomål/A 42460-2025 FSC-klagomål.docx", "A 42460-2025")</f>
        <v/>
      </c>
      <c r="AB141">
        <f>HYPERLINK("https://klasma.github.io/Logging_2161/klagomålsmail/A 42460-2025 FSC-klagomål mail.docx", "A 42460-2025")</f>
        <v/>
      </c>
      <c r="AC141">
        <f>HYPERLINK("https://klasma.github.io/Logging_2161/tillsyn/A 42460-2025 tillsynsbegäran.docx", "A 42460-2025")</f>
        <v/>
      </c>
      <c r="AD141">
        <f>HYPERLINK("https://klasma.github.io/Logging_2161/tillsynsmail/A 42460-2025 tillsynsbegäran mail.docx", "A 42460-2025")</f>
        <v/>
      </c>
    </row>
    <row r="142" ht="15" customHeight="1">
      <c r="A142" t="inlineStr">
        <is>
          <t>A 31615-2024</t>
        </is>
      </c>
      <c r="B142" t="inlineStr">
        <is>
          <t>avverkningsanmälan</t>
        </is>
      </c>
      <c r="C142" t="inlineStr">
        <is>
          <t>Föryngringsavverkning</t>
        </is>
      </c>
      <c r="D142" s="1" t="n">
        <v>45506</v>
      </c>
      <c r="E142" s="1" t="n">
        <v>46292</v>
      </c>
      <c r="F142" t="inlineStr">
        <is>
          <t>GÄVLEBORGS LÄN</t>
        </is>
      </c>
      <c r="G142" t="inlineStr">
        <is>
          <t>LJUSDAL</t>
        </is>
      </c>
      <c r="H142" t="inlineStr">
        <is>
          <t>Sveaskog</t>
        </is>
      </c>
      <c r="I142" t="n">
        <v>15.8</v>
      </c>
      <c r="J142" t="n">
        <v>0</v>
      </c>
      <c r="K142" t="n">
        <v>0</v>
      </c>
      <c r="L142" t="n">
        <v>4</v>
      </c>
      <c r="M142" t="n">
        <v>0</v>
      </c>
      <c r="N142" t="n">
        <v>0</v>
      </c>
      <c r="O142" t="n">
        <v>0</v>
      </c>
      <c r="P142" t="n">
        <v>0</v>
      </c>
      <c r="Q142" t="n">
        <v>4</v>
      </c>
      <c r="R142" t="n">
        <v>0</v>
      </c>
      <c r="S142" t="n">
        <v>4</v>
      </c>
      <c r="T142" t="n">
        <v>6</v>
      </c>
      <c r="U142" t="n">
        <v>6</v>
      </c>
      <c r="V142" s="2" t="inlineStr">
        <is>
          <t>Blanksvart spiklav
Kolflarnlav
Lunglav
Mörk kolflarnlav</t>
        </is>
      </c>
      <c r="W142">
        <f>HYPERLINK("https://klasma.github.io/Logging_2161/artfynd/A 31615-2024 artfynd.xlsx", "A 31615-2024")</f>
        <v/>
      </c>
      <c r="X142">
        <f>HYPERLINK("https://klasma.github.io/Logging_2161/kartor/A 31615-2024 karta.png", "A 31615-2024")</f>
        <v/>
      </c>
      <c r="Y142">
        <f>HYPERLINK("https://klasma.github.io/Logging_2161/kartor_geotiff/A 31615-2024 georefererad karta.tif", "A 31615-2024")</f>
        <v/>
      </c>
      <c r="AA142">
        <f>HYPERLINK("https://klasma.github.io/Logging_2161/klagomål/A 31615-2024 FSC-klagomål.docx", "A 31615-2024")</f>
        <v/>
      </c>
      <c r="AB142">
        <f>HYPERLINK("https://klasma.github.io/Logging_2161/klagomålsmail/A 31615-2024 FSC-klagomål mail.docx", "A 31615-2024")</f>
        <v/>
      </c>
      <c r="AC142">
        <f>HYPERLINK("https://klasma.github.io/Logging_2161/tillsyn/A 31615-2024 tillsynsbegäran.docx", "A 31615-2024")</f>
        <v/>
      </c>
      <c r="AD142">
        <f>HYPERLINK("https://klasma.github.io/Logging_2161/tillsynsmail/A 31615-2024 tillsynsbegäran mail.docx", "A 31615-2024")</f>
        <v/>
      </c>
    </row>
    <row r="143" ht="15" customHeight="1">
      <c r="A143" t="inlineStr">
        <is>
          <t>A 47876-2025</t>
        </is>
      </c>
      <c r="B143" t="inlineStr">
        <is>
          <t>avverkningsanmälan</t>
        </is>
      </c>
      <c r="C143" t="inlineStr">
        <is>
          <t>Föryngringsavverkning</t>
        </is>
      </c>
      <c r="D143" s="1" t="n">
        <v>45932</v>
      </c>
      <c r="E143" s="1" t="n">
        <v>46292</v>
      </c>
      <c r="F143" t="inlineStr">
        <is>
          <t>GÄVLEBORGS LÄN</t>
        </is>
      </c>
      <c r="G143" t="inlineStr">
        <is>
          <t>LJUSDAL</t>
        </is>
      </c>
      <c r="H143" t="inlineStr">
        <is>
          <t>Bergvik skog väst AB</t>
        </is>
      </c>
      <c r="I143" t="n">
        <v>0.9</v>
      </c>
      <c r="J143" t="n">
        <v>0</v>
      </c>
      <c r="K143" t="n">
        <v>0</v>
      </c>
      <c r="L143" t="n">
        <v>3</v>
      </c>
      <c r="M143" t="n">
        <v>1</v>
      </c>
      <c r="N143" t="n">
        <v>0</v>
      </c>
      <c r="O143" t="n">
        <v>0</v>
      </c>
      <c r="P143" t="n">
        <v>0</v>
      </c>
      <c r="Q143" t="n">
        <v>4</v>
      </c>
      <c r="R143" t="n">
        <v>1</v>
      </c>
      <c r="S143" t="n">
        <v>4</v>
      </c>
      <c r="T143" t="n">
        <v>7</v>
      </c>
      <c r="U143" t="n">
        <v>7</v>
      </c>
      <c r="V143" s="2" t="inlineStr">
        <is>
          <t>Garnlav
Kolflarnlav
Motaggsvamp
Mörk kolflarnlav</t>
        </is>
      </c>
      <c r="W143">
        <f>HYPERLINK("https://klasma.github.io/Logging_2161/artfynd/A 47876-2025 artfynd.xlsx", "A 47876-2025")</f>
        <v/>
      </c>
      <c r="X143">
        <f>HYPERLINK("https://klasma.github.io/Logging_2161/kartor/A 47876-2025 karta.png", "A 47876-2025")</f>
        <v/>
      </c>
      <c r="Y143">
        <f>HYPERLINK("https://klasma.github.io/Logging_2161/kartor_geotiff/A 47876-2025 georefererad karta.tif", "A 47876-2025")</f>
        <v/>
      </c>
      <c r="AA143">
        <f>HYPERLINK("https://klasma.github.io/Logging_2161/klagomål/A 47876-2025 FSC-klagomål.docx", "A 47876-2025")</f>
        <v/>
      </c>
      <c r="AB143">
        <f>HYPERLINK("https://klasma.github.io/Logging_2161/klagomålsmail/A 47876-2025 FSC-klagomål mail.docx", "A 47876-2025")</f>
        <v/>
      </c>
      <c r="AC143">
        <f>HYPERLINK("https://klasma.github.io/Logging_2161/tillsyn/A 47876-2025 tillsynsbegäran.docx", "A 47876-2025")</f>
        <v/>
      </c>
      <c r="AD143">
        <f>HYPERLINK("https://klasma.github.io/Logging_2161/tillsynsmail/A 47876-2025 tillsynsbegäran mail.docx", "A 47876-2025")</f>
        <v/>
      </c>
    </row>
    <row r="144" ht="15" customHeight="1">
      <c r="A144" t="inlineStr">
        <is>
          <t>A 48925-2025</t>
        </is>
      </c>
      <c r="B144" t="inlineStr">
        <is>
          <t>avverkningsanmälan</t>
        </is>
      </c>
      <c r="C144" t="inlineStr">
        <is>
          <t>Avverkning för att bevara och utveckla /försöksver</t>
        </is>
      </c>
      <c r="D144" s="1" t="n">
        <v>45937</v>
      </c>
      <c r="E144" s="1" t="n">
        <v>46292</v>
      </c>
      <c r="F144" t="inlineStr">
        <is>
          <t>GÄVLEBORGS LÄN</t>
        </is>
      </c>
      <c r="G144" t="inlineStr">
        <is>
          <t>LJUSDAL</t>
        </is>
      </c>
      <c r="H144" t="inlineStr">
        <is>
          <t>Sveaskog</t>
        </is>
      </c>
      <c r="I144" t="n">
        <v>4.5</v>
      </c>
      <c r="J144" t="n">
        <v>1</v>
      </c>
      <c r="K144" t="n">
        <v>0</v>
      </c>
      <c r="L144" t="n">
        <v>2</v>
      </c>
      <c r="M144" t="n">
        <v>2</v>
      </c>
      <c r="N144" t="n">
        <v>0</v>
      </c>
      <c r="O144" t="n">
        <v>0</v>
      </c>
      <c r="P144" t="n">
        <v>0</v>
      </c>
      <c r="Q144" t="n">
        <v>4</v>
      </c>
      <c r="R144" t="n">
        <v>2</v>
      </c>
      <c r="S144" t="n">
        <v>4</v>
      </c>
      <c r="T144" t="n">
        <v>10</v>
      </c>
      <c r="U144" t="n">
        <v>0</v>
      </c>
      <c r="V144" s="2" t="inlineStr">
        <is>
          <t>Garnlav
Knärot
Lunglav
Skrovellav</t>
        </is>
      </c>
      <c r="W144">
        <f>HYPERLINK("https://klasma.github.io/Logging_2161/artfynd/A 48925-2025 artfynd.xlsx", "A 48925-2025")</f>
        <v/>
      </c>
      <c r="X144">
        <f>HYPERLINK("https://klasma.github.io/Logging_2161/kartor/A 48925-2025 karta.png", "A 48925-2025")</f>
        <v/>
      </c>
      <c r="Y144">
        <f>HYPERLINK("https://klasma.github.io/Logging_2161/kartor_geotiff/A 48925-2025 georefererad karta.tif", "A 48925-2025")</f>
        <v/>
      </c>
      <c r="Z144">
        <f>HYPERLINK("https://klasma.github.io/Logging_2161/knärot/A 48925-2025 karta knärot.png", "A 48925-2025")</f>
        <v/>
      </c>
      <c r="AA144">
        <f>HYPERLINK("https://klasma.github.io/Logging_2161/klagomål/A 48925-2025 FSC-klagomål.docx", "A 48925-2025")</f>
        <v/>
      </c>
      <c r="AB144">
        <f>HYPERLINK("https://klasma.github.io/Logging_2161/klagomålsmail/A 48925-2025 FSC-klagomål mail.docx", "A 48925-2025")</f>
        <v/>
      </c>
      <c r="AC144">
        <f>HYPERLINK("https://klasma.github.io/Logging_2161/tillsyn/A 48925-2025 tillsynsbegäran.docx", "A 48925-2025")</f>
        <v/>
      </c>
      <c r="AD144">
        <f>HYPERLINK("https://klasma.github.io/Logging_2161/tillsynsmail/A 48925-2025 tillsynsbegäran mail.docx", "A 48925-2025")</f>
        <v/>
      </c>
    </row>
    <row r="145" ht="15" customHeight="1">
      <c r="A145" t="inlineStr">
        <is>
          <t>A 48823-2025</t>
        </is>
      </c>
      <c r="B145" t="inlineStr">
        <is>
          <t>avverkningsanmälan</t>
        </is>
      </c>
      <c r="C145" t="inlineStr">
        <is>
          <t>Föryngringsavverkning</t>
        </is>
      </c>
      <c r="D145" s="1" t="n">
        <v>45937</v>
      </c>
      <c r="E145" s="1" t="n">
        <v>46292</v>
      </c>
      <c r="F145" t="inlineStr">
        <is>
          <t>GÄVLEBORGS LÄN</t>
        </is>
      </c>
      <c r="G145" t="inlineStr">
        <is>
          <t>LJUSDAL</t>
        </is>
      </c>
      <c r="H145" t="inlineStr">
        <is>
          <t>Sveaskog</t>
        </is>
      </c>
      <c r="I145" t="n">
        <v>5</v>
      </c>
      <c r="J145" t="n">
        <v>2</v>
      </c>
      <c r="K145" t="n">
        <v>0</v>
      </c>
      <c r="L145" t="n">
        <v>2</v>
      </c>
      <c r="M145" t="n">
        <v>1</v>
      </c>
      <c r="N145" t="n">
        <v>0</v>
      </c>
      <c r="O145" t="n">
        <v>0</v>
      </c>
      <c r="P145" t="n">
        <v>0</v>
      </c>
      <c r="Q145" t="n">
        <v>3</v>
      </c>
      <c r="R145" t="n">
        <v>1</v>
      </c>
      <c r="S145" t="n">
        <v>4</v>
      </c>
      <c r="T145" t="n">
        <v>5</v>
      </c>
      <c r="U145" t="n">
        <v>5</v>
      </c>
      <c r="V145" s="2" t="inlineStr">
        <is>
          <t>Knärot
Kolflarnlav
Motaggsvamp
Revlummer</t>
        </is>
      </c>
      <c r="W145">
        <f>HYPERLINK("https://klasma.github.io/Logging_2161/artfynd/A 48823-2025 artfynd.xlsx", "A 48823-2025")</f>
        <v/>
      </c>
      <c r="X145">
        <f>HYPERLINK("https://klasma.github.io/Logging_2161/kartor/A 48823-2025 karta.png", "A 48823-2025")</f>
        <v/>
      </c>
      <c r="Y145">
        <f>HYPERLINK("https://klasma.github.io/Logging_2161/kartor_geotiff/A 48823-2025 georefererad karta.tif", "A 48823-2025")</f>
        <v/>
      </c>
      <c r="Z145">
        <f>HYPERLINK("https://klasma.github.io/Logging_2161/knärot/A 48823-2025 karta knärot.png", "A 48823-2025")</f>
        <v/>
      </c>
      <c r="AA145">
        <f>HYPERLINK("https://klasma.github.io/Logging_2161/klagomål/A 48823-2025 FSC-klagomål.docx", "A 48823-2025")</f>
        <v/>
      </c>
      <c r="AB145">
        <f>HYPERLINK("https://klasma.github.io/Logging_2161/klagomålsmail/A 48823-2025 FSC-klagomål mail.docx", "A 48823-2025")</f>
        <v/>
      </c>
      <c r="AC145">
        <f>HYPERLINK("https://klasma.github.io/Logging_2161/tillsyn/A 48823-2025 tillsynsbegäran.docx", "A 48823-2025")</f>
        <v/>
      </c>
      <c r="AD145">
        <f>HYPERLINK("https://klasma.github.io/Logging_2161/tillsynsmail/A 48823-2025 tillsynsbegäran mail.docx", "A 48823-2025")</f>
        <v/>
      </c>
    </row>
    <row r="146" ht="15" customHeight="1">
      <c r="A146" t="inlineStr">
        <is>
          <t>A 19975-2026</t>
        </is>
      </c>
      <c r="B146" t="inlineStr">
        <is>
          <t>avverkningsanmälan</t>
        </is>
      </c>
      <c r="C146" t="inlineStr">
        <is>
          <t>Föryngringsavverkning</t>
        </is>
      </c>
      <c r="D146" s="1" t="n">
        <v>46136</v>
      </c>
      <c r="E146" s="1" t="n">
        <v>46292</v>
      </c>
      <c r="F146" t="inlineStr">
        <is>
          <t>GÄVLEBORGS LÄN</t>
        </is>
      </c>
      <c r="G146" t="inlineStr">
        <is>
          <t>LJUSDAL</t>
        </is>
      </c>
      <c r="H146" t="inlineStr">
        <is>
          <t>Allmännings- och besparingsskogar</t>
        </is>
      </c>
      <c r="I146" t="n">
        <v>4.2</v>
      </c>
      <c r="J146" t="n">
        <v>2</v>
      </c>
      <c r="K146" t="n">
        <v>1</v>
      </c>
      <c r="L146" t="n">
        <v>0</v>
      </c>
      <c r="M146" t="n">
        <v>1</v>
      </c>
      <c r="N146" t="n">
        <v>0</v>
      </c>
      <c r="O146" t="n">
        <v>0</v>
      </c>
      <c r="P146" t="n">
        <v>0</v>
      </c>
      <c r="Q146" t="n">
        <v>1</v>
      </c>
      <c r="R146" t="n">
        <v>1</v>
      </c>
      <c r="S146" t="n">
        <v>4</v>
      </c>
      <c r="T146" t="n">
        <v>7</v>
      </c>
      <c r="U146" t="n">
        <v>7</v>
      </c>
      <c r="V146" s="2" t="inlineStr">
        <is>
          <t>Garnlav
Mindre märgborre
Spillkråka
Tjäder</t>
        </is>
      </c>
      <c r="W146">
        <f>HYPERLINK("https://klasma.github.io/Logging_2161/artfynd/A 19975-2026 artfynd.xlsx", "A 19975-2026")</f>
        <v/>
      </c>
      <c r="X146">
        <f>HYPERLINK("https://klasma.github.io/Logging_2161/kartor/A 19975-2026 karta.png", "A 19975-2026")</f>
        <v/>
      </c>
      <c r="Y146">
        <f>HYPERLINK("https://klasma.github.io/Logging_2161/kartor_geotiff/A 19975-2026 georefererad karta.tif", "A 19975-2026")</f>
        <v/>
      </c>
      <c r="AA146">
        <f>HYPERLINK("https://klasma.github.io/Logging_2161/klagomål/A 19975-2026 FSC-klagomål.docx", "A 19975-2026")</f>
        <v/>
      </c>
      <c r="AB146">
        <f>HYPERLINK("https://klasma.github.io/Logging_2161/klagomålsmail/A 19975-2026 FSC-klagomål mail.docx", "A 19975-2026")</f>
        <v/>
      </c>
      <c r="AC146">
        <f>HYPERLINK("https://klasma.github.io/Logging_2161/tillsyn/A 19975-2026 tillsynsbegäran.docx", "A 19975-2026")</f>
        <v/>
      </c>
      <c r="AD146">
        <f>HYPERLINK("https://klasma.github.io/Logging_2161/tillsynsmail/A 19975-2026 tillsynsbegäran mail.docx", "A 19975-2026")</f>
        <v/>
      </c>
      <c r="AE146">
        <f>HYPERLINK("https://klasma.github.io/Logging_2161/fåglar/A 19975-2026 prioriterade fågelarter.docx", "A 19975-2026")</f>
        <v/>
      </c>
    </row>
    <row r="147" ht="15" customHeight="1">
      <c r="A147" t="inlineStr">
        <is>
          <t>A 21474-2023</t>
        </is>
      </c>
      <c r="B147" t="inlineStr">
        <is>
          <t>avverkningsanmälan</t>
        </is>
      </c>
      <c r="C147" t="inlineStr">
        <is>
          <t>Föryngringsavverkning</t>
        </is>
      </c>
      <c r="D147" s="1" t="n">
        <v>45063</v>
      </c>
      <c r="E147" s="1" t="n">
        <v>46292</v>
      </c>
      <c r="F147" t="inlineStr">
        <is>
          <t>GÄVLEBORGS LÄN</t>
        </is>
      </c>
      <c r="G147" t="inlineStr">
        <is>
          <t>LJUSDAL</t>
        </is>
      </c>
      <c r="H147" t="inlineStr">
        <is>
          <t>Sveaskog</t>
        </is>
      </c>
      <c r="I147" t="n">
        <v>4.3</v>
      </c>
      <c r="J147" t="n">
        <v>3</v>
      </c>
      <c r="K147" t="n">
        <v>0</v>
      </c>
      <c r="L147" t="n">
        <v>0</v>
      </c>
      <c r="M147" t="n">
        <v>2</v>
      </c>
      <c r="N147" t="n">
        <v>0</v>
      </c>
      <c r="O147" t="n">
        <v>0</v>
      </c>
      <c r="P147" t="n">
        <v>0</v>
      </c>
      <c r="Q147" t="n">
        <v>2</v>
      </c>
      <c r="R147" t="n">
        <v>2</v>
      </c>
      <c r="S147" t="n">
        <v>4</v>
      </c>
      <c r="T147" t="n">
        <v>7</v>
      </c>
      <c r="U147" t="n">
        <v>7</v>
      </c>
      <c r="V147" s="2" t="inlineStr">
        <is>
          <t>Garnlav
Knärot
Tjäder
Fläcknycklar</t>
        </is>
      </c>
      <c r="W147">
        <f>HYPERLINK("https://klasma.github.io/Logging_2161/artfynd/A 21474-2023 artfynd.xlsx", "A 21474-2023")</f>
        <v/>
      </c>
      <c r="X147">
        <f>HYPERLINK("https://klasma.github.io/Logging_2161/kartor/A 21474-2023 karta.png", "A 21474-2023")</f>
        <v/>
      </c>
      <c r="Y147">
        <f>HYPERLINK("https://klasma.github.io/Logging_2161/kartor_geotiff/A 21474-2023 georefererad karta.tif", "A 21474-2023")</f>
        <v/>
      </c>
      <c r="Z147">
        <f>HYPERLINK("https://klasma.github.io/Logging_2161/knärot/A 21474-2023 karta knärot.png", "A 21474-2023")</f>
        <v/>
      </c>
      <c r="AA147">
        <f>HYPERLINK("https://klasma.github.io/Logging_2161/klagomål/A 21474-2023 FSC-klagomål.docx", "A 21474-2023")</f>
        <v/>
      </c>
      <c r="AB147">
        <f>HYPERLINK("https://klasma.github.io/Logging_2161/klagomålsmail/A 21474-2023 FSC-klagomål mail.docx", "A 21474-2023")</f>
        <v/>
      </c>
      <c r="AC147">
        <f>HYPERLINK("https://klasma.github.io/Logging_2161/tillsyn/A 21474-2023 tillsynsbegäran.docx", "A 21474-2023")</f>
        <v/>
      </c>
      <c r="AD147">
        <f>HYPERLINK("https://klasma.github.io/Logging_2161/tillsynsmail/A 21474-2023 tillsynsbegäran mail.docx", "A 21474-2023")</f>
        <v/>
      </c>
      <c r="AE147">
        <f>HYPERLINK("https://klasma.github.io/Logging_2161/fåglar/A 21474-2023 prioriterade fågelarter.docx", "A 21474-2023")</f>
        <v/>
      </c>
    </row>
    <row r="148" ht="15" customHeight="1">
      <c r="A148" t="inlineStr">
        <is>
          <t>A 34757-2024</t>
        </is>
      </c>
      <c r="B148" t="inlineStr">
        <is>
          <t>avverkningsanmälan</t>
        </is>
      </c>
      <c r="C148" t="inlineStr">
        <is>
          <t>Föryngringsavverkning</t>
        </is>
      </c>
      <c r="D148" s="1" t="n">
        <v>45526</v>
      </c>
      <c r="E148" s="1" t="n">
        <v>46292</v>
      </c>
      <c r="F148" t="inlineStr">
        <is>
          <t>GÄVLEBORGS LÄN</t>
        </is>
      </c>
      <c r="G148" t="inlineStr">
        <is>
          <t>LJUSDAL</t>
        </is>
      </c>
      <c r="H148" t="inlineStr">
        <is>
          <t>Sveaskog</t>
        </is>
      </c>
      <c r="I148" t="n">
        <v>8.300000000000001</v>
      </c>
      <c r="J148" t="n">
        <v>0</v>
      </c>
      <c r="K148" t="n">
        <v>0</v>
      </c>
      <c r="L148" t="n">
        <v>3</v>
      </c>
      <c r="M148" t="n">
        <v>1</v>
      </c>
      <c r="N148" t="n">
        <v>0</v>
      </c>
      <c r="O148" t="n">
        <v>0</v>
      </c>
      <c r="P148" t="n">
        <v>0</v>
      </c>
      <c r="Q148" t="n">
        <v>4</v>
      </c>
      <c r="R148" t="n">
        <v>1</v>
      </c>
      <c r="S148" t="n">
        <v>4</v>
      </c>
      <c r="T148" t="n">
        <v>4</v>
      </c>
      <c r="U148" t="n">
        <v>4</v>
      </c>
      <c r="V148" s="2" t="inlineStr">
        <is>
          <t>Garnlav
Blå taggsvamp
Kolflarnlav
Lunglav</t>
        </is>
      </c>
      <c r="W148">
        <f>HYPERLINK("https://klasma.github.io/Logging_2161/artfynd/A 34757-2024 artfynd.xlsx", "A 34757-2024")</f>
        <v/>
      </c>
      <c r="X148">
        <f>HYPERLINK("https://klasma.github.io/Logging_2161/kartor/A 34757-2024 karta.png", "A 34757-2024")</f>
        <v/>
      </c>
      <c r="Y148">
        <f>HYPERLINK("https://klasma.github.io/Logging_2161/kartor_geotiff/A 34757-2024 georefererad karta.tif", "A 34757-2024")</f>
        <v/>
      </c>
      <c r="AA148">
        <f>HYPERLINK("https://klasma.github.io/Logging_2161/klagomål/A 34757-2024 FSC-klagomål.docx", "A 34757-2024")</f>
        <v/>
      </c>
      <c r="AB148">
        <f>HYPERLINK("https://klasma.github.io/Logging_2161/klagomålsmail/A 34757-2024 FSC-klagomål mail.docx", "A 34757-2024")</f>
        <v/>
      </c>
      <c r="AC148">
        <f>HYPERLINK("https://klasma.github.io/Logging_2161/tillsyn/A 34757-2024 tillsynsbegäran.docx", "A 34757-2024")</f>
        <v/>
      </c>
      <c r="AD148">
        <f>HYPERLINK("https://klasma.github.io/Logging_2161/tillsynsmail/A 34757-2024 tillsynsbegäran mail.docx", "A 34757-2024")</f>
        <v/>
      </c>
    </row>
    <row r="149" ht="15" customHeight="1">
      <c r="A149" t="inlineStr">
        <is>
          <t>A 28866-2025</t>
        </is>
      </c>
      <c r="B149" t="inlineStr">
        <is>
          <t>avverkningsanmälan</t>
        </is>
      </c>
      <c r="C149" t="inlineStr">
        <is>
          <t>Föryngringsavverkning</t>
        </is>
      </c>
      <c r="D149" s="1" t="n">
        <v>45820</v>
      </c>
      <c r="E149" s="1" t="n">
        <v>46292</v>
      </c>
      <c r="F149" t="inlineStr">
        <is>
          <t>GÄVLEBORGS LÄN</t>
        </is>
      </c>
      <c r="G149" t="inlineStr">
        <is>
          <t>LJUSDAL</t>
        </is>
      </c>
      <c r="H149" t="inlineStr">
        <is>
          <t>Bergvik skog väst AB</t>
        </is>
      </c>
      <c r="I149" t="n">
        <v>4.6</v>
      </c>
      <c r="J149" t="n">
        <v>3</v>
      </c>
      <c r="K149" t="n">
        <v>0</v>
      </c>
      <c r="L149" t="n">
        <v>1</v>
      </c>
      <c r="M149" t="n">
        <v>1</v>
      </c>
      <c r="N149" t="n">
        <v>0</v>
      </c>
      <c r="O149" t="n">
        <v>0</v>
      </c>
      <c r="P149" t="n">
        <v>0</v>
      </c>
      <c r="Q149" t="n">
        <v>2</v>
      </c>
      <c r="R149" t="n">
        <v>1</v>
      </c>
      <c r="S149" t="n">
        <v>4</v>
      </c>
      <c r="T149" t="n">
        <v>17</v>
      </c>
      <c r="U149" t="n">
        <v>17</v>
      </c>
      <c r="V149" s="2" t="inlineStr">
        <is>
          <t>Garnlav
Talltita
Järpe
Grönsiska</t>
        </is>
      </c>
      <c r="W149">
        <f>HYPERLINK("https://klasma.github.io/Logging_2161/artfynd/A 28866-2025 artfynd.xlsx", "A 28866-2025")</f>
        <v/>
      </c>
      <c r="X149">
        <f>HYPERLINK("https://klasma.github.io/Logging_2161/kartor/A 28866-2025 karta.png", "A 28866-2025")</f>
        <v/>
      </c>
      <c r="Y149">
        <f>HYPERLINK("https://klasma.github.io/Logging_2161/kartor_geotiff/A 28866-2025 georefererad karta.tif", "A 28866-2025")</f>
        <v/>
      </c>
      <c r="AA149">
        <f>HYPERLINK("https://klasma.github.io/Logging_2161/klagomål/A 28866-2025 FSC-klagomål.docx", "A 28866-2025")</f>
        <v/>
      </c>
      <c r="AB149">
        <f>HYPERLINK("https://klasma.github.io/Logging_2161/klagomålsmail/A 28866-2025 FSC-klagomål mail.docx", "A 28866-2025")</f>
        <v/>
      </c>
      <c r="AC149">
        <f>HYPERLINK("https://klasma.github.io/Logging_2161/tillsyn/A 28866-2025 tillsynsbegäran.docx", "A 28866-2025")</f>
        <v/>
      </c>
      <c r="AD149">
        <f>HYPERLINK("https://klasma.github.io/Logging_2161/tillsynsmail/A 28866-2025 tillsynsbegäran mail.docx", "A 28866-2025")</f>
        <v/>
      </c>
      <c r="AE149">
        <f>HYPERLINK("https://klasma.github.io/Logging_2161/fåglar/A 28866-2025 prioriterade fågelarter.docx", "A 28866-2025")</f>
        <v/>
      </c>
    </row>
    <row r="150" ht="15" customHeight="1">
      <c r="A150" t="inlineStr">
        <is>
          <t>A 31078-2025</t>
        </is>
      </c>
      <c r="B150" t="inlineStr">
        <is>
          <t>avverkningsanmälan</t>
        </is>
      </c>
      <c r="C150" t="inlineStr">
        <is>
          <t>Föryngringsavverkning</t>
        </is>
      </c>
      <c r="D150" s="1" t="n">
        <v>45832</v>
      </c>
      <c r="E150" s="1" t="n">
        <v>46292</v>
      </c>
      <c r="F150" t="inlineStr">
        <is>
          <t>GÄVLEBORGS LÄN</t>
        </is>
      </c>
      <c r="G150" t="inlineStr">
        <is>
          <t>LJUSDAL</t>
        </is>
      </c>
      <c r="H150" t="inlineStr">
        <is>
          <t>Allmännings- och besparingsskogar</t>
        </is>
      </c>
      <c r="I150" t="n">
        <v>2.9</v>
      </c>
      <c r="J150" t="n">
        <v>3</v>
      </c>
      <c r="K150" t="n">
        <v>2</v>
      </c>
      <c r="L150" t="n">
        <v>0</v>
      </c>
      <c r="M150" t="n">
        <v>1</v>
      </c>
      <c r="N150" t="n">
        <v>0</v>
      </c>
      <c r="O150" t="n">
        <v>0</v>
      </c>
      <c r="P150" t="n">
        <v>0</v>
      </c>
      <c r="Q150" t="n">
        <v>1</v>
      </c>
      <c r="R150" t="n">
        <v>1</v>
      </c>
      <c r="S150" t="n">
        <v>4</v>
      </c>
      <c r="T150" t="n">
        <v>7</v>
      </c>
      <c r="U150" t="n">
        <v>7</v>
      </c>
      <c r="V150" s="2" t="inlineStr">
        <is>
          <t>Garnlav
Korallrot
Spindelblomster
Fläcknycklar</t>
        </is>
      </c>
      <c r="W150">
        <f>HYPERLINK("https://klasma.github.io/Logging_2161/artfynd/A 31078-2025 artfynd.xlsx", "A 31078-2025")</f>
        <v/>
      </c>
      <c r="X150">
        <f>HYPERLINK("https://klasma.github.io/Logging_2161/kartor/A 31078-2025 karta.png", "A 31078-2025")</f>
        <v/>
      </c>
      <c r="Y150">
        <f>HYPERLINK("https://klasma.github.io/Logging_2161/kartor_geotiff/A 31078-2025 georefererad karta.tif", "A 31078-2025")</f>
        <v/>
      </c>
      <c r="AA150">
        <f>HYPERLINK("https://klasma.github.io/Logging_2161/klagomål/A 31078-2025 FSC-klagomål.docx", "A 31078-2025")</f>
        <v/>
      </c>
      <c r="AB150">
        <f>HYPERLINK("https://klasma.github.io/Logging_2161/klagomålsmail/A 31078-2025 FSC-klagomål mail.docx", "A 31078-2025")</f>
        <v/>
      </c>
      <c r="AC150">
        <f>HYPERLINK("https://klasma.github.io/Logging_2161/tillsyn/A 31078-2025 tillsynsbegäran.docx", "A 31078-2025")</f>
        <v/>
      </c>
      <c r="AD150">
        <f>HYPERLINK("https://klasma.github.io/Logging_2161/tillsynsmail/A 31078-2025 tillsynsbegäran mail.docx", "A 31078-2025")</f>
        <v/>
      </c>
    </row>
    <row r="151" ht="15" customHeight="1">
      <c r="A151" t="inlineStr">
        <is>
          <t>A 31062-2025</t>
        </is>
      </c>
      <c r="B151" t="inlineStr">
        <is>
          <t>avverkningsanmälan</t>
        </is>
      </c>
      <c r="C151" t="inlineStr">
        <is>
          <t>Föryngringsavverkning</t>
        </is>
      </c>
      <c r="D151" s="1" t="n">
        <v>45832</v>
      </c>
      <c r="E151" s="1" t="n">
        <v>46292</v>
      </c>
      <c r="F151" t="inlineStr">
        <is>
          <t>GÄVLEBORGS LÄN</t>
        </is>
      </c>
      <c r="G151" t="inlineStr">
        <is>
          <t>LJUSDAL</t>
        </is>
      </c>
      <c r="H151" t="inlineStr">
        <is>
          <t>Allmännings- och besparingsskogar</t>
        </is>
      </c>
      <c r="I151" t="n">
        <v>8.4</v>
      </c>
      <c r="J151" t="n">
        <v>4</v>
      </c>
      <c r="K151" t="n">
        <v>2</v>
      </c>
      <c r="L151" t="n">
        <v>0</v>
      </c>
      <c r="M151" t="n">
        <v>0</v>
      </c>
      <c r="N151" t="n">
        <v>0</v>
      </c>
      <c r="O151" t="n">
        <v>0</v>
      </c>
      <c r="P151" t="n">
        <v>0</v>
      </c>
      <c r="Q151" t="n">
        <v>0</v>
      </c>
      <c r="R151" t="n">
        <v>0</v>
      </c>
      <c r="S151" t="n">
        <v>4</v>
      </c>
      <c r="T151" t="n">
        <v>11</v>
      </c>
      <c r="U151" t="n">
        <v>11</v>
      </c>
      <c r="V151" s="2" t="inlineStr">
        <is>
          <t>Korallrot
Spindelblomster
Fläcknycklar
Ängsnycklar</t>
        </is>
      </c>
      <c r="W151">
        <f>HYPERLINK("https://klasma.github.io/Logging_2161/artfynd/A 31062-2025 artfynd.xlsx", "A 31062-2025")</f>
        <v/>
      </c>
      <c r="X151">
        <f>HYPERLINK("https://klasma.github.io/Logging_2161/kartor/A 31062-2025 karta.png", "A 31062-2025")</f>
        <v/>
      </c>
      <c r="Y151">
        <f>HYPERLINK("https://klasma.github.io/Logging_2161/kartor_geotiff/A 31062-2025 georefererad karta.tif", "A 31062-2025")</f>
        <v/>
      </c>
      <c r="AA151">
        <f>HYPERLINK("https://klasma.github.io/Logging_2161/klagomål/A 31062-2025 FSC-klagomål.docx", "A 31062-2025")</f>
        <v/>
      </c>
      <c r="AB151">
        <f>HYPERLINK("https://klasma.github.io/Logging_2161/klagomålsmail/A 31062-2025 FSC-klagomål mail.docx", "A 31062-2025")</f>
        <v/>
      </c>
      <c r="AC151">
        <f>HYPERLINK("https://klasma.github.io/Logging_2161/tillsyn/A 31062-2025 tillsynsbegäran.docx", "A 31062-2025")</f>
        <v/>
      </c>
      <c r="AD151">
        <f>HYPERLINK("https://klasma.github.io/Logging_2161/tillsynsmail/A 31062-2025 tillsynsbegäran mail.docx", "A 31062-2025")</f>
        <v/>
      </c>
    </row>
    <row r="152" ht="15" customHeight="1">
      <c r="A152" t="inlineStr">
        <is>
          <t>A 22399-2026</t>
        </is>
      </c>
      <c r="B152" t="inlineStr">
        <is>
          <t>avverkningsanmälan</t>
        </is>
      </c>
      <c r="C152" t="inlineStr">
        <is>
          <t>Föryngringsavverkning</t>
        </is>
      </c>
      <c r="D152" s="1" t="n">
        <v>46154</v>
      </c>
      <c r="E152" s="1" t="n">
        <v>46292</v>
      </c>
      <c r="F152" t="inlineStr">
        <is>
          <t>GÄVLEBORGS LÄN</t>
        </is>
      </c>
      <c r="G152" t="inlineStr">
        <is>
          <t>LJUSDAL</t>
        </is>
      </c>
      <c r="I152" t="n">
        <v>6.2</v>
      </c>
      <c r="J152" t="n">
        <v>3</v>
      </c>
      <c r="K152" t="n">
        <v>1</v>
      </c>
      <c r="L152" t="n">
        <v>0</v>
      </c>
      <c r="M152" t="n">
        <v>2</v>
      </c>
      <c r="N152" t="n">
        <v>0</v>
      </c>
      <c r="O152" t="n">
        <v>0</v>
      </c>
      <c r="P152" t="n">
        <v>0</v>
      </c>
      <c r="Q152" t="n">
        <v>2</v>
      </c>
      <c r="R152" t="n">
        <v>2</v>
      </c>
      <c r="S152" t="n">
        <v>4</v>
      </c>
      <c r="T152" t="n">
        <v>5</v>
      </c>
      <c r="U152" t="n">
        <v>0</v>
      </c>
      <c r="V152" s="2" t="inlineStr">
        <is>
          <t>Garnlav
Knärot
Plattlummer
Nattviol</t>
        </is>
      </c>
      <c r="W152">
        <f>HYPERLINK("https://klasma.github.io/Logging_2161/artfynd/A 22399-2026 artfynd.xlsx", "A 22399-2026")</f>
        <v/>
      </c>
      <c r="X152">
        <f>HYPERLINK("https://klasma.github.io/Logging_2161/kartor/A 22399-2026 karta.png", "A 22399-2026")</f>
        <v/>
      </c>
      <c r="Y152">
        <f>HYPERLINK("https://klasma.github.io/Logging_2161/kartor_geotiff/A 22399-2026 georefererad karta.tif", "A 22399-2026")</f>
        <v/>
      </c>
      <c r="Z152">
        <f>HYPERLINK("https://klasma.github.io/Logging_2161/knärot/A 22399-2026 karta knärot.png", "A 22399-2026")</f>
        <v/>
      </c>
      <c r="AA152">
        <f>HYPERLINK("https://klasma.github.io/Logging_2161/klagomål/A 22399-2026 FSC-klagomål.docx", "A 22399-2026")</f>
        <v/>
      </c>
      <c r="AB152">
        <f>HYPERLINK("https://klasma.github.io/Logging_2161/klagomålsmail/A 22399-2026 FSC-klagomål mail.docx", "A 22399-2026")</f>
        <v/>
      </c>
      <c r="AC152">
        <f>HYPERLINK("https://klasma.github.io/Logging_2161/tillsyn/A 22399-2026 tillsynsbegäran.docx", "A 22399-2026")</f>
        <v/>
      </c>
      <c r="AD152">
        <f>HYPERLINK("https://klasma.github.io/Logging_2161/tillsynsmail/A 22399-2026 tillsynsbegäran mail.docx", "A 22399-2026")</f>
        <v/>
      </c>
    </row>
    <row r="153" ht="15" customHeight="1">
      <c r="A153" t="inlineStr">
        <is>
          <t>A 31473-2023</t>
        </is>
      </c>
      <c r="B153" t="inlineStr">
        <is>
          <t>avverkningsanmälan</t>
        </is>
      </c>
      <c r="C153" t="inlineStr">
        <is>
          <t>Föryngringsavverkning</t>
        </is>
      </c>
      <c r="D153" s="1" t="n">
        <v>45114</v>
      </c>
      <c r="E153" s="1" t="n">
        <v>46292</v>
      </c>
      <c r="F153" t="inlineStr">
        <is>
          <t>GÄVLEBORGS LÄN</t>
        </is>
      </c>
      <c r="G153" t="inlineStr">
        <is>
          <t>LJUSDAL</t>
        </is>
      </c>
      <c r="H153" t="inlineStr">
        <is>
          <t>Sveaskog</t>
        </is>
      </c>
      <c r="I153" t="n">
        <v>15.5</v>
      </c>
      <c r="J153" t="n">
        <v>1</v>
      </c>
      <c r="K153" t="n">
        <v>1</v>
      </c>
      <c r="L153" t="n">
        <v>3</v>
      </c>
      <c r="M153" t="n">
        <v>0</v>
      </c>
      <c r="N153" t="n">
        <v>0</v>
      </c>
      <c r="O153" t="n">
        <v>0</v>
      </c>
      <c r="P153" t="n">
        <v>0</v>
      </c>
      <c r="Q153" t="n">
        <v>3</v>
      </c>
      <c r="R153" t="n">
        <v>0</v>
      </c>
      <c r="S153" t="n">
        <v>4</v>
      </c>
      <c r="T153" t="n">
        <v>6</v>
      </c>
      <c r="U153" t="n">
        <v>5</v>
      </c>
      <c r="V153" s="2" t="inlineStr">
        <is>
          <t>Kolflarnlav
Lunglav
Violettgrå tagellav
Plattlummer</t>
        </is>
      </c>
      <c r="W153">
        <f>HYPERLINK("https://klasma.github.io/Logging_2161/artfynd/A 31473-2023 artfynd.xlsx", "A 31473-2023")</f>
        <v/>
      </c>
      <c r="X153">
        <f>HYPERLINK("https://klasma.github.io/Logging_2161/kartor/A 31473-2023 karta.png", "A 31473-2023")</f>
        <v/>
      </c>
      <c r="Y153">
        <f>HYPERLINK("https://klasma.github.io/Logging_2161/kartor_geotiff/A 31473-2023 georefererad karta.tif", "A 31473-2023")</f>
        <v/>
      </c>
      <c r="AA153">
        <f>HYPERLINK("https://klasma.github.io/Logging_2161/klagomål/A 31473-2023 FSC-klagomål.docx", "A 31473-2023")</f>
        <v/>
      </c>
      <c r="AB153">
        <f>HYPERLINK("https://klasma.github.io/Logging_2161/klagomålsmail/A 31473-2023 FSC-klagomål mail.docx", "A 31473-2023")</f>
        <v/>
      </c>
      <c r="AC153">
        <f>HYPERLINK("https://klasma.github.io/Logging_2161/tillsyn/A 31473-2023 tillsynsbegäran.docx", "A 31473-2023")</f>
        <v/>
      </c>
      <c r="AD153">
        <f>HYPERLINK("https://klasma.github.io/Logging_2161/tillsynsmail/A 31473-2023 tillsynsbegäran mail.docx", "A 31473-2023")</f>
        <v/>
      </c>
    </row>
    <row r="154" ht="15" customHeight="1">
      <c r="A154" t="inlineStr">
        <is>
          <t>A 55216-2022</t>
        </is>
      </c>
      <c r="B154" t="inlineStr">
        <is>
          <t>avverkningsanmälan</t>
        </is>
      </c>
      <c r="C154" t="inlineStr">
        <is>
          <t>Föryngringsavverkning</t>
        </is>
      </c>
      <c r="D154" s="1" t="n">
        <v>44886</v>
      </c>
      <c r="E154" s="1" t="n">
        <v>46292</v>
      </c>
      <c r="F154" t="inlineStr">
        <is>
          <t>GÄVLEBORGS LÄN</t>
        </is>
      </c>
      <c r="G154" t="inlineStr">
        <is>
          <t>LJUSDAL</t>
        </is>
      </c>
      <c r="H154" t="inlineStr">
        <is>
          <t>SCA</t>
        </is>
      </c>
      <c r="I154" t="n">
        <v>10.1</v>
      </c>
      <c r="J154" t="n">
        <v>1</v>
      </c>
      <c r="K154" t="n">
        <v>0</v>
      </c>
      <c r="L154" t="n">
        <v>1</v>
      </c>
      <c r="M154" t="n">
        <v>2</v>
      </c>
      <c r="N154" t="n">
        <v>0</v>
      </c>
      <c r="O154" t="n">
        <v>0</v>
      </c>
      <c r="P154" t="n">
        <v>0</v>
      </c>
      <c r="Q154" t="n">
        <v>3</v>
      </c>
      <c r="R154" t="n">
        <v>2</v>
      </c>
      <c r="S154" t="n">
        <v>4</v>
      </c>
      <c r="T154" t="n">
        <v>6</v>
      </c>
      <c r="U154" t="n">
        <v>1</v>
      </c>
      <c r="V154" s="2" t="inlineStr">
        <is>
          <t>Brunfläckig pärlemorfjäril
Ängsblåvinge
Vitfläckig guldvinge
Kungsfågel</t>
        </is>
      </c>
      <c r="W154">
        <f>HYPERLINK("https://klasma.github.io/Logging_2161/artfynd/A 55216-2022 artfynd.xlsx", "A 55216-2022")</f>
        <v/>
      </c>
      <c r="X154">
        <f>HYPERLINK("https://klasma.github.io/Logging_2161/kartor/A 55216-2022 karta.png", "A 55216-2022")</f>
        <v/>
      </c>
      <c r="Y154">
        <f>HYPERLINK("https://klasma.github.io/Logging_2161/kartor_geotiff/A 55216-2022 georefererad karta.tif", "A 55216-2022")</f>
        <v/>
      </c>
      <c r="AA154">
        <f>HYPERLINK("https://klasma.github.io/Logging_2161/klagomål/A 55216-2022 FSC-klagomål.docx", "A 55216-2022")</f>
        <v/>
      </c>
      <c r="AB154">
        <f>HYPERLINK("https://klasma.github.io/Logging_2161/klagomålsmail/A 55216-2022 FSC-klagomål mail.docx", "A 55216-2022")</f>
        <v/>
      </c>
      <c r="AC154">
        <f>HYPERLINK("https://klasma.github.io/Logging_2161/tillsyn/A 55216-2022 tillsynsbegäran.docx", "A 55216-2022")</f>
        <v/>
      </c>
      <c r="AD154">
        <f>HYPERLINK("https://klasma.github.io/Logging_2161/tillsynsmail/A 55216-2022 tillsynsbegäran mail.docx", "A 55216-2022")</f>
        <v/>
      </c>
    </row>
    <row r="155" ht="15" customHeight="1">
      <c r="A155" t="inlineStr">
        <is>
          <t>A 30608-2023</t>
        </is>
      </c>
      <c r="B155" t="inlineStr">
        <is>
          <t>avverkningsanmälan</t>
        </is>
      </c>
      <c r="C155" t="inlineStr">
        <is>
          <t>Föryngringsavverkning</t>
        </is>
      </c>
      <c r="D155" s="1" t="n">
        <v>45112</v>
      </c>
      <c r="E155" s="1" t="n">
        <v>46292</v>
      </c>
      <c r="F155" t="inlineStr">
        <is>
          <t>GÄVLEBORGS LÄN</t>
        </is>
      </c>
      <c r="G155" t="inlineStr">
        <is>
          <t>LJUSDAL</t>
        </is>
      </c>
      <c r="H155" t="inlineStr">
        <is>
          <t>Sveaskog</t>
        </is>
      </c>
      <c r="I155" t="n">
        <v>11.6</v>
      </c>
      <c r="J155" t="n">
        <v>2</v>
      </c>
      <c r="K155" t="n">
        <v>0</v>
      </c>
      <c r="L155" t="n">
        <v>3</v>
      </c>
      <c r="M155" t="n">
        <v>1</v>
      </c>
      <c r="N155" t="n">
        <v>0</v>
      </c>
      <c r="O155" t="n">
        <v>0</v>
      </c>
      <c r="P155" t="n">
        <v>0</v>
      </c>
      <c r="Q155" t="n">
        <v>4</v>
      </c>
      <c r="R155" t="n">
        <v>1</v>
      </c>
      <c r="S155" t="n">
        <v>4</v>
      </c>
      <c r="T155" t="n">
        <v>27</v>
      </c>
      <c r="U155" t="n">
        <v>27</v>
      </c>
      <c r="V155" s="2" t="inlineStr">
        <is>
          <t>Knärot
Kolflarnlav
Skogshare
Tretåig hackspett</t>
        </is>
      </c>
      <c r="W155">
        <f>HYPERLINK("https://klasma.github.io/Logging_2161/artfynd/A 30608-2023 artfynd.xlsx", "A 30608-2023")</f>
        <v/>
      </c>
      <c r="X155">
        <f>HYPERLINK("https://klasma.github.io/Logging_2161/kartor/A 30608-2023 karta.png", "A 30608-2023")</f>
        <v/>
      </c>
      <c r="Y155">
        <f>HYPERLINK("https://klasma.github.io/Logging_2161/kartor_geotiff/A 30608-2023 georefererad karta.tif", "A 30608-2023")</f>
        <v/>
      </c>
      <c r="Z155">
        <f>HYPERLINK("https://klasma.github.io/Logging_2161/knärot/A 30608-2023 karta knärot.png", "A 30608-2023")</f>
        <v/>
      </c>
      <c r="AA155">
        <f>HYPERLINK("https://klasma.github.io/Logging_2161/klagomål/A 30608-2023 FSC-klagomål.docx", "A 30608-2023")</f>
        <v/>
      </c>
      <c r="AB155">
        <f>HYPERLINK("https://klasma.github.io/Logging_2161/klagomålsmail/A 30608-2023 FSC-klagomål mail.docx", "A 30608-2023")</f>
        <v/>
      </c>
      <c r="AC155">
        <f>HYPERLINK("https://klasma.github.io/Logging_2161/tillsyn/A 30608-2023 tillsynsbegäran.docx", "A 30608-2023")</f>
        <v/>
      </c>
      <c r="AD155">
        <f>HYPERLINK("https://klasma.github.io/Logging_2161/tillsynsmail/A 30608-2023 tillsynsbegäran mail.docx", "A 30608-2023")</f>
        <v/>
      </c>
      <c r="AE155">
        <f>HYPERLINK("https://klasma.github.io/Logging_2161/fåglar/A 30608-2023 prioriterade fågelarter.docx", "A 30608-2023")</f>
        <v/>
      </c>
    </row>
    <row r="156" ht="15" customHeight="1">
      <c r="A156" t="inlineStr">
        <is>
          <t>A 35739-2025</t>
        </is>
      </c>
      <c r="B156" t="inlineStr">
        <is>
          <t>avverkningsanmälan</t>
        </is>
      </c>
      <c r="C156" t="inlineStr">
        <is>
          <t>Föryngringsavverkning</t>
        </is>
      </c>
      <c r="D156" s="1" t="n">
        <v>45860</v>
      </c>
      <c r="E156" s="1" t="n">
        <v>46292</v>
      </c>
      <c r="F156" t="inlineStr">
        <is>
          <t>GÄVLEBORGS LÄN</t>
        </is>
      </c>
      <c r="G156" t="inlineStr">
        <is>
          <t>LJUSDAL</t>
        </is>
      </c>
      <c r="H156" t="inlineStr">
        <is>
          <t>Bergvik skog väst AB</t>
        </is>
      </c>
      <c r="I156" t="n">
        <v>11</v>
      </c>
      <c r="J156" t="n">
        <v>1</v>
      </c>
      <c r="K156" t="n">
        <v>0</v>
      </c>
      <c r="L156" t="n">
        <v>2</v>
      </c>
      <c r="M156" t="n">
        <v>1</v>
      </c>
      <c r="N156" t="n">
        <v>0</v>
      </c>
      <c r="O156" t="n">
        <v>0</v>
      </c>
      <c r="P156" t="n">
        <v>0</v>
      </c>
      <c r="Q156" t="n">
        <v>3</v>
      </c>
      <c r="R156" t="n">
        <v>1</v>
      </c>
      <c r="S156" t="n">
        <v>4</v>
      </c>
      <c r="T156" t="n">
        <v>5</v>
      </c>
      <c r="U156" t="n">
        <v>5</v>
      </c>
      <c r="V156" s="2" t="inlineStr">
        <is>
          <t>Garnlav
Lunglav
Vedflamlav
Revlummer</t>
        </is>
      </c>
      <c r="W156">
        <f>HYPERLINK("https://klasma.github.io/Logging_2161/artfynd/A 35739-2025 artfynd.xlsx", "A 35739-2025")</f>
        <v/>
      </c>
      <c r="X156">
        <f>HYPERLINK("https://klasma.github.io/Logging_2161/kartor/A 35739-2025 karta.png", "A 35739-2025")</f>
        <v/>
      </c>
      <c r="Y156">
        <f>HYPERLINK("https://klasma.github.io/Logging_2161/kartor_geotiff/A 35739-2025 georefererad karta.tif", "A 35739-2025")</f>
        <v/>
      </c>
      <c r="AA156">
        <f>HYPERLINK("https://klasma.github.io/Logging_2161/klagomål/A 35739-2025 FSC-klagomål.docx", "A 35739-2025")</f>
        <v/>
      </c>
      <c r="AB156">
        <f>HYPERLINK("https://klasma.github.io/Logging_2161/klagomålsmail/A 35739-2025 FSC-klagomål mail.docx", "A 35739-2025")</f>
        <v/>
      </c>
      <c r="AC156">
        <f>HYPERLINK("https://klasma.github.io/Logging_2161/tillsyn/A 35739-2025 tillsynsbegäran.docx", "A 35739-2025")</f>
        <v/>
      </c>
      <c r="AD156">
        <f>HYPERLINK("https://klasma.github.io/Logging_2161/tillsynsmail/A 35739-2025 tillsynsbegäran mail.docx", "A 35739-2025")</f>
        <v/>
      </c>
    </row>
    <row r="157" ht="15" customHeight="1">
      <c r="A157" t="inlineStr">
        <is>
          <t>A 33684-2024</t>
        </is>
      </c>
      <c r="B157" t="inlineStr">
        <is>
          <t>avverkningsanmälan</t>
        </is>
      </c>
      <c r="C157" t="inlineStr">
        <is>
          <t>Föryngringsavverkning</t>
        </is>
      </c>
      <c r="D157" s="1" t="n">
        <v>45520</v>
      </c>
      <c r="E157" s="1" t="n">
        <v>46292</v>
      </c>
      <c r="F157" t="inlineStr">
        <is>
          <t>GÄVLEBORGS LÄN</t>
        </is>
      </c>
      <c r="G157" t="inlineStr">
        <is>
          <t>LJUSDAL</t>
        </is>
      </c>
      <c r="H157" t="inlineStr">
        <is>
          <t>Bergvik skog väst AB</t>
        </is>
      </c>
      <c r="I157" t="n">
        <v>2.6</v>
      </c>
      <c r="J157" t="n">
        <v>0</v>
      </c>
      <c r="K157" t="n">
        <v>0</v>
      </c>
      <c r="L157" t="n">
        <v>3</v>
      </c>
      <c r="M157" t="n">
        <v>1</v>
      </c>
      <c r="N157" t="n">
        <v>0</v>
      </c>
      <c r="O157" t="n">
        <v>0</v>
      </c>
      <c r="P157" t="n">
        <v>0</v>
      </c>
      <c r="Q157" t="n">
        <v>4</v>
      </c>
      <c r="R157" t="n">
        <v>1</v>
      </c>
      <c r="S157" t="n">
        <v>4</v>
      </c>
      <c r="T157" t="n">
        <v>7</v>
      </c>
      <c r="U157" t="n">
        <v>0</v>
      </c>
      <c r="V157" s="2" t="inlineStr">
        <is>
          <t>Garnlav
Dvärgbägarlav
Kolflarnlav
Vedskivlav</t>
        </is>
      </c>
      <c r="W157">
        <f>HYPERLINK("https://klasma.github.io/Logging_2161/artfynd/A 33684-2024 artfynd.xlsx", "A 33684-2024")</f>
        <v/>
      </c>
      <c r="X157">
        <f>HYPERLINK("https://klasma.github.io/Logging_2161/kartor/A 33684-2024 karta.png", "A 33684-2024")</f>
        <v/>
      </c>
      <c r="Y157">
        <f>HYPERLINK("https://klasma.github.io/Logging_2161/kartor_geotiff/A 33684-2024 georefererad karta.tif", "A 33684-2024")</f>
        <v/>
      </c>
      <c r="AA157">
        <f>HYPERLINK("https://klasma.github.io/Logging_2161/klagomål/A 33684-2024 FSC-klagomål.docx", "A 33684-2024")</f>
        <v/>
      </c>
      <c r="AB157">
        <f>HYPERLINK("https://klasma.github.io/Logging_2161/klagomålsmail/A 33684-2024 FSC-klagomål mail.docx", "A 33684-2024")</f>
        <v/>
      </c>
      <c r="AC157">
        <f>HYPERLINK("https://klasma.github.io/Logging_2161/tillsyn/A 33684-2024 tillsynsbegäran.docx", "A 33684-2024")</f>
        <v/>
      </c>
      <c r="AD157">
        <f>HYPERLINK("https://klasma.github.io/Logging_2161/tillsynsmail/A 33684-2024 tillsynsbegäran mail.docx", "A 33684-2024")</f>
        <v/>
      </c>
    </row>
    <row r="158" ht="15" customHeight="1">
      <c r="A158" t="inlineStr">
        <is>
          <t>A 36150-2025</t>
        </is>
      </c>
      <c r="B158" t="inlineStr">
        <is>
          <t>avverkningsanmälan</t>
        </is>
      </c>
      <c r="C158" t="inlineStr">
        <is>
          <t>Föryngringsavverkning</t>
        </is>
      </c>
      <c r="D158" s="1" t="n">
        <v>45867</v>
      </c>
      <c r="E158" s="1" t="n">
        <v>46292</v>
      </c>
      <c r="F158" t="inlineStr">
        <is>
          <t>GÄVLEBORGS LÄN</t>
        </is>
      </c>
      <c r="G158" t="inlineStr">
        <is>
          <t>LJUSDAL</t>
        </is>
      </c>
      <c r="H158" t="inlineStr">
        <is>
          <t>Bergvik skog väst AB</t>
        </is>
      </c>
      <c r="I158" t="n">
        <v>6.1</v>
      </c>
      <c r="J158" t="n">
        <v>1</v>
      </c>
      <c r="K158" t="n">
        <v>0</v>
      </c>
      <c r="L158" t="n">
        <v>3</v>
      </c>
      <c r="M158" t="n">
        <v>1</v>
      </c>
      <c r="N158" t="n">
        <v>0</v>
      </c>
      <c r="O158" t="n">
        <v>0</v>
      </c>
      <c r="P158" t="n">
        <v>0</v>
      </c>
      <c r="Q158" t="n">
        <v>4</v>
      </c>
      <c r="R158" t="n">
        <v>1</v>
      </c>
      <c r="S158" t="n">
        <v>4</v>
      </c>
      <c r="T158" t="n">
        <v>7</v>
      </c>
      <c r="U158" t="n">
        <v>7</v>
      </c>
      <c r="V158" s="2" t="inlineStr">
        <is>
          <t>Garnlav
Lunglav
Skrovellav
Tretåig hackspett</t>
        </is>
      </c>
      <c r="W158">
        <f>HYPERLINK("https://klasma.github.io/Logging_2161/artfynd/A 36150-2025 artfynd.xlsx", "A 36150-2025")</f>
        <v/>
      </c>
      <c r="X158">
        <f>HYPERLINK("https://klasma.github.io/Logging_2161/kartor/A 36150-2025 karta.png", "A 36150-2025")</f>
        <v/>
      </c>
      <c r="Y158">
        <f>HYPERLINK("https://klasma.github.io/Logging_2161/kartor_geotiff/A 36150-2025 georefererad karta.tif", "A 36150-2025")</f>
        <v/>
      </c>
      <c r="AA158">
        <f>HYPERLINK("https://klasma.github.io/Logging_2161/klagomål/A 36150-2025 FSC-klagomål.docx", "A 36150-2025")</f>
        <v/>
      </c>
      <c r="AB158">
        <f>HYPERLINK("https://klasma.github.io/Logging_2161/klagomålsmail/A 36150-2025 FSC-klagomål mail.docx", "A 36150-2025")</f>
        <v/>
      </c>
      <c r="AC158">
        <f>HYPERLINK("https://klasma.github.io/Logging_2161/tillsyn/A 36150-2025 tillsynsbegäran.docx", "A 36150-2025")</f>
        <v/>
      </c>
      <c r="AD158">
        <f>HYPERLINK("https://klasma.github.io/Logging_2161/tillsynsmail/A 36150-2025 tillsynsbegäran mail.docx", "A 36150-2025")</f>
        <v/>
      </c>
      <c r="AE158">
        <f>HYPERLINK("https://klasma.github.io/Logging_2161/fåglar/A 36150-2025 prioriterade fågelarter.docx", "A 36150-2025")</f>
        <v/>
      </c>
    </row>
    <row r="159" ht="15" customHeight="1">
      <c r="A159" t="inlineStr">
        <is>
          <t>A 26749-2026</t>
        </is>
      </c>
      <c r="B159" t="inlineStr">
        <is>
          <t>avverkningsanmälan</t>
        </is>
      </c>
      <c r="C159" t="inlineStr">
        <is>
          <t>Föryngringsavverkning</t>
        </is>
      </c>
      <c r="D159" s="1" t="n">
        <v>46184</v>
      </c>
      <c r="E159" s="1" t="n">
        <v>46292</v>
      </c>
      <c r="F159" t="inlineStr">
        <is>
          <t>GÄVLEBORGS LÄN</t>
        </is>
      </c>
      <c r="G159" t="inlineStr">
        <is>
          <t>LJUSDAL</t>
        </is>
      </c>
      <c r="H159" t="inlineStr">
        <is>
          <t>Sveaskog</t>
        </is>
      </c>
      <c r="I159" t="n">
        <v>13.5</v>
      </c>
      <c r="J159" t="n">
        <v>3</v>
      </c>
      <c r="K159" t="n">
        <v>1</v>
      </c>
      <c r="L159" t="n">
        <v>1</v>
      </c>
      <c r="M159" t="n">
        <v>1</v>
      </c>
      <c r="N159" t="n">
        <v>0</v>
      </c>
      <c r="O159" t="n">
        <v>0</v>
      </c>
      <c r="P159" t="n">
        <v>0</v>
      </c>
      <c r="Q159" t="n">
        <v>2</v>
      </c>
      <c r="R159" t="n">
        <v>1</v>
      </c>
      <c r="S159" t="n">
        <v>4</v>
      </c>
      <c r="T159" t="n">
        <v>10</v>
      </c>
      <c r="U159" t="n">
        <v>0</v>
      </c>
      <c r="V159" s="2" t="inlineStr">
        <is>
          <t>Knärot
Kolflarnlav
Tvåblad
Fläcknycklar</t>
        </is>
      </c>
      <c r="W159">
        <f>HYPERLINK("https://klasma.github.io/Logging_2161/artfynd/A 26749-2026 artfynd.xlsx", "A 26749-2026")</f>
        <v/>
      </c>
      <c r="X159">
        <f>HYPERLINK("https://klasma.github.io/Logging_2161/kartor/A 26749-2026 karta.png", "A 26749-2026")</f>
        <v/>
      </c>
      <c r="Y159">
        <f>HYPERLINK("https://klasma.github.io/Logging_2161/kartor_geotiff/A 26749-2026 georefererad karta.tif", "A 26749-2026")</f>
        <v/>
      </c>
      <c r="Z159">
        <f>HYPERLINK("https://klasma.github.io/Logging_2161/knärot/A 26749-2026 karta knärot.png", "A 26749-2026")</f>
        <v/>
      </c>
      <c r="AA159">
        <f>HYPERLINK("https://klasma.github.io/Logging_2161/klagomål/A 26749-2026 FSC-klagomål.docx", "A 26749-2026")</f>
        <v/>
      </c>
      <c r="AB159">
        <f>HYPERLINK("https://klasma.github.io/Logging_2161/klagomålsmail/A 26749-2026 FSC-klagomål mail.docx", "A 26749-2026")</f>
        <v/>
      </c>
      <c r="AC159">
        <f>HYPERLINK("https://klasma.github.io/Logging_2161/tillsyn/A 26749-2026 tillsynsbegäran.docx", "A 26749-2026")</f>
        <v/>
      </c>
      <c r="AD159">
        <f>HYPERLINK("https://klasma.github.io/Logging_2161/tillsynsmail/A 26749-2026 tillsynsbegäran mail.docx", "A 26749-2026")</f>
        <v/>
      </c>
    </row>
    <row r="160" ht="15" customHeight="1">
      <c r="A160" t="inlineStr">
        <is>
          <t>A 51118-2024</t>
        </is>
      </c>
      <c r="B160" t="inlineStr">
        <is>
          <t>avverkningsanmälan</t>
        </is>
      </c>
      <c r="C160" t="inlineStr">
        <is>
          <t>Avverkning för att bevara och utveckla /försöksver</t>
        </is>
      </c>
      <c r="D160" s="1" t="n">
        <v>45603</v>
      </c>
      <c r="E160" s="1" t="n">
        <v>46292</v>
      </c>
      <c r="F160" t="inlineStr">
        <is>
          <t>GÄVLEBORGS LÄN</t>
        </is>
      </c>
      <c r="G160" t="inlineStr">
        <is>
          <t>LJUSDAL</t>
        </is>
      </c>
      <c r="H160" t="inlineStr">
        <is>
          <t>Sveaskog</t>
        </is>
      </c>
      <c r="I160" t="n">
        <v>1.3</v>
      </c>
      <c r="J160" t="n">
        <v>1</v>
      </c>
      <c r="K160" t="n">
        <v>0</v>
      </c>
      <c r="L160" t="n">
        <v>2</v>
      </c>
      <c r="M160" t="n">
        <v>1</v>
      </c>
      <c r="N160" t="n">
        <v>0</v>
      </c>
      <c r="O160" t="n">
        <v>0</v>
      </c>
      <c r="P160" t="n">
        <v>0</v>
      </c>
      <c r="Q160" t="n">
        <v>3</v>
      </c>
      <c r="R160" t="n">
        <v>1</v>
      </c>
      <c r="S160" t="n">
        <v>4</v>
      </c>
      <c r="T160" t="n">
        <v>6</v>
      </c>
      <c r="U160" t="n">
        <v>4</v>
      </c>
      <c r="V160" s="2" t="inlineStr">
        <is>
          <t>Garnlav
Motaggsvamp
Tallticka
Fläcknycklar</t>
        </is>
      </c>
      <c r="W160">
        <f>HYPERLINK("https://klasma.github.io/Logging_2161/artfynd/A 51118-2024 artfynd.xlsx", "A 51118-2024")</f>
        <v/>
      </c>
      <c r="X160">
        <f>HYPERLINK("https://klasma.github.io/Logging_2161/kartor/A 51118-2024 karta.png", "A 51118-2024")</f>
        <v/>
      </c>
      <c r="Y160">
        <f>HYPERLINK("https://klasma.github.io/Logging_2161/kartor_geotiff/A 51118-2024 georefererad karta.tif", "A 51118-2024")</f>
        <v/>
      </c>
      <c r="AA160">
        <f>HYPERLINK("https://klasma.github.io/Logging_2161/klagomål/A 51118-2024 FSC-klagomål.docx", "A 51118-2024")</f>
        <v/>
      </c>
      <c r="AB160">
        <f>HYPERLINK("https://klasma.github.io/Logging_2161/klagomålsmail/A 51118-2024 FSC-klagomål mail.docx", "A 51118-2024")</f>
        <v/>
      </c>
      <c r="AC160">
        <f>HYPERLINK("https://klasma.github.io/Logging_2161/tillsyn/A 51118-2024 tillsynsbegäran.docx", "A 51118-2024")</f>
        <v/>
      </c>
      <c r="AD160">
        <f>HYPERLINK("https://klasma.github.io/Logging_2161/tillsynsmail/A 51118-2024 tillsynsbegäran mail.docx", "A 51118-2024")</f>
        <v/>
      </c>
    </row>
    <row r="161" ht="15" customHeight="1">
      <c r="A161" t="inlineStr">
        <is>
          <t>A 37183-2026</t>
        </is>
      </c>
      <c r="B161" t="inlineStr">
        <is>
          <t>avverkningsanmälan</t>
        </is>
      </c>
      <c r="C161" t="inlineStr">
        <is>
          <t>Föryngringsavverkning</t>
        </is>
      </c>
      <c r="D161" s="1" t="n">
        <v>46274</v>
      </c>
      <c r="E161" s="1" t="n">
        <v>46292</v>
      </c>
      <c r="F161" t="inlineStr">
        <is>
          <t>GÄVLEBORGS LÄN</t>
        </is>
      </c>
      <c r="G161" t="inlineStr">
        <is>
          <t>LJUSDAL</t>
        </is>
      </c>
      <c r="H161" t="inlineStr">
        <is>
          <t>Sveaskog</t>
        </is>
      </c>
      <c r="I161" t="n">
        <v>9.199999999999999</v>
      </c>
      <c r="J161" t="n">
        <v>0</v>
      </c>
      <c r="K161" t="n">
        <v>0</v>
      </c>
      <c r="L161" t="n">
        <v>3</v>
      </c>
      <c r="M161" t="n">
        <v>1</v>
      </c>
      <c r="N161" t="n">
        <v>0</v>
      </c>
      <c r="O161" t="n">
        <v>0</v>
      </c>
      <c r="P161" t="n">
        <v>0</v>
      </c>
      <c r="Q161" t="n">
        <v>4</v>
      </c>
      <c r="R161" t="n">
        <v>1</v>
      </c>
      <c r="S161" t="n">
        <v>4</v>
      </c>
      <c r="T161" t="n">
        <v>4</v>
      </c>
      <c r="U161" t="n">
        <v>0</v>
      </c>
      <c r="V161" s="2" t="inlineStr">
        <is>
          <t>Garnlav
Kolflarnlav
Orange taggsvamp
Vedflamlav</t>
        </is>
      </c>
      <c r="W161">
        <f>HYPERLINK("https://klasma.github.io/Logging_2161/artfynd/A 37183-2026 artfynd.xlsx", "A 37183-2026")</f>
        <v/>
      </c>
      <c r="X161">
        <f>HYPERLINK("https://klasma.github.io/Logging_2161/kartor/A 37183-2026 karta.png", "A 37183-2026")</f>
        <v/>
      </c>
      <c r="Y161">
        <f>HYPERLINK("https://klasma.github.io/Logging_2161/kartor_geotiff/A 37183-2026 georefererad karta.tif", "A 37183-2026")</f>
        <v/>
      </c>
      <c r="AA161">
        <f>HYPERLINK("https://klasma.github.io/Logging_2161/klagomål/A 37183-2026 FSC-klagomål.docx", "A 37183-2026")</f>
        <v/>
      </c>
      <c r="AB161">
        <f>HYPERLINK("https://klasma.github.io/Logging_2161/klagomålsmail/A 37183-2026 FSC-klagomål mail.docx", "A 37183-2026")</f>
        <v/>
      </c>
      <c r="AC161">
        <f>HYPERLINK("https://klasma.github.io/Logging_2161/tillsyn/A 37183-2026 tillsynsbegäran.docx", "A 37183-2026")</f>
        <v/>
      </c>
      <c r="AD161">
        <f>HYPERLINK("https://klasma.github.io/Logging_2161/tillsynsmail/A 37183-2026 tillsynsbegäran mail.docx", "A 37183-2026")</f>
        <v/>
      </c>
    </row>
    <row r="162" ht="15" customHeight="1">
      <c r="A162" t="inlineStr">
        <is>
          <t>A 23393-2024</t>
        </is>
      </c>
      <c r="B162" t="inlineStr">
        <is>
          <t>avverkningsanmälan</t>
        </is>
      </c>
      <c r="C162" t="inlineStr">
        <is>
          <t>Föryngringsavverkning</t>
        </is>
      </c>
      <c r="D162" s="1" t="n">
        <v>45453</v>
      </c>
      <c r="E162" s="1" t="n">
        <v>46292</v>
      </c>
      <c r="F162" t="inlineStr">
        <is>
          <t>GÄVLEBORGS LÄN</t>
        </is>
      </c>
      <c r="G162" t="inlineStr">
        <is>
          <t>LJUSDAL</t>
        </is>
      </c>
      <c r="I162" t="n">
        <v>4</v>
      </c>
      <c r="J162" t="n">
        <v>1</v>
      </c>
      <c r="K162" t="n">
        <v>0</v>
      </c>
      <c r="L162" t="n">
        <v>3</v>
      </c>
      <c r="M162" t="n">
        <v>0</v>
      </c>
      <c r="N162" t="n">
        <v>0</v>
      </c>
      <c r="O162" t="n">
        <v>0</v>
      </c>
      <c r="P162" t="n">
        <v>0</v>
      </c>
      <c r="Q162" t="n">
        <v>3</v>
      </c>
      <c r="R162" t="n">
        <v>0</v>
      </c>
      <c r="S162" t="n">
        <v>4</v>
      </c>
      <c r="T162" t="n">
        <v>4</v>
      </c>
      <c r="U162" t="n">
        <v>4</v>
      </c>
      <c r="V162" s="2" t="inlineStr">
        <is>
          <t>Kolflarnlav
Lunglav
Vedflamlav
Nattviol</t>
        </is>
      </c>
      <c r="W162">
        <f>HYPERLINK("https://klasma.github.io/Logging_2161/artfynd/A 23393-2024 artfynd.xlsx", "A 23393-2024")</f>
        <v/>
      </c>
      <c r="X162">
        <f>HYPERLINK("https://klasma.github.io/Logging_2161/kartor/A 23393-2024 karta.png", "A 23393-2024")</f>
        <v/>
      </c>
      <c r="Y162">
        <f>HYPERLINK("https://klasma.github.io/Logging_2161/kartor_geotiff/A 23393-2024 georefererad karta.tif", "A 23393-2024")</f>
        <v/>
      </c>
      <c r="AA162">
        <f>HYPERLINK("https://klasma.github.io/Logging_2161/klagomål/A 23393-2024 FSC-klagomål.docx", "A 23393-2024")</f>
        <v/>
      </c>
      <c r="AB162">
        <f>HYPERLINK("https://klasma.github.io/Logging_2161/klagomålsmail/A 23393-2024 FSC-klagomål mail.docx", "A 23393-2024")</f>
        <v/>
      </c>
      <c r="AC162">
        <f>HYPERLINK("https://klasma.github.io/Logging_2161/tillsyn/A 23393-2024 tillsynsbegäran.docx", "A 23393-2024")</f>
        <v/>
      </c>
      <c r="AD162">
        <f>HYPERLINK("https://klasma.github.io/Logging_2161/tillsynsmail/A 23393-2024 tillsynsbegäran mail.docx", "A 23393-2024")</f>
        <v/>
      </c>
    </row>
    <row r="163" ht="15" customHeight="1">
      <c r="A163" t="inlineStr">
        <is>
          <t>A 28422-2024</t>
        </is>
      </c>
      <c r="B163" t="inlineStr">
        <is>
          <t>avverkningsanmälan</t>
        </is>
      </c>
      <c r="C163" t="inlineStr">
        <is>
          <t>Föryngringsavverkning</t>
        </is>
      </c>
      <c r="D163" s="1" t="n">
        <v>45477</v>
      </c>
      <c r="E163" s="1" t="n">
        <v>46292</v>
      </c>
      <c r="F163" t="inlineStr">
        <is>
          <t>GÄVLEBORGS LÄN</t>
        </is>
      </c>
      <c r="G163" t="inlineStr">
        <is>
          <t>LJUSDAL</t>
        </is>
      </c>
      <c r="H163" t="inlineStr">
        <is>
          <t>Allmännings- och besparingsskogar</t>
        </is>
      </c>
      <c r="I163" t="n">
        <v>11.9</v>
      </c>
      <c r="J163" t="n">
        <v>0</v>
      </c>
      <c r="K163" t="n">
        <v>1</v>
      </c>
      <c r="L163" t="n">
        <v>2</v>
      </c>
      <c r="M163" t="n">
        <v>1</v>
      </c>
      <c r="N163" t="n">
        <v>0</v>
      </c>
      <c r="O163" t="n">
        <v>0</v>
      </c>
      <c r="P163" t="n">
        <v>0</v>
      </c>
      <c r="Q163" t="n">
        <v>3</v>
      </c>
      <c r="R163" t="n">
        <v>1</v>
      </c>
      <c r="S163" t="n">
        <v>4</v>
      </c>
      <c r="T163" t="n">
        <v>9</v>
      </c>
      <c r="U163" t="n">
        <v>9</v>
      </c>
      <c r="V163" s="2" t="inlineStr">
        <is>
          <t>Garnlav
Lunglav
Mörk kolflarnlav
Skinnlav</t>
        </is>
      </c>
      <c r="W163">
        <f>HYPERLINK("https://klasma.github.io/Logging_2161/artfynd/A 28422-2024 artfynd.xlsx", "A 28422-2024")</f>
        <v/>
      </c>
      <c r="X163">
        <f>HYPERLINK("https://klasma.github.io/Logging_2161/kartor/A 28422-2024 karta.png", "A 28422-2024")</f>
        <v/>
      </c>
      <c r="Y163">
        <f>HYPERLINK("https://klasma.github.io/Logging_2161/kartor_geotiff/A 28422-2024 georefererad karta.tif", "A 28422-2024")</f>
        <v/>
      </c>
      <c r="AA163">
        <f>HYPERLINK("https://klasma.github.io/Logging_2161/klagomål/A 28422-2024 FSC-klagomål.docx", "A 28422-2024")</f>
        <v/>
      </c>
      <c r="AB163">
        <f>HYPERLINK("https://klasma.github.io/Logging_2161/klagomålsmail/A 28422-2024 FSC-klagomål mail.docx", "A 28422-2024")</f>
        <v/>
      </c>
      <c r="AC163">
        <f>HYPERLINK("https://klasma.github.io/Logging_2161/tillsyn/A 28422-2024 tillsynsbegäran.docx", "A 28422-2024")</f>
        <v/>
      </c>
      <c r="AD163">
        <f>HYPERLINK("https://klasma.github.io/Logging_2161/tillsynsmail/A 28422-2024 tillsynsbegäran mail.docx", "A 28422-2024")</f>
        <v/>
      </c>
    </row>
    <row r="164" ht="15" customHeight="1">
      <c r="A164" t="inlineStr">
        <is>
          <t>S 2775-2025</t>
        </is>
      </c>
      <c r="B164" t="inlineStr">
        <is>
          <t>samrådsanmälan</t>
        </is>
      </c>
      <c r="C164" t="inlineStr">
        <is>
          <t>Annan skogsbruksåtgärd</t>
        </is>
      </c>
      <c r="D164" s="1" t="n">
        <v>45937</v>
      </c>
      <c r="E164" s="1" t="n">
        <v>46292</v>
      </c>
      <c r="F164" t="inlineStr">
        <is>
          <t>GÄVLEBORGS LÄN</t>
        </is>
      </c>
      <c r="G164" t="inlineStr">
        <is>
          <t>LJUSDAL</t>
        </is>
      </c>
      <c r="H164" t="inlineStr">
        <is>
          <t>Sveaskog</t>
        </is>
      </c>
      <c r="I164" t="n">
        <v>4.5</v>
      </c>
      <c r="J164" t="n">
        <v>1</v>
      </c>
      <c r="K164" t="n">
        <v>0</v>
      </c>
      <c r="L164" t="n">
        <v>2</v>
      </c>
      <c r="M164" t="n">
        <v>2</v>
      </c>
      <c r="N164" t="n">
        <v>0</v>
      </c>
      <c r="O164" t="n">
        <v>0</v>
      </c>
      <c r="P164" t="n">
        <v>0</v>
      </c>
      <c r="Q164" t="n">
        <v>4</v>
      </c>
      <c r="R164" t="n">
        <v>2</v>
      </c>
      <c r="S164" t="n">
        <v>4</v>
      </c>
      <c r="T164" t="n">
        <v>10</v>
      </c>
      <c r="U164" t="n">
        <v>0</v>
      </c>
      <c r="V164" s="2" t="inlineStr">
        <is>
          <t>Garnlav
Knärot
Lunglav
Skrovellav</t>
        </is>
      </c>
      <c r="W164">
        <f>HYPERLINK("https://klasma.github.io/Logging_2161/artfynd/S 2775-2025 artfynd.xlsx", "S 2775-2025")</f>
        <v/>
      </c>
      <c r="X164">
        <f>HYPERLINK("https://klasma.github.io/Logging_2161/kartor/S 2775-2025 karta.png", "S 2775-2025")</f>
        <v/>
      </c>
      <c r="Y164">
        <f>HYPERLINK("https://klasma.github.io/Logging_2161/kartor_geotiff/S 2775-2025 georefererad karta.tif", "S 2775-2025")</f>
        <v/>
      </c>
      <c r="Z164">
        <f>HYPERLINK("https://klasma.github.io/Logging_2161/knärot/S 2775-2025 karta knärot.png", "S 2775-2025")</f>
        <v/>
      </c>
      <c r="AA164">
        <f>HYPERLINK("https://klasma.github.io/Logging_2161/klagomål/S 2775-2025 FSC-klagomål.docx", "S 2775-2025")</f>
        <v/>
      </c>
      <c r="AB164">
        <f>HYPERLINK("https://klasma.github.io/Logging_2161/klagomålsmail/S 2775-2025 FSC-klagomål mail.docx", "S 2775-2025")</f>
        <v/>
      </c>
      <c r="AC164">
        <f>HYPERLINK("https://klasma.github.io/Logging_2161/tillsyn/S 2775-2025 tillsynsbegäran.docx", "S 2775-2025")</f>
        <v/>
      </c>
      <c r="AD164">
        <f>HYPERLINK("https://klasma.github.io/Logging_2161/tillsynsmail/S 2775-2025 tillsynsbegäran mail.docx", "S 2775-2025")</f>
        <v/>
      </c>
    </row>
    <row r="165" ht="15" customHeight="1">
      <c r="A165" t="inlineStr">
        <is>
          <t>A 22239-2024</t>
        </is>
      </c>
      <c r="B165" t="inlineStr">
        <is>
          <t>avverkningsanmälan</t>
        </is>
      </c>
      <c r="C165" t="inlineStr">
        <is>
          <t>Föryngringsavverkning</t>
        </is>
      </c>
      <c r="D165" s="1" t="n">
        <v>45446</v>
      </c>
      <c r="E165" s="1" t="n">
        <v>46292</v>
      </c>
      <c r="F165" t="inlineStr">
        <is>
          <t>GÄVLEBORGS LÄN</t>
        </is>
      </c>
      <c r="G165" t="inlineStr">
        <is>
          <t>LJUSDAL</t>
        </is>
      </c>
      <c r="H165" t="inlineStr">
        <is>
          <t>Sveaskog</t>
        </is>
      </c>
      <c r="I165" t="n">
        <v>4.4</v>
      </c>
      <c r="J165" t="n">
        <v>0</v>
      </c>
      <c r="K165" t="n">
        <v>0</v>
      </c>
      <c r="L165" t="n">
        <v>3</v>
      </c>
      <c r="M165" t="n">
        <v>0</v>
      </c>
      <c r="N165" t="n">
        <v>0</v>
      </c>
      <c r="O165" t="n">
        <v>0</v>
      </c>
      <c r="P165" t="n">
        <v>0</v>
      </c>
      <c r="Q165" t="n">
        <v>3</v>
      </c>
      <c r="R165" t="n">
        <v>0</v>
      </c>
      <c r="S165" t="n">
        <v>3</v>
      </c>
      <c r="T165" t="n">
        <v>4</v>
      </c>
      <c r="U165" t="n">
        <v>1</v>
      </c>
      <c r="V165" s="2" t="inlineStr">
        <is>
          <t>Kolflarnlav
Vedflamlav
Vedskivlav</t>
        </is>
      </c>
      <c r="W165">
        <f>HYPERLINK("https://klasma.github.io/Logging_2161/artfynd/A 22239-2024 artfynd.xlsx", "A 22239-2024")</f>
        <v/>
      </c>
      <c r="X165">
        <f>HYPERLINK("https://klasma.github.io/Logging_2161/kartor/A 22239-2024 karta.png", "A 22239-2024")</f>
        <v/>
      </c>
      <c r="Y165">
        <f>HYPERLINK("https://klasma.github.io/Logging_2161/kartor_geotiff/A 22239-2024 georefererad karta.tif", "A 22239-2024")</f>
        <v/>
      </c>
      <c r="AA165">
        <f>HYPERLINK("https://klasma.github.io/Logging_2161/klagomål/A 22239-2024 FSC-klagomål.docx", "A 22239-2024")</f>
        <v/>
      </c>
      <c r="AB165">
        <f>HYPERLINK("https://klasma.github.io/Logging_2161/klagomålsmail/A 22239-2024 FSC-klagomål mail.docx", "A 22239-2024")</f>
        <v/>
      </c>
      <c r="AC165">
        <f>HYPERLINK("https://klasma.github.io/Logging_2161/tillsyn/A 22239-2024 tillsynsbegäran.docx", "A 22239-2024")</f>
        <v/>
      </c>
      <c r="AD165">
        <f>HYPERLINK("https://klasma.github.io/Logging_2161/tillsynsmail/A 22239-2024 tillsynsbegäran mail.docx", "A 22239-2024")</f>
        <v/>
      </c>
    </row>
    <row r="166" ht="15" customHeight="1">
      <c r="A166" t="inlineStr">
        <is>
          <t>A 24949-2025</t>
        </is>
      </c>
      <c r="B166" t="inlineStr">
        <is>
          <t>avverkningsanmälan</t>
        </is>
      </c>
      <c r="C166" t="inlineStr">
        <is>
          <t>Föryngringsavverkning</t>
        </is>
      </c>
      <c r="D166" s="1" t="n">
        <v>45799</v>
      </c>
      <c r="E166" s="1" t="n">
        <v>46292</v>
      </c>
      <c r="F166" t="inlineStr">
        <is>
          <t>GÄVLEBORGS LÄN</t>
        </is>
      </c>
      <c r="G166" t="inlineStr">
        <is>
          <t>LJUSDAL</t>
        </is>
      </c>
      <c r="H166" t="inlineStr">
        <is>
          <t>Sveaskog</t>
        </is>
      </c>
      <c r="I166" t="n">
        <v>3</v>
      </c>
      <c r="J166" t="n">
        <v>0</v>
      </c>
      <c r="K166" t="n">
        <v>0</v>
      </c>
      <c r="L166" t="n">
        <v>3</v>
      </c>
      <c r="M166" t="n">
        <v>0</v>
      </c>
      <c r="N166" t="n">
        <v>0</v>
      </c>
      <c r="O166" t="n">
        <v>0</v>
      </c>
      <c r="P166" t="n">
        <v>0</v>
      </c>
      <c r="Q166" t="n">
        <v>3</v>
      </c>
      <c r="R166" t="n">
        <v>0</v>
      </c>
      <c r="S166" t="n">
        <v>3</v>
      </c>
      <c r="T166" t="n">
        <v>4</v>
      </c>
      <c r="U166" t="n">
        <v>4</v>
      </c>
      <c r="V166" s="2" t="inlineStr">
        <is>
          <t>Kolflarnlav
Lunglav
Vedflamlav</t>
        </is>
      </c>
      <c r="W166">
        <f>HYPERLINK("https://klasma.github.io/Logging_2161/artfynd/A 24949-2025 artfynd.xlsx", "A 24949-2025")</f>
        <v/>
      </c>
      <c r="X166">
        <f>HYPERLINK("https://klasma.github.io/Logging_2161/kartor/A 24949-2025 karta.png", "A 24949-2025")</f>
        <v/>
      </c>
      <c r="Y166">
        <f>HYPERLINK("https://klasma.github.io/Logging_2161/kartor_geotiff/A 24949-2025 georefererad karta.tif", "A 24949-2025")</f>
        <v/>
      </c>
      <c r="AA166">
        <f>HYPERLINK("https://klasma.github.io/Logging_2161/klagomål/A 24949-2025 FSC-klagomål.docx", "A 24949-2025")</f>
        <v/>
      </c>
      <c r="AB166">
        <f>HYPERLINK("https://klasma.github.io/Logging_2161/klagomålsmail/A 24949-2025 FSC-klagomål mail.docx", "A 24949-2025")</f>
        <v/>
      </c>
      <c r="AC166">
        <f>HYPERLINK("https://klasma.github.io/Logging_2161/tillsyn/A 24949-2025 tillsynsbegäran.docx", "A 24949-2025")</f>
        <v/>
      </c>
      <c r="AD166">
        <f>HYPERLINK("https://klasma.github.io/Logging_2161/tillsynsmail/A 24949-2025 tillsynsbegäran mail.docx", "A 24949-2025")</f>
        <v/>
      </c>
    </row>
    <row r="167" ht="15" customHeight="1">
      <c r="A167" t="inlineStr">
        <is>
          <t>A 45450-2025</t>
        </is>
      </c>
      <c r="B167" t="inlineStr">
        <is>
          <t>avverkningsanmälan</t>
        </is>
      </c>
      <c r="C167" t="inlineStr">
        <is>
          <t>Avverkning för annat ändamål</t>
        </is>
      </c>
      <c r="D167" s="1" t="n">
        <v>45922</v>
      </c>
      <c r="E167" s="1" t="n">
        <v>46292</v>
      </c>
      <c r="F167" t="inlineStr">
        <is>
          <t>GÄVLEBORGS LÄN</t>
        </is>
      </c>
      <c r="G167" t="inlineStr">
        <is>
          <t>LJUSDAL</t>
        </is>
      </c>
      <c r="H167" t="inlineStr">
        <is>
          <t>Sveaskog</t>
        </is>
      </c>
      <c r="I167" t="n">
        <v>0.7</v>
      </c>
      <c r="J167" t="n">
        <v>0</v>
      </c>
      <c r="K167" t="n">
        <v>0</v>
      </c>
      <c r="L167" t="n">
        <v>2</v>
      </c>
      <c r="M167" t="n">
        <v>1</v>
      </c>
      <c r="N167" t="n">
        <v>0</v>
      </c>
      <c r="O167" t="n">
        <v>0</v>
      </c>
      <c r="P167" t="n">
        <v>0</v>
      </c>
      <c r="Q167" t="n">
        <v>3</v>
      </c>
      <c r="R167" t="n">
        <v>1</v>
      </c>
      <c r="S167" t="n">
        <v>3</v>
      </c>
      <c r="T167" t="n">
        <v>5</v>
      </c>
      <c r="U167" t="n">
        <v>5</v>
      </c>
      <c r="V167" s="2" t="inlineStr">
        <is>
          <t>Garnlav
Dvärgbägarlav
Lunglav</t>
        </is>
      </c>
      <c r="W167">
        <f>HYPERLINK("https://klasma.github.io/Logging_2161/artfynd/A 45450-2025 artfynd.xlsx", "A 45450-2025")</f>
        <v/>
      </c>
      <c r="X167">
        <f>HYPERLINK("https://klasma.github.io/Logging_2161/kartor/A 45450-2025 karta.png", "A 45450-2025")</f>
        <v/>
      </c>
      <c r="Y167">
        <f>HYPERLINK("https://klasma.github.io/Logging_2161/kartor_geotiff/A 45450-2025 georefererad karta.tif", "A 45450-2025")</f>
        <v/>
      </c>
      <c r="AA167">
        <f>HYPERLINK("https://klasma.github.io/Logging_2161/klagomål/A 45450-2025 FSC-klagomål.docx", "A 45450-2025")</f>
        <v/>
      </c>
      <c r="AB167">
        <f>HYPERLINK("https://klasma.github.io/Logging_2161/klagomålsmail/A 45450-2025 FSC-klagomål mail.docx", "A 45450-2025")</f>
        <v/>
      </c>
      <c r="AC167">
        <f>HYPERLINK("https://klasma.github.io/Logging_2161/tillsyn/A 45450-2025 tillsynsbegäran.docx", "A 45450-2025")</f>
        <v/>
      </c>
      <c r="AD167">
        <f>HYPERLINK("https://klasma.github.io/Logging_2161/tillsynsmail/A 45450-2025 tillsynsbegäran mail.docx", "A 45450-2025")</f>
        <v/>
      </c>
    </row>
    <row r="168" ht="15" customHeight="1">
      <c r="A168" t="inlineStr">
        <is>
          <t>A 45895-2025</t>
        </is>
      </c>
      <c r="B168" t="inlineStr">
        <is>
          <t>avverkningsanmälan</t>
        </is>
      </c>
      <c r="C168" t="inlineStr">
        <is>
          <t>Föryngringsavverkning</t>
        </is>
      </c>
      <c r="D168" s="1" t="n">
        <v>45923</v>
      </c>
      <c r="E168" s="1" t="n">
        <v>46292</v>
      </c>
      <c r="F168" t="inlineStr">
        <is>
          <t>GÄVLEBORGS LÄN</t>
        </is>
      </c>
      <c r="G168" t="inlineStr">
        <is>
          <t>LJUSDAL</t>
        </is>
      </c>
      <c r="H168" t="inlineStr">
        <is>
          <t>Sveaskog</t>
        </is>
      </c>
      <c r="I168" t="n">
        <v>8.199999999999999</v>
      </c>
      <c r="J168" t="n">
        <v>2</v>
      </c>
      <c r="K168" t="n">
        <v>1</v>
      </c>
      <c r="L168" t="n">
        <v>1</v>
      </c>
      <c r="M168" t="n">
        <v>1</v>
      </c>
      <c r="N168" t="n">
        <v>0</v>
      </c>
      <c r="O168" t="n">
        <v>0</v>
      </c>
      <c r="P168" t="n">
        <v>0</v>
      </c>
      <c r="Q168" t="n">
        <v>2</v>
      </c>
      <c r="R168" t="n">
        <v>1</v>
      </c>
      <c r="S168" t="n">
        <v>3</v>
      </c>
      <c r="T168" t="n">
        <v>4</v>
      </c>
      <c r="U168" t="n">
        <v>4</v>
      </c>
      <c r="V168" s="2" t="inlineStr">
        <is>
          <t>Knärot
Lunglav
Plattlummer</t>
        </is>
      </c>
      <c r="W168">
        <f>HYPERLINK("https://klasma.github.io/Logging_2161/artfynd/A 45895-2025 artfynd.xlsx", "A 45895-2025")</f>
        <v/>
      </c>
      <c r="X168">
        <f>HYPERLINK("https://klasma.github.io/Logging_2161/kartor/A 45895-2025 karta.png", "A 45895-2025")</f>
        <v/>
      </c>
      <c r="Y168">
        <f>HYPERLINK("https://klasma.github.io/Logging_2161/kartor_geotiff/A 45895-2025 georefererad karta.tif", "A 45895-2025")</f>
        <v/>
      </c>
      <c r="Z168">
        <f>HYPERLINK("https://klasma.github.io/Logging_2161/knärot/A 45895-2025 karta knärot.png", "A 45895-2025")</f>
        <v/>
      </c>
      <c r="AA168">
        <f>HYPERLINK("https://klasma.github.io/Logging_2161/klagomål/A 45895-2025 FSC-klagomål.docx", "A 45895-2025")</f>
        <v/>
      </c>
      <c r="AB168">
        <f>HYPERLINK("https://klasma.github.io/Logging_2161/klagomålsmail/A 45895-2025 FSC-klagomål mail.docx", "A 45895-2025")</f>
        <v/>
      </c>
      <c r="AC168">
        <f>HYPERLINK("https://klasma.github.io/Logging_2161/tillsyn/A 45895-2025 tillsynsbegäran.docx", "A 45895-2025")</f>
        <v/>
      </c>
      <c r="AD168">
        <f>HYPERLINK("https://klasma.github.io/Logging_2161/tillsynsmail/A 45895-2025 tillsynsbegäran mail.docx", "A 45895-2025")</f>
        <v/>
      </c>
    </row>
    <row r="169" ht="15" customHeight="1">
      <c r="A169" t="inlineStr">
        <is>
          <t>A 46244-2024</t>
        </is>
      </c>
      <c r="B169" t="inlineStr">
        <is>
          <t>avverkningsanmälan</t>
        </is>
      </c>
      <c r="C169" t="inlineStr">
        <is>
          <t>Föryngringsavverkning</t>
        </is>
      </c>
      <c r="D169" s="1" t="n">
        <v>45581</v>
      </c>
      <c r="E169" s="1" t="n">
        <v>46292</v>
      </c>
      <c r="F169" t="inlineStr">
        <is>
          <t>GÄVLEBORGS LÄN</t>
        </is>
      </c>
      <c r="G169" t="inlineStr">
        <is>
          <t>LJUSDAL</t>
        </is>
      </c>
      <c r="H169" t="inlineStr">
        <is>
          <t>Sveaskog</t>
        </is>
      </c>
      <c r="I169" t="n">
        <v>5.8</v>
      </c>
      <c r="J169" t="n">
        <v>0</v>
      </c>
      <c r="K169" t="n">
        <v>0</v>
      </c>
      <c r="L169" t="n">
        <v>2</v>
      </c>
      <c r="M169" t="n">
        <v>1</v>
      </c>
      <c r="N169" t="n">
        <v>0</v>
      </c>
      <c r="O169" t="n">
        <v>0</v>
      </c>
      <c r="P169" t="n">
        <v>0</v>
      </c>
      <c r="Q169" t="n">
        <v>3</v>
      </c>
      <c r="R169" t="n">
        <v>1</v>
      </c>
      <c r="S169" t="n">
        <v>3</v>
      </c>
      <c r="T169" t="n">
        <v>6</v>
      </c>
      <c r="U169" t="n">
        <v>6</v>
      </c>
      <c r="V169" s="2" t="inlineStr">
        <is>
          <t>Skrovlig taggsvamp
Dropptaggsvamp
Motaggsvamp</t>
        </is>
      </c>
      <c r="W169">
        <f>HYPERLINK("https://klasma.github.io/Logging_2161/artfynd/A 46244-2024 artfynd.xlsx", "A 46244-2024")</f>
        <v/>
      </c>
      <c r="X169">
        <f>HYPERLINK("https://klasma.github.io/Logging_2161/kartor/A 46244-2024 karta.png", "A 46244-2024")</f>
        <v/>
      </c>
      <c r="Y169">
        <f>HYPERLINK("https://klasma.github.io/Logging_2161/kartor_geotiff/A 46244-2024 georefererad karta.tif", "A 46244-2024")</f>
        <v/>
      </c>
      <c r="AA169">
        <f>HYPERLINK("https://klasma.github.io/Logging_2161/klagomål/A 46244-2024 FSC-klagomål.docx", "A 46244-2024")</f>
        <v/>
      </c>
      <c r="AB169">
        <f>HYPERLINK("https://klasma.github.io/Logging_2161/klagomålsmail/A 46244-2024 FSC-klagomål mail.docx", "A 46244-2024")</f>
        <v/>
      </c>
      <c r="AC169">
        <f>HYPERLINK("https://klasma.github.io/Logging_2161/tillsyn/A 46244-2024 tillsynsbegäran.docx", "A 46244-2024")</f>
        <v/>
      </c>
      <c r="AD169">
        <f>HYPERLINK("https://klasma.github.io/Logging_2161/tillsynsmail/A 46244-2024 tillsynsbegäran mail.docx", "A 46244-2024")</f>
        <v/>
      </c>
    </row>
    <row r="170" ht="15" customHeight="1">
      <c r="A170" t="inlineStr">
        <is>
          <t>A 50654-2025</t>
        </is>
      </c>
      <c r="B170" t="inlineStr">
        <is>
          <t>avverkningsanmälan</t>
        </is>
      </c>
      <c r="C170" t="inlineStr">
        <is>
          <t>Föryngringsavverkning</t>
        </is>
      </c>
      <c r="D170" s="1" t="n">
        <v>45945</v>
      </c>
      <c r="E170" s="1" t="n">
        <v>46292</v>
      </c>
      <c r="F170" t="inlineStr">
        <is>
          <t>GÄVLEBORGS LÄN</t>
        </is>
      </c>
      <c r="G170" t="inlineStr">
        <is>
          <t>LJUSDAL</t>
        </is>
      </c>
      <c r="H170" t="inlineStr">
        <is>
          <t>Sveaskog</t>
        </is>
      </c>
      <c r="I170" t="n">
        <v>6.3</v>
      </c>
      <c r="J170" t="n">
        <v>0</v>
      </c>
      <c r="K170" t="n">
        <v>0</v>
      </c>
      <c r="L170" t="n">
        <v>2</v>
      </c>
      <c r="M170" t="n">
        <v>1</v>
      </c>
      <c r="N170" t="n">
        <v>0</v>
      </c>
      <c r="O170" t="n">
        <v>0</v>
      </c>
      <c r="P170" t="n">
        <v>0</v>
      </c>
      <c r="Q170" t="n">
        <v>3</v>
      </c>
      <c r="R170" t="n">
        <v>1</v>
      </c>
      <c r="S170" t="n">
        <v>3</v>
      </c>
      <c r="T170" t="n">
        <v>4</v>
      </c>
      <c r="U170" t="n">
        <v>4</v>
      </c>
      <c r="V170" s="2" t="inlineStr">
        <is>
          <t>Garnlav
Lunglav
Skrovellav</t>
        </is>
      </c>
      <c r="W170">
        <f>HYPERLINK("https://klasma.github.io/Logging_2161/artfynd/A 50654-2025 artfynd.xlsx", "A 50654-2025")</f>
        <v/>
      </c>
      <c r="X170">
        <f>HYPERLINK("https://klasma.github.io/Logging_2161/kartor/A 50654-2025 karta.png", "A 50654-2025")</f>
        <v/>
      </c>
      <c r="Y170">
        <f>HYPERLINK("https://klasma.github.io/Logging_2161/kartor_geotiff/A 50654-2025 georefererad karta.tif", "A 50654-2025")</f>
        <v/>
      </c>
      <c r="AA170">
        <f>HYPERLINK("https://klasma.github.io/Logging_2161/klagomål/A 50654-2025 FSC-klagomål.docx", "A 50654-2025")</f>
        <v/>
      </c>
      <c r="AB170">
        <f>HYPERLINK("https://klasma.github.io/Logging_2161/klagomålsmail/A 50654-2025 FSC-klagomål mail.docx", "A 50654-2025")</f>
        <v/>
      </c>
      <c r="AC170">
        <f>HYPERLINK("https://klasma.github.io/Logging_2161/tillsyn/A 50654-2025 tillsynsbegäran.docx", "A 50654-2025")</f>
        <v/>
      </c>
      <c r="AD170">
        <f>HYPERLINK("https://klasma.github.io/Logging_2161/tillsynsmail/A 50654-2025 tillsynsbegäran mail.docx", "A 50654-2025")</f>
        <v/>
      </c>
    </row>
    <row r="171" ht="15" customHeight="1">
      <c r="A171" t="inlineStr">
        <is>
          <t>A 17707-2025</t>
        </is>
      </c>
      <c r="B171" t="inlineStr">
        <is>
          <t>avverkningsanmälan</t>
        </is>
      </c>
      <c r="C171" t="inlineStr">
        <is>
          <t>Föryngringsavverkning</t>
        </is>
      </c>
      <c r="D171" s="1" t="n">
        <v>45758</v>
      </c>
      <c r="E171" s="1" t="n">
        <v>46292</v>
      </c>
      <c r="F171" t="inlineStr">
        <is>
          <t>GÄVLEBORGS LÄN</t>
        </is>
      </c>
      <c r="G171" t="inlineStr">
        <is>
          <t>LJUSDAL</t>
        </is>
      </c>
      <c r="H171" t="inlineStr">
        <is>
          <t>Kyrkan</t>
        </is>
      </c>
      <c r="I171" t="n">
        <v>7.2</v>
      </c>
      <c r="J171" t="n">
        <v>2</v>
      </c>
      <c r="K171" t="n">
        <v>2</v>
      </c>
      <c r="L171" t="n">
        <v>0</v>
      </c>
      <c r="M171" t="n">
        <v>1</v>
      </c>
      <c r="N171" t="n">
        <v>0</v>
      </c>
      <c r="O171" t="n">
        <v>0</v>
      </c>
      <c r="P171" t="n">
        <v>0</v>
      </c>
      <c r="Q171" t="n">
        <v>1</v>
      </c>
      <c r="R171" t="n">
        <v>1</v>
      </c>
      <c r="S171" t="n">
        <v>3</v>
      </c>
      <c r="T171" t="n">
        <v>4</v>
      </c>
      <c r="U171" t="n">
        <v>4</v>
      </c>
      <c r="V171" s="2" t="inlineStr">
        <is>
          <t>Knärot
Grönpyrola
Plattlummer</t>
        </is>
      </c>
      <c r="W171">
        <f>HYPERLINK("https://klasma.github.io/Logging_2161/artfynd/A 17707-2025 artfynd.xlsx", "A 17707-2025")</f>
        <v/>
      </c>
      <c r="X171">
        <f>HYPERLINK("https://klasma.github.io/Logging_2161/kartor/A 17707-2025 karta.png", "A 17707-2025")</f>
        <v/>
      </c>
      <c r="Y171">
        <f>HYPERLINK("https://klasma.github.io/Logging_2161/kartor_geotiff/A 17707-2025 georefererad karta.tif", "A 17707-2025")</f>
        <v/>
      </c>
      <c r="Z171">
        <f>HYPERLINK("https://klasma.github.io/Logging_2161/knärot/A 17707-2025 karta knärot.png", "A 17707-2025")</f>
        <v/>
      </c>
      <c r="AA171">
        <f>HYPERLINK("https://klasma.github.io/Logging_2161/klagomål/A 17707-2025 FSC-klagomål.docx", "A 17707-2025")</f>
        <v/>
      </c>
      <c r="AB171">
        <f>HYPERLINK("https://klasma.github.io/Logging_2161/klagomålsmail/A 17707-2025 FSC-klagomål mail.docx", "A 17707-2025")</f>
        <v/>
      </c>
      <c r="AC171">
        <f>HYPERLINK("https://klasma.github.io/Logging_2161/tillsyn/A 17707-2025 tillsynsbegäran.docx", "A 17707-2025")</f>
        <v/>
      </c>
      <c r="AD171">
        <f>HYPERLINK("https://klasma.github.io/Logging_2161/tillsynsmail/A 17707-2025 tillsynsbegäran mail.docx", "A 17707-2025")</f>
        <v/>
      </c>
    </row>
    <row r="172" ht="15" customHeight="1">
      <c r="A172" t="inlineStr">
        <is>
          <t>A 39024-2024</t>
        </is>
      </c>
      <c r="B172" t="inlineStr">
        <is>
          <t>avverkningsanmälan</t>
        </is>
      </c>
      <c r="C172" t="inlineStr">
        <is>
          <t>Föryngringsavverkning</t>
        </is>
      </c>
      <c r="D172" s="1" t="n">
        <v>45548</v>
      </c>
      <c r="E172" s="1" t="n">
        <v>46292</v>
      </c>
      <c r="F172" t="inlineStr">
        <is>
          <t>GÄVLEBORGS LÄN</t>
        </is>
      </c>
      <c r="G172" t="inlineStr">
        <is>
          <t>LJUSDAL</t>
        </is>
      </c>
      <c r="H172" t="inlineStr">
        <is>
          <t>Sveaskog</t>
        </is>
      </c>
      <c r="I172" t="n">
        <v>17</v>
      </c>
      <c r="J172" t="n">
        <v>0</v>
      </c>
      <c r="K172" t="n">
        <v>0</v>
      </c>
      <c r="L172" t="n">
        <v>2</v>
      </c>
      <c r="M172" t="n">
        <v>1</v>
      </c>
      <c r="N172" t="n">
        <v>0</v>
      </c>
      <c r="O172" t="n">
        <v>0</v>
      </c>
      <c r="P172" t="n">
        <v>0</v>
      </c>
      <c r="Q172" t="n">
        <v>3</v>
      </c>
      <c r="R172" t="n">
        <v>1</v>
      </c>
      <c r="S172" t="n">
        <v>3</v>
      </c>
      <c r="T172" t="n">
        <v>7</v>
      </c>
      <c r="U172" t="n">
        <v>7</v>
      </c>
      <c r="V172" s="2" t="inlineStr">
        <is>
          <t>Garnlav
Lunglav
Skrovellav</t>
        </is>
      </c>
      <c r="W172">
        <f>HYPERLINK("https://klasma.github.io/Logging_2161/artfynd/A 39024-2024 artfynd.xlsx", "A 39024-2024")</f>
        <v/>
      </c>
      <c r="X172">
        <f>HYPERLINK("https://klasma.github.io/Logging_2161/kartor/A 39024-2024 karta.png", "A 39024-2024")</f>
        <v/>
      </c>
      <c r="Y172">
        <f>HYPERLINK("https://klasma.github.io/Logging_2161/kartor_geotiff/A 39024-2024 georefererad karta.tif", "A 39024-2024")</f>
        <v/>
      </c>
      <c r="AA172">
        <f>HYPERLINK("https://klasma.github.io/Logging_2161/klagomål/A 39024-2024 FSC-klagomål.docx", "A 39024-2024")</f>
        <v/>
      </c>
      <c r="AB172">
        <f>HYPERLINK("https://klasma.github.io/Logging_2161/klagomålsmail/A 39024-2024 FSC-klagomål mail.docx", "A 39024-2024")</f>
        <v/>
      </c>
      <c r="AC172">
        <f>HYPERLINK("https://klasma.github.io/Logging_2161/tillsyn/A 39024-2024 tillsynsbegäran.docx", "A 39024-2024")</f>
        <v/>
      </c>
      <c r="AD172">
        <f>HYPERLINK("https://klasma.github.io/Logging_2161/tillsynsmail/A 39024-2024 tillsynsbegäran mail.docx", "A 39024-2024")</f>
        <v/>
      </c>
    </row>
    <row r="173" ht="15" customHeight="1">
      <c r="A173" t="inlineStr">
        <is>
          <t>A 49982-2025</t>
        </is>
      </c>
      <c r="B173" t="inlineStr">
        <is>
          <t>avverkningsanmälan</t>
        </is>
      </c>
      <c r="C173" t="inlineStr">
        <is>
          <t>Föryngringsavverkning</t>
        </is>
      </c>
      <c r="D173" s="1" t="n">
        <v>45942</v>
      </c>
      <c r="E173" s="1" t="n">
        <v>46292</v>
      </c>
      <c r="F173" t="inlineStr">
        <is>
          <t>GÄVLEBORGS LÄN</t>
        </is>
      </c>
      <c r="G173" t="inlineStr">
        <is>
          <t>LJUSDAL</t>
        </is>
      </c>
      <c r="I173" t="n">
        <v>3.6</v>
      </c>
      <c r="J173" t="n">
        <v>1</v>
      </c>
      <c r="K173" t="n">
        <v>1</v>
      </c>
      <c r="L173" t="n">
        <v>1</v>
      </c>
      <c r="M173" t="n">
        <v>1</v>
      </c>
      <c r="N173" t="n">
        <v>0</v>
      </c>
      <c r="O173" t="n">
        <v>0</v>
      </c>
      <c r="P173" t="n">
        <v>0</v>
      </c>
      <c r="Q173" t="n">
        <v>2</v>
      </c>
      <c r="R173" t="n">
        <v>1</v>
      </c>
      <c r="S173" t="n">
        <v>3</v>
      </c>
      <c r="T173" t="n">
        <v>11</v>
      </c>
      <c r="U173" t="n">
        <v>0</v>
      </c>
      <c r="V173" s="2" t="inlineStr">
        <is>
          <t>Knärot
Dropptaggsvamp
Rödgul trumpetsvamp</t>
        </is>
      </c>
      <c r="W173">
        <f>HYPERLINK("https://klasma.github.io/Logging_2161/artfynd/A 49982-2025 artfynd.xlsx", "A 49982-2025")</f>
        <v/>
      </c>
      <c r="X173">
        <f>HYPERLINK("https://klasma.github.io/Logging_2161/kartor/A 49982-2025 karta.png", "A 49982-2025")</f>
        <v/>
      </c>
      <c r="Y173">
        <f>HYPERLINK("https://klasma.github.io/Logging_2161/kartor_geotiff/A 49982-2025 georefererad karta.tif", "A 49982-2025")</f>
        <v/>
      </c>
      <c r="Z173">
        <f>HYPERLINK("https://klasma.github.io/Logging_2161/knärot/A 49982-2025 karta knärot.png", "A 49982-2025")</f>
        <v/>
      </c>
      <c r="AA173">
        <f>HYPERLINK("https://klasma.github.io/Logging_2161/klagomål/A 49982-2025 FSC-klagomål.docx", "A 49982-2025")</f>
        <v/>
      </c>
      <c r="AB173">
        <f>HYPERLINK("https://klasma.github.io/Logging_2161/klagomålsmail/A 49982-2025 FSC-klagomål mail.docx", "A 49982-2025")</f>
        <v/>
      </c>
      <c r="AC173">
        <f>HYPERLINK("https://klasma.github.io/Logging_2161/tillsyn/A 49982-2025 tillsynsbegäran.docx", "A 49982-2025")</f>
        <v/>
      </c>
      <c r="AD173">
        <f>HYPERLINK("https://klasma.github.io/Logging_2161/tillsynsmail/A 49982-2025 tillsynsbegäran mail.docx", "A 49982-2025")</f>
        <v/>
      </c>
    </row>
    <row r="174" ht="15" customHeight="1">
      <c r="A174" t="inlineStr">
        <is>
          <t>A 55108-2025</t>
        </is>
      </c>
      <c r="B174" t="inlineStr">
        <is>
          <t>avverkningsanmälan</t>
        </is>
      </c>
      <c r="C174" t="inlineStr">
        <is>
          <t>Avverkning för att bevara och utveckla /försöksver</t>
        </is>
      </c>
      <c r="D174" s="1" t="n">
        <v>45968</v>
      </c>
      <c r="E174" s="1" t="n">
        <v>46292</v>
      </c>
      <c r="F174" t="inlineStr">
        <is>
          <t>GÄVLEBORGS LÄN</t>
        </is>
      </c>
      <c r="G174" t="inlineStr">
        <is>
          <t>LJUSDAL</t>
        </is>
      </c>
      <c r="H174" t="inlineStr">
        <is>
          <t>Sveaskog</t>
        </is>
      </c>
      <c r="I174" t="n">
        <v>3.2</v>
      </c>
      <c r="J174" t="n">
        <v>0</v>
      </c>
      <c r="K174" t="n">
        <v>0</v>
      </c>
      <c r="L174" t="n">
        <v>2</v>
      </c>
      <c r="M174" t="n">
        <v>1</v>
      </c>
      <c r="N174" t="n">
        <v>0</v>
      </c>
      <c r="O174" t="n">
        <v>0</v>
      </c>
      <c r="P174" t="n">
        <v>0</v>
      </c>
      <c r="Q174" t="n">
        <v>3</v>
      </c>
      <c r="R174" t="n">
        <v>1</v>
      </c>
      <c r="S174" t="n">
        <v>3</v>
      </c>
      <c r="T174" t="n">
        <v>5</v>
      </c>
      <c r="U174" t="n">
        <v>4</v>
      </c>
      <c r="V174" s="2" t="inlineStr">
        <is>
          <t>Garnlav
Lunglav
Tallticka</t>
        </is>
      </c>
      <c r="W174">
        <f>HYPERLINK("https://klasma.github.io/Logging_2161/artfynd/A 55108-2025 artfynd.xlsx", "A 55108-2025")</f>
        <v/>
      </c>
      <c r="X174">
        <f>HYPERLINK("https://klasma.github.io/Logging_2161/kartor/A 55108-2025 karta.png", "A 55108-2025")</f>
        <v/>
      </c>
      <c r="Y174">
        <f>HYPERLINK("https://klasma.github.io/Logging_2161/kartor_geotiff/A 55108-2025 georefererad karta.tif", "A 55108-2025")</f>
        <v/>
      </c>
      <c r="AA174">
        <f>HYPERLINK("https://klasma.github.io/Logging_2161/klagomål/A 55108-2025 FSC-klagomål.docx", "A 55108-2025")</f>
        <v/>
      </c>
      <c r="AB174">
        <f>HYPERLINK("https://klasma.github.io/Logging_2161/klagomålsmail/A 55108-2025 FSC-klagomål mail.docx", "A 55108-2025")</f>
        <v/>
      </c>
      <c r="AC174">
        <f>HYPERLINK("https://klasma.github.io/Logging_2161/tillsyn/A 55108-2025 tillsynsbegäran.docx", "A 55108-2025")</f>
        <v/>
      </c>
      <c r="AD174">
        <f>HYPERLINK("https://klasma.github.io/Logging_2161/tillsynsmail/A 55108-2025 tillsynsbegäran mail.docx", "A 55108-2025")</f>
        <v/>
      </c>
    </row>
    <row r="175" ht="15" customHeight="1">
      <c r="A175" t="inlineStr">
        <is>
          <t>A 12105-2023</t>
        </is>
      </c>
      <c r="B175" t="inlineStr">
        <is>
          <t>avverkningsanmälan</t>
        </is>
      </c>
      <c r="C175" t="inlineStr">
        <is>
          <t>Föryngringsavverkning</t>
        </is>
      </c>
      <c r="D175" s="1" t="n">
        <v>44998</v>
      </c>
      <c r="E175" s="1" t="n">
        <v>46292</v>
      </c>
      <c r="F175" t="inlineStr">
        <is>
          <t>GÄVLEBORGS LÄN</t>
        </is>
      </c>
      <c r="G175" t="inlineStr">
        <is>
          <t>LJUSDAL</t>
        </is>
      </c>
      <c r="I175" t="n">
        <v>11.7</v>
      </c>
      <c r="J175" t="n">
        <v>1</v>
      </c>
      <c r="K175" t="n">
        <v>2</v>
      </c>
      <c r="L175" t="n">
        <v>0</v>
      </c>
      <c r="M175" t="n">
        <v>1</v>
      </c>
      <c r="N175" t="n">
        <v>0</v>
      </c>
      <c r="O175" t="n">
        <v>0</v>
      </c>
      <c r="P175" t="n">
        <v>0</v>
      </c>
      <c r="Q175" t="n">
        <v>1</v>
      </c>
      <c r="R175" t="n">
        <v>1</v>
      </c>
      <c r="S175" t="n">
        <v>3</v>
      </c>
      <c r="T175" t="n">
        <v>30</v>
      </c>
      <c r="U175" t="n">
        <v>0</v>
      </c>
      <c r="V175" s="2" t="inlineStr">
        <is>
          <t>Knärot
Korallblylav
Mörk husmossa</t>
        </is>
      </c>
      <c r="W175">
        <f>HYPERLINK("https://klasma.github.io/Logging_2161/artfynd/A 12105-2023 artfynd.xlsx", "A 12105-2023")</f>
        <v/>
      </c>
      <c r="X175">
        <f>HYPERLINK("https://klasma.github.io/Logging_2161/kartor/A 12105-2023 karta.png", "A 12105-2023")</f>
        <v/>
      </c>
      <c r="Y175">
        <f>HYPERLINK("https://klasma.github.io/Logging_2161/kartor_geotiff/A 12105-2023 georefererad karta.tif", "A 12105-2023")</f>
        <v/>
      </c>
      <c r="Z175">
        <f>HYPERLINK("https://klasma.github.io/Logging_2161/knärot/A 12105-2023 karta knärot.png", "A 12105-2023")</f>
        <v/>
      </c>
      <c r="AA175">
        <f>HYPERLINK("https://klasma.github.io/Logging_2161/klagomål/A 12105-2023 FSC-klagomål.docx", "A 12105-2023")</f>
        <v/>
      </c>
      <c r="AB175">
        <f>HYPERLINK("https://klasma.github.io/Logging_2161/klagomålsmail/A 12105-2023 FSC-klagomål mail.docx", "A 12105-2023")</f>
        <v/>
      </c>
      <c r="AC175">
        <f>HYPERLINK("https://klasma.github.io/Logging_2161/tillsyn/A 12105-2023 tillsynsbegäran.docx", "A 12105-2023")</f>
        <v/>
      </c>
      <c r="AD175">
        <f>HYPERLINK("https://klasma.github.io/Logging_2161/tillsynsmail/A 12105-2023 tillsynsbegäran mail.docx", "A 12105-2023")</f>
        <v/>
      </c>
    </row>
    <row r="176" ht="15" customHeight="1">
      <c r="A176" t="inlineStr">
        <is>
          <t>A 17330-2026</t>
        </is>
      </c>
      <c r="B176" t="inlineStr">
        <is>
          <t>avverkningsanmälan</t>
        </is>
      </c>
      <c r="C176" t="inlineStr">
        <is>
          <t>Föryngringsavverkning</t>
        </is>
      </c>
      <c r="D176" s="1" t="n">
        <v>46119</v>
      </c>
      <c r="E176" s="1" t="n">
        <v>46292</v>
      </c>
      <c r="F176" t="inlineStr">
        <is>
          <t>GÄVLEBORGS LÄN</t>
        </is>
      </c>
      <c r="G176" t="inlineStr">
        <is>
          <t>LJUSDAL</t>
        </is>
      </c>
      <c r="H176" t="inlineStr">
        <is>
          <t>SCA</t>
        </is>
      </c>
      <c r="I176" t="n">
        <v>6.1</v>
      </c>
      <c r="J176" t="n">
        <v>2</v>
      </c>
      <c r="K176" t="n">
        <v>0</v>
      </c>
      <c r="L176" t="n">
        <v>1</v>
      </c>
      <c r="M176" t="n">
        <v>1</v>
      </c>
      <c r="N176" t="n">
        <v>0</v>
      </c>
      <c r="O176" t="n">
        <v>0</v>
      </c>
      <c r="P176" t="n">
        <v>0</v>
      </c>
      <c r="Q176" t="n">
        <v>2</v>
      </c>
      <c r="R176" t="n">
        <v>1</v>
      </c>
      <c r="S176" t="n">
        <v>3</v>
      </c>
      <c r="T176" t="n">
        <v>3</v>
      </c>
      <c r="U176" t="n">
        <v>2</v>
      </c>
      <c r="V176" s="2" t="inlineStr">
        <is>
          <t>Violett guldvinge
Ullticka
Spillkråka</t>
        </is>
      </c>
      <c r="W176">
        <f>HYPERLINK("https://klasma.github.io/Logging_2161/artfynd/A 17330-2026 artfynd.xlsx", "A 17330-2026")</f>
        <v/>
      </c>
      <c r="X176">
        <f>HYPERLINK("https://klasma.github.io/Logging_2161/kartor/A 17330-2026 karta.png", "A 17330-2026")</f>
        <v/>
      </c>
      <c r="Y176">
        <f>HYPERLINK("https://klasma.github.io/Logging_2161/kartor_geotiff/A 17330-2026 georefererad karta.tif", "A 17330-2026")</f>
        <v/>
      </c>
      <c r="AA176">
        <f>HYPERLINK("https://klasma.github.io/Logging_2161/klagomål/A 17330-2026 FSC-klagomål.docx", "A 17330-2026")</f>
        <v/>
      </c>
      <c r="AB176">
        <f>HYPERLINK("https://klasma.github.io/Logging_2161/klagomålsmail/A 17330-2026 FSC-klagomål mail.docx", "A 17330-2026")</f>
        <v/>
      </c>
      <c r="AC176">
        <f>HYPERLINK("https://klasma.github.io/Logging_2161/tillsyn/A 17330-2026 tillsynsbegäran.docx", "A 17330-2026")</f>
        <v/>
      </c>
      <c r="AD176">
        <f>HYPERLINK("https://klasma.github.io/Logging_2161/tillsynsmail/A 17330-2026 tillsynsbegäran mail.docx", "A 17330-2026")</f>
        <v/>
      </c>
      <c r="AE176">
        <f>HYPERLINK("https://klasma.github.io/Logging_2161/fåglar/A 17330-2026 prioriterade fågelarter.docx", "A 17330-2026")</f>
        <v/>
      </c>
    </row>
    <row r="177" ht="15" customHeight="1">
      <c r="A177" t="inlineStr">
        <is>
          <t>A 27884-2025</t>
        </is>
      </c>
      <c r="B177" t="inlineStr">
        <is>
          <t>avverkningsanmälan</t>
        </is>
      </c>
      <c r="C177" t="inlineStr">
        <is>
          <t>Föryngringsavverkning</t>
        </is>
      </c>
      <c r="D177" s="1" t="n">
        <v>45817</v>
      </c>
      <c r="E177" s="1" t="n">
        <v>46292</v>
      </c>
      <c r="F177" t="inlineStr">
        <is>
          <t>GÄVLEBORGS LÄN</t>
        </is>
      </c>
      <c r="G177" t="inlineStr">
        <is>
          <t>LJUSDAL</t>
        </is>
      </c>
      <c r="H177" t="inlineStr">
        <is>
          <t>Sveaskog</t>
        </is>
      </c>
      <c r="I177" t="n">
        <v>5.8</v>
      </c>
      <c r="J177" t="n">
        <v>1</v>
      </c>
      <c r="K177" t="n">
        <v>0</v>
      </c>
      <c r="L177" t="n">
        <v>1</v>
      </c>
      <c r="M177" t="n">
        <v>1</v>
      </c>
      <c r="N177" t="n">
        <v>0</v>
      </c>
      <c r="O177" t="n">
        <v>0</v>
      </c>
      <c r="P177" t="n">
        <v>0</v>
      </c>
      <c r="Q177" t="n">
        <v>2</v>
      </c>
      <c r="R177" t="n">
        <v>1</v>
      </c>
      <c r="S177" t="n">
        <v>3</v>
      </c>
      <c r="T177" t="n">
        <v>6</v>
      </c>
      <c r="U177" t="n">
        <v>4</v>
      </c>
      <c r="V177" s="2" t="inlineStr">
        <is>
          <t>Garnlav
Lunglav
Fläcknycklar</t>
        </is>
      </c>
      <c r="W177">
        <f>HYPERLINK("https://klasma.github.io/Logging_2161/artfynd/A 27884-2025 artfynd.xlsx", "A 27884-2025")</f>
        <v/>
      </c>
      <c r="X177">
        <f>HYPERLINK("https://klasma.github.io/Logging_2161/kartor/A 27884-2025 karta.png", "A 27884-2025")</f>
        <v/>
      </c>
      <c r="Y177">
        <f>HYPERLINK("https://klasma.github.io/Logging_2161/kartor_geotiff/A 27884-2025 georefererad karta.tif", "A 27884-2025")</f>
        <v/>
      </c>
      <c r="AA177">
        <f>HYPERLINK("https://klasma.github.io/Logging_2161/klagomål/A 27884-2025 FSC-klagomål.docx", "A 27884-2025")</f>
        <v/>
      </c>
      <c r="AB177">
        <f>HYPERLINK("https://klasma.github.io/Logging_2161/klagomålsmail/A 27884-2025 FSC-klagomål mail.docx", "A 27884-2025")</f>
        <v/>
      </c>
      <c r="AC177">
        <f>HYPERLINK("https://klasma.github.io/Logging_2161/tillsyn/A 27884-2025 tillsynsbegäran.docx", "A 27884-2025")</f>
        <v/>
      </c>
      <c r="AD177">
        <f>HYPERLINK("https://klasma.github.io/Logging_2161/tillsynsmail/A 27884-2025 tillsynsbegäran mail.docx", "A 27884-2025")</f>
        <v/>
      </c>
    </row>
    <row r="178" ht="15" customHeight="1">
      <c r="A178" t="inlineStr">
        <is>
          <t>A 39889-2024</t>
        </is>
      </c>
      <c r="B178" t="inlineStr">
        <is>
          <t>avverkningsanmälan</t>
        </is>
      </c>
      <c r="C178" t="inlineStr">
        <is>
          <t>Avverkning för att bevara och utveckla /försöksver</t>
        </is>
      </c>
      <c r="D178" s="1" t="n">
        <v>45553</v>
      </c>
      <c r="E178" s="1" t="n">
        <v>46292</v>
      </c>
      <c r="F178" t="inlineStr">
        <is>
          <t>GÄVLEBORGS LÄN</t>
        </is>
      </c>
      <c r="G178" t="inlineStr">
        <is>
          <t>LJUSDAL</t>
        </is>
      </c>
      <c r="H178" t="inlineStr">
        <is>
          <t>Sveaskog</t>
        </is>
      </c>
      <c r="I178" t="n">
        <v>1.5</v>
      </c>
      <c r="J178" t="n">
        <v>1</v>
      </c>
      <c r="K178" t="n">
        <v>0</v>
      </c>
      <c r="L178" t="n">
        <v>2</v>
      </c>
      <c r="M178" t="n">
        <v>1</v>
      </c>
      <c r="N178" t="n">
        <v>0</v>
      </c>
      <c r="O178" t="n">
        <v>0</v>
      </c>
      <c r="P178" t="n">
        <v>0</v>
      </c>
      <c r="Q178" t="n">
        <v>3</v>
      </c>
      <c r="R178" t="n">
        <v>1</v>
      </c>
      <c r="S178" t="n">
        <v>3</v>
      </c>
      <c r="T178" t="n">
        <v>5</v>
      </c>
      <c r="U178" t="n">
        <v>0</v>
      </c>
      <c r="V178" s="2" t="inlineStr">
        <is>
          <t>Knärot
Lunglav
Ullticka</t>
        </is>
      </c>
      <c r="W178">
        <f>HYPERLINK("https://klasma.github.io/Logging_2161/artfynd/A 39889-2024 artfynd.xlsx", "A 39889-2024")</f>
        <v/>
      </c>
      <c r="X178">
        <f>HYPERLINK("https://klasma.github.io/Logging_2161/kartor/A 39889-2024 karta.png", "A 39889-2024")</f>
        <v/>
      </c>
      <c r="Y178">
        <f>HYPERLINK("https://klasma.github.io/Logging_2161/kartor_geotiff/A 39889-2024 georefererad karta.tif", "A 39889-2024")</f>
        <v/>
      </c>
      <c r="Z178">
        <f>HYPERLINK("https://klasma.github.io/Logging_2161/knärot/A 39889-2024 karta knärot.png", "A 39889-2024")</f>
        <v/>
      </c>
      <c r="AA178">
        <f>HYPERLINK("https://klasma.github.io/Logging_2161/klagomål/A 39889-2024 FSC-klagomål.docx", "A 39889-2024")</f>
        <v/>
      </c>
      <c r="AB178">
        <f>HYPERLINK("https://klasma.github.io/Logging_2161/klagomålsmail/A 39889-2024 FSC-klagomål mail.docx", "A 39889-2024")</f>
        <v/>
      </c>
      <c r="AC178">
        <f>HYPERLINK("https://klasma.github.io/Logging_2161/tillsyn/A 39889-2024 tillsynsbegäran.docx", "A 39889-2024")</f>
        <v/>
      </c>
      <c r="AD178">
        <f>HYPERLINK("https://klasma.github.io/Logging_2161/tillsynsmail/A 39889-2024 tillsynsbegäran mail.docx", "A 39889-2024")</f>
        <v/>
      </c>
    </row>
    <row r="179" ht="15" customHeight="1">
      <c r="A179" t="inlineStr">
        <is>
          <t>A 20000-2026</t>
        </is>
      </c>
      <c r="B179" t="inlineStr">
        <is>
          <t>avverkningsanmälan</t>
        </is>
      </c>
      <c r="C179" t="inlineStr">
        <is>
          <t>Föryngringsavverkning</t>
        </is>
      </c>
      <c r="D179" s="1" t="n">
        <v>46136</v>
      </c>
      <c r="E179" s="1" t="n">
        <v>46292</v>
      </c>
      <c r="F179" t="inlineStr">
        <is>
          <t>GÄVLEBORGS LÄN</t>
        </is>
      </c>
      <c r="G179" t="inlineStr">
        <is>
          <t>LJUSDAL</t>
        </is>
      </c>
      <c r="H179" t="inlineStr">
        <is>
          <t>Sveaskog</t>
        </is>
      </c>
      <c r="I179" t="n">
        <v>4.8</v>
      </c>
      <c r="J179" t="n">
        <v>0</v>
      </c>
      <c r="K179" t="n">
        <v>0</v>
      </c>
      <c r="L179" t="n">
        <v>3</v>
      </c>
      <c r="M179" t="n">
        <v>0</v>
      </c>
      <c r="N179" t="n">
        <v>0</v>
      </c>
      <c r="O179" t="n">
        <v>0</v>
      </c>
      <c r="P179" t="n">
        <v>0</v>
      </c>
      <c r="Q179" t="n">
        <v>3</v>
      </c>
      <c r="R179" t="n">
        <v>0</v>
      </c>
      <c r="S179" t="n">
        <v>3</v>
      </c>
      <c r="T179" t="n">
        <v>3</v>
      </c>
      <c r="U179" t="n">
        <v>3</v>
      </c>
      <c r="V179" s="2" t="inlineStr">
        <is>
          <t>Kolflarnlav
Lunglav
Mörk kolflarnlav</t>
        </is>
      </c>
      <c r="W179">
        <f>HYPERLINK("https://klasma.github.io/Logging_2161/artfynd/A 20000-2026 artfynd.xlsx", "A 20000-2026")</f>
        <v/>
      </c>
      <c r="X179">
        <f>HYPERLINK("https://klasma.github.io/Logging_2161/kartor/A 20000-2026 karta.png", "A 20000-2026")</f>
        <v/>
      </c>
      <c r="Y179">
        <f>HYPERLINK("https://klasma.github.io/Logging_2161/kartor_geotiff/A 20000-2026 georefererad karta.tif", "A 20000-2026")</f>
        <v/>
      </c>
      <c r="AA179">
        <f>HYPERLINK("https://klasma.github.io/Logging_2161/klagomål/A 20000-2026 FSC-klagomål.docx", "A 20000-2026")</f>
        <v/>
      </c>
      <c r="AB179">
        <f>HYPERLINK("https://klasma.github.io/Logging_2161/klagomålsmail/A 20000-2026 FSC-klagomål mail.docx", "A 20000-2026")</f>
        <v/>
      </c>
      <c r="AC179">
        <f>HYPERLINK("https://klasma.github.io/Logging_2161/tillsyn/A 20000-2026 tillsynsbegäran.docx", "A 20000-2026")</f>
        <v/>
      </c>
      <c r="AD179">
        <f>HYPERLINK("https://klasma.github.io/Logging_2161/tillsynsmail/A 20000-2026 tillsynsbegäran mail.docx", "A 20000-2026")</f>
        <v/>
      </c>
    </row>
    <row r="180" ht="15" customHeight="1">
      <c r="A180" t="inlineStr">
        <is>
          <t>A 59078-2025</t>
        </is>
      </c>
      <c r="B180" t="inlineStr">
        <is>
          <t>avverkningsanmälan</t>
        </is>
      </c>
      <c r="C180" t="inlineStr">
        <is>
          <t>Föryngringsavverkning</t>
        </is>
      </c>
      <c r="D180" s="1" t="n">
        <v>45988</v>
      </c>
      <c r="E180" s="1" t="n">
        <v>46292</v>
      </c>
      <c r="F180" t="inlineStr">
        <is>
          <t>GÄVLEBORGS LÄN</t>
        </is>
      </c>
      <c r="G180" t="inlineStr">
        <is>
          <t>LJUSDAL</t>
        </is>
      </c>
      <c r="I180" t="n">
        <v>16.4</v>
      </c>
      <c r="J180" t="n">
        <v>1</v>
      </c>
      <c r="K180" t="n">
        <v>0</v>
      </c>
      <c r="L180" t="n">
        <v>1</v>
      </c>
      <c r="M180" t="n">
        <v>0</v>
      </c>
      <c r="N180" t="n">
        <v>0</v>
      </c>
      <c r="O180" t="n">
        <v>0</v>
      </c>
      <c r="P180" t="n">
        <v>0</v>
      </c>
      <c r="Q180" t="n">
        <v>1</v>
      </c>
      <c r="R180" t="n">
        <v>0</v>
      </c>
      <c r="S180" t="n">
        <v>3</v>
      </c>
      <c r="T180" t="n">
        <v>3</v>
      </c>
      <c r="U180" t="n">
        <v>3</v>
      </c>
      <c r="V180" s="2" t="inlineStr">
        <is>
          <t>Kolflarnlav
Linnea
Tjäder</t>
        </is>
      </c>
      <c r="W180">
        <f>HYPERLINK("https://klasma.github.io/Logging_2161/artfynd/A 59078-2025 artfynd.xlsx", "A 59078-2025")</f>
        <v/>
      </c>
      <c r="X180">
        <f>HYPERLINK("https://klasma.github.io/Logging_2161/kartor/A 59078-2025 karta.png", "A 59078-2025")</f>
        <v/>
      </c>
      <c r="Y180">
        <f>HYPERLINK("https://klasma.github.io/Logging_2161/kartor_geotiff/A 59078-2025 georefererad karta.tif", "A 59078-2025")</f>
        <v/>
      </c>
      <c r="AA180">
        <f>HYPERLINK("https://klasma.github.io/Logging_2161/klagomål/A 59078-2025 FSC-klagomål.docx", "A 59078-2025")</f>
        <v/>
      </c>
      <c r="AB180">
        <f>HYPERLINK("https://klasma.github.io/Logging_2161/klagomålsmail/A 59078-2025 FSC-klagomål mail.docx", "A 59078-2025")</f>
        <v/>
      </c>
      <c r="AC180">
        <f>HYPERLINK("https://klasma.github.io/Logging_2161/tillsyn/A 59078-2025 tillsynsbegäran.docx", "A 59078-2025")</f>
        <v/>
      </c>
      <c r="AD180">
        <f>HYPERLINK("https://klasma.github.io/Logging_2161/tillsynsmail/A 59078-2025 tillsynsbegäran mail.docx", "A 59078-2025")</f>
        <v/>
      </c>
      <c r="AE180">
        <f>HYPERLINK("https://klasma.github.io/Logging_2161/fåglar/A 59078-2025 prioriterade fågelarter.docx", "A 59078-2025")</f>
        <v/>
      </c>
    </row>
    <row r="181" ht="15" customHeight="1">
      <c r="A181" t="inlineStr">
        <is>
          <t>A 61618-2025</t>
        </is>
      </c>
      <c r="B181" t="inlineStr">
        <is>
          <t>avverkningsanmälan</t>
        </is>
      </c>
      <c r="C181" t="inlineStr">
        <is>
          <t>Föryngringsavverkning</t>
        </is>
      </c>
      <c r="D181" s="1" t="n">
        <v>46002</v>
      </c>
      <c r="E181" s="1" t="n">
        <v>46292</v>
      </c>
      <c r="F181" t="inlineStr">
        <is>
          <t>GÄVLEBORGS LÄN</t>
        </is>
      </c>
      <c r="G181" t="inlineStr">
        <is>
          <t>LJUSDAL</t>
        </is>
      </c>
      <c r="I181" t="n">
        <v>0.8</v>
      </c>
      <c r="J181" t="n">
        <v>0</v>
      </c>
      <c r="K181" t="n">
        <v>1</v>
      </c>
      <c r="L181" t="n">
        <v>2</v>
      </c>
      <c r="M181" t="n">
        <v>0</v>
      </c>
      <c r="N181" t="n">
        <v>0</v>
      </c>
      <c r="O181" t="n">
        <v>0</v>
      </c>
      <c r="P181" t="n">
        <v>0</v>
      </c>
      <c r="Q181" t="n">
        <v>2</v>
      </c>
      <c r="R181" t="n">
        <v>0</v>
      </c>
      <c r="S181" t="n">
        <v>3</v>
      </c>
      <c r="T181" t="n">
        <v>8</v>
      </c>
      <c r="U181" t="n">
        <v>0</v>
      </c>
      <c r="V181" s="2" t="inlineStr">
        <is>
          <t>Rosenticka
Rynkskinn
Zontaggsvamp</t>
        </is>
      </c>
      <c r="W181">
        <f>HYPERLINK("https://klasma.github.io/Logging_2161/artfynd/A 61618-2025 artfynd.xlsx", "A 61618-2025")</f>
        <v/>
      </c>
      <c r="X181">
        <f>HYPERLINK("https://klasma.github.io/Logging_2161/kartor/A 61618-2025 karta.png", "A 61618-2025")</f>
        <v/>
      </c>
      <c r="Y181">
        <f>HYPERLINK("https://klasma.github.io/Logging_2161/kartor_geotiff/A 61618-2025 georefererad karta.tif", "A 61618-2025")</f>
        <v/>
      </c>
      <c r="Z181">
        <f>HYPERLINK("https://klasma.github.io/Logging_2161/knärot/A 61618-2025 karta knärot.png", "A 61618-2025")</f>
        <v/>
      </c>
      <c r="AA181">
        <f>HYPERLINK("https://klasma.github.io/Logging_2161/klagomål/A 61618-2025 FSC-klagomål.docx", "A 61618-2025")</f>
        <v/>
      </c>
      <c r="AB181">
        <f>HYPERLINK("https://klasma.github.io/Logging_2161/klagomålsmail/A 61618-2025 FSC-klagomål mail.docx", "A 61618-2025")</f>
        <v/>
      </c>
      <c r="AC181">
        <f>HYPERLINK("https://klasma.github.io/Logging_2161/tillsyn/A 61618-2025 tillsynsbegäran.docx", "A 61618-2025")</f>
        <v/>
      </c>
      <c r="AD181">
        <f>HYPERLINK("https://klasma.github.io/Logging_2161/tillsynsmail/A 61618-2025 tillsynsbegäran mail.docx", "A 61618-2025")</f>
        <v/>
      </c>
    </row>
    <row r="182" ht="15" customHeight="1">
      <c r="A182" t="inlineStr">
        <is>
          <t>A 34324-2025</t>
        </is>
      </c>
      <c r="B182" t="inlineStr">
        <is>
          <t>avverkningsanmälan</t>
        </is>
      </c>
      <c r="C182" t="inlineStr">
        <is>
          <t>Föryngringsavverkning</t>
        </is>
      </c>
      <c r="D182" s="1" t="n">
        <v>45846</v>
      </c>
      <c r="E182" s="1" t="n">
        <v>46292</v>
      </c>
      <c r="F182" t="inlineStr">
        <is>
          <t>GÄVLEBORGS LÄN</t>
        </is>
      </c>
      <c r="G182" t="inlineStr">
        <is>
          <t>LJUSDAL</t>
        </is>
      </c>
      <c r="H182" t="inlineStr">
        <is>
          <t>Bergvik skog väst AB</t>
        </is>
      </c>
      <c r="I182" t="n">
        <v>1.7</v>
      </c>
      <c r="J182" t="n">
        <v>0</v>
      </c>
      <c r="K182" t="n">
        <v>0</v>
      </c>
      <c r="L182" t="n">
        <v>3</v>
      </c>
      <c r="M182" t="n">
        <v>0</v>
      </c>
      <c r="N182" t="n">
        <v>0</v>
      </c>
      <c r="O182" t="n">
        <v>0</v>
      </c>
      <c r="P182" t="n">
        <v>0</v>
      </c>
      <c r="Q182" t="n">
        <v>3</v>
      </c>
      <c r="R182" t="n">
        <v>0</v>
      </c>
      <c r="S182" t="n">
        <v>3</v>
      </c>
      <c r="T182" t="n">
        <v>3</v>
      </c>
      <c r="U182" t="n">
        <v>0</v>
      </c>
      <c r="V182" s="2" t="inlineStr">
        <is>
          <t>Blanksvart spiklav
Kolflarnlav
Nordtagging</t>
        </is>
      </c>
      <c r="W182">
        <f>HYPERLINK("https://klasma.github.io/Logging_2161/artfynd/A 34324-2025 artfynd.xlsx", "A 34324-2025")</f>
        <v/>
      </c>
      <c r="X182">
        <f>HYPERLINK("https://klasma.github.io/Logging_2161/kartor/A 34324-2025 karta.png", "A 34324-2025")</f>
        <v/>
      </c>
      <c r="Y182">
        <f>HYPERLINK("https://klasma.github.io/Logging_2161/kartor_geotiff/A 34324-2025 georefererad karta.tif", "A 34324-2025")</f>
        <v/>
      </c>
      <c r="AA182">
        <f>HYPERLINK("https://klasma.github.io/Logging_2161/klagomål/A 34324-2025 FSC-klagomål.docx", "A 34324-2025")</f>
        <v/>
      </c>
      <c r="AB182">
        <f>HYPERLINK("https://klasma.github.io/Logging_2161/klagomålsmail/A 34324-2025 FSC-klagomål mail.docx", "A 34324-2025")</f>
        <v/>
      </c>
      <c r="AC182">
        <f>HYPERLINK("https://klasma.github.io/Logging_2161/tillsyn/A 34324-2025 tillsynsbegäran.docx", "A 34324-2025")</f>
        <v/>
      </c>
      <c r="AD182">
        <f>HYPERLINK("https://klasma.github.io/Logging_2161/tillsynsmail/A 34324-2025 tillsynsbegäran mail.docx", "A 34324-2025")</f>
        <v/>
      </c>
    </row>
    <row r="183" ht="15" customHeight="1">
      <c r="A183" t="inlineStr">
        <is>
          <t>A 30295-2025</t>
        </is>
      </c>
      <c r="B183" t="inlineStr">
        <is>
          <t>avverkningsanmälan</t>
        </is>
      </c>
      <c r="C183" t="inlineStr">
        <is>
          <t>Föryngringsavverkning</t>
        </is>
      </c>
      <c r="D183" s="1" t="n">
        <v>45827</v>
      </c>
      <c r="E183" s="1" t="n">
        <v>46292</v>
      </c>
      <c r="F183" t="inlineStr">
        <is>
          <t>GÄVLEBORGS LÄN</t>
        </is>
      </c>
      <c r="G183" t="inlineStr">
        <is>
          <t>LJUSDAL</t>
        </is>
      </c>
      <c r="H183" t="inlineStr">
        <is>
          <t>Sveaskog</t>
        </is>
      </c>
      <c r="I183" t="n">
        <v>9.1</v>
      </c>
      <c r="J183" t="n">
        <v>0</v>
      </c>
      <c r="K183" t="n">
        <v>0</v>
      </c>
      <c r="L183" t="n">
        <v>2</v>
      </c>
      <c r="M183" t="n">
        <v>1</v>
      </c>
      <c r="N183" t="n">
        <v>0</v>
      </c>
      <c r="O183" t="n">
        <v>0</v>
      </c>
      <c r="P183" t="n">
        <v>0</v>
      </c>
      <c r="Q183" t="n">
        <v>3</v>
      </c>
      <c r="R183" t="n">
        <v>1</v>
      </c>
      <c r="S183" t="n">
        <v>3</v>
      </c>
      <c r="T183" t="n">
        <v>3</v>
      </c>
      <c r="U183" t="n">
        <v>0</v>
      </c>
      <c r="V183" s="2" t="inlineStr">
        <is>
          <t>Garnlav
Kolflarnlav
Lunglav</t>
        </is>
      </c>
      <c r="W183">
        <f>HYPERLINK("https://klasma.github.io/Logging_2161/artfynd/A 30295-2025 artfynd.xlsx", "A 30295-2025")</f>
        <v/>
      </c>
      <c r="X183">
        <f>HYPERLINK("https://klasma.github.io/Logging_2161/kartor/A 30295-2025 karta.png", "A 30295-2025")</f>
        <v/>
      </c>
      <c r="Y183">
        <f>HYPERLINK("https://klasma.github.io/Logging_2161/kartor_geotiff/A 30295-2025 georefererad karta.tif", "A 30295-2025")</f>
        <v/>
      </c>
      <c r="AA183">
        <f>HYPERLINK("https://klasma.github.io/Logging_2161/klagomål/A 30295-2025 FSC-klagomål.docx", "A 30295-2025")</f>
        <v/>
      </c>
      <c r="AB183">
        <f>HYPERLINK("https://klasma.github.io/Logging_2161/klagomålsmail/A 30295-2025 FSC-klagomål mail.docx", "A 30295-2025")</f>
        <v/>
      </c>
      <c r="AC183">
        <f>HYPERLINK("https://klasma.github.io/Logging_2161/tillsyn/A 30295-2025 tillsynsbegäran.docx", "A 30295-2025")</f>
        <v/>
      </c>
      <c r="AD183">
        <f>HYPERLINK("https://klasma.github.io/Logging_2161/tillsynsmail/A 30295-2025 tillsynsbegäran mail.docx", "A 30295-2025")</f>
        <v/>
      </c>
    </row>
    <row r="184" ht="15" customHeight="1">
      <c r="A184" t="inlineStr">
        <is>
          <t>A 42180-2025</t>
        </is>
      </c>
      <c r="B184" t="inlineStr">
        <is>
          <t>avverkningsanmälan</t>
        </is>
      </c>
      <c r="C184" t="inlineStr">
        <is>
          <t>Föryngringsavverkning</t>
        </is>
      </c>
      <c r="D184" s="1" t="n">
        <v>45904</v>
      </c>
      <c r="E184" s="1" t="n">
        <v>46292</v>
      </c>
      <c r="F184" t="inlineStr">
        <is>
          <t>GÄVLEBORGS LÄN</t>
        </is>
      </c>
      <c r="G184" t="inlineStr">
        <is>
          <t>LJUSDAL</t>
        </is>
      </c>
      <c r="H184" t="inlineStr">
        <is>
          <t>Allmännings- och besparingsskogar</t>
        </is>
      </c>
      <c r="I184" t="n">
        <v>5.8</v>
      </c>
      <c r="J184" t="n">
        <v>1</v>
      </c>
      <c r="K184" t="n">
        <v>0</v>
      </c>
      <c r="L184" t="n">
        <v>1</v>
      </c>
      <c r="M184" t="n">
        <v>1</v>
      </c>
      <c r="N184" t="n">
        <v>0</v>
      </c>
      <c r="O184" t="n">
        <v>0</v>
      </c>
      <c r="P184" t="n">
        <v>0</v>
      </c>
      <c r="Q184" t="n">
        <v>2</v>
      </c>
      <c r="R184" t="n">
        <v>1</v>
      </c>
      <c r="S184" t="n">
        <v>3</v>
      </c>
      <c r="T184" t="n">
        <v>17</v>
      </c>
      <c r="U184" t="n">
        <v>17</v>
      </c>
      <c r="V184" s="2" t="inlineStr">
        <is>
          <t>Garnlav
Dvärgbägarlav
Revlummer</t>
        </is>
      </c>
      <c r="W184">
        <f>HYPERLINK("https://klasma.github.io/Logging_2161/artfynd/A 42180-2025 artfynd.xlsx", "A 42180-2025")</f>
        <v/>
      </c>
      <c r="X184">
        <f>HYPERLINK("https://klasma.github.io/Logging_2161/kartor/A 42180-2025 karta.png", "A 42180-2025")</f>
        <v/>
      </c>
      <c r="Y184">
        <f>HYPERLINK("https://klasma.github.io/Logging_2161/kartor_geotiff/A 42180-2025 georefererad karta.tif", "A 42180-2025")</f>
        <v/>
      </c>
      <c r="AA184">
        <f>HYPERLINK("https://klasma.github.io/Logging_2161/klagomål/A 42180-2025 FSC-klagomål.docx", "A 42180-2025")</f>
        <v/>
      </c>
      <c r="AB184">
        <f>HYPERLINK("https://klasma.github.io/Logging_2161/klagomålsmail/A 42180-2025 FSC-klagomål mail.docx", "A 42180-2025")</f>
        <v/>
      </c>
      <c r="AC184">
        <f>HYPERLINK("https://klasma.github.io/Logging_2161/tillsyn/A 42180-2025 tillsynsbegäran.docx", "A 42180-2025")</f>
        <v/>
      </c>
      <c r="AD184">
        <f>HYPERLINK("https://klasma.github.io/Logging_2161/tillsynsmail/A 42180-2025 tillsynsbegäran mail.docx", "A 42180-2025")</f>
        <v/>
      </c>
    </row>
    <row r="185" ht="15" customHeight="1">
      <c r="A185" t="inlineStr">
        <is>
          <t>A 32818-2025</t>
        </is>
      </c>
      <c r="B185" t="inlineStr">
        <is>
          <t>avverkningsanmälan</t>
        </is>
      </c>
      <c r="C185" t="inlineStr">
        <is>
          <t>Föryngringsavverkning</t>
        </is>
      </c>
      <c r="D185" s="1" t="n">
        <v>45839</v>
      </c>
      <c r="E185" s="1" t="n">
        <v>46292</v>
      </c>
      <c r="F185" t="inlineStr">
        <is>
          <t>GÄVLEBORGS LÄN</t>
        </is>
      </c>
      <c r="G185" t="inlineStr">
        <is>
          <t>LJUSDAL</t>
        </is>
      </c>
      <c r="H185" t="inlineStr">
        <is>
          <t>Sveaskog</t>
        </is>
      </c>
      <c r="I185" t="n">
        <v>2.8</v>
      </c>
      <c r="J185" t="n">
        <v>1</v>
      </c>
      <c r="K185" t="n">
        <v>0</v>
      </c>
      <c r="L185" t="n">
        <v>2</v>
      </c>
      <c r="M185" t="n">
        <v>0</v>
      </c>
      <c r="N185" t="n">
        <v>0</v>
      </c>
      <c r="O185" t="n">
        <v>0</v>
      </c>
      <c r="P185" t="n">
        <v>0</v>
      </c>
      <c r="Q185" t="n">
        <v>2</v>
      </c>
      <c r="R185" t="n">
        <v>0</v>
      </c>
      <c r="S185" t="n">
        <v>3</v>
      </c>
      <c r="T185" t="n">
        <v>3</v>
      </c>
      <c r="U185" t="n">
        <v>3</v>
      </c>
      <c r="V185" s="2" t="inlineStr">
        <is>
          <t>Kolflarnlav
Lunglav
Fläcknycklar</t>
        </is>
      </c>
      <c r="W185">
        <f>HYPERLINK("https://klasma.github.io/Logging_2161/artfynd/A 32818-2025 artfynd.xlsx", "A 32818-2025")</f>
        <v/>
      </c>
      <c r="X185">
        <f>HYPERLINK("https://klasma.github.io/Logging_2161/kartor/A 32818-2025 karta.png", "A 32818-2025")</f>
        <v/>
      </c>
      <c r="Y185">
        <f>HYPERLINK("https://klasma.github.io/Logging_2161/kartor_geotiff/A 32818-2025 georefererad karta.tif", "A 32818-2025")</f>
        <v/>
      </c>
      <c r="AA185">
        <f>HYPERLINK("https://klasma.github.io/Logging_2161/klagomål/A 32818-2025 FSC-klagomål.docx", "A 32818-2025")</f>
        <v/>
      </c>
      <c r="AB185">
        <f>HYPERLINK("https://klasma.github.io/Logging_2161/klagomålsmail/A 32818-2025 FSC-klagomål mail.docx", "A 32818-2025")</f>
        <v/>
      </c>
      <c r="AC185">
        <f>HYPERLINK("https://klasma.github.io/Logging_2161/tillsyn/A 32818-2025 tillsynsbegäran.docx", "A 32818-2025")</f>
        <v/>
      </c>
      <c r="AD185">
        <f>HYPERLINK("https://klasma.github.io/Logging_2161/tillsynsmail/A 32818-2025 tillsynsbegäran mail.docx", "A 32818-2025")</f>
        <v/>
      </c>
    </row>
    <row r="186" ht="15" customHeight="1">
      <c r="A186" t="inlineStr">
        <is>
          <t>A 25093-2024</t>
        </is>
      </c>
      <c r="B186" t="inlineStr">
        <is>
          <t>avverkningsanmälan</t>
        </is>
      </c>
      <c r="C186" t="inlineStr">
        <is>
          <t>Föryngringsavverkning</t>
        </is>
      </c>
      <c r="D186" s="1" t="n">
        <v>45462</v>
      </c>
      <c r="E186" s="1" t="n">
        <v>46292</v>
      </c>
      <c r="F186" t="inlineStr">
        <is>
          <t>GÄVLEBORGS LÄN</t>
        </is>
      </c>
      <c r="G186" t="inlineStr">
        <is>
          <t>LJUSDAL</t>
        </is>
      </c>
      <c r="H186" t="inlineStr">
        <is>
          <t>Bergvik skog väst AB</t>
        </is>
      </c>
      <c r="I186" t="n">
        <v>10.6</v>
      </c>
      <c r="J186" t="n">
        <v>1</v>
      </c>
      <c r="K186" t="n">
        <v>0</v>
      </c>
      <c r="L186" t="n">
        <v>0</v>
      </c>
      <c r="M186" t="n">
        <v>0</v>
      </c>
      <c r="N186" t="n">
        <v>0</v>
      </c>
      <c r="O186" t="n">
        <v>0</v>
      </c>
      <c r="P186" t="n">
        <v>0</v>
      </c>
      <c r="Q186" t="n">
        <v>0</v>
      </c>
      <c r="R186" t="n">
        <v>0</v>
      </c>
      <c r="S186" t="n">
        <v>3</v>
      </c>
      <c r="T186" t="n">
        <v>5</v>
      </c>
      <c r="U186" t="n">
        <v>5</v>
      </c>
      <c r="V186" s="2" t="inlineStr">
        <is>
          <t>Linnea
Stjärnstarr
Fläcknycklar</t>
        </is>
      </c>
      <c r="W186">
        <f>HYPERLINK("https://klasma.github.io/Logging_2161/artfynd/A 25093-2024 artfynd.xlsx", "A 25093-2024")</f>
        <v/>
      </c>
      <c r="X186">
        <f>HYPERLINK("https://klasma.github.io/Logging_2161/kartor/A 25093-2024 karta.png", "A 25093-2024")</f>
        <v/>
      </c>
      <c r="Y186">
        <f>HYPERLINK("https://klasma.github.io/Logging_2161/kartor_geotiff/A 25093-2024 georefererad karta.tif", "A 25093-2024")</f>
        <v/>
      </c>
      <c r="AA186">
        <f>HYPERLINK("https://klasma.github.io/Logging_2161/klagomål/A 25093-2024 FSC-klagomål.docx", "A 25093-2024")</f>
        <v/>
      </c>
      <c r="AB186">
        <f>HYPERLINK("https://klasma.github.io/Logging_2161/klagomålsmail/A 25093-2024 FSC-klagomål mail.docx", "A 25093-2024")</f>
        <v/>
      </c>
      <c r="AC186">
        <f>HYPERLINK("https://klasma.github.io/Logging_2161/tillsyn/A 25093-2024 tillsynsbegäran.docx", "A 25093-2024")</f>
        <v/>
      </c>
      <c r="AD186">
        <f>HYPERLINK("https://klasma.github.io/Logging_2161/tillsynsmail/A 25093-2024 tillsynsbegäran mail.docx", "A 25093-2024")</f>
        <v/>
      </c>
    </row>
    <row r="187" ht="15" customHeight="1">
      <c r="A187" t="inlineStr">
        <is>
          <t>A 44451-2024</t>
        </is>
      </c>
      <c r="B187" t="inlineStr">
        <is>
          <t>avverkningsanmälan</t>
        </is>
      </c>
      <c r="C187" t="inlineStr">
        <is>
          <t>Föryngringsavverkning</t>
        </is>
      </c>
      <c r="D187" s="1" t="n">
        <v>45574</v>
      </c>
      <c r="E187" s="1" t="n">
        <v>46292</v>
      </c>
      <c r="F187" t="inlineStr">
        <is>
          <t>GÄVLEBORGS LÄN</t>
        </is>
      </c>
      <c r="G187" t="inlineStr">
        <is>
          <t>LJUSDAL</t>
        </is>
      </c>
      <c r="I187" t="n">
        <v>1.4</v>
      </c>
      <c r="J187" t="n">
        <v>1</v>
      </c>
      <c r="K187" t="n">
        <v>1</v>
      </c>
      <c r="L187" t="n">
        <v>2</v>
      </c>
      <c r="M187" t="n">
        <v>0</v>
      </c>
      <c r="N187" t="n">
        <v>0</v>
      </c>
      <c r="O187" t="n">
        <v>0</v>
      </c>
      <c r="P187" t="n">
        <v>0</v>
      </c>
      <c r="Q187" t="n">
        <v>2</v>
      </c>
      <c r="R187" t="n">
        <v>0</v>
      </c>
      <c r="S187" t="n">
        <v>3</v>
      </c>
      <c r="T187" t="n">
        <v>3</v>
      </c>
      <c r="U187" t="n">
        <v>3</v>
      </c>
      <c r="V187" s="2" t="inlineStr">
        <is>
          <t>Kolflarnlav
Vedflamlav
Plattlummer</t>
        </is>
      </c>
      <c r="W187">
        <f>HYPERLINK("https://klasma.github.io/Logging_2161/artfynd/A 44451-2024 artfynd.xlsx", "A 44451-2024")</f>
        <v/>
      </c>
      <c r="X187">
        <f>HYPERLINK("https://klasma.github.io/Logging_2161/kartor/A 44451-2024 karta.png", "A 44451-2024")</f>
        <v/>
      </c>
      <c r="Y187">
        <f>HYPERLINK("https://klasma.github.io/Logging_2161/kartor_geotiff/A 44451-2024 georefererad karta.tif", "A 44451-2024")</f>
        <v/>
      </c>
      <c r="AA187">
        <f>HYPERLINK("https://klasma.github.io/Logging_2161/klagomål/A 44451-2024 FSC-klagomål.docx", "A 44451-2024")</f>
        <v/>
      </c>
      <c r="AB187">
        <f>HYPERLINK("https://klasma.github.io/Logging_2161/klagomålsmail/A 44451-2024 FSC-klagomål mail.docx", "A 44451-2024")</f>
        <v/>
      </c>
      <c r="AC187">
        <f>HYPERLINK("https://klasma.github.io/Logging_2161/tillsyn/A 44451-2024 tillsynsbegäran.docx", "A 44451-2024")</f>
        <v/>
      </c>
      <c r="AD187">
        <f>HYPERLINK("https://klasma.github.io/Logging_2161/tillsynsmail/A 44451-2024 tillsynsbegäran mail.docx", "A 44451-2024")</f>
        <v/>
      </c>
    </row>
    <row r="188" ht="15" customHeight="1">
      <c r="A188" t="inlineStr">
        <is>
          <t>A 30610-2023</t>
        </is>
      </c>
      <c r="B188" t="inlineStr">
        <is>
          <t>avverkningsanmälan</t>
        </is>
      </c>
      <c r="C188" t="inlineStr">
        <is>
          <t>Föryngringsavverkning</t>
        </is>
      </c>
      <c r="D188" s="1" t="n">
        <v>45112</v>
      </c>
      <c r="E188" s="1" t="n">
        <v>46292</v>
      </c>
      <c r="F188" t="inlineStr">
        <is>
          <t>GÄVLEBORGS LÄN</t>
        </is>
      </c>
      <c r="G188" t="inlineStr">
        <is>
          <t>LJUSDAL</t>
        </is>
      </c>
      <c r="H188" t="inlineStr">
        <is>
          <t>Sveaskog</t>
        </is>
      </c>
      <c r="I188" t="n">
        <v>3.2</v>
      </c>
      <c r="J188" t="n">
        <v>2</v>
      </c>
      <c r="K188" t="n">
        <v>0</v>
      </c>
      <c r="L188" t="n">
        <v>2</v>
      </c>
      <c r="M188" t="n">
        <v>1</v>
      </c>
      <c r="N188" t="n">
        <v>0</v>
      </c>
      <c r="O188" t="n">
        <v>0</v>
      </c>
      <c r="P188" t="n">
        <v>0</v>
      </c>
      <c r="Q188" t="n">
        <v>3</v>
      </c>
      <c r="R188" t="n">
        <v>1</v>
      </c>
      <c r="S188" t="n">
        <v>3</v>
      </c>
      <c r="T188" t="n">
        <v>5</v>
      </c>
      <c r="U188" t="n">
        <v>5</v>
      </c>
      <c r="V188" s="2" t="inlineStr">
        <is>
          <t>Knärot
Knottrig blåslav
Talltita</t>
        </is>
      </c>
      <c r="W188">
        <f>HYPERLINK("https://klasma.github.io/Logging_2161/artfynd/A 30610-2023 artfynd.xlsx", "A 30610-2023")</f>
        <v/>
      </c>
      <c r="X188">
        <f>HYPERLINK("https://klasma.github.io/Logging_2161/kartor/A 30610-2023 karta.png", "A 30610-2023")</f>
        <v/>
      </c>
      <c r="Y188">
        <f>HYPERLINK("https://klasma.github.io/Logging_2161/kartor_geotiff/A 30610-2023 georefererad karta.tif", "A 30610-2023")</f>
        <v/>
      </c>
      <c r="Z188">
        <f>HYPERLINK("https://klasma.github.io/Logging_2161/knärot/A 30610-2023 karta knärot.png", "A 30610-2023")</f>
        <v/>
      </c>
      <c r="AA188">
        <f>HYPERLINK("https://klasma.github.io/Logging_2161/klagomål/A 30610-2023 FSC-klagomål.docx", "A 30610-2023")</f>
        <v/>
      </c>
      <c r="AB188">
        <f>HYPERLINK("https://klasma.github.io/Logging_2161/klagomålsmail/A 30610-2023 FSC-klagomål mail.docx", "A 30610-2023")</f>
        <v/>
      </c>
      <c r="AC188">
        <f>HYPERLINK("https://klasma.github.io/Logging_2161/tillsyn/A 30610-2023 tillsynsbegäran.docx", "A 30610-2023")</f>
        <v/>
      </c>
      <c r="AD188">
        <f>HYPERLINK("https://klasma.github.io/Logging_2161/tillsynsmail/A 30610-2023 tillsynsbegäran mail.docx", "A 30610-2023")</f>
        <v/>
      </c>
      <c r="AE188">
        <f>HYPERLINK("https://klasma.github.io/Logging_2161/fåglar/A 30610-2023 prioriterade fågelarter.docx", "A 30610-2023")</f>
        <v/>
      </c>
    </row>
    <row r="189" ht="15" customHeight="1">
      <c r="A189" t="inlineStr">
        <is>
          <t>A 28859-2026</t>
        </is>
      </c>
      <c r="B189" t="inlineStr">
        <is>
          <t>avverkningsanmälan</t>
        </is>
      </c>
      <c r="C189" t="inlineStr">
        <is>
          <t>Avverkning för att bevara och utveckla /försöksver</t>
        </is>
      </c>
      <c r="D189" s="1" t="n">
        <v>46198</v>
      </c>
      <c r="E189" s="1" t="n">
        <v>46292</v>
      </c>
      <c r="F189" t="inlineStr">
        <is>
          <t>GÄVLEBORGS LÄN</t>
        </is>
      </c>
      <c r="G189" t="inlineStr">
        <is>
          <t>LJUSDAL</t>
        </is>
      </c>
      <c r="H189" t="inlineStr">
        <is>
          <t>Sveaskog</t>
        </is>
      </c>
      <c r="I189" t="n">
        <v>1.1</v>
      </c>
      <c r="J189" t="n">
        <v>0</v>
      </c>
      <c r="K189" t="n">
        <v>0</v>
      </c>
      <c r="L189" t="n">
        <v>3</v>
      </c>
      <c r="M189" t="n">
        <v>0</v>
      </c>
      <c r="N189" t="n">
        <v>0</v>
      </c>
      <c r="O189" t="n">
        <v>0</v>
      </c>
      <c r="P189" t="n">
        <v>0</v>
      </c>
      <c r="Q189" t="n">
        <v>3</v>
      </c>
      <c r="R189" t="n">
        <v>0</v>
      </c>
      <c r="S189" t="n">
        <v>3</v>
      </c>
      <c r="T189" t="n">
        <v>3</v>
      </c>
      <c r="U189" t="n">
        <v>3</v>
      </c>
      <c r="V189" s="2" t="inlineStr">
        <is>
          <t>Kolflarnlav
Lunglav
Mörk kolflarnlav</t>
        </is>
      </c>
      <c r="W189">
        <f>HYPERLINK("https://klasma.github.io/Logging_2161/artfynd/A 28859-2026 artfynd.xlsx", "A 28859-2026")</f>
        <v/>
      </c>
      <c r="X189">
        <f>HYPERLINK("https://klasma.github.io/Logging_2161/kartor/A 28859-2026 karta.png", "A 28859-2026")</f>
        <v/>
      </c>
      <c r="Y189">
        <f>HYPERLINK("https://klasma.github.io/Logging_2161/kartor_geotiff/A 28859-2026 georefererad karta.tif", "A 28859-2026")</f>
        <v/>
      </c>
      <c r="AA189">
        <f>HYPERLINK("https://klasma.github.io/Logging_2161/klagomål/A 28859-2026 FSC-klagomål.docx", "A 28859-2026")</f>
        <v/>
      </c>
      <c r="AB189">
        <f>HYPERLINK("https://klasma.github.io/Logging_2161/klagomålsmail/A 28859-2026 FSC-klagomål mail.docx", "A 28859-2026")</f>
        <v/>
      </c>
      <c r="AC189">
        <f>HYPERLINK("https://klasma.github.io/Logging_2161/tillsyn/A 28859-2026 tillsynsbegäran.docx", "A 28859-2026")</f>
        <v/>
      </c>
      <c r="AD189">
        <f>HYPERLINK("https://klasma.github.io/Logging_2161/tillsynsmail/A 28859-2026 tillsynsbegäran mail.docx", "A 28859-2026")</f>
        <v/>
      </c>
    </row>
    <row r="190" ht="15" customHeight="1">
      <c r="A190" t="inlineStr">
        <is>
          <t>A 37786-2025</t>
        </is>
      </c>
      <c r="B190" t="inlineStr">
        <is>
          <t>avverkningsanmälan</t>
        </is>
      </c>
      <c r="C190" t="inlineStr">
        <is>
          <t>Föryngringsavverkning</t>
        </is>
      </c>
      <c r="D190" s="1" t="n">
        <v>45881</v>
      </c>
      <c r="E190" s="1" t="n">
        <v>46292</v>
      </c>
      <c r="F190" t="inlineStr">
        <is>
          <t>GÄVLEBORGS LÄN</t>
        </is>
      </c>
      <c r="G190" t="inlineStr">
        <is>
          <t>LJUSDAL</t>
        </is>
      </c>
      <c r="H190" t="inlineStr">
        <is>
          <t>Bergvik skog väst AB</t>
        </is>
      </c>
      <c r="I190" t="n">
        <v>7.9</v>
      </c>
      <c r="J190" t="n">
        <v>0</v>
      </c>
      <c r="K190" t="n">
        <v>2</v>
      </c>
      <c r="L190" t="n">
        <v>1</v>
      </c>
      <c r="M190" t="n">
        <v>0</v>
      </c>
      <c r="N190" t="n">
        <v>0</v>
      </c>
      <c r="O190" t="n">
        <v>0</v>
      </c>
      <c r="P190" t="n">
        <v>0</v>
      </c>
      <c r="Q190" t="n">
        <v>1</v>
      </c>
      <c r="R190" t="n">
        <v>0</v>
      </c>
      <c r="S190" t="n">
        <v>3</v>
      </c>
      <c r="T190" t="n">
        <v>3</v>
      </c>
      <c r="U190" t="n">
        <v>0</v>
      </c>
      <c r="V190" s="2" t="inlineStr">
        <is>
          <t>Lunglav
Kransrams
Tibast</t>
        </is>
      </c>
      <c r="W190">
        <f>HYPERLINK("https://klasma.github.io/Logging_2161/artfynd/A 37786-2025 artfynd.xlsx", "A 37786-2025")</f>
        <v/>
      </c>
      <c r="X190">
        <f>HYPERLINK("https://klasma.github.io/Logging_2161/kartor/A 37786-2025 karta.png", "A 37786-2025")</f>
        <v/>
      </c>
      <c r="Y190">
        <f>HYPERLINK("https://klasma.github.io/Logging_2161/kartor_geotiff/A 37786-2025 georefererad karta.tif", "A 37786-2025")</f>
        <v/>
      </c>
      <c r="AA190">
        <f>HYPERLINK("https://klasma.github.io/Logging_2161/klagomål/A 37786-2025 FSC-klagomål.docx", "A 37786-2025")</f>
        <v/>
      </c>
      <c r="AB190">
        <f>HYPERLINK("https://klasma.github.io/Logging_2161/klagomålsmail/A 37786-2025 FSC-klagomål mail.docx", "A 37786-2025")</f>
        <v/>
      </c>
      <c r="AC190">
        <f>HYPERLINK("https://klasma.github.io/Logging_2161/tillsyn/A 37786-2025 tillsynsbegäran.docx", "A 37786-2025")</f>
        <v/>
      </c>
      <c r="AD190">
        <f>HYPERLINK("https://klasma.github.io/Logging_2161/tillsynsmail/A 37786-2025 tillsynsbegäran mail.docx", "A 37786-2025")</f>
        <v/>
      </c>
    </row>
    <row r="191" ht="15" customHeight="1">
      <c r="A191" t="inlineStr">
        <is>
          <t>A 28636-2026</t>
        </is>
      </c>
      <c r="B191" t="inlineStr">
        <is>
          <t>avverkningsanmälan</t>
        </is>
      </c>
      <c r="C191" t="inlineStr">
        <is>
          <t>Föryngringsavverkning</t>
        </is>
      </c>
      <c r="D191" s="1" t="n">
        <v>46198</v>
      </c>
      <c r="E191" s="1" t="n">
        <v>46292</v>
      </c>
      <c r="F191" t="inlineStr">
        <is>
          <t>GÄVLEBORGS LÄN</t>
        </is>
      </c>
      <c r="G191" t="inlineStr">
        <is>
          <t>LJUSDAL</t>
        </is>
      </c>
      <c r="H191" t="inlineStr">
        <is>
          <t>Sveaskog</t>
        </is>
      </c>
      <c r="I191" t="n">
        <v>2.5</v>
      </c>
      <c r="J191" t="n">
        <v>0</v>
      </c>
      <c r="K191" t="n">
        <v>1</v>
      </c>
      <c r="L191" t="n">
        <v>2</v>
      </c>
      <c r="M191" t="n">
        <v>0</v>
      </c>
      <c r="N191" t="n">
        <v>0</v>
      </c>
      <c r="O191" t="n">
        <v>0</v>
      </c>
      <c r="P191" t="n">
        <v>0</v>
      </c>
      <c r="Q191" t="n">
        <v>2</v>
      </c>
      <c r="R191" t="n">
        <v>0</v>
      </c>
      <c r="S191" t="n">
        <v>3</v>
      </c>
      <c r="T191" t="n">
        <v>3</v>
      </c>
      <c r="U191" t="n">
        <v>2</v>
      </c>
      <c r="V191" s="2" t="inlineStr">
        <is>
          <t>Kolflarnlav
Vedflamlav
Kransrams</t>
        </is>
      </c>
      <c r="W191">
        <f>HYPERLINK("https://klasma.github.io/Logging_2161/artfynd/A 28636-2026 artfynd.xlsx", "A 28636-2026")</f>
        <v/>
      </c>
      <c r="X191">
        <f>HYPERLINK("https://klasma.github.io/Logging_2161/kartor/A 28636-2026 karta.png", "A 28636-2026")</f>
        <v/>
      </c>
      <c r="Y191">
        <f>HYPERLINK("https://klasma.github.io/Logging_2161/kartor_geotiff/A 28636-2026 georefererad karta.tif", "A 28636-2026")</f>
        <v/>
      </c>
      <c r="AA191">
        <f>HYPERLINK("https://klasma.github.io/Logging_2161/klagomål/A 28636-2026 FSC-klagomål.docx", "A 28636-2026")</f>
        <v/>
      </c>
      <c r="AB191">
        <f>HYPERLINK("https://klasma.github.io/Logging_2161/klagomålsmail/A 28636-2026 FSC-klagomål mail.docx", "A 28636-2026")</f>
        <v/>
      </c>
      <c r="AC191">
        <f>HYPERLINK("https://klasma.github.io/Logging_2161/tillsyn/A 28636-2026 tillsynsbegäran.docx", "A 28636-2026")</f>
        <v/>
      </c>
      <c r="AD191">
        <f>HYPERLINK("https://klasma.github.io/Logging_2161/tillsynsmail/A 28636-2026 tillsynsbegäran mail.docx", "A 28636-2026")</f>
        <v/>
      </c>
    </row>
    <row r="192" ht="15" customHeight="1">
      <c r="A192" t="inlineStr">
        <is>
          <t>A 30228-2026</t>
        </is>
      </c>
      <c r="B192" t="inlineStr">
        <is>
          <t>avverkningsanmälan</t>
        </is>
      </c>
      <c r="C192" t="inlineStr">
        <is>
          <t>Föryngringsavverkning</t>
        </is>
      </c>
      <c r="D192" s="1" t="n">
        <v>46206</v>
      </c>
      <c r="E192" s="1" t="n">
        <v>46292</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30228-2026 artfynd.xlsx", "A 30228-2026")</f>
        <v/>
      </c>
      <c r="X192">
        <f>HYPERLINK("https://klasma.github.io/Logging_2161/kartor/A 30228-2026 karta.png", "A 30228-2026")</f>
        <v/>
      </c>
      <c r="Y192">
        <f>HYPERLINK("https://klasma.github.io/Logging_2161/kartor_geotiff/A 30228-2026 georefererad karta.tif", "A 30228-2026")</f>
        <v/>
      </c>
      <c r="AA192">
        <f>HYPERLINK("https://klasma.github.io/Logging_2161/klagomål/A 30228-2026 FSC-klagomål.docx", "A 30228-2026")</f>
        <v/>
      </c>
      <c r="AB192">
        <f>HYPERLINK("https://klasma.github.io/Logging_2161/klagomålsmail/A 30228-2026 FSC-klagomål mail.docx", "A 30228-2026")</f>
        <v/>
      </c>
      <c r="AC192">
        <f>HYPERLINK("https://klasma.github.io/Logging_2161/tillsyn/A 30228-2026 tillsynsbegäran.docx", "A 30228-2026")</f>
        <v/>
      </c>
      <c r="AD192">
        <f>HYPERLINK("https://klasma.github.io/Logging_2161/tillsynsmail/A 30228-2026 tillsynsbegäran mail.docx", "A 30228-2026")</f>
        <v/>
      </c>
    </row>
    <row r="193" ht="15" customHeight="1">
      <c r="A193" t="inlineStr">
        <is>
          <t>A 30150-2026</t>
        </is>
      </c>
      <c r="B193" t="inlineStr">
        <is>
          <t>avverkningsanmälan</t>
        </is>
      </c>
      <c r="C193" t="inlineStr">
        <is>
          <t>Föryngringsavverkning</t>
        </is>
      </c>
      <c r="D193" s="1" t="n">
        <v>46206</v>
      </c>
      <c r="E193" s="1" t="n">
        <v>46292</v>
      </c>
      <c r="F193" t="inlineStr">
        <is>
          <t>GÄVLEBORGS LÄN</t>
        </is>
      </c>
      <c r="G193" t="inlineStr">
        <is>
          <t>LJUSDAL</t>
        </is>
      </c>
      <c r="H193" t="inlineStr">
        <is>
          <t>Sveaskog</t>
        </is>
      </c>
      <c r="I193" t="n">
        <v>23.7</v>
      </c>
      <c r="J193" t="n">
        <v>2</v>
      </c>
      <c r="K193" t="n">
        <v>1</v>
      </c>
      <c r="L193" t="n">
        <v>1</v>
      </c>
      <c r="M193" t="n">
        <v>0</v>
      </c>
      <c r="N193" t="n">
        <v>0</v>
      </c>
      <c r="O193" t="n">
        <v>0</v>
      </c>
      <c r="P193" t="n">
        <v>0</v>
      </c>
      <c r="Q193" t="n">
        <v>1</v>
      </c>
      <c r="R193" t="n">
        <v>0</v>
      </c>
      <c r="S193" t="n">
        <v>3</v>
      </c>
      <c r="T193" t="n">
        <v>3</v>
      </c>
      <c r="U193" t="n">
        <v>1</v>
      </c>
      <c r="V193" s="2" t="inlineStr">
        <is>
          <t>Kolflarnlav
Plattlummer
Fläcknycklar</t>
        </is>
      </c>
      <c r="W193">
        <f>HYPERLINK("https://klasma.github.io/Logging_2161/artfynd/A 30150-2026 artfynd.xlsx", "A 30150-2026")</f>
        <v/>
      </c>
      <c r="X193">
        <f>HYPERLINK("https://klasma.github.io/Logging_2161/kartor/A 30150-2026 karta.png", "A 30150-2026")</f>
        <v/>
      </c>
      <c r="Y193">
        <f>HYPERLINK("https://klasma.github.io/Logging_2161/kartor_geotiff/A 30150-2026 georefererad karta.tif", "A 30150-2026")</f>
        <v/>
      </c>
      <c r="AA193">
        <f>HYPERLINK("https://klasma.github.io/Logging_2161/klagomål/A 30150-2026 FSC-klagomål.docx", "A 30150-2026")</f>
        <v/>
      </c>
      <c r="AB193">
        <f>HYPERLINK("https://klasma.github.io/Logging_2161/klagomålsmail/A 30150-2026 FSC-klagomål mail.docx", "A 30150-2026")</f>
        <v/>
      </c>
      <c r="AC193">
        <f>HYPERLINK("https://klasma.github.io/Logging_2161/tillsyn/A 30150-2026 tillsynsbegäran.docx", "A 30150-2026")</f>
        <v/>
      </c>
      <c r="AD193">
        <f>HYPERLINK("https://klasma.github.io/Logging_2161/tillsynsmail/A 30150-2026 tillsynsbegäran mail.docx", "A 30150-2026")</f>
        <v/>
      </c>
    </row>
    <row r="194" ht="15" customHeight="1">
      <c r="A194" t="inlineStr">
        <is>
          <t>A 32502-2023</t>
        </is>
      </c>
      <c r="B194" t="inlineStr">
        <is>
          <t>avverkningsanmälan</t>
        </is>
      </c>
      <c r="C194" t="inlineStr">
        <is>
          <t>Föryngringsavverkning</t>
        </is>
      </c>
      <c r="D194" s="1" t="n">
        <v>45121</v>
      </c>
      <c r="E194" s="1" t="n">
        <v>46292</v>
      </c>
      <c r="F194" t="inlineStr">
        <is>
          <t>GÄVLEBORGS LÄN</t>
        </is>
      </c>
      <c r="G194" t="inlineStr">
        <is>
          <t>LJUSDAL</t>
        </is>
      </c>
      <c r="H194" t="inlineStr">
        <is>
          <t>Sveaskog</t>
        </is>
      </c>
      <c r="I194" t="n">
        <v>9.199999999999999</v>
      </c>
      <c r="J194" t="n">
        <v>0</v>
      </c>
      <c r="K194" t="n">
        <v>0</v>
      </c>
      <c r="L194" t="n">
        <v>2</v>
      </c>
      <c r="M194" t="n">
        <v>1</v>
      </c>
      <c r="N194" t="n">
        <v>0</v>
      </c>
      <c r="O194" t="n">
        <v>0</v>
      </c>
      <c r="P194" t="n">
        <v>0</v>
      </c>
      <c r="Q194" t="n">
        <v>3</v>
      </c>
      <c r="R194" t="n">
        <v>1</v>
      </c>
      <c r="S194" t="n">
        <v>3</v>
      </c>
      <c r="T194" t="n">
        <v>3</v>
      </c>
      <c r="U194" t="n">
        <v>3</v>
      </c>
      <c r="V194" s="2" t="inlineStr">
        <is>
          <t>Garnlav
Dropptaggsvamp
Mörk kolflarnlav</t>
        </is>
      </c>
      <c r="W194">
        <f>HYPERLINK("https://klasma.github.io/Logging_2161/artfynd/A 32502-2023 artfynd.xlsx", "A 32502-2023")</f>
        <v/>
      </c>
      <c r="X194">
        <f>HYPERLINK("https://klasma.github.io/Logging_2161/kartor/A 32502-2023 karta.png", "A 32502-2023")</f>
        <v/>
      </c>
      <c r="Y194">
        <f>HYPERLINK("https://klasma.github.io/Logging_2161/kartor_geotiff/A 32502-2023 georefererad karta.tif", "A 32502-2023")</f>
        <v/>
      </c>
      <c r="AA194">
        <f>HYPERLINK("https://klasma.github.io/Logging_2161/klagomål/A 32502-2023 FSC-klagomål.docx", "A 32502-2023")</f>
        <v/>
      </c>
      <c r="AB194">
        <f>HYPERLINK("https://klasma.github.io/Logging_2161/klagomålsmail/A 32502-2023 FSC-klagomål mail.docx", "A 32502-2023")</f>
        <v/>
      </c>
      <c r="AC194">
        <f>HYPERLINK("https://klasma.github.io/Logging_2161/tillsyn/A 32502-2023 tillsynsbegäran.docx", "A 32502-2023")</f>
        <v/>
      </c>
      <c r="AD194">
        <f>HYPERLINK("https://klasma.github.io/Logging_2161/tillsynsmail/A 32502-2023 tillsynsbegäran mail.docx", "A 32502-2023")</f>
        <v/>
      </c>
    </row>
    <row r="195" ht="15" customHeight="1">
      <c r="A195" t="inlineStr">
        <is>
          <t>A 36422-2026</t>
        </is>
      </c>
      <c r="B195" t="inlineStr">
        <is>
          <t>avverkningsanmälan</t>
        </is>
      </c>
      <c r="C195" t="inlineStr">
        <is>
          <t>Föryngringsavverkning</t>
        </is>
      </c>
      <c r="D195" s="1" t="n">
        <v>46269</v>
      </c>
      <c r="E195" s="1" t="n">
        <v>46292</v>
      </c>
      <c r="F195" t="inlineStr">
        <is>
          <t>GÄVLEBORGS LÄN</t>
        </is>
      </c>
      <c r="G195" t="inlineStr">
        <is>
          <t>LJUSDAL</t>
        </is>
      </c>
      <c r="H195" t="inlineStr">
        <is>
          <t>Bergvik skog väst AB</t>
        </is>
      </c>
      <c r="I195" t="n">
        <v>1</v>
      </c>
      <c r="J195" t="n">
        <v>0</v>
      </c>
      <c r="K195" t="n">
        <v>2</v>
      </c>
      <c r="L195" t="n">
        <v>0</v>
      </c>
      <c r="M195" t="n">
        <v>1</v>
      </c>
      <c r="N195" t="n">
        <v>0</v>
      </c>
      <c r="O195" t="n">
        <v>0</v>
      </c>
      <c r="P195" t="n">
        <v>0</v>
      </c>
      <c r="Q195" t="n">
        <v>1</v>
      </c>
      <c r="R195" t="n">
        <v>1</v>
      </c>
      <c r="S195" t="n">
        <v>3</v>
      </c>
      <c r="T195" t="n">
        <v>4</v>
      </c>
      <c r="U195" t="n">
        <v>0</v>
      </c>
      <c r="V195" s="2" t="inlineStr">
        <is>
          <t>Garnlav
Korallblylav
Skinnlav</t>
        </is>
      </c>
      <c r="W195">
        <f>HYPERLINK("https://klasma.github.io/Logging_2161/artfynd/A 36422-2026 artfynd.xlsx", "A 36422-2026")</f>
        <v/>
      </c>
      <c r="X195">
        <f>HYPERLINK("https://klasma.github.io/Logging_2161/kartor/A 36422-2026 karta.png", "A 36422-2026")</f>
        <v/>
      </c>
      <c r="Y195">
        <f>HYPERLINK("https://klasma.github.io/Logging_2161/kartor_geotiff/A 36422-2026 georefererad karta.tif", "A 36422-2026")</f>
        <v/>
      </c>
      <c r="AA195">
        <f>HYPERLINK("https://klasma.github.io/Logging_2161/klagomål/A 36422-2026 FSC-klagomål.docx", "A 36422-2026")</f>
        <v/>
      </c>
      <c r="AB195">
        <f>HYPERLINK("https://klasma.github.io/Logging_2161/klagomålsmail/A 36422-2026 FSC-klagomål mail.docx", "A 36422-2026")</f>
        <v/>
      </c>
      <c r="AC195">
        <f>HYPERLINK("https://klasma.github.io/Logging_2161/tillsyn/A 36422-2026 tillsynsbegäran.docx", "A 36422-2026")</f>
        <v/>
      </c>
      <c r="AD195">
        <f>HYPERLINK("https://klasma.github.io/Logging_2161/tillsynsmail/A 36422-2026 tillsynsbegäran mail.docx", "A 36422-2026")</f>
        <v/>
      </c>
    </row>
    <row r="196" ht="15" customHeight="1">
      <c r="A196" t="inlineStr">
        <is>
          <t>A 31921-2026</t>
        </is>
      </c>
      <c r="B196" t="inlineStr">
        <is>
          <t>avverkningsanmälan</t>
        </is>
      </c>
      <c r="C196" t="inlineStr">
        <is>
          <t>Föryngringsavverkning</t>
        </is>
      </c>
      <c r="D196" s="1" t="n">
        <v>46231</v>
      </c>
      <c r="E196" s="1" t="n">
        <v>46292</v>
      </c>
      <c r="F196" t="inlineStr">
        <is>
          <t>GÄVLEBORGS LÄN</t>
        </is>
      </c>
      <c r="G196" t="inlineStr">
        <is>
          <t>LJUSDAL</t>
        </is>
      </c>
      <c r="H196" t="inlineStr">
        <is>
          <t>Allmännings- och besparingsskogar</t>
        </is>
      </c>
      <c r="I196" t="n">
        <v>6.9</v>
      </c>
      <c r="J196" t="n">
        <v>1</v>
      </c>
      <c r="K196" t="n">
        <v>0</v>
      </c>
      <c r="L196" t="n">
        <v>1</v>
      </c>
      <c r="M196" t="n">
        <v>2</v>
      </c>
      <c r="N196" t="n">
        <v>0</v>
      </c>
      <c r="O196" t="n">
        <v>0</v>
      </c>
      <c r="P196" t="n">
        <v>0</v>
      </c>
      <c r="Q196" t="n">
        <v>3</v>
      </c>
      <c r="R196" t="n">
        <v>2</v>
      </c>
      <c r="S196" t="n">
        <v>3</v>
      </c>
      <c r="T196" t="n">
        <v>4</v>
      </c>
      <c r="U196" t="n">
        <v>4</v>
      </c>
      <c r="V196" s="2" t="inlineStr">
        <is>
          <t>Garnlav
Knärot
Violettgrå tagellav</t>
        </is>
      </c>
      <c r="W196">
        <f>HYPERLINK("https://klasma.github.io/Logging_2161/artfynd/A 31921-2026 artfynd.xlsx", "A 31921-2026")</f>
        <v/>
      </c>
      <c r="X196">
        <f>HYPERLINK("https://klasma.github.io/Logging_2161/kartor/A 31921-2026 karta.png", "A 31921-2026")</f>
        <v/>
      </c>
      <c r="Y196">
        <f>HYPERLINK("https://klasma.github.io/Logging_2161/kartor_geotiff/A 31921-2026 georefererad karta.tif", "A 31921-2026")</f>
        <v/>
      </c>
      <c r="Z196">
        <f>HYPERLINK("https://klasma.github.io/Logging_2161/knärot/A 31921-2026 karta knärot.png", "A 31921-2026")</f>
        <v/>
      </c>
      <c r="AA196">
        <f>HYPERLINK("https://klasma.github.io/Logging_2161/klagomål/A 31921-2026 FSC-klagomål.docx", "A 31921-2026")</f>
        <v/>
      </c>
      <c r="AB196">
        <f>HYPERLINK("https://klasma.github.io/Logging_2161/klagomålsmail/A 31921-2026 FSC-klagomål mail.docx", "A 31921-2026")</f>
        <v/>
      </c>
      <c r="AC196">
        <f>HYPERLINK("https://klasma.github.io/Logging_2161/tillsyn/A 31921-2026 tillsynsbegäran.docx", "A 31921-2026")</f>
        <v/>
      </c>
      <c r="AD196">
        <f>HYPERLINK("https://klasma.github.io/Logging_2161/tillsynsmail/A 31921-2026 tillsynsbegäran mail.docx", "A 31921-2026")</f>
        <v/>
      </c>
    </row>
    <row r="197" ht="15" customHeight="1">
      <c r="A197" t="inlineStr">
        <is>
          <t>A 36621-2024</t>
        </is>
      </c>
      <c r="B197" t="inlineStr">
        <is>
          <t>avverkningsanmälan</t>
        </is>
      </c>
      <c r="C197" t="inlineStr">
        <is>
          <t>Föryngringsavverkning</t>
        </is>
      </c>
      <c r="D197" s="1" t="n">
        <v>45537</v>
      </c>
      <c r="E197" s="1" t="n">
        <v>46292</v>
      </c>
      <c r="F197" t="inlineStr">
        <is>
          <t>GÄVLEBORGS LÄN</t>
        </is>
      </c>
      <c r="G197" t="inlineStr">
        <is>
          <t>LJUSDAL</t>
        </is>
      </c>
      <c r="H197" t="inlineStr">
        <is>
          <t>Sveaskog</t>
        </is>
      </c>
      <c r="I197" t="n">
        <v>2.9</v>
      </c>
      <c r="J197" t="n">
        <v>0</v>
      </c>
      <c r="K197" t="n">
        <v>0</v>
      </c>
      <c r="L197" t="n">
        <v>3</v>
      </c>
      <c r="M197" t="n">
        <v>0</v>
      </c>
      <c r="N197" t="n">
        <v>0</v>
      </c>
      <c r="O197" t="n">
        <v>0</v>
      </c>
      <c r="P197" t="n">
        <v>0</v>
      </c>
      <c r="Q197" t="n">
        <v>3</v>
      </c>
      <c r="R197" t="n">
        <v>0</v>
      </c>
      <c r="S197" t="n">
        <v>3</v>
      </c>
      <c r="T197" t="n">
        <v>3</v>
      </c>
      <c r="U197" t="n">
        <v>3</v>
      </c>
      <c r="V197" s="2" t="inlineStr">
        <is>
          <t>Kolflarnlav
Lunglav
Mörk kolflarnlav</t>
        </is>
      </c>
      <c r="W197">
        <f>HYPERLINK("https://klasma.github.io/Logging_2161/artfynd/A 36621-2024 artfynd.xlsx", "A 36621-2024")</f>
        <v/>
      </c>
      <c r="X197">
        <f>HYPERLINK("https://klasma.github.io/Logging_2161/kartor/A 36621-2024 karta.png", "A 36621-2024")</f>
        <v/>
      </c>
      <c r="Y197">
        <f>HYPERLINK("https://klasma.github.io/Logging_2161/kartor_geotiff/A 36621-2024 georefererad karta.tif", "A 36621-2024")</f>
        <v/>
      </c>
      <c r="AA197">
        <f>HYPERLINK("https://klasma.github.io/Logging_2161/klagomål/A 36621-2024 FSC-klagomål.docx", "A 36621-2024")</f>
        <v/>
      </c>
      <c r="AB197">
        <f>HYPERLINK("https://klasma.github.io/Logging_2161/klagomålsmail/A 36621-2024 FSC-klagomål mail.docx", "A 36621-2024")</f>
        <v/>
      </c>
      <c r="AC197">
        <f>HYPERLINK("https://klasma.github.io/Logging_2161/tillsyn/A 36621-2024 tillsynsbegäran.docx", "A 36621-2024")</f>
        <v/>
      </c>
      <c r="AD197">
        <f>HYPERLINK("https://klasma.github.io/Logging_2161/tillsynsmail/A 36621-2024 tillsynsbegäran mail.docx", "A 36621-2024")</f>
        <v/>
      </c>
    </row>
    <row r="198" ht="15" customHeight="1">
      <c r="A198" t="inlineStr">
        <is>
          <t>A 32283-2026</t>
        </is>
      </c>
      <c r="B198" t="inlineStr">
        <is>
          <t>avverkningsanmälan</t>
        </is>
      </c>
      <c r="C198" t="inlineStr">
        <is>
          <t>Föryngringsavverkning</t>
        </is>
      </c>
      <c r="D198" s="1" t="n">
        <v>46237</v>
      </c>
      <c r="E198" s="1" t="n">
        <v>46292</v>
      </c>
      <c r="F198" t="inlineStr">
        <is>
          <t>GÄVLEBORGS LÄN</t>
        </is>
      </c>
      <c r="G198" t="inlineStr">
        <is>
          <t>LJUSDAL</t>
        </is>
      </c>
      <c r="I198" t="n">
        <v>0.5</v>
      </c>
      <c r="J198" t="n">
        <v>0</v>
      </c>
      <c r="K198" t="n">
        <v>1</v>
      </c>
      <c r="L198" t="n">
        <v>1</v>
      </c>
      <c r="M198" t="n">
        <v>1</v>
      </c>
      <c r="N198" t="n">
        <v>0</v>
      </c>
      <c r="O198" t="n">
        <v>0</v>
      </c>
      <c r="P198" t="n">
        <v>0</v>
      </c>
      <c r="Q198" t="n">
        <v>2</v>
      </c>
      <c r="R198" t="n">
        <v>1</v>
      </c>
      <c r="S198" t="n">
        <v>3</v>
      </c>
      <c r="T198" t="n">
        <v>3</v>
      </c>
      <c r="U198" t="n">
        <v>0</v>
      </c>
      <c r="V198" s="2" t="inlineStr">
        <is>
          <t>Garnlav
Lunglav
Stuplav</t>
        </is>
      </c>
      <c r="W198">
        <f>HYPERLINK("https://klasma.github.io/Logging_2161/artfynd/A 32283-2026 artfynd.xlsx", "A 32283-2026")</f>
        <v/>
      </c>
      <c r="X198">
        <f>HYPERLINK("https://klasma.github.io/Logging_2161/kartor/A 32283-2026 karta.png", "A 32283-2026")</f>
        <v/>
      </c>
      <c r="Y198">
        <f>HYPERLINK("https://klasma.github.io/Logging_2161/kartor_geotiff/A 32283-2026 georefererad karta.tif", "A 32283-2026")</f>
        <v/>
      </c>
      <c r="AA198">
        <f>HYPERLINK("https://klasma.github.io/Logging_2161/klagomål/A 32283-2026 FSC-klagomål.docx", "A 32283-2026")</f>
        <v/>
      </c>
      <c r="AB198">
        <f>HYPERLINK("https://klasma.github.io/Logging_2161/klagomålsmail/A 32283-2026 FSC-klagomål mail.docx", "A 32283-2026")</f>
        <v/>
      </c>
      <c r="AC198">
        <f>HYPERLINK("https://klasma.github.io/Logging_2161/tillsyn/A 32283-2026 tillsynsbegäran.docx", "A 32283-2026")</f>
        <v/>
      </c>
      <c r="AD198">
        <f>HYPERLINK("https://klasma.github.io/Logging_2161/tillsynsmail/A 32283-2026 tillsynsbegäran mail.docx", "A 32283-2026")</f>
        <v/>
      </c>
    </row>
    <row r="199" ht="15" customHeight="1">
      <c r="A199" t="inlineStr">
        <is>
          <t>A 57905-2022</t>
        </is>
      </c>
      <c r="B199" t="inlineStr">
        <is>
          <t>avverkningsanmälan</t>
        </is>
      </c>
      <c r="C199" t="inlineStr">
        <is>
          <t>Föryngringsavverkning</t>
        </is>
      </c>
      <c r="D199" s="1" t="n">
        <v>44900</v>
      </c>
      <c r="E199" s="1" t="n">
        <v>46292</v>
      </c>
      <c r="F199" t="inlineStr">
        <is>
          <t>GÄVLEBORGS LÄN</t>
        </is>
      </c>
      <c r="G199" t="inlineStr">
        <is>
          <t>LJUSDAL</t>
        </is>
      </c>
      <c r="H199" t="inlineStr">
        <is>
          <t>Allmännings- och besparingsskogar</t>
        </is>
      </c>
      <c r="I199" t="n">
        <v>11.5</v>
      </c>
      <c r="J199" t="n">
        <v>0</v>
      </c>
      <c r="K199" t="n">
        <v>0</v>
      </c>
      <c r="L199" t="n">
        <v>2</v>
      </c>
      <c r="M199" t="n">
        <v>1</v>
      </c>
      <c r="N199" t="n">
        <v>0</v>
      </c>
      <c r="O199" t="n">
        <v>0</v>
      </c>
      <c r="P199" t="n">
        <v>0</v>
      </c>
      <c r="Q199" t="n">
        <v>3</v>
      </c>
      <c r="R199" t="n">
        <v>1</v>
      </c>
      <c r="S199" t="n">
        <v>3</v>
      </c>
      <c r="T199" t="n">
        <v>3</v>
      </c>
      <c r="U199" t="n">
        <v>0</v>
      </c>
      <c r="V199" s="2" t="inlineStr">
        <is>
          <t>Garnlav
Kolflarnlav
Mörk kolflarnlav</t>
        </is>
      </c>
      <c r="W199">
        <f>HYPERLINK("https://klasma.github.io/Logging_2161/artfynd/A 57905-2022 artfynd.xlsx", "A 57905-2022")</f>
        <v/>
      </c>
      <c r="X199">
        <f>HYPERLINK("https://klasma.github.io/Logging_2161/kartor/A 57905-2022 karta.png", "A 57905-2022")</f>
        <v/>
      </c>
      <c r="Y199">
        <f>HYPERLINK("https://klasma.github.io/Logging_2161/kartor_geotiff/A 57905-2022 georefererad karta.tif", "A 57905-2022")</f>
        <v/>
      </c>
      <c r="AA199">
        <f>HYPERLINK("https://klasma.github.io/Logging_2161/klagomål/A 57905-2022 FSC-klagomål.docx", "A 57905-2022")</f>
        <v/>
      </c>
      <c r="AB199">
        <f>HYPERLINK("https://klasma.github.io/Logging_2161/klagomålsmail/A 57905-2022 FSC-klagomål mail.docx", "A 57905-2022")</f>
        <v/>
      </c>
      <c r="AC199">
        <f>HYPERLINK("https://klasma.github.io/Logging_2161/tillsyn/A 57905-2022 tillsynsbegäran.docx", "A 57905-2022")</f>
        <v/>
      </c>
      <c r="AD199">
        <f>HYPERLINK("https://klasma.github.io/Logging_2161/tillsynsmail/A 57905-2022 tillsynsbegäran mail.docx", "A 57905-2022")</f>
        <v/>
      </c>
    </row>
    <row r="200" ht="15" customHeight="1">
      <c r="A200" t="inlineStr">
        <is>
          <t>A 33466-2026</t>
        </is>
      </c>
      <c r="B200" t="inlineStr">
        <is>
          <t>avverkningsanmälan</t>
        </is>
      </c>
      <c r="C200" t="inlineStr">
        <is>
          <t>Föryngringsavverkning</t>
        </is>
      </c>
      <c r="D200" s="1" t="n">
        <v>46247</v>
      </c>
      <c r="E200" s="1" t="n">
        <v>46292</v>
      </c>
      <c r="F200" t="inlineStr">
        <is>
          <t>GÄVLEBORGS LÄN</t>
        </is>
      </c>
      <c r="G200" t="inlineStr">
        <is>
          <t>LJUSDAL</t>
        </is>
      </c>
      <c r="H200" t="inlineStr">
        <is>
          <t>Sveaskog</t>
        </is>
      </c>
      <c r="I200" t="n">
        <v>8.1</v>
      </c>
      <c r="J200" t="n">
        <v>0</v>
      </c>
      <c r="K200" t="n">
        <v>0</v>
      </c>
      <c r="L200" t="n">
        <v>3</v>
      </c>
      <c r="M200" t="n">
        <v>0</v>
      </c>
      <c r="N200" t="n">
        <v>0</v>
      </c>
      <c r="O200" t="n">
        <v>0</v>
      </c>
      <c r="P200" t="n">
        <v>0</v>
      </c>
      <c r="Q200" t="n">
        <v>3</v>
      </c>
      <c r="R200" t="n">
        <v>0</v>
      </c>
      <c r="S200" t="n">
        <v>3</v>
      </c>
      <c r="T200" t="n">
        <v>4</v>
      </c>
      <c r="U200" t="n">
        <v>0</v>
      </c>
      <c r="V200" s="2" t="inlineStr">
        <is>
          <t>Kolflarnlav
Lunglav
Vedflamlav</t>
        </is>
      </c>
      <c r="W200">
        <f>HYPERLINK("https://klasma.github.io/Logging_2161/artfynd/A 33466-2026 artfynd.xlsx", "A 33466-2026")</f>
        <v/>
      </c>
      <c r="X200">
        <f>HYPERLINK("https://klasma.github.io/Logging_2161/kartor/A 33466-2026 karta.png", "A 33466-2026")</f>
        <v/>
      </c>
      <c r="Y200">
        <f>HYPERLINK("https://klasma.github.io/Logging_2161/kartor_geotiff/A 33466-2026 georefererad karta.tif", "A 33466-2026")</f>
        <v/>
      </c>
      <c r="AA200">
        <f>HYPERLINK("https://klasma.github.io/Logging_2161/klagomål/A 33466-2026 FSC-klagomål.docx", "A 33466-2026")</f>
        <v/>
      </c>
      <c r="AB200">
        <f>HYPERLINK("https://klasma.github.io/Logging_2161/klagomålsmail/A 33466-2026 FSC-klagomål mail.docx", "A 33466-2026")</f>
        <v/>
      </c>
      <c r="AC200">
        <f>HYPERLINK("https://klasma.github.io/Logging_2161/tillsyn/A 33466-2026 tillsynsbegäran.docx", "A 33466-2026")</f>
        <v/>
      </c>
      <c r="AD200">
        <f>HYPERLINK("https://klasma.github.io/Logging_2161/tillsynsmail/A 33466-2026 tillsynsbegäran mail.docx", "A 33466-2026")</f>
        <v/>
      </c>
    </row>
    <row r="201" ht="15" customHeight="1">
      <c r="A201" t="inlineStr">
        <is>
          <t>A 36629-2024</t>
        </is>
      </c>
      <c r="B201" t="inlineStr">
        <is>
          <t>avverkningsanmälan</t>
        </is>
      </c>
      <c r="C201" t="inlineStr">
        <is>
          <t>Föryngringsavverkning</t>
        </is>
      </c>
      <c r="D201" s="1" t="n">
        <v>45537</v>
      </c>
      <c r="E201" s="1" t="n">
        <v>46292</v>
      </c>
      <c r="F201" t="inlineStr">
        <is>
          <t>GÄVLEBORGS LÄN</t>
        </is>
      </c>
      <c r="G201" t="inlineStr">
        <is>
          <t>LJUSDAL</t>
        </is>
      </c>
      <c r="H201" t="inlineStr">
        <is>
          <t>Sveaskog</t>
        </is>
      </c>
      <c r="I201" t="n">
        <v>1.1</v>
      </c>
      <c r="J201" t="n">
        <v>0</v>
      </c>
      <c r="K201" t="n">
        <v>0</v>
      </c>
      <c r="L201" t="n">
        <v>2</v>
      </c>
      <c r="M201" t="n">
        <v>1</v>
      </c>
      <c r="N201" t="n">
        <v>0</v>
      </c>
      <c r="O201" t="n">
        <v>0</v>
      </c>
      <c r="P201" t="n">
        <v>0</v>
      </c>
      <c r="Q201" t="n">
        <v>3</v>
      </c>
      <c r="R201" t="n">
        <v>1</v>
      </c>
      <c r="S201" t="n">
        <v>3</v>
      </c>
      <c r="T201" t="n">
        <v>3</v>
      </c>
      <c r="U201" t="n">
        <v>3</v>
      </c>
      <c r="V201" s="2" t="inlineStr">
        <is>
          <t>Garnlav
Kolflarnlav
Mörk kolflarnlav</t>
        </is>
      </c>
      <c r="W201">
        <f>HYPERLINK("https://klasma.github.io/Logging_2161/artfynd/A 36629-2024 artfynd.xlsx", "A 36629-2024")</f>
        <v/>
      </c>
      <c r="X201">
        <f>HYPERLINK("https://klasma.github.io/Logging_2161/kartor/A 36629-2024 karta.png", "A 36629-2024")</f>
        <v/>
      </c>
      <c r="Y201">
        <f>HYPERLINK("https://klasma.github.io/Logging_2161/kartor_geotiff/A 36629-2024 georefererad karta.tif", "A 36629-2024")</f>
        <v/>
      </c>
      <c r="AA201">
        <f>HYPERLINK("https://klasma.github.io/Logging_2161/klagomål/A 36629-2024 FSC-klagomål.docx", "A 36629-2024")</f>
        <v/>
      </c>
      <c r="AB201">
        <f>HYPERLINK("https://klasma.github.io/Logging_2161/klagomålsmail/A 36629-2024 FSC-klagomål mail.docx", "A 36629-2024")</f>
        <v/>
      </c>
      <c r="AC201">
        <f>HYPERLINK("https://klasma.github.io/Logging_2161/tillsyn/A 36629-2024 tillsynsbegäran.docx", "A 36629-2024")</f>
        <v/>
      </c>
      <c r="AD201">
        <f>HYPERLINK("https://klasma.github.io/Logging_2161/tillsynsmail/A 36629-2024 tillsynsbegäran mail.docx", "A 36629-2024")</f>
        <v/>
      </c>
    </row>
    <row r="202" ht="15" customHeight="1">
      <c r="A202" t="inlineStr">
        <is>
          <t>A 22786-2024</t>
        </is>
      </c>
      <c r="B202" t="inlineStr">
        <is>
          <t>avverkningsanmälan</t>
        </is>
      </c>
      <c r="C202" t="inlineStr">
        <is>
          <t>Föryngringsavverkning</t>
        </is>
      </c>
      <c r="D202" s="1" t="n">
        <v>45448</v>
      </c>
      <c r="E202" s="1" t="n">
        <v>46292</v>
      </c>
      <c r="F202" t="inlineStr">
        <is>
          <t>GÄVLEBORGS LÄN</t>
        </is>
      </c>
      <c r="G202" t="inlineStr">
        <is>
          <t>LJUSDAL</t>
        </is>
      </c>
      <c r="H202" t="inlineStr">
        <is>
          <t>Sveaskog</t>
        </is>
      </c>
      <c r="I202" t="n">
        <v>4.2</v>
      </c>
      <c r="J202" t="n">
        <v>0</v>
      </c>
      <c r="K202" t="n">
        <v>0</v>
      </c>
      <c r="L202" t="n">
        <v>2</v>
      </c>
      <c r="M202" t="n">
        <v>1</v>
      </c>
      <c r="N202" t="n">
        <v>0</v>
      </c>
      <c r="O202" t="n">
        <v>0</v>
      </c>
      <c r="P202" t="n">
        <v>0</v>
      </c>
      <c r="Q202" t="n">
        <v>3</v>
      </c>
      <c r="R202" t="n">
        <v>1</v>
      </c>
      <c r="S202" t="n">
        <v>3</v>
      </c>
      <c r="T202" t="n">
        <v>3</v>
      </c>
      <c r="U202" t="n">
        <v>3</v>
      </c>
      <c r="V202" s="2" t="inlineStr">
        <is>
          <t>Vedspik
Kolflarnlav
Mörk kolflarnlav</t>
        </is>
      </c>
      <c r="W202">
        <f>HYPERLINK("https://klasma.github.io/Logging_2161/artfynd/A 22786-2024 artfynd.xlsx", "A 22786-2024")</f>
        <v/>
      </c>
      <c r="X202">
        <f>HYPERLINK("https://klasma.github.io/Logging_2161/kartor/A 22786-2024 karta.png", "A 22786-2024")</f>
        <v/>
      </c>
      <c r="Y202">
        <f>HYPERLINK("https://klasma.github.io/Logging_2161/kartor_geotiff/A 22786-2024 georefererad karta.tif", "A 22786-2024")</f>
        <v/>
      </c>
      <c r="AA202">
        <f>HYPERLINK("https://klasma.github.io/Logging_2161/klagomål/A 22786-2024 FSC-klagomål.docx", "A 22786-2024")</f>
        <v/>
      </c>
      <c r="AB202">
        <f>HYPERLINK("https://klasma.github.io/Logging_2161/klagomålsmail/A 22786-2024 FSC-klagomål mail.docx", "A 22786-2024")</f>
        <v/>
      </c>
      <c r="AC202">
        <f>HYPERLINK("https://klasma.github.io/Logging_2161/tillsyn/A 22786-2024 tillsynsbegäran.docx", "A 22786-2024")</f>
        <v/>
      </c>
      <c r="AD202">
        <f>HYPERLINK("https://klasma.github.io/Logging_2161/tillsynsmail/A 22786-2024 tillsynsbegäran mail.docx", "A 22786-2024")</f>
        <v/>
      </c>
    </row>
    <row r="203" ht="15" customHeight="1">
      <c r="A203" t="inlineStr">
        <is>
          <t>A 23643-2025</t>
        </is>
      </c>
      <c r="B203" t="inlineStr">
        <is>
          <t>avverkningsanmälan</t>
        </is>
      </c>
      <c r="C203" t="inlineStr">
        <is>
          <t>Föryngringsavverkning</t>
        </is>
      </c>
      <c r="D203" s="1" t="n">
        <v>45792</v>
      </c>
      <c r="E203" s="1" t="n">
        <v>46292</v>
      </c>
      <c r="F203" t="inlineStr">
        <is>
          <t>GÄVLEBORGS LÄN</t>
        </is>
      </c>
      <c r="G203" t="inlineStr">
        <is>
          <t>LJUSDAL</t>
        </is>
      </c>
      <c r="H203" t="inlineStr">
        <is>
          <t>Sveaskog</t>
        </is>
      </c>
      <c r="I203" t="n">
        <v>23.8</v>
      </c>
      <c r="J203" t="n">
        <v>0</v>
      </c>
      <c r="K203" t="n">
        <v>0</v>
      </c>
      <c r="L203" t="n">
        <v>3</v>
      </c>
      <c r="M203" t="n">
        <v>0</v>
      </c>
      <c r="N203" t="n">
        <v>0</v>
      </c>
      <c r="O203" t="n">
        <v>0</v>
      </c>
      <c r="P203" t="n">
        <v>0</v>
      </c>
      <c r="Q203" t="n">
        <v>3</v>
      </c>
      <c r="R203" t="n">
        <v>0</v>
      </c>
      <c r="S203" t="n">
        <v>3</v>
      </c>
      <c r="T203" t="n">
        <v>4</v>
      </c>
      <c r="U203" t="n">
        <v>4</v>
      </c>
      <c r="V203" s="2" t="inlineStr">
        <is>
          <t>Kolflarnlav
Lunglav
Vedflamlav</t>
        </is>
      </c>
      <c r="W203">
        <f>HYPERLINK("https://klasma.github.io/Logging_2161/artfynd/A 23643-2025 artfynd.xlsx", "A 23643-2025")</f>
        <v/>
      </c>
      <c r="X203">
        <f>HYPERLINK("https://klasma.github.io/Logging_2161/kartor/A 23643-2025 karta.png", "A 23643-2025")</f>
        <v/>
      </c>
      <c r="Y203">
        <f>HYPERLINK("https://klasma.github.io/Logging_2161/kartor_geotiff/A 23643-2025 georefererad karta.tif", "A 23643-2025")</f>
        <v/>
      </c>
      <c r="AA203">
        <f>HYPERLINK("https://klasma.github.io/Logging_2161/klagomål/A 23643-2025 FSC-klagomål.docx", "A 23643-2025")</f>
        <v/>
      </c>
      <c r="AB203">
        <f>HYPERLINK("https://klasma.github.io/Logging_2161/klagomålsmail/A 23643-2025 FSC-klagomål mail.docx", "A 23643-2025")</f>
        <v/>
      </c>
      <c r="AC203">
        <f>HYPERLINK("https://klasma.github.io/Logging_2161/tillsyn/A 23643-2025 tillsynsbegäran.docx", "A 23643-2025")</f>
        <v/>
      </c>
      <c r="AD203">
        <f>HYPERLINK("https://klasma.github.io/Logging_2161/tillsynsmail/A 23643-2025 tillsynsbegäran mail.docx", "A 23643-2025")</f>
        <v/>
      </c>
    </row>
    <row r="204" ht="15" customHeight="1">
      <c r="A204" t="inlineStr">
        <is>
          <t>S 10126-2021</t>
        </is>
      </c>
      <c r="B204" t="inlineStr">
        <is>
          <t>samrådsanmälan</t>
        </is>
      </c>
      <c r="C204" t="inlineStr">
        <is>
          <t>Skogsgödsling</t>
        </is>
      </c>
      <c r="D204" s="1" t="n">
        <v>44538</v>
      </c>
      <c r="E204" s="1" t="n">
        <v>46292</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46292</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46292</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46292</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46292</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46292</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46292</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46292</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57726-2021</t>
        </is>
      </c>
      <c r="B212" t="inlineStr">
        <is>
          <t>avverkningsanmälan</t>
        </is>
      </c>
      <c r="C212" t="inlineStr">
        <is>
          <t>Föryngringsavverkning</t>
        </is>
      </c>
      <c r="D212" s="1" t="n">
        <v>44484</v>
      </c>
      <c r="E212" s="1" t="n">
        <v>46292</v>
      </c>
      <c r="F212" t="inlineStr">
        <is>
          <t>GÄVLEBORGS LÄN</t>
        </is>
      </c>
      <c r="G212" t="inlineStr">
        <is>
          <t>LJUSDAL</t>
        </is>
      </c>
      <c r="H212" t="inlineStr">
        <is>
          <t>Sveaskog</t>
        </is>
      </c>
      <c r="I212" t="n">
        <v>4.2</v>
      </c>
      <c r="J212" t="n">
        <v>0</v>
      </c>
      <c r="K212" t="n">
        <v>0</v>
      </c>
      <c r="L212" t="n">
        <v>1</v>
      </c>
      <c r="M212" t="n">
        <v>1</v>
      </c>
      <c r="N212" t="n">
        <v>0</v>
      </c>
      <c r="O212" t="n">
        <v>0</v>
      </c>
      <c r="P212" t="n">
        <v>0</v>
      </c>
      <c r="Q212" t="n">
        <v>2</v>
      </c>
      <c r="R212" t="n">
        <v>1</v>
      </c>
      <c r="S212" t="n">
        <v>2</v>
      </c>
      <c r="T212" t="n">
        <v>6</v>
      </c>
      <c r="U212" t="n">
        <v>6</v>
      </c>
      <c r="V212" s="2" t="inlineStr">
        <is>
          <t>Garnlav
Mörk kolflarnlav</t>
        </is>
      </c>
      <c r="W212">
        <f>HYPERLINK("https://klasma.github.io/Logging_2161/artfynd/A 57726-2021 artfynd.xlsx", "A 57726-2021")</f>
        <v/>
      </c>
      <c r="X212">
        <f>HYPERLINK("https://klasma.github.io/Logging_2161/kartor/A 57726-2021 karta.png", "A 57726-2021")</f>
        <v/>
      </c>
      <c r="Y212">
        <f>HYPERLINK("https://klasma.github.io/Logging_2161/kartor_geotiff/A 57726-2021 georefererad karta.tif", "A 57726-2021")</f>
        <v/>
      </c>
      <c r="AA212">
        <f>HYPERLINK("https://klasma.github.io/Logging_2161/klagomål/A 57726-2021 FSC-klagomål.docx", "A 57726-2021")</f>
        <v/>
      </c>
      <c r="AB212">
        <f>HYPERLINK("https://klasma.github.io/Logging_2161/klagomålsmail/A 57726-2021 FSC-klagomål mail.docx", "A 57726-2021")</f>
        <v/>
      </c>
      <c r="AC212">
        <f>HYPERLINK("https://klasma.github.io/Logging_2161/tillsyn/A 57726-2021 tillsynsbegäran.docx", "A 57726-2021")</f>
        <v/>
      </c>
      <c r="AD212">
        <f>HYPERLINK("https://klasma.github.io/Logging_2161/tillsynsmail/A 57726-2021 tillsynsbegäran mail.docx", "A 57726-2021")</f>
        <v/>
      </c>
    </row>
    <row r="213" ht="15" customHeight="1">
      <c r="A213" t="inlineStr">
        <is>
          <t>A 20593-2022</t>
        </is>
      </c>
      <c r="B213" t="inlineStr">
        <is>
          <t>avverkningsanmälan</t>
        </is>
      </c>
      <c r="C213" t="inlineStr">
        <is>
          <t>Föryngringsavverkning</t>
        </is>
      </c>
      <c r="D213" s="1" t="n">
        <v>44700</v>
      </c>
      <c r="E213" s="1" t="n">
        <v>46292</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51330-2022</t>
        </is>
      </c>
      <c r="B214" t="inlineStr">
        <is>
          <t>avverkningsanmälan</t>
        </is>
      </c>
      <c r="C214" t="inlineStr">
        <is>
          <t>Föryngringsavverkning</t>
        </is>
      </c>
      <c r="D214" s="1" t="n">
        <v>44869</v>
      </c>
      <c r="E214" s="1" t="n">
        <v>46292</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23399-2024</t>
        </is>
      </c>
      <c r="B215" t="inlineStr">
        <is>
          <t>avverkningsanmälan</t>
        </is>
      </c>
      <c r="C215" t="inlineStr">
        <is>
          <t>Föryngringsavverkning</t>
        </is>
      </c>
      <c r="D215" s="1" t="n">
        <v>45453</v>
      </c>
      <c r="E215" s="1" t="n">
        <v>46292</v>
      </c>
      <c r="F215" t="inlineStr">
        <is>
          <t>GÄVLEBORGS LÄN</t>
        </is>
      </c>
      <c r="G215" t="inlineStr">
        <is>
          <t>LJUSDAL</t>
        </is>
      </c>
      <c r="I215" t="n">
        <v>1.7</v>
      </c>
      <c r="J215" t="n">
        <v>0</v>
      </c>
      <c r="K215" t="n">
        <v>0</v>
      </c>
      <c r="L215" t="n">
        <v>2</v>
      </c>
      <c r="M215" t="n">
        <v>0</v>
      </c>
      <c r="N215" t="n">
        <v>0</v>
      </c>
      <c r="O215" t="n">
        <v>0</v>
      </c>
      <c r="P215" t="n">
        <v>0</v>
      </c>
      <c r="Q215" t="n">
        <v>2</v>
      </c>
      <c r="R215" t="n">
        <v>0</v>
      </c>
      <c r="S215" t="n">
        <v>2</v>
      </c>
      <c r="T215" t="n">
        <v>2</v>
      </c>
      <c r="U215" t="n">
        <v>0</v>
      </c>
      <c r="V215" s="2" t="inlineStr">
        <is>
          <t>Kolflarnlav
Vedflamlav</t>
        </is>
      </c>
      <c r="W215">
        <f>HYPERLINK("https://klasma.github.io/Logging_2161/artfynd/A 23399-2024 artfynd.xlsx", "A 23399-2024")</f>
        <v/>
      </c>
      <c r="X215">
        <f>HYPERLINK("https://klasma.github.io/Logging_2161/kartor/A 23399-2024 karta.png", "A 23399-2024")</f>
        <v/>
      </c>
      <c r="Y215">
        <f>HYPERLINK("https://klasma.github.io/Logging_2161/kartor_geotiff/A 23399-2024 georefererad karta.tif", "A 23399-2024")</f>
        <v/>
      </c>
      <c r="AA215">
        <f>HYPERLINK("https://klasma.github.io/Logging_2161/klagomål/A 23399-2024 FSC-klagomål.docx", "A 23399-2024")</f>
        <v/>
      </c>
      <c r="AB215">
        <f>HYPERLINK("https://klasma.github.io/Logging_2161/klagomålsmail/A 23399-2024 FSC-klagomål mail.docx", "A 23399-2024")</f>
        <v/>
      </c>
      <c r="AC215">
        <f>HYPERLINK("https://klasma.github.io/Logging_2161/tillsyn/A 23399-2024 tillsynsbegäran.docx", "A 23399-2024")</f>
        <v/>
      </c>
      <c r="AD215">
        <f>HYPERLINK("https://klasma.github.io/Logging_2161/tillsynsmail/A 23399-2024 tillsynsbegäran mail.docx", "A 23399-2024")</f>
        <v/>
      </c>
    </row>
    <row r="216" ht="15" customHeight="1">
      <c r="A216" t="inlineStr">
        <is>
          <t>A 22667-2024</t>
        </is>
      </c>
      <c r="B216" t="inlineStr">
        <is>
          <t>avverkningsanmälan</t>
        </is>
      </c>
      <c r="C216" t="inlineStr">
        <is>
          <t>Föryngringsavverkning</t>
        </is>
      </c>
      <c r="D216" s="1" t="n">
        <v>45447</v>
      </c>
      <c r="E216" s="1" t="n">
        <v>46292</v>
      </c>
      <c r="F216" t="inlineStr">
        <is>
          <t>GÄVLEBORGS LÄN</t>
        </is>
      </c>
      <c r="G216" t="inlineStr">
        <is>
          <t>LJUSDAL</t>
        </is>
      </c>
      <c r="H216" t="inlineStr">
        <is>
          <t>SCA</t>
        </is>
      </c>
      <c r="I216" t="n">
        <v>5.3</v>
      </c>
      <c r="J216" t="n">
        <v>2</v>
      </c>
      <c r="K216" t="n">
        <v>0</v>
      </c>
      <c r="L216" t="n">
        <v>0</v>
      </c>
      <c r="M216" t="n">
        <v>1</v>
      </c>
      <c r="N216" t="n">
        <v>0</v>
      </c>
      <c r="O216" t="n">
        <v>0</v>
      </c>
      <c r="P216" t="n">
        <v>0</v>
      </c>
      <c r="Q216" t="n">
        <v>1</v>
      </c>
      <c r="R216" t="n">
        <v>1</v>
      </c>
      <c r="S216" t="n">
        <v>2</v>
      </c>
      <c r="T216" t="n">
        <v>2</v>
      </c>
      <c r="U216" t="n">
        <v>2</v>
      </c>
      <c r="V216" s="2" t="inlineStr">
        <is>
          <t>Knärot
Lopplummer (aggregat)</t>
        </is>
      </c>
      <c r="W216">
        <f>HYPERLINK("https://klasma.github.io/Logging_2161/artfynd/A 22667-2024 artfynd.xlsx", "A 22667-2024")</f>
        <v/>
      </c>
      <c r="X216">
        <f>HYPERLINK("https://klasma.github.io/Logging_2161/kartor/A 22667-2024 karta.png", "A 22667-2024")</f>
        <v/>
      </c>
      <c r="Y216">
        <f>HYPERLINK("https://klasma.github.io/Logging_2161/kartor_geotiff/A 22667-2024 georefererad karta.tif", "A 22667-2024")</f>
        <v/>
      </c>
      <c r="Z216">
        <f>HYPERLINK("https://klasma.github.io/Logging_2161/knärot/A 22667-2024 karta knärot.png", "A 22667-2024")</f>
        <v/>
      </c>
      <c r="AA216">
        <f>HYPERLINK("https://klasma.github.io/Logging_2161/klagomål/A 22667-2024 FSC-klagomål.docx", "A 22667-2024")</f>
        <v/>
      </c>
      <c r="AB216">
        <f>HYPERLINK("https://klasma.github.io/Logging_2161/klagomålsmail/A 22667-2024 FSC-klagomål mail.docx", "A 22667-2024")</f>
        <v/>
      </c>
      <c r="AC216">
        <f>HYPERLINK("https://klasma.github.io/Logging_2161/tillsyn/A 22667-2024 tillsynsbegäran.docx", "A 22667-2024")</f>
        <v/>
      </c>
      <c r="AD216">
        <f>HYPERLINK("https://klasma.github.io/Logging_2161/tillsynsmail/A 22667-2024 tillsynsbegäran mail.docx", "A 22667-2024")</f>
        <v/>
      </c>
    </row>
    <row r="217" ht="15" customHeight="1">
      <c r="A217" t="inlineStr">
        <is>
          <t>A 54108-2022</t>
        </is>
      </c>
      <c r="B217" t="inlineStr">
        <is>
          <t>avverkningsanmälan</t>
        </is>
      </c>
      <c r="C217" t="inlineStr">
        <is>
          <t>Föryngringsavverkning</t>
        </is>
      </c>
      <c r="D217" s="1" t="n">
        <v>44881</v>
      </c>
      <c r="E217" s="1" t="n">
        <v>46292</v>
      </c>
      <c r="F217" t="inlineStr">
        <is>
          <t>GÄVLEBORGS LÄN</t>
        </is>
      </c>
      <c r="G217" t="inlineStr">
        <is>
          <t>LJUSDAL</t>
        </is>
      </c>
      <c r="H217" t="inlineStr">
        <is>
          <t>Sveaskog</t>
        </is>
      </c>
      <c r="I217" t="n">
        <v>7.9</v>
      </c>
      <c r="J217" t="n">
        <v>0</v>
      </c>
      <c r="K217" t="n">
        <v>0</v>
      </c>
      <c r="L217" t="n">
        <v>2</v>
      </c>
      <c r="M217" t="n">
        <v>0</v>
      </c>
      <c r="N217" t="n">
        <v>0</v>
      </c>
      <c r="O217" t="n">
        <v>0</v>
      </c>
      <c r="P217" t="n">
        <v>0</v>
      </c>
      <c r="Q217" t="n">
        <v>2</v>
      </c>
      <c r="R217" t="n">
        <v>0</v>
      </c>
      <c r="S217" t="n">
        <v>2</v>
      </c>
      <c r="T217" t="n">
        <v>2</v>
      </c>
      <c r="U217" t="n">
        <v>2</v>
      </c>
      <c r="V217" s="2" t="inlineStr">
        <is>
          <t>Dropptaggsvamp
Kolflarnlav</t>
        </is>
      </c>
      <c r="W217">
        <f>HYPERLINK("https://klasma.github.io/Logging_2161/artfynd/A 54108-2022 artfynd.xlsx", "A 54108-2022")</f>
        <v/>
      </c>
      <c r="X217">
        <f>HYPERLINK("https://klasma.github.io/Logging_2161/kartor/A 54108-2022 karta.png", "A 54108-2022")</f>
        <v/>
      </c>
      <c r="Y217">
        <f>HYPERLINK("https://klasma.github.io/Logging_2161/kartor_geotiff/A 54108-2022 georefererad karta.tif", "A 54108-2022")</f>
        <v/>
      </c>
      <c r="AA217">
        <f>HYPERLINK("https://klasma.github.io/Logging_2161/klagomål/A 54108-2022 FSC-klagomål.docx", "A 54108-2022")</f>
        <v/>
      </c>
      <c r="AB217">
        <f>HYPERLINK("https://klasma.github.io/Logging_2161/klagomålsmail/A 54108-2022 FSC-klagomål mail.docx", "A 54108-2022")</f>
        <v/>
      </c>
      <c r="AC217">
        <f>HYPERLINK("https://klasma.github.io/Logging_2161/tillsyn/A 54108-2022 tillsynsbegäran.docx", "A 54108-2022")</f>
        <v/>
      </c>
      <c r="AD217">
        <f>HYPERLINK("https://klasma.github.io/Logging_2161/tillsynsmail/A 54108-2022 tillsynsbegäran mail.docx", "A 54108-2022")</f>
        <v/>
      </c>
    </row>
    <row r="218" ht="15" customHeight="1">
      <c r="A218" t="inlineStr">
        <is>
          <t>A 21900-2024</t>
        </is>
      </c>
      <c r="B218" t="inlineStr">
        <is>
          <t>avverkningsanmälan</t>
        </is>
      </c>
      <c r="C218" t="inlineStr">
        <is>
          <t>Föryngringsavverkning</t>
        </is>
      </c>
      <c r="D218" s="1" t="n">
        <v>45443</v>
      </c>
      <c r="E218" s="1" t="n">
        <v>46292</v>
      </c>
      <c r="F218" t="inlineStr">
        <is>
          <t>GÄVLEBORGS LÄN</t>
        </is>
      </c>
      <c r="G218" t="inlineStr">
        <is>
          <t>LJUSDAL</t>
        </is>
      </c>
      <c r="H218" t="inlineStr">
        <is>
          <t>Sveaskog</t>
        </is>
      </c>
      <c r="I218" t="n">
        <v>1.6</v>
      </c>
      <c r="J218" t="n">
        <v>0</v>
      </c>
      <c r="K218" t="n">
        <v>0</v>
      </c>
      <c r="L218" t="n">
        <v>2</v>
      </c>
      <c r="M218" t="n">
        <v>0</v>
      </c>
      <c r="N218" t="n">
        <v>0</v>
      </c>
      <c r="O218" t="n">
        <v>0</v>
      </c>
      <c r="P218" t="n">
        <v>0</v>
      </c>
      <c r="Q218" t="n">
        <v>2</v>
      </c>
      <c r="R218" t="n">
        <v>0</v>
      </c>
      <c r="S218" t="n">
        <v>2</v>
      </c>
      <c r="T218" t="n">
        <v>2</v>
      </c>
      <c r="U218" t="n">
        <v>2</v>
      </c>
      <c r="V218" s="2" t="inlineStr">
        <is>
          <t>Lunglav
Ullticka</t>
        </is>
      </c>
      <c r="W218">
        <f>HYPERLINK("https://klasma.github.io/Logging_2161/artfynd/A 21900-2024 artfynd.xlsx", "A 21900-2024")</f>
        <v/>
      </c>
      <c r="X218">
        <f>HYPERLINK("https://klasma.github.io/Logging_2161/kartor/A 21900-2024 karta.png", "A 21900-2024")</f>
        <v/>
      </c>
      <c r="Y218">
        <f>HYPERLINK("https://klasma.github.io/Logging_2161/kartor_geotiff/A 21900-2024 georefererad karta.tif", "A 21900-2024")</f>
        <v/>
      </c>
      <c r="Z218">
        <f>HYPERLINK("https://klasma.github.io/Logging_2161/knärot/A 21900-2024 karta knärot.png", "A 21900-2024")</f>
        <v/>
      </c>
      <c r="AA218">
        <f>HYPERLINK("https://klasma.github.io/Logging_2161/klagomål/A 21900-2024 FSC-klagomål.docx", "A 21900-2024")</f>
        <v/>
      </c>
      <c r="AB218">
        <f>HYPERLINK("https://klasma.github.io/Logging_2161/klagomålsmail/A 21900-2024 FSC-klagomål mail.docx", "A 21900-2024")</f>
        <v/>
      </c>
      <c r="AC218">
        <f>HYPERLINK("https://klasma.github.io/Logging_2161/tillsyn/A 21900-2024 tillsynsbegäran.docx", "A 21900-2024")</f>
        <v/>
      </c>
      <c r="AD218">
        <f>HYPERLINK("https://klasma.github.io/Logging_2161/tillsynsmail/A 21900-2024 tillsynsbegäran mail.docx", "A 21900-2024")</f>
        <v/>
      </c>
    </row>
    <row r="219" ht="15" customHeight="1">
      <c r="A219" t="inlineStr">
        <is>
          <t>A 45270-2024</t>
        </is>
      </c>
      <c r="B219" t="inlineStr">
        <is>
          <t>avverkningsanmälan</t>
        </is>
      </c>
      <c r="C219" t="inlineStr">
        <is>
          <t>Föryngringsavverkning</t>
        </is>
      </c>
      <c r="D219" s="1" t="n">
        <v>45576</v>
      </c>
      <c r="E219" s="1" t="n">
        <v>46292</v>
      </c>
      <c r="F219" t="inlineStr">
        <is>
          <t>GÄVLEBORGS LÄN</t>
        </is>
      </c>
      <c r="G219" t="inlineStr">
        <is>
          <t>LJUSDAL</t>
        </is>
      </c>
      <c r="H219" t="inlineStr">
        <is>
          <t>Sveaskog</t>
        </is>
      </c>
      <c r="I219" t="n">
        <v>5</v>
      </c>
      <c r="J219" t="n">
        <v>0</v>
      </c>
      <c r="K219" t="n">
        <v>0</v>
      </c>
      <c r="L219" t="n">
        <v>2</v>
      </c>
      <c r="M219" t="n">
        <v>0</v>
      </c>
      <c r="N219" t="n">
        <v>0</v>
      </c>
      <c r="O219" t="n">
        <v>0</v>
      </c>
      <c r="P219" t="n">
        <v>0</v>
      </c>
      <c r="Q219" t="n">
        <v>2</v>
      </c>
      <c r="R219" t="n">
        <v>0</v>
      </c>
      <c r="S219" t="n">
        <v>2</v>
      </c>
      <c r="T219" t="n">
        <v>2</v>
      </c>
      <c r="U219" t="n">
        <v>2</v>
      </c>
      <c r="V219" s="2" t="inlineStr">
        <is>
          <t>Kolflarnlav
Mörk kolflarnlav</t>
        </is>
      </c>
      <c r="W219">
        <f>HYPERLINK("https://klasma.github.io/Logging_2161/artfynd/A 45270-2024 artfynd.xlsx", "A 45270-2024")</f>
        <v/>
      </c>
      <c r="X219">
        <f>HYPERLINK("https://klasma.github.io/Logging_2161/kartor/A 45270-2024 karta.png", "A 45270-2024")</f>
        <v/>
      </c>
      <c r="Y219">
        <f>HYPERLINK("https://klasma.github.io/Logging_2161/kartor_geotiff/A 45270-2024 georefererad karta.tif", "A 45270-2024")</f>
        <v/>
      </c>
      <c r="AA219">
        <f>HYPERLINK("https://klasma.github.io/Logging_2161/klagomål/A 45270-2024 FSC-klagomål.docx", "A 45270-2024")</f>
        <v/>
      </c>
      <c r="AB219">
        <f>HYPERLINK("https://klasma.github.io/Logging_2161/klagomålsmail/A 45270-2024 FSC-klagomål mail.docx", "A 45270-2024")</f>
        <v/>
      </c>
      <c r="AC219">
        <f>HYPERLINK("https://klasma.github.io/Logging_2161/tillsyn/A 45270-2024 tillsynsbegäran.docx", "A 45270-2024")</f>
        <v/>
      </c>
      <c r="AD219">
        <f>HYPERLINK("https://klasma.github.io/Logging_2161/tillsynsmail/A 45270-2024 tillsynsbegäran mail.docx", "A 45270-2024")</f>
        <v/>
      </c>
    </row>
    <row r="220" ht="15" customHeight="1">
      <c r="A220" t="inlineStr">
        <is>
          <t>A 22470-2024</t>
        </is>
      </c>
      <c r="B220" t="inlineStr">
        <is>
          <t>avverkningsanmälan</t>
        </is>
      </c>
      <c r="C220" t="inlineStr">
        <is>
          <t>Föryngringsavverkning</t>
        </is>
      </c>
      <c r="D220" s="1" t="n">
        <v>45446</v>
      </c>
      <c r="E220" s="1" t="n">
        <v>46292</v>
      </c>
      <c r="F220" t="inlineStr">
        <is>
          <t>GÄVLEBORGS LÄN</t>
        </is>
      </c>
      <c r="G220" t="inlineStr">
        <is>
          <t>LJUSDAL</t>
        </is>
      </c>
      <c r="H220" t="inlineStr">
        <is>
          <t>SCA</t>
        </is>
      </c>
      <c r="I220" t="n">
        <v>5.3</v>
      </c>
      <c r="J220" t="n">
        <v>2</v>
      </c>
      <c r="K220" t="n">
        <v>0</v>
      </c>
      <c r="L220" t="n">
        <v>0</v>
      </c>
      <c r="M220" t="n">
        <v>1</v>
      </c>
      <c r="N220" t="n">
        <v>0</v>
      </c>
      <c r="O220" t="n">
        <v>0</v>
      </c>
      <c r="P220" t="n">
        <v>0</v>
      </c>
      <c r="Q220" t="n">
        <v>1</v>
      </c>
      <c r="R220" t="n">
        <v>1</v>
      </c>
      <c r="S220" t="n">
        <v>2</v>
      </c>
      <c r="T220" t="n">
        <v>2</v>
      </c>
      <c r="U220" t="n">
        <v>2</v>
      </c>
      <c r="V220" s="2" t="inlineStr">
        <is>
          <t>Knärot
Lopplummer (aggregat)</t>
        </is>
      </c>
      <c r="W220">
        <f>HYPERLINK("https://klasma.github.io/Logging_2161/artfynd/A 22470-2024 artfynd.xlsx", "A 22470-2024")</f>
        <v/>
      </c>
      <c r="X220">
        <f>HYPERLINK("https://klasma.github.io/Logging_2161/kartor/A 22470-2024 karta.png", "A 22470-2024")</f>
        <v/>
      </c>
      <c r="Y220">
        <f>HYPERLINK("https://klasma.github.io/Logging_2161/kartor_geotiff/A 22470-2024 georefererad karta.tif", "A 22470-2024")</f>
        <v/>
      </c>
      <c r="Z220">
        <f>HYPERLINK("https://klasma.github.io/Logging_2161/knärot/A 22470-2024 karta knärot.png", "A 22470-2024")</f>
        <v/>
      </c>
      <c r="AA220">
        <f>HYPERLINK("https://klasma.github.io/Logging_2161/klagomål/A 22470-2024 FSC-klagomål.docx", "A 22470-2024")</f>
        <v/>
      </c>
      <c r="AB220">
        <f>HYPERLINK("https://klasma.github.io/Logging_2161/klagomålsmail/A 22470-2024 FSC-klagomål mail.docx", "A 22470-2024")</f>
        <v/>
      </c>
      <c r="AC220">
        <f>HYPERLINK("https://klasma.github.io/Logging_2161/tillsyn/A 22470-2024 tillsynsbegäran.docx", "A 22470-2024")</f>
        <v/>
      </c>
      <c r="AD220">
        <f>HYPERLINK("https://klasma.github.io/Logging_2161/tillsynsmail/A 22470-2024 tillsynsbegäran mail.docx", "A 22470-2024")</f>
        <v/>
      </c>
    </row>
    <row r="221" ht="15" customHeight="1">
      <c r="A221" t="inlineStr">
        <is>
          <t>A 34997-2024</t>
        </is>
      </c>
      <c r="B221" t="inlineStr">
        <is>
          <t>avverkningsanmälan</t>
        </is>
      </c>
      <c r="C221" t="inlineStr">
        <is>
          <t>Föryngringsavverkning</t>
        </is>
      </c>
      <c r="D221" s="1" t="n">
        <v>45527</v>
      </c>
      <c r="E221" s="1" t="n">
        <v>46292</v>
      </c>
      <c r="F221" t="inlineStr">
        <is>
          <t>GÄVLEBORGS LÄN</t>
        </is>
      </c>
      <c r="G221" t="inlineStr">
        <is>
          <t>LJUSDAL</t>
        </is>
      </c>
      <c r="H221" t="inlineStr">
        <is>
          <t>Sveaskog</t>
        </is>
      </c>
      <c r="I221" t="n">
        <v>5.3</v>
      </c>
      <c r="J221" t="n">
        <v>0</v>
      </c>
      <c r="K221" t="n">
        <v>0</v>
      </c>
      <c r="L221" t="n">
        <v>2</v>
      </c>
      <c r="M221" t="n">
        <v>0</v>
      </c>
      <c r="N221" t="n">
        <v>0</v>
      </c>
      <c r="O221" t="n">
        <v>0</v>
      </c>
      <c r="P221" t="n">
        <v>0</v>
      </c>
      <c r="Q221" t="n">
        <v>2</v>
      </c>
      <c r="R221" t="n">
        <v>0</v>
      </c>
      <c r="S221" t="n">
        <v>2</v>
      </c>
      <c r="T221" t="n">
        <v>2</v>
      </c>
      <c r="U221" t="n">
        <v>2</v>
      </c>
      <c r="V221" s="2" t="inlineStr">
        <is>
          <t>Kolflarnlav
Lunglav</t>
        </is>
      </c>
      <c r="W221">
        <f>HYPERLINK("https://klasma.github.io/Logging_2161/artfynd/A 34997-2024 artfynd.xlsx", "A 34997-2024")</f>
        <v/>
      </c>
      <c r="X221">
        <f>HYPERLINK("https://klasma.github.io/Logging_2161/kartor/A 34997-2024 karta.png", "A 34997-2024")</f>
        <v/>
      </c>
      <c r="Y221">
        <f>HYPERLINK("https://klasma.github.io/Logging_2161/kartor_geotiff/A 34997-2024 georefererad karta.tif", "A 34997-2024")</f>
        <v/>
      </c>
      <c r="AA221">
        <f>HYPERLINK("https://klasma.github.io/Logging_2161/klagomål/A 34997-2024 FSC-klagomål.docx", "A 34997-2024")</f>
        <v/>
      </c>
      <c r="AB221">
        <f>HYPERLINK("https://klasma.github.io/Logging_2161/klagomålsmail/A 34997-2024 FSC-klagomål mail.docx", "A 34997-2024")</f>
        <v/>
      </c>
      <c r="AC221">
        <f>HYPERLINK("https://klasma.github.io/Logging_2161/tillsyn/A 34997-2024 tillsynsbegäran.docx", "A 34997-2024")</f>
        <v/>
      </c>
      <c r="AD221">
        <f>HYPERLINK("https://klasma.github.io/Logging_2161/tillsynsmail/A 34997-2024 tillsynsbegäran mail.docx", "A 34997-2024")</f>
        <v/>
      </c>
    </row>
    <row r="222" ht="15" customHeight="1">
      <c r="A222" t="inlineStr">
        <is>
          <t>A 58239-2022</t>
        </is>
      </c>
      <c r="B222" t="inlineStr">
        <is>
          <t>avverkningsanmälan</t>
        </is>
      </c>
      <c r="C222" t="inlineStr">
        <is>
          <t>Föryngringsavverkning</t>
        </is>
      </c>
      <c r="D222" s="1" t="n">
        <v>44901</v>
      </c>
      <c r="E222" s="1" t="n">
        <v>46292</v>
      </c>
      <c r="F222" t="inlineStr">
        <is>
          <t>GÄVLEBORGS LÄN</t>
        </is>
      </c>
      <c r="G222" t="inlineStr">
        <is>
          <t>LJUSDAL</t>
        </is>
      </c>
      <c r="I222" t="n">
        <v>0.5</v>
      </c>
      <c r="J222" t="n">
        <v>1</v>
      </c>
      <c r="K222" t="n">
        <v>0</v>
      </c>
      <c r="L222" t="n">
        <v>1</v>
      </c>
      <c r="M222" t="n">
        <v>0</v>
      </c>
      <c r="N222" t="n">
        <v>0</v>
      </c>
      <c r="O222" t="n">
        <v>0</v>
      </c>
      <c r="P222" t="n">
        <v>0</v>
      </c>
      <c r="Q222" t="n">
        <v>1</v>
      </c>
      <c r="R222" t="n">
        <v>0</v>
      </c>
      <c r="S222" t="n">
        <v>2</v>
      </c>
      <c r="T222" t="n">
        <v>2</v>
      </c>
      <c r="U222" t="n">
        <v>2</v>
      </c>
      <c r="V222" s="2" t="inlineStr">
        <is>
          <t>Älg
Blåsippa</t>
        </is>
      </c>
      <c r="W222">
        <f>HYPERLINK("https://klasma.github.io/Logging_2161/artfynd/A 58239-2022 artfynd.xlsx", "A 58239-2022")</f>
        <v/>
      </c>
      <c r="X222">
        <f>HYPERLINK("https://klasma.github.io/Logging_2161/kartor/A 58239-2022 karta.png", "A 58239-2022")</f>
        <v/>
      </c>
      <c r="Y222">
        <f>HYPERLINK("https://klasma.github.io/Logging_2161/kartor_geotiff/A 58239-2022 georefererad karta.tif", "A 58239-2022")</f>
        <v/>
      </c>
      <c r="AA222">
        <f>HYPERLINK("https://klasma.github.io/Logging_2161/klagomål/A 58239-2022 FSC-klagomål.docx", "A 58239-2022")</f>
        <v/>
      </c>
      <c r="AB222">
        <f>HYPERLINK("https://klasma.github.io/Logging_2161/klagomålsmail/A 58239-2022 FSC-klagomål mail.docx", "A 58239-2022")</f>
        <v/>
      </c>
      <c r="AC222">
        <f>HYPERLINK("https://klasma.github.io/Logging_2161/tillsyn/A 58239-2022 tillsynsbegäran.docx", "A 58239-2022")</f>
        <v/>
      </c>
      <c r="AD222">
        <f>HYPERLINK("https://klasma.github.io/Logging_2161/tillsynsmail/A 58239-2022 tillsynsbegäran mail.docx", "A 58239-2022")</f>
        <v/>
      </c>
    </row>
    <row r="223" ht="15" customHeight="1">
      <c r="A223" t="inlineStr">
        <is>
          <t>A 25047-2025</t>
        </is>
      </c>
      <c r="B223" t="inlineStr">
        <is>
          <t>avverkningsanmälan</t>
        </is>
      </c>
      <c r="C223" t="inlineStr">
        <is>
          <t>Föryngringsavverkning</t>
        </is>
      </c>
      <c r="D223" s="1" t="n">
        <v>45799</v>
      </c>
      <c r="E223" s="1" t="n">
        <v>46292</v>
      </c>
      <c r="F223" t="inlineStr">
        <is>
          <t>GÄVLEBORGS LÄN</t>
        </is>
      </c>
      <c r="G223" t="inlineStr">
        <is>
          <t>LJUSDAL</t>
        </is>
      </c>
      <c r="H223" t="inlineStr">
        <is>
          <t>Holmen skog AB</t>
        </is>
      </c>
      <c r="I223" t="n">
        <v>24.1</v>
      </c>
      <c r="J223" t="n">
        <v>0</v>
      </c>
      <c r="K223" t="n">
        <v>0</v>
      </c>
      <c r="L223" t="n">
        <v>1</v>
      </c>
      <c r="M223" t="n">
        <v>1</v>
      </c>
      <c r="N223" t="n">
        <v>0</v>
      </c>
      <c r="O223" t="n">
        <v>0</v>
      </c>
      <c r="P223" t="n">
        <v>0</v>
      </c>
      <c r="Q223" t="n">
        <v>2</v>
      </c>
      <c r="R223" t="n">
        <v>1</v>
      </c>
      <c r="S223" t="n">
        <v>2</v>
      </c>
      <c r="T223" t="n">
        <v>2</v>
      </c>
      <c r="U223" t="n">
        <v>2</v>
      </c>
      <c r="V223" s="2" t="inlineStr">
        <is>
          <t>Gräddticka
Ullticka</t>
        </is>
      </c>
      <c r="W223">
        <f>HYPERLINK("https://klasma.github.io/Logging_2161/artfynd/A 25047-2025 artfynd.xlsx", "A 25047-2025")</f>
        <v/>
      </c>
      <c r="X223">
        <f>HYPERLINK("https://klasma.github.io/Logging_2161/kartor/A 25047-2025 karta.png", "A 25047-2025")</f>
        <v/>
      </c>
      <c r="Y223">
        <f>HYPERLINK("https://klasma.github.io/Logging_2161/kartor_geotiff/A 25047-2025 georefererad karta.tif", "A 25047-2025")</f>
        <v/>
      </c>
      <c r="AA223">
        <f>HYPERLINK("https://klasma.github.io/Logging_2161/klagomål/A 25047-2025 FSC-klagomål.docx", "A 25047-2025")</f>
        <v/>
      </c>
      <c r="AB223">
        <f>HYPERLINK("https://klasma.github.io/Logging_2161/klagomålsmail/A 25047-2025 FSC-klagomål mail.docx", "A 25047-2025")</f>
        <v/>
      </c>
      <c r="AC223">
        <f>HYPERLINK("https://klasma.github.io/Logging_2161/tillsyn/A 25047-2025 tillsynsbegäran.docx", "A 25047-2025")</f>
        <v/>
      </c>
      <c r="AD223">
        <f>HYPERLINK("https://klasma.github.io/Logging_2161/tillsynsmail/A 25047-2025 tillsynsbegäran mail.docx", "A 25047-2025")</f>
        <v/>
      </c>
    </row>
    <row r="224" ht="15" customHeight="1">
      <c r="A224" t="inlineStr">
        <is>
          <t>A 42008-2025</t>
        </is>
      </c>
      <c r="B224" t="inlineStr">
        <is>
          <t>avverkningsanmälan</t>
        </is>
      </c>
      <c r="C224" t="inlineStr">
        <is>
          <t>Föryngringsavverkning</t>
        </is>
      </c>
      <c r="D224" s="1" t="n">
        <v>45903</v>
      </c>
      <c r="E224" s="1" t="n">
        <v>46292</v>
      </c>
      <c r="F224" t="inlineStr">
        <is>
          <t>GÄVLEBORGS LÄN</t>
        </is>
      </c>
      <c r="G224" t="inlineStr">
        <is>
          <t>LJUSDAL</t>
        </is>
      </c>
      <c r="H224" t="inlineStr">
        <is>
          <t>Bergvik skog väst AB</t>
        </is>
      </c>
      <c r="I224" t="n">
        <v>0.8</v>
      </c>
      <c r="J224" t="n">
        <v>1</v>
      </c>
      <c r="K224" t="n">
        <v>0</v>
      </c>
      <c r="L224" t="n">
        <v>1</v>
      </c>
      <c r="M224" t="n">
        <v>0</v>
      </c>
      <c r="N224" t="n">
        <v>0</v>
      </c>
      <c r="O224" t="n">
        <v>0</v>
      </c>
      <c r="P224" t="n">
        <v>0</v>
      </c>
      <c r="Q224" t="n">
        <v>1</v>
      </c>
      <c r="R224" t="n">
        <v>0</v>
      </c>
      <c r="S224" t="n">
        <v>2</v>
      </c>
      <c r="T224" t="n">
        <v>2</v>
      </c>
      <c r="U224" t="n">
        <v>0</v>
      </c>
      <c r="V224" s="2" t="inlineStr">
        <is>
          <t>Lunglav
Fläcknycklar</t>
        </is>
      </c>
      <c r="W224">
        <f>HYPERLINK("https://klasma.github.io/Logging_2161/artfynd/A 42008-2025 artfynd.xlsx", "A 42008-2025")</f>
        <v/>
      </c>
      <c r="X224">
        <f>HYPERLINK("https://klasma.github.io/Logging_2161/kartor/A 42008-2025 karta.png", "A 42008-2025")</f>
        <v/>
      </c>
      <c r="Y224">
        <f>HYPERLINK("https://klasma.github.io/Logging_2161/kartor_geotiff/A 42008-2025 georefererad karta.tif", "A 42008-2025")</f>
        <v/>
      </c>
      <c r="AA224">
        <f>HYPERLINK("https://klasma.github.io/Logging_2161/klagomål/A 42008-2025 FSC-klagomål.docx", "A 42008-2025")</f>
        <v/>
      </c>
      <c r="AB224">
        <f>HYPERLINK("https://klasma.github.io/Logging_2161/klagomålsmail/A 42008-2025 FSC-klagomål mail.docx", "A 42008-2025")</f>
        <v/>
      </c>
      <c r="AC224">
        <f>HYPERLINK("https://klasma.github.io/Logging_2161/tillsyn/A 42008-2025 tillsynsbegäran.docx", "A 42008-2025")</f>
        <v/>
      </c>
      <c r="AD224">
        <f>HYPERLINK("https://klasma.github.io/Logging_2161/tillsynsmail/A 42008-2025 tillsynsbegäran mail.docx", "A 42008-2025")</f>
        <v/>
      </c>
    </row>
    <row r="225" ht="15" customHeight="1">
      <c r="A225" t="inlineStr">
        <is>
          <t>A 24831-2025</t>
        </is>
      </c>
      <c r="B225" t="inlineStr">
        <is>
          <t>avverkningsanmälan</t>
        </is>
      </c>
      <c r="C225" t="inlineStr">
        <is>
          <t>Föryngringsavverkning</t>
        </is>
      </c>
      <c r="D225" s="1" t="n">
        <v>45799</v>
      </c>
      <c r="E225" s="1" t="n">
        <v>46292</v>
      </c>
      <c r="F225" t="inlineStr">
        <is>
          <t>GÄVLEBORGS LÄN</t>
        </is>
      </c>
      <c r="G225" t="inlineStr">
        <is>
          <t>LJUSDAL</t>
        </is>
      </c>
      <c r="H225" t="inlineStr">
        <is>
          <t>Sveaskog</t>
        </is>
      </c>
      <c r="I225" t="n">
        <v>25.9</v>
      </c>
      <c r="J225" t="n">
        <v>1</v>
      </c>
      <c r="K225" t="n">
        <v>0</v>
      </c>
      <c r="L225" t="n">
        <v>2</v>
      </c>
      <c r="M225" t="n">
        <v>0</v>
      </c>
      <c r="N225" t="n">
        <v>0</v>
      </c>
      <c r="O225" t="n">
        <v>0</v>
      </c>
      <c r="P225" t="n">
        <v>0</v>
      </c>
      <c r="Q225" t="n">
        <v>2</v>
      </c>
      <c r="R225" t="n">
        <v>0</v>
      </c>
      <c r="S225" t="n">
        <v>2</v>
      </c>
      <c r="T225" t="n">
        <v>2</v>
      </c>
      <c r="U225" t="n">
        <v>2</v>
      </c>
      <c r="V225" s="2" t="inlineStr">
        <is>
          <t>Lunglav
Tretåig hackspett</t>
        </is>
      </c>
      <c r="W225">
        <f>HYPERLINK("https://klasma.github.io/Logging_2161/artfynd/A 24831-2025 artfynd.xlsx", "A 24831-2025")</f>
        <v/>
      </c>
      <c r="X225">
        <f>HYPERLINK("https://klasma.github.io/Logging_2161/kartor/A 24831-2025 karta.png", "A 24831-2025")</f>
        <v/>
      </c>
      <c r="Y225">
        <f>HYPERLINK("https://klasma.github.io/Logging_2161/kartor_geotiff/A 24831-2025 georefererad karta.tif", "A 24831-2025")</f>
        <v/>
      </c>
      <c r="AA225">
        <f>HYPERLINK("https://klasma.github.io/Logging_2161/klagomål/A 24831-2025 FSC-klagomål.docx", "A 24831-2025")</f>
        <v/>
      </c>
      <c r="AB225">
        <f>HYPERLINK("https://klasma.github.io/Logging_2161/klagomålsmail/A 24831-2025 FSC-klagomål mail.docx", "A 24831-2025")</f>
        <v/>
      </c>
      <c r="AC225">
        <f>HYPERLINK("https://klasma.github.io/Logging_2161/tillsyn/A 24831-2025 tillsynsbegäran.docx", "A 24831-2025")</f>
        <v/>
      </c>
      <c r="AD225">
        <f>HYPERLINK("https://klasma.github.io/Logging_2161/tillsynsmail/A 24831-2025 tillsynsbegäran mail.docx", "A 24831-2025")</f>
        <v/>
      </c>
      <c r="AE225">
        <f>HYPERLINK("https://klasma.github.io/Logging_2161/fåglar/A 24831-2025 prioriterade fågelarter.docx", "A 24831-2025")</f>
        <v/>
      </c>
    </row>
    <row r="226" ht="15" customHeight="1">
      <c r="A226" t="inlineStr">
        <is>
          <t>A 43850-2025</t>
        </is>
      </c>
      <c r="B226" t="inlineStr">
        <is>
          <t>avverkningsanmälan</t>
        </is>
      </c>
      <c r="C226" t="inlineStr">
        <is>
          <t>Föryngringsavverkning</t>
        </is>
      </c>
      <c r="D226" s="1" t="n">
        <v>45912</v>
      </c>
      <c r="E226" s="1" t="n">
        <v>46292</v>
      </c>
      <c r="F226" t="inlineStr">
        <is>
          <t>GÄVLEBORGS LÄN</t>
        </is>
      </c>
      <c r="G226" t="inlineStr">
        <is>
          <t>LJUSDAL</t>
        </is>
      </c>
      <c r="H226" t="inlineStr">
        <is>
          <t>Sveaskog</t>
        </is>
      </c>
      <c r="I226" t="n">
        <v>1.5</v>
      </c>
      <c r="J226" t="n">
        <v>0</v>
      </c>
      <c r="K226" t="n">
        <v>0</v>
      </c>
      <c r="L226" t="n">
        <v>2</v>
      </c>
      <c r="M226" t="n">
        <v>0</v>
      </c>
      <c r="N226" t="n">
        <v>0</v>
      </c>
      <c r="O226" t="n">
        <v>0</v>
      </c>
      <c r="P226" t="n">
        <v>0</v>
      </c>
      <c r="Q226" t="n">
        <v>2</v>
      </c>
      <c r="R226" t="n">
        <v>0</v>
      </c>
      <c r="S226" t="n">
        <v>2</v>
      </c>
      <c r="T226" t="n">
        <v>2</v>
      </c>
      <c r="U226" t="n">
        <v>0</v>
      </c>
      <c r="V226" s="2" t="inlineStr">
        <is>
          <t>Dropptaggsvamp
Kolflarnlav</t>
        </is>
      </c>
      <c r="W226">
        <f>HYPERLINK("https://klasma.github.io/Logging_2161/artfynd/A 43850-2025 artfynd.xlsx", "A 43850-2025")</f>
        <v/>
      </c>
      <c r="X226">
        <f>HYPERLINK("https://klasma.github.io/Logging_2161/kartor/A 43850-2025 karta.png", "A 43850-2025")</f>
        <v/>
      </c>
      <c r="Y226">
        <f>HYPERLINK("https://klasma.github.io/Logging_2161/kartor_geotiff/A 43850-2025 georefererad karta.tif", "A 43850-2025")</f>
        <v/>
      </c>
      <c r="AA226">
        <f>HYPERLINK("https://klasma.github.io/Logging_2161/klagomål/A 43850-2025 FSC-klagomål.docx", "A 43850-2025")</f>
        <v/>
      </c>
      <c r="AB226">
        <f>HYPERLINK("https://klasma.github.io/Logging_2161/klagomålsmail/A 43850-2025 FSC-klagomål mail.docx", "A 43850-2025")</f>
        <v/>
      </c>
      <c r="AC226">
        <f>HYPERLINK("https://klasma.github.io/Logging_2161/tillsyn/A 43850-2025 tillsynsbegäran.docx", "A 43850-2025")</f>
        <v/>
      </c>
      <c r="AD226">
        <f>HYPERLINK("https://klasma.github.io/Logging_2161/tillsynsmail/A 43850-2025 tillsynsbegäran mail.docx", "A 43850-2025")</f>
        <v/>
      </c>
    </row>
    <row r="227" ht="15" customHeight="1">
      <c r="A227" t="inlineStr">
        <is>
          <t>A 9190-2026</t>
        </is>
      </c>
      <c r="B227" t="inlineStr">
        <is>
          <t>avverkningsanmälan</t>
        </is>
      </c>
      <c r="C227" t="inlineStr">
        <is>
          <t>Föryngringsavverkning</t>
        </is>
      </c>
      <c r="D227" s="1" t="n">
        <v>46070</v>
      </c>
      <c r="E227" s="1" t="n">
        <v>46292</v>
      </c>
      <c r="F227" t="inlineStr">
        <is>
          <t>GÄVLEBORGS LÄN</t>
        </is>
      </c>
      <c r="G227" t="inlineStr">
        <is>
          <t>LJUSDAL</t>
        </is>
      </c>
      <c r="I227" t="n">
        <v>1.5</v>
      </c>
      <c r="J227" t="n">
        <v>2</v>
      </c>
      <c r="K227" t="n">
        <v>0</v>
      </c>
      <c r="L227" t="n">
        <v>0</v>
      </c>
      <c r="M227" t="n">
        <v>1</v>
      </c>
      <c r="N227" t="n">
        <v>0</v>
      </c>
      <c r="O227" t="n">
        <v>0</v>
      </c>
      <c r="P227" t="n">
        <v>0</v>
      </c>
      <c r="Q227" t="n">
        <v>1</v>
      </c>
      <c r="R227" t="n">
        <v>1</v>
      </c>
      <c r="S227" t="n">
        <v>2</v>
      </c>
      <c r="T227" t="n">
        <v>2</v>
      </c>
      <c r="U227" t="n">
        <v>0</v>
      </c>
      <c r="V227" s="2" t="inlineStr">
        <is>
          <t>Knärot
Nattviol</t>
        </is>
      </c>
      <c r="W227">
        <f>HYPERLINK("https://klasma.github.io/Logging_2161/artfynd/A 9190-2026 artfynd.xlsx", "A 9190-2026")</f>
        <v/>
      </c>
      <c r="X227">
        <f>HYPERLINK("https://klasma.github.io/Logging_2161/kartor/A 9190-2026 karta.png", "A 9190-2026")</f>
        <v/>
      </c>
      <c r="Y227">
        <f>HYPERLINK("https://klasma.github.io/Logging_2161/kartor_geotiff/A 9190-2026 georefererad karta.tif", "A 9190-2026")</f>
        <v/>
      </c>
      <c r="Z227">
        <f>HYPERLINK("https://klasma.github.io/Logging_2161/knärot/A 9190-2026 karta knärot.png", "A 9190-2026")</f>
        <v/>
      </c>
      <c r="AA227">
        <f>HYPERLINK("https://klasma.github.io/Logging_2161/klagomål/A 9190-2026 FSC-klagomål.docx", "A 9190-2026")</f>
        <v/>
      </c>
      <c r="AB227">
        <f>HYPERLINK("https://klasma.github.io/Logging_2161/klagomålsmail/A 9190-2026 FSC-klagomål mail.docx", "A 9190-2026")</f>
        <v/>
      </c>
      <c r="AC227">
        <f>HYPERLINK("https://klasma.github.io/Logging_2161/tillsyn/A 9190-2026 tillsynsbegäran.docx", "A 9190-2026")</f>
        <v/>
      </c>
      <c r="AD227">
        <f>HYPERLINK("https://klasma.github.io/Logging_2161/tillsynsmail/A 9190-2026 tillsynsbegäran mail.docx", "A 9190-2026")</f>
        <v/>
      </c>
    </row>
    <row r="228" ht="15" customHeight="1">
      <c r="A228" t="inlineStr">
        <is>
          <t>A 46651-2025</t>
        </is>
      </c>
      <c r="B228" t="inlineStr">
        <is>
          <t>avverkningsanmälan</t>
        </is>
      </c>
      <c r="C228" t="inlineStr">
        <is>
          <t>Föryngringsavverkning</t>
        </is>
      </c>
      <c r="D228" s="1" t="n">
        <v>45926</v>
      </c>
      <c r="E228" s="1" t="n">
        <v>46292</v>
      </c>
      <c r="F228" t="inlineStr">
        <is>
          <t>GÄVLEBORGS LÄN</t>
        </is>
      </c>
      <c r="G228" t="inlineStr">
        <is>
          <t>LJUSDAL</t>
        </is>
      </c>
      <c r="H228" t="inlineStr">
        <is>
          <t>Sveaskog</t>
        </is>
      </c>
      <c r="I228" t="n">
        <v>7.4</v>
      </c>
      <c r="J228" t="n">
        <v>0</v>
      </c>
      <c r="K228" t="n">
        <v>0</v>
      </c>
      <c r="L228" t="n">
        <v>1</v>
      </c>
      <c r="M228" t="n">
        <v>1</v>
      </c>
      <c r="N228" t="n">
        <v>0</v>
      </c>
      <c r="O228" t="n">
        <v>0</v>
      </c>
      <c r="P228" t="n">
        <v>0</v>
      </c>
      <c r="Q228" t="n">
        <v>2</v>
      </c>
      <c r="R228" t="n">
        <v>1</v>
      </c>
      <c r="S228" t="n">
        <v>2</v>
      </c>
      <c r="T228" t="n">
        <v>2</v>
      </c>
      <c r="U228" t="n">
        <v>2</v>
      </c>
      <c r="V228" s="2" t="inlineStr">
        <is>
          <t>Garnlav
Lunglav</t>
        </is>
      </c>
      <c r="W228">
        <f>HYPERLINK("https://klasma.github.io/Logging_2161/artfynd/A 46651-2025 artfynd.xlsx", "A 46651-2025")</f>
        <v/>
      </c>
      <c r="X228">
        <f>HYPERLINK("https://klasma.github.io/Logging_2161/kartor/A 46651-2025 karta.png", "A 46651-2025")</f>
        <v/>
      </c>
      <c r="Y228">
        <f>HYPERLINK("https://klasma.github.io/Logging_2161/kartor_geotiff/A 46651-2025 georefererad karta.tif", "A 46651-2025")</f>
        <v/>
      </c>
      <c r="AA228">
        <f>HYPERLINK("https://klasma.github.io/Logging_2161/klagomål/A 46651-2025 FSC-klagomål.docx", "A 46651-2025")</f>
        <v/>
      </c>
      <c r="AB228">
        <f>HYPERLINK("https://klasma.github.io/Logging_2161/klagomålsmail/A 46651-2025 FSC-klagomål mail.docx", "A 46651-2025")</f>
        <v/>
      </c>
      <c r="AC228">
        <f>HYPERLINK("https://klasma.github.io/Logging_2161/tillsyn/A 46651-2025 tillsynsbegäran.docx", "A 46651-2025")</f>
        <v/>
      </c>
      <c r="AD228">
        <f>HYPERLINK("https://klasma.github.io/Logging_2161/tillsynsmail/A 46651-2025 tillsynsbegäran mail.docx", "A 46651-2025")</f>
        <v/>
      </c>
    </row>
    <row r="229" ht="15" customHeight="1">
      <c r="A229" t="inlineStr">
        <is>
          <t>A 46311-2025</t>
        </is>
      </c>
      <c r="B229" t="inlineStr">
        <is>
          <t>avverkningsanmälan</t>
        </is>
      </c>
      <c r="C229" t="inlineStr">
        <is>
          <t>Föryngringsavverkning</t>
        </is>
      </c>
      <c r="D229" s="1" t="n">
        <v>45925</v>
      </c>
      <c r="E229" s="1" t="n">
        <v>46292</v>
      </c>
      <c r="F229" t="inlineStr">
        <is>
          <t>GÄVLEBORGS LÄN</t>
        </is>
      </c>
      <c r="G229" t="inlineStr">
        <is>
          <t>LJUSDAL</t>
        </is>
      </c>
      <c r="H229" t="inlineStr">
        <is>
          <t>Sveaskog</t>
        </is>
      </c>
      <c r="I229" t="n">
        <v>2</v>
      </c>
      <c r="J229" t="n">
        <v>0</v>
      </c>
      <c r="K229" t="n">
        <v>0</v>
      </c>
      <c r="L229" t="n">
        <v>1</v>
      </c>
      <c r="M229" t="n">
        <v>1</v>
      </c>
      <c r="N229" t="n">
        <v>0</v>
      </c>
      <c r="O229" t="n">
        <v>0</v>
      </c>
      <c r="P229" t="n">
        <v>0</v>
      </c>
      <c r="Q229" t="n">
        <v>2</v>
      </c>
      <c r="R229" t="n">
        <v>1</v>
      </c>
      <c r="S229" t="n">
        <v>2</v>
      </c>
      <c r="T229" t="n">
        <v>3</v>
      </c>
      <c r="U229" t="n">
        <v>0</v>
      </c>
      <c r="V229" s="2" t="inlineStr">
        <is>
          <t>Garnlav
Kolflarnlav</t>
        </is>
      </c>
      <c r="W229">
        <f>HYPERLINK("https://klasma.github.io/Logging_2161/artfynd/A 46311-2025 artfynd.xlsx", "A 46311-2025")</f>
        <v/>
      </c>
      <c r="X229">
        <f>HYPERLINK("https://klasma.github.io/Logging_2161/kartor/A 46311-2025 karta.png", "A 46311-2025")</f>
        <v/>
      </c>
      <c r="Y229">
        <f>HYPERLINK("https://klasma.github.io/Logging_2161/kartor_geotiff/A 46311-2025 georefererad karta.tif", "A 46311-2025")</f>
        <v/>
      </c>
      <c r="AA229">
        <f>HYPERLINK("https://klasma.github.io/Logging_2161/klagomål/A 46311-2025 FSC-klagomål.docx", "A 46311-2025")</f>
        <v/>
      </c>
      <c r="AB229">
        <f>HYPERLINK("https://klasma.github.io/Logging_2161/klagomålsmail/A 46311-2025 FSC-klagomål mail.docx", "A 46311-2025")</f>
        <v/>
      </c>
      <c r="AC229">
        <f>HYPERLINK("https://klasma.github.io/Logging_2161/tillsyn/A 46311-2025 tillsynsbegäran.docx", "A 46311-2025")</f>
        <v/>
      </c>
      <c r="AD229">
        <f>HYPERLINK("https://klasma.github.io/Logging_2161/tillsynsmail/A 46311-2025 tillsynsbegäran mail.docx", "A 46311-2025")</f>
        <v/>
      </c>
    </row>
    <row r="230" ht="15" customHeight="1">
      <c r="A230" t="inlineStr">
        <is>
          <t>A 10738-2026</t>
        </is>
      </c>
      <c r="B230" t="inlineStr">
        <is>
          <t>avverkningsanmälan</t>
        </is>
      </c>
      <c r="C230" t="inlineStr">
        <is>
          <t>Föryngringsavverkning</t>
        </is>
      </c>
      <c r="D230" s="1" t="n">
        <v>46078</v>
      </c>
      <c r="E230" s="1" t="n">
        <v>46292</v>
      </c>
      <c r="F230" t="inlineStr">
        <is>
          <t>GÄVLEBORGS LÄN</t>
        </is>
      </c>
      <c r="G230" t="inlineStr">
        <is>
          <t>LJUSDAL</t>
        </is>
      </c>
      <c r="H230" t="inlineStr">
        <is>
          <t>Bergvik skog väst AB</t>
        </is>
      </c>
      <c r="I230" t="n">
        <v>12.2</v>
      </c>
      <c r="J230" t="n">
        <v>1</v>
      </c>
      <c r="K230" t="n">
        <v>0</v>
      </c>
      <c r="L230" t="n">
        <v>1</v>
      </c>
      <c r="M230" t="n">
        <v>1</v>
      </c>
      <c r="N230" t="n">
        <v>0</v>
      </c>
      <c r="O230" t="n">
        <v>0</v>
      </c>
      <c r="P230" t="n">
        <v>0</v>
      </c>
      <c r="Q230" t="n">
        <v>2</v>
      </c>
      <c r="R230" t="n">
        <v>1</v>
      </c>
      <c r="S230" t="n">
        <v>2</v>
      </c>
      <c r="T230" t="n">
        <v>2</v>
      </c>
      <c r="U230" t="n">
        <v>0</v>
      </c>
      <c r="V230" s="2" t="inlineStr">
        <is>
          <t>Knärot
Vedtrappmossa</t>
        </is>
      </c>
      <c r="W230">
        <f>HYPERLINK("https://klasma.github.io/Logging_2161/artfynd/A 10738-2026 artfynd.xlsx", "A 10738-2026")</f>
        <v/>
      </c>
      <c r="X230">
        <f>HYPERLINK("https://klasma.github.io/Logging_2161/kartor/A 10738-2026 karta.png", "A 10738-2026")</f>
        <v/>
      </c>
      <c r="Y230">
        <f>HYPERLINK("https://klasma.github.io/Logging_2161/kartor_geotiff/A 10738-2026 georefererad karta.tif", "A 10738-2026")</f>
        <v/>
      </c>
      <c r="Z230">
        <f>HYPERLINK("https://klasma.github.io/Logging_2161/knärot/A 10738-2026 karta knärot.png", "A 10738-2026")</f>
        <v/>
      </c>
      <c r="AA230">
        <f>HYPERLINK("https://klasma.github.io/Logging_2161/klagomål/A 10738-2026 FSC-klagomål.docx", "A 10738-2026")</f>
        <v/>
      </c>
      <c r="AB230">
        <f>HYPERLINK("https://klasma.github.io/Logging_2161/klagomålsmail/A 10738-2026 FSC-klagomål mail.docx", "A 10738-2026")</f>
        <v/>
      </c>
      <c r="AC230">
        <f>HYPERLINK("https://klasma.github.io/Logging_2161/tillsyn/A 10738-2026 tillsynsbegäran.docx", "A 10738-2026")</f>
        <v/>
      </c>
      <c r="AD230">
        <f>HYPERLINK("https://klasma.github.io/Logging_2161/tillsynsmail/A 10738-2026 tillsynsbegäran mail.docx", "A 10738-2026")</f>
        <v/>
      </c>
    </row>
    <row r="231" ht="15" customHeight="1">
      <c r="A231" t="inlineStr">
        <is>
          <t>A 47877-2025</t>
        </is>
      </c>
      <c r="B231" t="inlineStr">
        <is>
          <t>avverkningsanmälan</t>
        </is>
      </c>
      <c r="C231" t="inlineStr">
        <is>
          <t>Föryngringsavverkning</t>
        </is>
      </c>
      <c r="D231" s="1" t="n">
        <v>45932</v>
      </c>
      <c r="E231" s="1" t="n">
        <v>46292</v>
      </c>
      <c r="F231" t="inlineStr">
        <is>
          <t>GÄVLEBORGS LÄN</t>
        </is>
      </c>
      <c r="G231" t="inlineStr">
        <is>
          <t>LJUSDAL</t>
        </is>
      </c>
      <c r="H231" t="inlineStr">
        <is>
          <t>Bergvik skog väst AB</t>
        </is>
      </c>
      <c r="I231" t="n">
        <v>1.1</v>
      </c>
      <c r="J231" t="n">
        <v>1</v>
      </c>
      <c r="K231" t="n">
        <v>0</v>
      </c>
      <c r="L231" t="n">
        <v>0</v>
      </c>
      <c r="M231" t="n">
        <v>2</v>
      </c>
      <c r="N231" t="n">
        <v>0</v>
      </c>
      <c r="O231" t="n">
        <v>0</v>
      </c>
      <c r="P231" t="n">
        <v>0</v>
      </c>
      <c r="Q231" t="n">
        <v>2</v>
      </c>
      <c r="R231" t="n">
        <v>2</v>
      </c>
      <c r="S231" t="n">
        <v>2</v>
      </c>
      <c r="T231" t="n">
        <v>2</v>
      </c>
      <c r="U231" t="n">
        <v>2</v>
      </c>
      <c r="V231" s="2" t="inlineStr">
        <is>
          <t>Garnlav
Knärot</t>
        </is>
      </c>
      <c r="W231">
        <f>HYPERLINK("https://klasma.github.io/Logging_2161/artfynd/A 47877-2025 artfynd.xlsx", "A 47877-2025")</f>
        <v/>
      </c>
      <c r="X231">
        <f>HYPERLINK("https://klasma.github.io/Logging_2161/kartor/A 47877-2025 karta.png", "A 47877-2025")</f>
        <v/>
      </c>
      <c r="Y231">
        <f>HYPERLINK("https://klasma.github.io/Logging_2161/kartor_geotiff/A 47877-2025 georefererad karta.tif", "A 47877-2025")</f>
        <v/>
      </c>
      <c r="Z231">
        <f>HYPERLINK("https://klasma.github.io/Logging_2161/knärot/A 47877-2025 karta knärot.png", "A 47877-2025")</f>
        <v/>
      </c>
      <c r="AA231">
        <f>HYPERLINK("https://klasma.github.io/Logging_2161/klagomål/A 47877-2025 FSC-klagomål.docx", "A 47877-2025")</f>
        <v/>
      </c>
      <c r="AB231">
        <f>HYPERLINK("https://klasma.github.io/Logging_2161/klagomålsmail/A 47877-2025 FSC-klagomål mail.docx", "A 47877-2025")</f>
        <v/>
      </c>
      <c r="AC231">
        <f>HYPERLINK("https://klasma.github.io/Logging_2161/tillsyn/A 47877-2025 tillsynsbegäran.docx", "A 47877-2025")</f>
        <v/>
      </c>
      <c r="AD231">
        <f>HYPERLINK("https://klasma.github.io/Logging_2161/tillsynsmail/A 47877-2025 tillsynsbegäran mail.docx", "A 47877-2025")</f>
        <v/>
      </c>
    </row>
    <row r="232" ht="15" customHeight="1">
      <c r="A232" t="inlineStr">
        <is>
          <t>A 60541-2022</t>
        </is>
      </c>
      <c r="B232" t="inlineStr">
        <is>
          <t>avverkningsanmälan</t>
        </is>
      </c>
      <c r="C232" t="inlineStr">
        <is>
          <t>Föryngringsavverkning</t>
        </is>
      </c>
      <c r="D232" s="1" t="n">
        <v>44911</v>
      </c>
      <c r="E232" s="1" t="n">
        <v>46292</v>
      </c>
      <c r="F232" t="inlineStr">
        <is>
          <t>GÄVLEBORGS LÄN</t>
        </is>
      </c>
      <c r="G232" t="inlineStr">
        <is>
          <t>LJUSDAL</t>
        </is>
      </c>
      <c r="H232" t="inlineStr">
        <is>
          <t>Bergvik skog väst AB</t>
        </is>
      </c>
      <c r="I232" t="n">
        <v>5.4</v>
      </c>
      <c r="J232" t="n">
        <v>2</v>
      </c>
      <c r="K232" t="n">
        <v>0</v>
      </c>
      <c r="L232" t="n">
        <v>0</v>
      </c>
      <c r="M232" t="n">
        <v>0</v>
      </c>
      <c r="N232" t="n">
        <v>1</v>
      </c>
      <c r="O232" t="n">
        <v>0</v>
      </c>
      <c r="P232" t="n">
        <v>0</v>
      </c>
      <c r="Q232" t="n">
        <v>1</v>
      </c>
      <c r="R232" t="n">
        <v>1</v>
      </c>
      <c r="S232" t="n">
        <v>2</v>
      </c>
      <c r="T232" t="n">
        <v>2</v>
      </c>
      <c r="U232" t="n">
        <v>2</v>
      </c>
      <c r="V232" s="2" t="inlineStr">
        <is>
          <t>Pärluggla
Orre</t>
        </is>
      </c>
      <c r="W232">
        <f>HYPERLINK("https://klasma.github.io/Logging_2161/artfynd/A 60541-2022 artfynd.xlsx", "A 60541-2022")</f>
        <v/>
      </c>
      <c r="X232">
        <f>HYPERLINK("https://klasma.github.io/Logging_2161/kartor/A 60541-2022 karta.png", "A 60541-2022")</f>
        <v/>
      </c>
      <c r="Y232">
        <f>HYPERLINK("https://klasma.github.io/Logging_2161/kartor_geotiff/A 60541-2022 georefererad karta.tif", "A 60541-2022")</f>
        <v/>
      </c>
      <c r="AA232">
        <f>HYPERLINK("https://klasma.github.io/Logging_2161/klagomål/A 60541-2022 FSC-klagomål.docx", "A 60541-2022")</f>
        <v/>
      </c>
      <c r="AB232">
        <f>HYPERLINK("https://klasma.github.io/Logging_2161/klagomålsmail/A 60541-2022 FSC-klagomål mail.docx", "A 60541-2022")</f>
        <v/>
      </c>
      <c r="AC232">
        <f>HYPERLINK("https://klasma.github.io/Logging_2161/tillsyn/A 60541-2022 tillsynsbegäran.docx", "A 60541-2022")</f>
        <v/>
      </c>
      <c r="AD232">
        <f>HYPERLINK("https://klasma.github.io/Logging_2161/tillsynsmail/A 60541-2022 tillsynsbegäran mail.docx", "A 60541-2022")</f>
        <v/>
      </c>
      <c r="AE232">
        <f>HYPERLINK("https://klasma.github.io/Logging_2161/fåglar/A 60541-2022 prioriterade fågelarter.docx", "A 60541-2022")</f>
        <v/>
      </c>
    </row>
    <row r="233" ht="15" customHeight="1">
      <c r="A233" t="inlineStr">
        <is>
          <t>A 27882-2025</t>
        </is>
      </c>
      <c r="B233" t="inlineStr">
        <is>
          <t>avverkningsanmälan</t>
        </is>
      </c>
      <c r="C233" t="inlineStr">
        <is>
          <t>Föryngringsavverkning</t>
        </is>
      </c>
      <c r="D233" s="1" t="n">
        <v>45817</v>
      </c>
      <c r="E233" s="1" t="n">
        <v>46292</v>
      </c>
      <c r="F233" t="inlineStr">
        <is>
          <t>GÄVLEBORGS LÄN</t>
        </is>
      </c>
      <c r="G233" t="inlineStr">
        <is>
          <t>LJUSDAL</t>
        </is>
      </c>
      <c r="H233" t="inlineStr">
        <is>
          <t>Sveaskog</t>
        </is>
      </c>
      <c r="I233" t="n">
        <v>7.1</v>
      </c>
      <c r="J233" t="n">
        <v>1</v>
      </c>
      <c r="K233" t="n">
        <v>0</v>
      </c>
      <c r="L233" t="n">
        <v>1</v>
      </c>
      <c r="M233" t="n">
        <v>1</v>
      </c>
      <c r="N233" t="n">
        <v>0</v>
      </c>
      <c r="O233" t="n">
        <v>0</v>
      </c>
      <c r="P233" t="n">
        <v>0</v>
      </c>
      <c r="Q233" t="n">
        <v>2</v>
      </c>
      <c r="R233" t="n">
        <v>1</v>
      </c>
      <c r="S233" t="n">
        <v>2</v>
      </c>
      <c r="T233" t="n">
        <v>6</v>
      </c>
      <c r="U233" t="n">
        <v>6</v>
      </c>
      <c r="V233" s="2" t="inlineStr">
        <is>
          <t>Doftticka
Lunglav</t>
        </is>
      </c>
      <c r="W233">
        <f>HYPERLINK("https://klasma.github.io/Logging_2161/artfynd/A 27882-2025 artfynd.xlsx", "A 27882-2025")</f>
        <v/>
      </c>
      <c r="X233">
        <f>HYPERLINK("https://klasma.github.io/Logging_2161/kartor/A 27882-2025 karta.png", "A 27882-2025")</f>
        <v/>
      </c>
      <c r="Y233">
        <f>HYPERLINK("https://klasma.github.io/Logging_2161/kartor_geotiff/A 27882-2025 georefererad karta.tif", "A 27882-2025")</f>
        <v/>
      </c>
      <c r="AA233">
        <f>HYPERLINK("https://klasma.github.io/Logging_2161/klagomål/A 27882-2025 FSC-klagomål.docx", "A 27882-2025")</f>
        <v/>
      </c>
      <c r="AB233">
        <f>HYPERLINK("https://klasma.github.io/Logging_2161/klagomålsmail/A 27882-2025 FSC-klagomål mail.docx", "A 27882-2025")</f>
        <v/>
      </c>
      <c r="AC233">
        <f>HYPERLINK("https://klasma.github.io/Logging_2161/tillsyn/A 27882-2025 tillsynsbegäran.docx", "A 27882-2025")</f>
        <v/>
      </c>
      <c r="AD233">
        <f>HYPERLINK("https://klasma.github.io/Logging_2161/tillsynsmail/A 27882-2025 tillsynsbegäran mail.docx", "A 27882-2025")</f>
        <v/>
      </c>
    </row>
    <row r="234" ht="15" customHeight="1">
      <c r="A234" t="inlineStr">
        <is>
          <t>A 58878-2025</t>
        </is>
      </c>
      <c r="B234" t="inlineStr">
        <is>
          <t>avverkningsanmälan</t>
        </is>
      </c>
      <c r="C234" t="inlineStr">
        <is>
          <t>Föryngringsavverkning</t>
        </is>
      </c>
      <c r="D234" s="1" t="n">
        <v>45987</v>
      </c>
      <c r="E234" s="1" t="n">
        <v>46292</v>
      </c>
      <c r="F234" t="inlineStr">
        <is>
          <t>GÄVLEBORGS LÄN</t>
        </is>
      </c>
      <c r="G234" t="inlineStr">
        <is>
          <t>LJUSDAL</t>
        </is>
      </c>
      <c r="H234" t="inlineStr">
        <is>
          <t>Sveaskog</t>
        </is>
      </c>
      <c r="I234" t="n">
        <v>6.9</v>
      </c>
      <c r="J234" t="n">
        <v>1</v>
      </c>
      <c r="K234" t="n">
        <v>0</v>
      </c>
      <c r="L234" t="n">
        <v>1</v>
      </c>
      <c r="M234" t="n">
        <v>1</v>
      </c>
      <c r="N234" t="n">
        <v>0</v>
      </c>
      <c r="O234" t="n">
        <v>0</v>
      </c>
      <c r="P234" t="n">
        <v>0</v>
      </c>
      <c r="Q234" t="n">
        <v>2</v>
      </c>
      <c r="R234" t="n">
        <v>1</v>
      </c>
      <c r="S234" t="n">
        <v>2</v>
      </c>
      <c r="T234" t="n">
        <v>2</v>
      </c>
      <c r="U234" t="n">
        <v>0</v>
      </c>
      <c r="V234" s="2" t="inlineStr">
        <is>
          <t>Knärot
Lunglav</t>
        </is>
      </c>
      <c r="W234">
        <f>HYPERLINK("https://klasma.github.io/Logging_2161/artfynd/A 58878-2025 artfynd.xlsx", "A 58878-2025")</f>
        <v/>
      </c>
      <c r="X234">
        <f>HYPERLINK("https://klasma.github.io/Logging_2161/kartor/A 58878-2025 karta.png", "A 58878-2025")</f>
        <v/>
      </c>
      <c r="Y234">
        <f>HYPERLINK("https://klasma.github.io/Logging_2161/kartor_geotiff/A 58878-2025 georefererad karta.tif", "A 58878-2025")</f>
        <v/>
      </c>
      <c r="Z234">
        <f>HYPERLINK("https://klasma.github.io/Logging_2161/knärot/A 58878-2025 karta knärot.png", "A 58878-2025")</f>
        <v/>
      </c>
      <c r="AA234">
        <f>HYPERLINK("https://klasma.github.io/Logging_2161/klagomål/A 58878-2025 FSC-klagomål.docx", "A 58878-2025")</f>
        <v/>
      </c>
      <c r="AB234">
        <f>HYPERLINK("https://klasma.github.io/Logging_2161/klagomålsmail/A 58878-2025 FSC-klagomål mail.docx", "A 58878-2025")</f>
        <v/>
      </c>
      <c r="AC234">
        <f>HYPERLINK("https://klasma.github.io/Logging_2161/tillsyn/A 58878-2025 tillsynsbegäran.docx", "A 58878-2025")</f>
        <v/>
      </c>
      <c r="AD234">
        <f>HYPERLINK("https://klasma.github.io/Logging_2161/tillsynsmail/A 58878-2025 tillsynsbegäran mail.docx", "A 58878-2025")</f>
        <v/>
      </c>
    </row>
    <row r="235" ht="15" customHeight="1">
      <c r="A235" t="inlineStr">
        <is>
          <t>A 59850-2025</t>
        </is>
      </c>
      <c r="B235" t="inlineStr">
        <is>
          <t>avverkningsanmälan</t>
        </is>
      </c>
      <c r="C235" t="inlineStr">
        <is>
          <t>Föryngringsavverkning</t>
        </is>
      </c>
      <c r="D235" s="1" t="n">
        <v>45992</v>
      </c>
      <c r="E235" s="1" t="n">
        <v>46292</v>
      </c>
      <c r="F235" t="inlineStr">
        <is>
          <t>GÄVLEBORGS LÄN</t>
        </is>
      </c>
      <c r="G235" t="inlineStr">
        <is>
          <t>LJUSDAL</t>
        </is>
      </c>
      <c r="H235" t="inlineStr">
        <is>
          <t>Allmännings- och besparingsskogar</t>
        </is>
      </c>
      <c r="I235" t="n">
        <v>3.4</v>
      </c>
      <c r="J235" t="n">
        <v>0</v>
      </c>
      <c r="K235" t="n">
        <v>0</v>
      </c>
      <c r="L235" t="n">
        <v>1</v>
      </c>
      <c r="M235" t="n">
        <v>1</v>
      </c>
      <c r="N235" t="n">
        <v>0</v>
      </c>
      <c r="O235" t="n">
        <v>0</v>
      </c>
      <c r="P235" t="n">
        <v>0</v>
      </c>
      <c r="Q235" t="n">
        <v>2</v>
      </c>
      <c r="R235" t="n">
        <v>1</v>
      </c>
      <c r="S235" t="n">
        <v>2</v>
      </c>
      <c r="T235" t="n">
        <v>3</v>
      </c>
      <c r="U235" t="n">
        <v>3</v>
      </c>
      <c r="V235" s="2" t="inlineStr">
        <is>
          <t>Garnlav
Violettgrå tagellav</t>
        </is>
      </c>
      <c r="W235">
        <f>HYPERLINK("https://klasma.github.io/Logging_2161/artfynd/A 59850-2025 artfynd.xlsx", "A 59850-2025")</f>
        <v/>
      </c>
      <c r="X235">
        <f>HYPERLINK("https://klasma.github.io/Logging_2161/kartor/A 59850-2025 karta.png", "A 59850-2025")</f>
        <v/>
      </c>
      <c r="Y235">
        <f>HYPERLINK("https://klasma.github.io/Logging_2161/kartor_geotiff/A 59850-2025 georefererad karta.tif", "A 59850-2025")</f>
        <v/>
      </c>
      <c r="AA235">
        <f>HYPERLINK("https://klasma.github.io/Logging_2161/klagomål/A 59850-2025 FSC-klagomål.docx", "A 59850-2025")</f>
        <v/>
      </c>
      <c r="AB235">
        <f>HYPERLINK("https://klasma.github.io/Logging_2161/klagomålsmail/A 59850-2025 FSC-klagomål mail.docx", "A 59850-2025")</f>
        <v/>
      </c>
      <c r="AC235">
        <f>HYPERLINK("https://klasma.github.io/Logging_2161/tillsyn/A 59850-2025 tillsynsbegäran.docx", "A 59850-2025")</f>
        <v/>
      </c>
      <c r="AD235">
        <f>HYPERLINK("https://klasma.github.io/Logging_2161/tillsynsmail/A 59850-2025 tillsynsbegäran mail.docx", "A 59850-2025")</f>
        <v/>
      </c>
    </row>
    <row r="236" ht="15" customHeight="1">
      <c r="A236" t="inlineStr">
        <is>
          <t>A 19880-2026</t>
        </is>
      </c>
      <c r="B236" t="inlineStr">
        <is>
          <t>avverkningsanmälan</t>
        </is>
      </c>
      <c r="C236" t="inlineStr">
        <is>
          <t>Föryngringsavverkning</t>
        </is>
      </c>
      <c r="D236" s="1" t="n">
        <v>46135</v>
      </c>
      <c r="E236" s="1" t="n">
        <v>46292</v>
      </c>
      <c r="F236" t="inlineStr">
        <is>
          <t>GÄVLEBORGS LÄN</t>
        </is>
      </c>
      <c r="G236" t="inlineStr">
        <is>
          <t>LJUSDAL</t>
        </is>
      </c>
      <c r="H236" t="inlineStr">
        <is>
          <t>Sveaskog</t>
        </is>
      </c>
      <c r="I236" t="n">
        <v>3.8</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19880-2026 artfynd.xlsx", "A 19880-2026")</f>
        <v/>
      </c>
      <c r="X236">
        <f>HYPERLINK("https://klasma.github.io/Logging_2161/kartor/A 19880-2026 karta.png", "A 19880-2026")</f>
        <v/>
      </c>
      <c r="Y236">
        <f>HYPERLINK("https://klasma.github.io/Logging_2161/kartor_geotiff/A 19880-2026 georefererad karta.tif", "A 19880-2026")</f>
        <v/>
      </c>
      <c r="AA236">
        <f>HYPERLINK("https://klasma.github.io/Logging_2161/klagomål/A 19880-2026 FSC-klagomål.docx", "A 19880-2026")</f>
        <v/>
      </c>
      <c r="AB236">
        <f>HYPERLINK("https://klasma.github.io/Logging_2161/klagomålsmail/A 19880-2026 FSC-klagomål mail.docx", "A 19880-2026")</f>
        <v/>
      </c>
      <c r="AC236">
        <f>HYPERLINK("https://klasma.github.io/Logging_2161/tillsyn/A 19880-2026 tillsynsbegäran.docx", "A 19880-2026")</f>
        <v/>
      </c>
      <c r="AD236">
        <f>HYPERLINK("https://klasma.github.io/Logging_2161/tillsynsmail/A 19880-2026 tillsynsbegäran mail.docx", "A 19880-2026")</f>
        <v/>
      </c>
    </row>
    <row r="237" ht="15" customHeight="1">
      <c r="A237" t="inlineStr">
        <is>
          <t>A 39932-2023</t>
        </is>
      </c>
      <c r="B237" t="inlineStr">
        <is>
          <t>avverkningsanmälan</t>
        </is>
      </c>
      <c r="C237" t="inlineStr">
        <is>
          <t>Avverkning för annat ändamål</t>
        </is>
      </c>
      <c r="D237" s="1" t="n">
        <v>45168</v>
      </c>
      <c r="E237" s="1" t="n">
        <v>46292</v>
      </c>
      <c r="F237" t="inlineStr">
        <is>
          <t>GÄVLEBORGS LÄN</t>
        </is>
      </c>
      <c r="G237" t="inlineStr">
        <is>
          <t>LJUSDAL</t>
        </is>
      </c>
      <c r="H237" t="inlineStr">
        <is>
          <t>Bergvik skog väst AB</t>
        </is>
      </c>
      <c r="I237" t="n">
        <v>1.9</v>
      </c>
      <c r="J237" t="n">
        <v>0</v>
      </c>
      <c r="K237" t="n">
        <v>1</v>
      </c>
      <c r="L237" t="n">
        <v>1</v>
      </c>
      <c r="M237" t="n">
        <v>0</v>
      </c>
      <c r="N237" t="n">
        <v>0</v>
      </c>
      <c r="O237" t="n">
        <v>0</v>
      </c>
      <c r="P237" t="n">
        <v>0</v>
      </c>
      <c r="Q237" t="n">
        <v>1</v>
      </c>
      <c r="R237" t="n">
        <v>0</v>
      </c>
      <c r="S237" t="n">
        <v>2</v>
      </c>
      <c r="T237" t="n">
        <v>2</v>
      </c>
      <c r="U237" t="n">
        <v>2</v>
      </c>
      <c r="V237" s="2" t="inlineStr">
        <is>
          <t>Lunglav
Barkkornlav</t>
        </is>
      </c>
      <c r="W237">
        <f>HYPERLINK("https://klasma.github.io/Logging_2161/artfynd/A 39932-2023 artfynd.xlsx", "A 39932-2023")</f>
        <v/>
      </c>
      <c r="X237">
        <f>HYPERLINK("https://klasma.github.io/Logging_2161/kartor/A 39932-2023 karta.png", "A 39932-2023")</f>
        <v/>
      </c>
      <c r="Y237">
        <f>HYPERLINK("https://klasma.github.io/Logging_2161/kartor_geotiff/A 39932-2023 georefererad karta.tif", "A 39932-2023")</f>
        <v/>
      </c>
      <c r="AA237">
        <f>HYPERLINK("https://klasma.github.io/Logging_2161/klagomål/A 39932-2023 FSC-klagomål.docx", "A 39932-2023")</f>
        <v/>
      </c>
      <c r="AB237">
        <f>HYPERLINK("https://klasma.github.io/Logging_2161/klagomålsmail/A 39932-2023 FSC-klagomål mail.docx", "A 39932-2023")</f>
        <v/>
      </c>
      <c r="AC237">
        <f>HYPERLINK("https://klasma.github.io/Logging_2161/tillsyn/A 39932-2023 tillsynsbegäran.docx", "A 39932-2023")</f>
        <v/>
      </c>
      <c r="AD237">
        <f>HYPERLINK("https://klasma.github.io/Logging_2161/tillsynsmail/A 39932-2023 tillsynsbegäran mail.docx", "A 39932-2023")</f>
        <v/>
      </c>
    </row>
    <row r="238" ht="15" customHeight="1">
      <c r="A238" t="inlineStr">
        <is>
          <t>A 17471-2025</t>
        </is>
      </c>
      <c r="B238" t="inlineStr">
        <is>
          <t>avverkningsanmälan</t>
        </is>
      </c>
      <c r="C238" t="inlineStr">
        <is>
          <t>Föryngringsavverkning</t>
        </is>
      </c>
      <c r="D238" s="1" t="n">
        <v>45757</v>
      </c>
      <c r="E238" s="1" t="n">
        <v>46292</v>
      </c>
      <c r="F238" t="inlineStr">
        <is>
          <t>GÄVLEBORGS LÄN</t>
        </is>
      </c>
      <c r="G238" t="inlineStr">
        <is>
          <t>LJUSDAL</t>
        </is>
      </c>
      <c r="H238" t="inlineStr">
        <is>
          <t>Sveaskog</t>
        </is>
      </c>
      <c r="I238" t="n">
        <v>1.6</v>
      </c>
      <c r="J238" t="n">
        <v>0</v>
      </c>
      <c r="K238" t="n">
        <v>0</v>
      </c>
      <c r="L238" t="n">
        <v>2</v>
      </c>
      <c r="M238" t="n">
        <v>0</v>
      </c>
      <c r="N238" t="n">
        <v>0</v>
      </c>
      <c r="O238" t="n">
        <v>0</v>
      </c>
      <c r="P238" t="n">
        <v>0</v>
      </c>
      <c r="Q238" t="n">
        <v>2</v>
      </c>
      <c r="R238" t="n">
        <v>0</v>
      </c>
      <c r="S238" t="n">
        <v>2</v>
      </c>
      <c r="T238" t="n">
        <v>3</v>
      </c>
      <c r="U238" t="n">
        <v>3</v>
      </c>
      <c r="V238" s="2" t="inlineStr">
        <is>
          <t>Kolflarnlav
Mörk kolflarnlav</t>
        </is>
      </c>
      <c r="W238">
        <f>HYPERLINK("https://klasma.github.io/Logging_2161/artfynd/A 17471-2025 artfynd.xlsx", "A 17471-2025")</f>
        <v/>
      </c>
      <c r="X238">
        <f>HYPERLINK("https://klasma.github.io/Logging_2161/kartor/A 17471-2025 karta.png", "A 17471-2025")</f>
        <v/>
      </c>
      <c r="Y238">
        <f>HYPERLINK("https://klasma.github.io/Logging_2161/kartor_geotiff/A 17471-2025 georefererad karta.tif", "A 17471-2025")</f>
        <v/>
      </c>
      <c r="AA238">
        <f>HYPERLINK("https://klasma.github.io/Logging_2161/klagomål/A 17471-2025 FSC-klagomål.docx", "A 17471-2025")</f>
        <v/>
      </c>
      <c r="AB238">
        <f>HYPERLINK("https://klasma.github.io/Logging_2161/klagomålsmail/A 17471-2025 FSC-klagomål mail.docx", "A 17471-2025")</f>
        <v/>
      </c>
      <c r="AC238">
        <f>HYPERLINK("https://klasma.github.io/Logging_2161/tillsyn/A 17471-2025 tillsynsbegäran.docx", "A 17471-2025")</f>
        <v/>
      </c>
      <c r="AD238">
        <f>HYPERLINK("https://klasma.github.io/Logging_2161/tillsynsmail/A 17471-2025 tillsynsbegäran mail.docx", "A 17471-2025")</f>
        <v/>
      </c>
    </row>
    <row r="239" ht="15" customHeight="1">
      <c r="A239" t="inlineStr">
        <is>
          <t>A 17472-2025</t>
        </is>
      </c>
      <c r="B239" t="inlineStr">
        <is>
          <t>avverkningsanmälan</t>
        </is>
      </c>
      <c r="C239" t="inlineStr">
        <is>
          <t>Föryngringsavverkning</t>
        </is>
      </c>
      <c r="D239" s="1" t="n">
        <v>45757</v>
      </c>
      <c r="E239" s="1" t="n">
        <v>46292</v>
      </c>
      <c r="F239" t="inlineStr">
        <is>
          <t>GÄVLEBORGS LÄN</t>
        </is>
      </c>
      <c r="G239" t="inlineStr">
        <is>
          <t>LJUSDAL</t>
        </is>
      </c>
      <c r="H239" t="inlineStr">
        <is>
          <t>Sveaskog</t>
        </is>
      </c>
      <c r="I239" t="n">
        <v>3</v>
      </c>
      <c r="J239" t="n">
        <v>0</v>
      </c>
      <c r="K239" t="n">
        <v>0</v>
      </c>
      <c r="L239" t="n">
        <v>2</v>
      </c>
      <c r="M239" t="n">
        <v>0</v>
      </c>
      <c r="N239" t="n">
        <v>0</v>
      </c>
      <c r="O239" t="n">
        <v>0</v>
      </c>
      <c r="P239" t="n">
        <v>0</v>
      </c>
      <c r="Q239" t="n">
        <v>2</v>
      </c>
      <c r="R239" t="n">
        <v>0</v>
      </c>
      <c r="S239" t="n">
        <v>2</v>
      </c>
      <c r="T239" t="n">
        <v>2</v>
      </c>
      <c r="U239" t="n">
        <v>2</v>
      </c>
      <c r="V239" s="2" t="inlineStr">
        <is>
          <t>Kolflarnlav
Mörk kolflarnlav</t>
        </is>
      </c>
      <c r="W239">
        <f>HYPERLINK("https://klasma.github.io/Logging_2161/artfynd/A 17472-2025 artfynd.xlsx", "A 17472-2025")</f>
        <v/>
      </c>
      <c r="X239">
        <f>HYPERLINK("https://klasma.github.io/Logging_2161/kartor/A 17472-2025 karta.png", "A 17472-2025")</f>
        <v/>
      </c>
      <c r="Y239">
        <f>HYPERLINK("https://klasma.github.io/Logging_2161/kartor_geotiff/A 17472-2025 georefererad karta.tif", "A 17472-2025")</f>
        <v/>
      </c>
      <c r="AA239">
        <f>HYPERLINK("https://klasma.github.io/Logging_2161/klagomål/A 17472-2025 FSC-klagomål.docx", "A 17472-2025")</f>
        <v/>
      </c>
      <c r="AB239">
        <f>HYPERLINK("https://klasma.github.io/Logging_2161/klagomålsmail/A 17472-2025 FSC-klagomål mail.docx", "A 17472-2025")</f>
        <v/>
      </c>
      <c r="AC239">
        <f>HYPERLINK("https://klasma.github.io/Logging_2161/tillsyn/A 17472-2025 tillsynsbegäran.docx", "A 17472-2025")</f>
        <v/>
      </c>
      <c r="AD239">
        <f>HYPERLINK("https://klasma.github.io/Logging_2161/tillsynsmail/A 17472-2025 tillsynsbegäran mail.docx", "A 17472-2025")</f>
        <v/>
      </c>
    </row>
    <row r="240" ht="15" customHeight="1">
      <c r="A240" t="inlineStr">
        <is>
          <t>A 21180-2026</t>
        </is>
      </c>
      <c r="B240" t="inlineStr">
        <is>
          <t>avverkningsanmälan</t>
        </is>
      </c>
      <c r="C240" t="inlineStr">
        <is>
          <t>Föryngringsavverkning</t>
        </is>
      </c>
      <c r="D240" s="1" t="n">
        <v>46146</v>
      </c>
      <c r="E240" s="1" t="n">
        <v>46292</v>
      </c>
      <c r="F240" t="inlineStr">
        <is>
          <t>GÄVLEBORGS LÄN</t>
        </is>
      </c>
      <c r="G240" t="inlineStr">
        <is>
          <t>LJUSDAL</t>
        </is>
      </c>
      <c r="H240" t="inlineStr">
        <is>
          <t>Sveaskog</t>
        </is>
      </c>
      <c r="I240" t="n">
        <v>1.7</v>
      </c>
      <c r="J240" t="n">
        <v>2</v>
      </c>
      <c r="K240" t="n">
        <v>1</v>
      </c>
      <c r="L240" t="n">
        <v>0</v>
      </c>
      <c r="M240" t="n">
        <v>0</v>
      </c>
      <c r="N240" t="n">
        <v>0</v>
      </c>
      <c r="O240" t="n">
        <v>0</v>
      </c>
      <c r="P240" t="n">
        <v>0</v>
      </c>
      <c r="Q240" t="n">
        <v>0</v>
      </c>
      <c r="R240" t="n">
        <v>0</v>
      </c>
      <c r="S240" t="n">
        <v>2</v>
      </c>
      <c r="T240" t="n">
        <v>2</v>
      </c>
      <c r="U240" t="n">
        <v>0</v>
      </c>
      <c r="V240" s="2" t="inlineStr">
        <is>
          <t>Korallrot
Fläcknycklar</t>
        </is>
      </c>
      <c r="W240">
        <f>HYPERLINK("https://klasma.github.io/Logging_2161/artfynd/A 21180-2026 artfynd.xlsx", "A 21180-2026")</f>
        <v/>
      </c>
      <c r="X240">
        <f>HYPERLINK("https://klasma.github.io/Logging_2161/kartor/A 21180-2026 karta.png", "A 21180-2026")</f>
        <v/>
      </c>
      <c r="Y240">
        <f>HYPERLINK("https://klasma.github.io/Logging_2161/kartor_geotiff/A 21180-2026 georefererad karta.tif", "A 21180-2026")</f>
        <v/>
      </c>
      <c r="AA240">
        <f>HYPERLINK("https://klasma.github.io/Logging_2161/klagomål/A 21180-2026 FSC-klagomål.docx", "A 21180-2026")</f>
        <v/>
      </c>
      <c r="AB240">
        <f>HYPERLINK("https://klasma.github.io/Logging_2161/klagomålsmail/A 21180-2026 FSC-klagomål mail.docx", "A 21180-2026")</f>
        <v/>
      </c>
      <c r="AC240">
        <f>HYPERLINK("https://klasma.github.io/Logging_2161/tillsyn/A 21180-2026 tillsynsbegäran.docx", "A 21180-2026")</f>
        <v/>
      </c>
      <c r="AD240">
        <f>HYPERLINK("https://klasma.github.io/Logging_2161/tillsynsmail/A 21180-2026 tillsynsbegäran mail.docx", "A 21180-2026")</f>
        <v/>
      </c>
    </row>
    <row r="241" ht="15" customHeight="1">
      <c r="A241" t="inlineStr">
        <is>
          <t>A 31740-2025</t>
        </is>
      </c>
      <c r="B241" t="inlineStr">
        <is>
          <t>avverkningsanmälan</t>
        </is>
      </c>
      <c r="C241" t="inlineStr">
        <is>
          <t>Föryngringsavverkning</t>
        </is>
      </c>
      <c r="D241" s="1" t="n">
        <v>45834</v>
      </c>
      <c r="E241" s="1" t="n">
        <v>46292</v>
      </c>
      <c r="F241" t="inlineStr">
        <is>
          <t>GÄVLEBORGS LÄN</t>
        </is>
      </c>
      <c r="G241" t="inlineStr">
        <is>
          <t>LJUSDAL</t>
        </is>
      </c>
      <c r="H241" t="inlineStr">
        <is>
          <t>Allmännings- och besparingsskogar</t>
        </is>
      </c>
      <c r="I241" t="n">
        <v>7.3</v>
      </c>
      <c r="J241" t="n">
        <v>0</v>
      </c>
      <c r="K241" t="n">
        <v>0</v>
      </c>
      <c r="L241" t="n">
        <v>1</v>
      </c>
      <c r="M241" t="n">
        <v>1</v>
      </c>
      <c r="N241" t="n">
        <v>0</v>
      </c>
      <c r="O241" t="n">
        <v>0</v>
      </c>
      <c r="P241" t="n">
        <v>0</v>
      </c>
      <c r="Q241" t="n">
        <v>2</v>
      </c>
      <c r="R241" t="n">
        <v>1</v>
      </c>
      <c r="S241" t="n">
        <v>2</v>
      </c>
      <c r="T241" t="n">
        <v>3</v>
      </c>
      <c r="U241" t="n">
        <v>3</v>
      </c>
      <c r="V241" s="2" t="inlineStr">
        <is>
          <t>Garnlav
Vedskivlav</t>
        </is>
      </c>
      <c r="W241">
        <f>HYPERLINK("https://klasma.github.io/Logging_2161/artfynd/A 31740-2025 artfynd.xlsx", "A 31740-2025")</f>
        <v/>
      </c>
      <c r="X241">
        <f>HYPERLINK("https://klasma.github.io/Logging_2161/kartor/A 31740-2025 karta.png", "A 31740-2025")</f>
        <v/>
      </c>
      <c r="Y241">
        <f>HYPERLINK("https://klasma.github.io/Logging_2161/kartor_geotiff/A 31740-2025 georefererad karta.tif", "A 31740-2025")</f>
        <v/>
      </c>
      <c r="AA241">
        <f>HYPERLINK("https://klasma.github.io/Logging_2161/klagomål/A 31740-2025 FSC-klagomål.docx", "A 31740-2025")</f>
        <v/>
      </c>
      <c r="AB241">
        <f>HYPERLINK("https://klasma.github.io/Logging_2161/klagomålsmail/A 31740-2025 FSC-klagomål mail.docx", "A 31740-2025")</f>
        <v/>
      </c>
      <c r="AC241">
        <f>HYPERLINK("https://klasma.github.io/Logging_2161/tillsyn/A 31740-2025 tillsynsbegäran.docx", "A 31740-2025")</f>
        <v/>
      </c>
      <c r="AD241">
        <f>HYPERLINK("https://klasma.github.io/Logging_2161/tillsynsmail/A 31740-2025 tillsynsbegäran mail.docx", "A 31740-2025")</f>
        <v/>
      </c>
    </row>
    <row r="242" ht="15" customHeight="1">
      <c r="A242" t="inlineStr">
        <is>
          <t>A 33332-2025</t>
        </is>
      </c>
      <c r="B242" t="inlineStr">
        <is>
          <t>avverkningsanmälan</t>
        </is>
      </c>
      <c r="C242" t="inlineStr">
        <is>
          <t>Föryngringsavverkning</t>
        </is>
      </c>
      <c r="D242" s="1" t="n">
        <v>45841</v>
      </c>
      <c r="E242" s="1" t="n">
        <v>46292</v>
      </c>
      <c r="F242" t="inlineStr">
        <is>
          <t>GÄVLEBORGS LÄN</t>
        </is>
      </c>
      <c r="G242" t="inlineStr">
        <is>
          <t>LJUSDAL</t>
        </is>
      </c>
      <c r="H242" t="inlineStr">
        <is>
          <t>Sveaskog</t>
        </is>
      </c>
      <c r="I242" t="n">
        <v>22.3</v>
      </c>
      <c r="J242" t="n">
        <v>1</v>
      </c>
      <c r="K242" t="n">
        <v>0</v>
      </c>
      <c r="L242" t="n">
        <v>1</v>
      </c>
      <c r="M242" t="n">
        <v>0</v>
      </c>
      <c r="N242" t="n">
        <v>0</v>
      </c>
      <c r="O242" t="n">
        <v>0</v>
      </c>
      <c r="P242" t="n">
        <v>0</v>
      </c>
      <c r="Q242" t="n">
        <v>1</v>
      </c>
      <c r="R242" t="n">
        <v>0</v>
      </c>
      <c r="S242" t="n">
        <v>2</v>
      </c>
      <c r="T242" t="n">
        <v>3</v>
      </c>
      <c r="U242" t="n">
        <v>3</v>
      </c>
      <c r="V242" s="2" t="inlineStr">
        <is>
          <t>Lunglav
Fläcknycklar</t>
        </is>
      </c>
      <c r="W242">
        <f>HYPERLINK("https://klasma.github.io/Logging_2161/artfynd/A 33332-2025 artfynd.xlsx", "A 33332-2025")</f>
        <v/>
      </c>
      <c r="X242">
        <f>HYPERLINK("https://klasma.github.io/Logging_2161/kartor/A 33332-2025 karta.png", "A 33332-2025")</f>
        <v/>
      </c>
      <c r="Y242">
        <f>HYPERLINK("https://klasma.github.io/Logging_2161/kartor_geotiff/A 33332-2025 georefererad karta.tif", "A 33332-2025")</f>
        <v/>
      </c>
      <c r="AA242">
        <f>HYPERLINK("https://klasma.github.io/Logging_2161/klagomål/A 33332-2025 FSC-klagomål.docx", "A 33332-2025")</f>
        <v/>
      </c>
      <c r="AB242">
        <f>HYPERLINK("https://klasma.github.io/Logging_2161/klagomålsmail/A 33332-2025 FSC-klagomål mail.docx", "A 33332-2025")</f>
        <v/>
      </c>
      <c r="AC242">
        <f>HYPERLINK("https://klasma.github.io/Logging_2161/tillsyn/A 33332-2025 tillsynsbegäran.docx", "A 33332-2025")</f>
        <v/>
      </c>
      <c r="AD242">
        <f>HYPERLINK("https://klasma.github.io/Logging_2161/tillsynsmail/A 33332-2025 tillsynsbegäran mail.docx", "A 33332-2025")</f>
        <v/>
      </c>
    </row>
    <row r="243" ht="15" customHeight="1">
      <c r="A243" t="inlineStr">
        <is>
          <t>A 23143-2026</t>
        </is>
      </c>
      <c r="B243" t="inlineStr">
        <is>
          <t>avverkningsanmälan</t>
        </is>
      </c>
      <c r="C243" t="inlineStr">
        <is>
          <t>Föryngringsavverkning</t>
        </is>
      </c>
      <c r="D243" s="1" t="n">
        <v>46161</v>
      </c>
      <c r="E243" s="1" t="n">
        <v>46292</v>
      </c>
      <c r="F243" t="inlineStr">
        <is>
          <t>GÄVLEBORGS LÄN</t>
        </is>
      </c>
      <c r="G243" t="inlineStr">
        <is>
          <t>LJUSDAL</t>
        </is>
      </c>
      <c r="H243" t="inlineStr">
        <is>
          <t>Sveaskog</t>
        </is>
      </c>
      <c r="I243" t="n">
        <v>4</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23143-2026 artfynd.xlsx", "A 23143-2026")</f>
        <v/>
      </c>
      <c r="X243">
        <f>HYPERLINK("https://klasma.github.io/Logging_2161/kartor/A 23143-2026 karta.png", "A 23143-2026")</f>
        <v/>
      </c>
      <c r="Y243">
        <f>HYPERLINK("https://klasma.github.io/Logging_2161/kartor_geotiff/A 23143-2026 georefererad karta.tif", "A 23143-2026")</f>
        <v/>
      </c>
      <c r="AA243">
        <f>HYPERLINK("https://klasma.github.io/Logging_2161/klagomål/A 23143-2026 FSC-klagomål.docx", "A 23143-2026")</f>
        <v/>
      </c>
      <c r="AB243">
        <f>HYPERLINK("https://klasma.github.io/Logging_2161/klagomålsmail/A 23143-2026 FSC-klagomål mail.docx", "A 23143-2026")</f>
        <v/>
      </c>
      <c r="AC243">
        <f>HYPERLINK("https://klasma.github.io/Logging_2161/tillsyn/A 23143-2026 tillsynsbegäran.docx", "A 23143-2026")</f>
        <v/>
      </c>
      <c r="AD243">
        <f>HYPERLINK("https://klasma.github.io/Logging_2161/tillsynsmail/A 23143-2026 tillsynsbegäran mail.docx", "A 23143-2026")</f>
        <v/>
      </c>
    </row>
    <row r="244" ht="15" customHeight="1">
      <c r="A244" t="inlineStr">
        <is>
          <t>A 23131-2026</t>
        </is>
      </c>
      <c r="B244" t="inlineStr">
        <is>
          <t>avverkningsanmälan</t>
        </is>
      </c>
      <c r="C244" t="inlineStr">
        <is>
          <t>Föryngringsavverkning</t>
        </is>
      </c>
      <c r="D244" s="1" t="n">
        <v>46161</v>
      </c>
      <c r="E244" s="1" t="n">
        <v>46292</v>
      </c>
      <c r="F244" t="inlineStr">
        <is>
          <t>GÄVLEBORGS LÄN</t>
        </is>
      </c>
      <c r="G244" t="inlineStr">
        <is>
          <t>LJUSDAL</t>
        </is>
      </c>
      <c r="H244" t="inlineStr">
        <is>
          <t>Sveaskog</t>
        </is>
      </c>
      <c r="I244" t="n">
        <v>6.5</v>
      </c>
      <c r="J244" t="n">
        <v>0</v>
      </c>
      <c r="K244" t="n">
        <v>0</v>
      </c>
      <c r="L244" t="n">
        <v>2</v>
      </c>
      <c r="M244" t="n">
        <v>0</v>
      </c>
      <c r="N244" t="n">
        <v>0</v>
      </c>
      <c r="O244" t="n">
        <v>0</v>
      </c>
      <c r="P244" t="n">
        <v>0</v>
      </c>
      <c r="Q244" t="n">
        <v>2</v>
      </c>
      <c r="R244" t="n">
        <v>0</v>
      </c>
      <c r="S244" t="n">
        <v>2</v>
      </c>
      <c r="T244" t="n">
        <v>2</v>
      </c>
      <c r="U244" t="n">
        <v>0</v>
      </c>
      <c r="V244" s="2" t="inlineStr">
        <is>
          <t>Kolflarnlav
Vedflamlav</t>
        </is>
      </c>
      <c r="W244">
        <f>HYPERLINK("https://klasma.github.io/Logging_2161/artfynd/A 23131-2026 artfynd.xlsx", "A 23131-2026")</f>
        <v/>
      </c>
      <c r="X244">
        <f>HYPERLINK("https://klasma.github.io/Logging_2161/kartor/A 23131-2026 karta.png", "A 23131-2026")</f>
        <v/>
      </c>
      <c r="Y244">
        <f>HYPERLINK("https://klasma.github.io/Logging_2161/kartor_geotiff/A 23131-2026 georefererad karta.tif", "A 23131-2026")</f>
        <v/>
      </c>
      <c r="AA244">
        <f>HYPERLINK("https://klasma.github.io/Logging_2161/klagomål/A 23131-2026 FSC-klagomål.docx", "A 23131-2026")</f>
        <v/>
      </c>
      <c r="AB244">
        <f>HYPERLINK("https://klasma.github.io/Logging_2161/klagomålsmail/A 23131-2026 FSC-klagomål mail.docx", "A 23131-2026")</f>
        <v/>
      </c>
      <c r="AC244">
        <f>HYPERLINK("https://klasma.github.io/Logging_2161/tillsyn/A 23131-2026 tillsynsbegäran.docx", "A 23131-2026")</f>
        <v/>
      </c>
      <c r="AD244">
        <f>HYPERLINK("https://klasma.github.io/Logging_2161/tillsynsmail/A 23131-2026 tillsynsbegäran mail.docx", "A 23131-2026")</f>
        <v/>
      </c>
    </row>
    <row r="245" ht="15" customHeight="1">
      <c r="A245" t="inlineStr">
        <is>
          <t>A 24150-2026</t>
        </is>
      </c>
      <c r="B245" t="inlineStr">
        <is>
          <t>avverkningsanmälan</t>
        </is>
      </c>
      <c r="C245" t="inlineStr">
        <is>
          <t>Föryngringsavverkning</t>
        </is>
      </c>
      <c r="D245" s="1" t="n">
        <v>46168</v>
      </c>
      <c r="E245" s="1" t="n">
        <v>46292</v>
      </c>
      <c r="F245" t="inlineStr">
        <is>
          <t>GÄVLEBORGS LÄN</t>
        </is>
      </c>
      <c r="G245" t="inlineStr">
        <is>
          <t>LJUSDAL</t>
        </is>
      </c>
      <c r="H245" t="inlineStr">
        <is>
          <t>Sveaskog</t>
        </is>
      </c>
      <c r="I245" t="n">
        <v>18</v>
      </c>
      <c r="J245" t="n">
        <v>2</v>
      </c>
      <c r="K245" t="n">
        <v>1</v>
      </c>
      <c r="L245" t="n">
        <v>0</v>
      </c>
      <c r="M245" t="n">
        <v>1</v>
      </c>
      <c r="N245" t="n">
        <v>0</v>
      </c>
      <c r="O245" t="n">
        <v>0</v>
      </c>
      <c r="P245" t="n">
        <v>0</v>
      </c>
      <c r="Q245" t="n">
        <v>1</v>
      </c>
      <c r="R245" t="n">
        <v>1</v>
      </c>
      <c r="S245" t="n">
        <v>2</v>
      </c>
      <c r="T245" t="n">
        <v>2</v>
      </c>
      <c r="U245" t="n">
        <v>0</v>
      </c>
      <c r="V245" s="2" t="inlineStr">
        <is>
          <t>Knärot
Plattlummer</t>
        </is>
      </c>
      <c r="W245">
        <f>HYPERLINK("https://klasma.github.io/Logging_2161/artfynd/A 24150-2026 artfynd.xlsx", "A 24150-2026")</f>
        <v/>
      </c>
      <c r="X245">
        <f>HYPERLINK("https://klasma.github.io/Logging_2161/kartor/A 24150-2026 karta.png", "A 24150-2026")</f>
        <v/>
      </c>
      <c r="Y245">
        <f>HYPERLINK("https://klasma.github.io/Logging_2161/kartor_geotiff/A 24150-2026 georefererad karta.tif", "A 24150-2026")</f>
        <v/>
      </c>
      <c r="Z245">
        <f>HYPERLINK("https://klasma.github.io/Logging_2161/knärot/A 24150-2026 karta knärot.png", "A 24150-2026")</f>
        <v/>
      </c>
      <c r="AA245">
        <f>HYPERLINK("https://klasma.github.io/Logging_2161/klagomål/A 24150-2026 FSC-klagomål.docx", "A 24150-2026")</f>
        <v/>
      </c>
      <c r="AB245">
        <f>HYPERLINK("https://klasma.github.io/Logging_2161/klagomålsmail/A 24150-2026 FSC-klagomål mail.docx", "A 24150-2026")</f>
        <v/>
      </c>
      <c r="AC245">
        <f>HYPERLINK("https://klasma.github.io/Logging_2161/tillsyn/A 24150-2026 tillsynsbegäran.docx", "A 24150-2026")</f>
        <v/>
      </c>
      <c r="AD245">
        <f>HYPERLINK("https://klasma.github.io/Logging_2161/tillsynsmail/A 24150-2026 tillsynsbegäran mail.docx", "A 24150-2026")</f>
        <v/>
      </c>
    </row>
    <row r="246" ht="15" customHeight="1">
      <c r="A246" t="inlineStr">
        <is>
          <t>A 32098-2023</t>
        </is>
      </c>
      <c r="B246" t="inlineStr">
        <is>
          <t>avverkningsanmälan</t>
        </is>
      </c>
      <c r="C246" t="inlineStr">
        <is>
          <t>Föryngringsavverkning</t>
        </is>
      </c>
      <c r="D246" s="1" t="n">
        <v>45119</v>
      </c>
      <c r="E246" s="1" t="n">
        <v>46292</v>
      </c>
      <c r="F246" t="inlineStr">
        <is>
          <t>GÄVLEBORGS LÄN</t>
        </is>
      </c>
      <c r="G246" t="inlineStr">
        <is>
          <t>LJUSDAL</t>
        </is>
      </c>
      <c r="I246" t="n">
        <v>1.5</v>
      </c>
      <c r="J246" t="n">
        <v>0</v>
      </c>
      <c r="K246" t="n">
        <v>0</v>
      </c>
      <c r="L246" t="n">
        <v>2</v>
      </c>
      <c r="M246" t="n">
        <v>0</v>
      </c>
      <c r="N246" t="n">
        <v>0</v>
      </c>
      <c r="O246" t="n">
        <v>0</v>
      </c>
      <c r="P246" t="n">
        <v>0</v>
      </c>
      <c r="Q246" t="n">
        <v>2</v>
      </c>
      <c r="R246" t="n">
        <v>0</v>
      </c>
      <c r="S246" t="n">
        <v>2</v>
      </c>
      <c r="T246" t="n">
        <v>2</v>
      </c>
      <c r="U246" t="n">
        <v>2</v>
      </c>
      <c r="V246" s="2" t="inlineStr">
        <is>
          <t>Lutvaxing
Mjölrödskivling</t>
        </is>
      </c>
      <c r="W246">
        <f>HYPERLINK("https://klasma.github.io/Logging_2161/artfynd/A 32098-2023 artfynd.xlsx", "A 32098-2023")</f>
        <v/>
      </c>
      <c r="X246">
        <f>HYPERLINK("https://klasma.github.io/Logging_2161/kartor/A 32098-2023 karta.png", "A 32098-2023")</f>
        <v/>
      </c>
      <c r="Y246">
        <f>HYPERLINK("https://klasma.github.io/Logging_2161/kartor_geotiff/A 32098-2023 georefererad karta.tif", "A 32098-2023")</f>
        <v/>
      </c>
      <c r="AA246">
        <f>HYPERLINK("https://klasma.github.io/Logging_2161/klagomål/A 32098-2023 FSC-klagomål.docx", "A 32098-2023")</f>
        <v/>
      </c>
      <c r="AB246">
        <f>HYPERLINK("https://klasma.github.io/Logging_2161/klagomålsmail/A 32098-2023 FSC-klagomål mail.docx", "A 32098-2023")</f>
        <v/>
      </c>
      <c r="AC246">
        <f>HYPERLINK("https://klasma.github.io/Logging_2161/tillsyn/A 32098-2023 tillsynsbegäran.docx", "A 32098-2023")</f>
        <v/>
      </c>
      <c r="AD246">
        <f>HYPERLINK("https://klasma.github.io/Logging_2161/tillsynsmail/A 32098-2023 tillsynsbegäran mail.docx", "A 32098-2023")</f>
        <v/>
      </c>
    </row>
    <row r="247" ht="15" customHeight="1">
      <c r="A247" t="inlineStr">
        <is>
          <t>A 29526-2026</t>
        </is>
      </c>
      <c r="B247" t="inlineStr">
        <is>
          <t>avverkningsanmälan</t>
        </is>
      </c>
      <c r="C247" t="inlineStr">
        <is>
          <t>Föryngringsavverkning</t>
        </is>
      </c>
      <c r="D247" s="1" t="n">
        <v>46198</v>
      </c>
      <c r="E247" s="1" t="n">
        <v>46292</v>
      </c>
      <c r="F247" t="inlineStr">
        <is>
          <t>GÄVLEBORGS LÄN</t>
        </is>
      </c>
      <c r="G247" t="inlineStr">
        <is>
          <t>LJUSDAL</t>
        </is>
      </c>
      <c r="H247" t="inlineStr">
        <is>
          <t>Övriga Aktiebolag</t>
        </is>
      </c>
      <c r="I247" t="n">
        <v>18.2</v>
      </c>
      <c r="J247" t="n">
        <v>2</v>
      </c>
      <c r="K247" t="n">
        <v>0</v>
      </c>
      <c r="L247" t="n">
        <v>0</v>
      </c>
      <c r="M247" t="n">
        <v>1</v>
      </c>
      <c r="N247" t="n">
        <v>0</v>
      </c>
      <c r="O247" t="n">
        <v>0</v>
      </c>
      <c r="P247" t="n">
        <v>0</v>
      </c>
      <c r="Q247" t="n">
        <v>1</v>
      </c>
      <c r="R247" t="n">
        <v>1</v>
      </c>
      <c r="S247" t="n">
        <v>2</v>
      </c>
      <c r="T247" t="n">
        <v>3</v>
      </c>
      <c r="U247" t="n">
        <v>0</v>
      </c>
      <c r="V247" s="2" t="inlineStr">
        <is>
          <t>Bredgentiana
Fläcknycklar</t>
        </is>
      </c>
      <c r="W247">
        <f>HYPERLINK("https://klasma.github.io/Logging_2161/artfynd/A 29526-2026 artfynd.xlsx", "A 29526-2026")</f>
        <v/>
      </c>
      <c r="X247">
        <f>HYPERLINK("https://klasma.github.io/Logging_2161/kartor/A 29526-2026 karta.png", "A 29526-2026")</f>
        <v/>
      </c>
      <c r="Y247">
        <f>HYPERLINK("https://klasma.github.io/Logging_2161/kartor_geotiff/A 29526-2026 georefererad karta.tif", "A 29526-2026")</f>
        <v/>
      </c>
      <c r="AA247">
        <f>HYPERLINK("https://klasma.github.io/Logging_2161/klagomål/A 29526-2026 FSC-klagomål.docx", "A 29526-2026")</f>
        <v/>
      </c>
      <c r="AB247">
        <f>HYPERLINK("https://klasma.github.io/Logging_2161/klagomålsmail/A 29526-2026 FSC-klagomål mail.docx", "A 29526-2026")</f>
        <v/>
      </c>
      <c r="AC247">
        <f>HYPERLINK("https://klasma.github.io/Logging_2161/tillsyn/A 29526-2026 tillsynsbegäran.docx", "A 29526-2026")</f>
        <v/>
      </c>
      <c r="AD247">
        <f>HYPERLINK("https://klasma.github.io/Logging_2161/tillsynsmail/A 29526-2026 tillsynsbegäran mail.docx", "A 29526-2026")</f>
        <v/>
      </c>
    </row>
    <row r="248" ht="15" customHeight="1">
      <c r="A248" t="inlineStr">
        <is>
          <t>A 29052-2026</t>
        </is>
      </c>
      <c r="B248" t="inlineStr">
        <is>
          <t>avverkningsanmälan</t>
        </is>
      </c>
      <c r="C248" t="inlineStr">
        <is>
          <t>Föryngringsavverkning</t>
        </is>
      </c>
      <c r="D248" s="1" t="n">
        <v>46199</v>
      </c>
      <c r="E248" s="1" t="n">
        <v>46292</v>
      </c>
      <c r="F248" t="inlineStr">
        <is>
          <t>GÄVLEBORGS LÄN</t>
        </is>
      </c>
      <c r="G248" t="inlineStr">
        <is>
          <t>LJUSDAL</t>
        </is>
      </c>
      <c r="H248" t="inlineStr">
        <is>
          <t>Sveaskog</t>
        </is>
      </c>
      <c r="I248" t="n">
        <v>22.2</v>
      </c>
      <c r="J248" t="n">
        <v>0</v>
      </c>
      <c r="K248" t="n">
        <v>0</v>
      </c>
      <c r="L248" t="n">
        <v>2</v>
      </c>
      <c r="M248" t="n">
        <v>0</v>
      </c>
      <c r="N248" t="n">
        <v>0</v>
      </c>
      <c r="O248" t="n">
        <v>0</v>
      </c>
      <c r="P248" t="n">
        <v>0</v>
      </c>
      <c r="Q248" t="n">
        <v>2</v>
      </c>
      <c r="R248" t="n">
        <v>0</v>
      </c>
      <c r="S248" t="n">
        <v>2</v>
      </c>
      <c r="T248" t="n">
        <v>4</v>
      </c>
      <c r="U248" t="n">
        <v>3</v>
      </c>
      <c r="V248" s="2" t="inlineStr">
        <is>
          <t>Lunglav
Skrovellav</t>
        </is>
      </c>
      <c r="W248">
        <f>HYPERLINK("https://klasma.github.io/Logging_2161/artfynd/A 29052-2026 artfynd.xlsx", "A 29052-2026")</f>
        <v/>
      </c>
      <c r="X248">
        <f>HYPERLINK("https://klasma.github.io/Logging_2161/kartor/A 29052-2026 karta.png", "A 29052-2026")</f>
        <v/>
      </c>
      <c r="Y248">
        <f>HYPERLINK("https://klasma.github.io/Logging_2161/kartor_geotiff/A 29052-2026 georefererad karta.tif", "A 29052-2026")</f>
        <v/>
      </c>
      <c r="AA248">
        <f>HYPERLINK("https://klasma.github.io/Logging_2161/klagomål/A 29052-2026 FSC-klagomål.docx", "A 29052-2026")</f>
        <v/>
      </c>
      <c r="AB248">
        <f>HYPERLINK("https://klasma.github.io/Logging_2161/klagomålsmail/A 29052-2026 FSC-klagomål mail.docx", "A 29052-2026")</f>
        <v/>
      </c>
      <c r="AC248">
        <f>HYPERLINK("https://klasma.github.io/Logging_2161/tillsyn/A 29052-2026 tillsynsbegäran.docx", "A 29052-2026")</f>
        <v/>
      </c>
      <c r="AD248">
        <f>HYPERLINK("https://klasma.github.io/Logging_2161/tillsynsmail/A 29052-2026 tillsynsbegäran mail.docx", "A 29052-2026")</f>
        <v/>
      </c>
    </row>
    <row r="249" ht="15" customHeight="1">
      <c r="A249" t="inlineStr">
        <is>
          <t>A 38105-2025</t>
        </is>
      </c>
      <c r="B249" t="inlineStr">
        <is>
          <t>avverkningsanmälan</t>
        </is>
      </c>
      <c r="C249" t="inlineStr">
        <is>
          <t>Föryngringsavverkning</t>
        </is>
      </c>
      <c r="D249" s="1" t="n">
        <v>45882</v>
      </c>
      <c r="E249" s="1" t="n">
        <v>46292</v>
      </c>
      <c r="F249" t="inlineStr">
        <is>
          <t>GÄVLEBORGS LÄN</t>
        </is>
      </c>
      <c r="G249" t="inlineStr">
        <is>
          <t>LJUSDAL</t>
        </is>
      </c>
      <c r="H249" t="inlineStr">
        <is>
          <t>Bergvik skog väst AB</t>
        </is>
      </c>
      <c r="I249" t="n">
        <v>11.7</v>
      </c>
      <c r="J249" t="n">
        <v>0</v>
      </c>
      <c r="K249" t="n">
        <v>1</v>
      </c>
      <c r="L249" t="n">
        <v>1</v>
      </c>
      <c r="M249" t="n">
        <v>0</v>
      </c>
      <c r="N249" t="n">
        <v>0</v>
      </c>
      <c r="O249" t="n">
        <v>0</v>
      </c>
      <c r="P249" t="n">
        <v>0</v>
      </c>
      <c r="Q249" t="n">
        <v>1</v>
      </c>
      <c r="R249" t="n">
        <v>0</v>
      </c>
      <c r="S249" t="n">
        <v>2</v>
      </c>
      <c r="T249" t="n">
        <v>6</v>
      </c>
      <c r="U249" t="n">
        <v>0</v>
      </c>
      <c r="V249" s="2" t="inlineStr">
        <is>
          <t>Lunglav
Kransrams</t>
        </is>
      </c>
      <c r="W249">
        <f>HYPERLINK("https://klasma.github.io/Logging_2161/artfynd/A 38105-2025 artfynd.xlsx", "A 38105-2025")</f>
        <v/>
      </c>
      <c r="X249">
        <f>HYPERLINK("https://klasma.github.io/Logging_2161/kartor/A 38105-2025 karta.png", "A 38105-2025")</f>
        <v/>
      </c>
      <c r="Y249">
        <f>HYPERLINK("https://klasma.github.io/Logging_2161/kartor_geotiff/A 38105-2025 georefererad karta.tif", "A 38105-2025")</f>
        <v/>
      </c>
      <c r="AA249">
        <f>HYPERLINK("https://klasma.github.io/Logging_2161/klagomål/A 38105-2025 FSC-klagomål.docx", "A 38105-2025")</f>
        <v/>
      </c>
      <c r="AB249">
        <f>HYPERLINK("https://klasma.github.io/Logging_2161/klagomålsmail/A 38105-2025 FSC-klagomål mail.docx", "A 38105-2025")</f>
        <v/>
      </c>
      <c r="AC249">
        <f>HYPERLINK("https://klasma.github.io/Logging_2161/tillsyn/A 38105-2025 tillsynsbegäran.docx", "A 38105-2025")</f>
        <v/>
      </c>
      <c r="AD249">
        <f>HYPERLINK("https://klasma.github.io/Logging_2161/tillsynsmail/A 38105-2025 tillsynsbegäran mail.docx", "A 38105-2025")</f>
        <v/>
      </c>
    </row>
    <row r="250" ht="15" customHeight="1">
      <c r="A250" t="inlineStr">
        <is>
          <t>A 38196-2025</t>
        </is>
      </c>
      <c r="B250" t="inlineStr">
        <is>
          <t>avverkningsanmälan</t>
        </is>
      </c>
      <c r="C250" t="inlineStr">
        <is>
          <t>Föryngringsavverkning</t>
        </is>
      </c>
      <c r="D250" s="1" t="n">
        <v>45882</v>
      </c>
      <c r="E250" s="1" t="n">
        <v>46292</v>
      </c>
      <c r="F250" t="inlineStr">
        <is>
          <t>GÄVLEBORGS LÄN</t>
        </is>
      </c>
      <c r="G250" t="inlineStr">
        <is>
          <t>LJUSDAL</t>
        </is>
      </c>
      <c r="H250" t="inlineStr">
        <is>
          <t>Sveaskog</t>
        </is>
      </c>
      <c r="I250" t="n">
        <v>19.3</v>
      </c>
      <c r="J250" t="n">
        <v>0</v>
      </c>
      <c r="K250" t="n">
        <v>0</v>
      </c>
      <c r="L250" t="n">
        <v>1</v>
      </c>
      <c r="M250" t="n">
        <v>1</v>
      </c>
      <c r="N250" t="n">
        <v>0</v>
      </c>
      <c r="O250" t="n">
        <v>0</v>
      </c>
      <c r="P250" t="n">
        <v>0</v>
      </c>
      <c r="Q250" t="n">
        <v>2</v>
      </c>
      <c r="R250" t="n">
        <v>1</v>
      </c>
      <c r="S250" t="n">
        <v>2</v>
      </c>
      <c r="T250" t="n">
        <v>6</v>
      </c>
      <c r="U250" t="n">
        <v>6</v>
      </c>
      <c r="V250" s="2" t="inlineStr">
        <is>
          <t>Garnlav
Kortskaftad ärgspik</t>
        </is>
      </c>
      <c r="W250">
        <f>HYPERLINK("https://klasma.github.io/Logging_2161/artfynd/A 38196-2025 artfynd.xlsx", "A 38196-2025")</f>
        <v/>
      </c>
      <c r="X250">
        <f>HYPERLINK("https://klasma.github.io/Logging_2161/kartor/A 38196-2025 karta.png", "A 38196-2025")</f>
        <v/>
      </c>
      <c r="Y250">
        <f>HYPERLINK("https://klasma.github.io/Logging_2161/kartor_geotiff/A 38196-2025 georefererad karta.tif", "A 38196-2025")</f>
        <v/>
      </c>
      <c r="AA250">
        <f>HYPERLINK("https://klasma.github.io/Logging_2161/klagomål/A 38196-2025 FSC-klagomål.docx", "A 38196-2025")</f>
        <v/>
      </c>
      <c r="AB250">
        <f>HYPERLINK("https://klasma.github.io/Logging_2161/klagomålsmail/A 38196-2025 FSC-klagomål mail.docx", "A 38196-2025")</f>
        <v/>
      </c>
      <c r="AC250">
        <f>HYPERLINK("https://klasma.github.io/Logging_2161/tillsyn/A 38196-2025 tillsynsbegäran.docx", "A 38196-2025")</f>
        <v/>
      </c>
      <c r="AD250">
        <f>HYPERLINK("https://klasma.github.io/Logging_2161/tillsynsmail/A 38196-2025 tillsynsbegäran mail.docx", "A 38196-2025")</f>
        <v/>
      </c>
    </row>
    <row r="251" ht="15" customHeight="1">
      <c r="A251" t="inlineStr">
        <is>
          <t>A 38088-2025</t>
        </is>
      </c>
      <c r="B251" t="inlineStr">
        <is>
          <t>avverkningsanmälan</t>
        </is>
      </c>
      <c r="C251" t="inlineStr">
        <is>
          <t>Föryngringsavverkning</t>
        </is>
      </c>
      <c r="D251" s="1" t="n">
        <v>45882</v>
      </c>
      <c r="E251" s="1" t="n">
        <v>46292</v>
      </c>
      <c r="F251" t="inlineStr">
        <is>
          <t>GÄVLEBORGS LÄN</t>
        </is>
      </c>
      <c r="G251" t="inlineStr">
        <is>
          <t>LJUSDAL</t>
        </is>
      </c>
      <c r="H251" t="inlineStr">
        <is>
          <t>Sveaskog</t>
        </is>
      </c>
      <c r="I251" t="n">
        <v>3</v>
      </c>
      <c r="J251" t="n">
        <v>0</v>
      </c>
      <c r="K251" t="n">
        <v>0</v>
      </c>
      <c r="L251" t="n">
        <v>2</v>
      </c>
      <c r="M251" t="n">
        <v>0</v>
      </c>
      <c r="N251" t="n">
        <v>0</v>
      </c>
      <c r="O251" t="n">
        <v>0</v>
      </c>
      <c r="P251" t="n">
        <v>0</v>
      </c>
      <c r="Q251" t="n">
        <v>2</v>
      </c>
      <c r="R251" t="n">
        <v>0</v>
      </c>
      <c r="S251" t="n">
        <v>2</v>
      </c>
      <c r="T251" t="n">
        <v>2</v>
      </c>
      <c r="U251" t="n">
        <v>2</v>
      </c>
      <c r="V251" s="2" t="inlineStr">
        <is>
          <t>Kolflarnlav
Vedflamlav</t>
        </is>
      </c>
      <c r="W251">
        <f>HYPERLINK("https://klasma.github.io/Logging_2161/artfynd/A 38088-2025 artfynd.xlsx", "A 38088-2025")</f>
        <v/>
      </c>
      <c r="X251">
        <f>HYPERLINK("https://klasma.github.io/Logging_2161/kartor/A 38088-2025 karta.png", "A 38088-2025")</f>
        <v/>
      </c>
      <c r="Y251">
        <f>HYPERLINK("https://klasma.github.io/Logging_2161/kartor_geotiff/A 38088-2025 georefererad karta.tif", "A 38088-2025")</f>
        <v/>
      </c>
      <c r="AA251">
        <f>HYPERLINK("https://klasma.github.io/Logging_2161/klagomål/A 38088-2025 FSC-klagomål.docx", "A 38088-2025")</f>
        <v/>
      </c>
      <c r="AB251">
        <f>HYPERLINK("https://klasma.github.io/Logging_2161/klagomålsmail/A 38088-2025 FSC-klagomål mail.docx", "A 38088-2025")</f>
        <v/>
      </c>
      <c r="AC251">
        <f>HYPERLINK("https://klasma.github.io/Logging_2161/tillsyn/A 38088-2025 tillsynsbegäran.docx", "A 38088-2025")</f>
        <v/>
      </c>
      <c r="AD251">
        <f>HYPERLINK("https://klasma.github.io/Logging_2161/tillsynsmail/A 38088-2025 tillsynsbegäran mail.docx", "A 38088-2025")</f>
        <v/>
      </c>
    </row>
    <row r="252" ht="15" customHeight="1">
      <c r="A252" t="inlineStr">
        <is>
          <t>A 38084-2025</t>
        </is>
      </c>
      <c r="B252" t="inlineStr">
        <is>
          <t>avverkningsanmälan</t>
        </is>
      </c>
      <c r="C252" t="inlineStr">
        <is>
          <t>Föryngringsavverkning</t>
        </is>
      </c>
      <c r="D252" s="1" t="n">
        <v>45882</v>
      </c>
      <c r="E252" s="1" t="n">
        <v>46292</v>
      </c>
      <c r="F252" t="inlineStr">
        <is>
          <t>GÄVLEBORGS LÄN</t>
        </is>
      </c>
      <c r="G252" t="inlineStr">
        <is>
          <t>LJUSDAL</t>
        </is>
      </c>
      <c r="H252" t="inlineStr">
        <is>
          <t>Sveaskog</t>
        </is>
      </c>
      <c r="I252" t="n">
        <v>2.2</v>
      </c>
      <c r="J252" t="n">
        <v>0</v>
      </c>
      <c r="K252" t="n">
        <v>0</v>
      </c>
      <c r="L252" t="n">
        <v>2</v>
      </c>
      <c r="M252" t="n">
        <v>0</v>
      </c>
      <c r="N252" t="n">
        <v>0</v>
      </c>
      <c r="O252" t="n">
        <v>0</v>
      </c>
      <c r="P252" t="n">
        <v>0</v>
      </c>
      <c r="Q252" t="n">
        <v>2</v>
      </c>
      <c r="R252" t="n">
        <v>0</v>
      </c>
      <c r="S252" t="n">
        <v>2</v>
      </c>
      <c r="T252" t="n">
        <v>2</v>
      </c>
      <c r="U252" t="n">
        <v>2</v>
      </c>
      <c r="V252" s="2" t="inlineStr">
        <is>
          <t>Kolflarnlav
Vedflamlav</t>
        </is>
      </c>
      <c r="W252">
        <f>HYPERLINK("https://klasma.github.io/Logging_2161/artfynd/A 38084-2025 artfynd.xlsx", "A 38084-2025")</f>
        <v/>
      </c>
      <c r="X252">
        <f>HYPERLINK("https://klasma.github.io/Logging_2161/kartor/A 38084-2025 karta.png", "A 38084-2025")</f>
        <v/>
      </c>
      <c r="Y252">
        <f>HYPERLINK("https://klasma.github.io/Logging_2161/kartor_geotiff/A 38084-2025 georefererad karta.tif", "A 38084-2025")</f>
        <v/>
      </c>
      <c r="AA252">
        <f>HYPERLINK("https://klasma.github.io/Logging_2161/klagomål/A 38084-2025 FSC-klagomål.docx", "A 38084-2025")</f>
        <v/>
      </c>
      <c r="AB252">
        <f>HYPERLINK("https://klasma.github.io/Logging_2161/klagomålsmail/A 38084-2025 FSC-klagomål mail.docx", "A 38084-2025")</f>
        <v/>
      </c>
      <c r="AC252">
        <f>HYPERLINK("https://klasma.github.io/Logging_2161/tillsyn/A 38084-2025 tillsynsbegäran.docx", "A 38084-2025")</f>
        <v/>
      </c>
      <c r="AD252">
        <f>HYPERLINK("https://klasma.github.io/Logging_2161/tillsynsmail/A 38084-2025 tillsynsbegäran mail.docx", "A 38084-2025")</f>
        <v/>
      </c>
    </row>
    <row r="253" ht="15" customHeight="1">
      <c r="A253" t="inlineStr">
        <is>
          <t>A 30009-2026</t>
        </is>
      </c>
      <c r="B253" t="inlineStr">
        <is>
          <t>avverkningsanmälan</t>
        </is>
      </c>
      <c r="C253" t="inlineStr">
        <is>
          <t>Föryngringsavverkning</t>
        </is>
      </c>
      <c r="D253" s="1" t="n">
        <v>46205</v>
      </c>
      <c r="E253" s="1" t="n">
        <v>46292</v>
      </c>
      <c r="F253" t="inlineStr">
        <is>
          <t>GÄVLEBORGS LÄN</t>
        </is>
      </c>
      <c r="G253" t="inlineStr">
        <is>
          <t>LJUSDAL</t>
        </is>
      </c>
      <c r="H253" t="inlineStr">
        <is>
          <t>Sveaskog</t>
        </is>
      </c>
      <c r="I253" t="n">
        <v>12.1</v>
      </c>
      <c r="J253" t="n">
        <v>0</v>
      </c>
      <c r="K253" t="n">
        <v>0</v>
      </c>
      <c r="L253" t="n">
        <v>2</v>
      </c>
      <c r="M253" t="n">
        <v>0</v>
      </c>
      <c r="N253" t="n">
        <v>0</v>
      </c>
      <c r="O253" t="n">
        <v>0</v>
      </c>
      <c r="P253" t="n">
        <v>0</v>
      </c>
      <c r="Q253" t="n">
        <v>2</v>
      </c>
      <c r="R253" t="n">
        <v>0</v>
      </c>
      <c r="S253" t="n">
        <v>2</v>
      </c>
      <c r="T253" t="n">
        <v>3</v>
      </c>
      <c r="U253" t="n">
        <v>3</v>
      </c>
      <c r="V253" s="2" t="inlineStr">
        <is>
          <t>Kolflarnlav
Lunglav</t>
        </is>
      </c>
      <c r="W253">
        <f>HYPERLINK("https://klasma.github.io/Logging_2161/artfynd/A 30009-2026 artfynd.xlsx", "A 30009-2026")</f>
        <v/>
      </c>
      <c r="X253">
        <f>HYPERLINK("https://klasma.github.io/Logging_2161/kartor/A 30009-2026 karta.png", "A 30009-2026")</f>
        <v/>
      </c>
      <c r="Y253">
        <f>HYPERLINK("https://klasma.github.io/Logging_2161/kartor_geotiff/A 30009-2026 georefererad karta.tif", "A 30009-2026")</f>
        <v/>
      </c>
      <c r="AA253">
        <f>HYPERLINK("https://klasma.github.io/Logging_2161/klagomål/A 30009-2026 FSC-klagomål.docx", "A 30009-2026")</f>
        <v/>
      </c>
      <c r="AB253">
        <f>HYPERLINK("https://klasma.github.io/Logging_2161/klagomålsmail/A 30009-2026 FSC-klagomål mail.docx", "A 30009-2026")</f>
        <v/>
      </c>
      <c r="AC253">
        <f>HYPERLINK("https://klasma.github.io/Logging_2161/tillsyn/A 30009-2026 tillsynsbegäran.docx", "A 30009-2026")</f>
        <v/>
      </c>
      <c r="AD253">
        <f>HYPERLINK("https://klasma.github.io/Logging_2161/tillsynsmail/A 30009-2026 tillsynsbegäran mail.docx", "A 30009-2026")</f>
        <v/>
      </c>
    </row>
    <row r="254" ht="15" customHeight="1">
      <c r="A254" t="inlineStr">
        <is>
          <t>A 49956-2024</t>
        </is>
      </c>
      <c r="B254" t="inlineStr">
        <is>
          <t>avverkningsanmälan</t>
        </is>
      </c>
      <c r="C254" t="inlineStr">
        <is>
          <t>Föryngringsavverkning</t>
        </is>
      </c>
      <c r="D254" s="1" t="n">
        <v>45597</v>
      </c>
      <c r="E254" s="1" t="n">
        <v>46292</v>
      </c>
      <c r="F254" t="inlineStr">
        <is>
          <t>GÄVLEBORGS LÄN</t>
        </is>
      </c>
      <c r="G254" t="inlineStr">
        <is>
          <t>LJUSDAL</t>
        </is>
      </c>
      <c r="I254" t="n">
        <v>1.3</v>
      </c>
      <c r="J254" t="n">
        <v>1</v>
      </c>
      <c r="K254" t="n">
        <v>0</v>
      </c>
      <c r="L254" t="n">
        <v>0</v>
      </c>
      <c r="M254" t="n">
        <v>1</v>
      </c>
      <c r="N254" t="n">
        <v>0</v>
      </c>
      <c r="O254" t="n">
        <v>0</v>
      </c>
      <c r="P254" t="n">
        <v>0</v>
      </c>
      <c r="Q254" t="n">
        <v>1</v>
      </c>
      <c r="R254" t="n">
        <v>1</v>
      </c>
      <c r="S254" t="n">
        <v>2</v>
      </c>
      <c r="T254" t="n">
        <v>6</v>
      </c>
      <c r="U254" t="n">
        <v>6</v>
      </c>
      <c r="V254" s="2" t="inlineStr">
        <is>
          <t>Garnlav
Kungsfågel</t>
        </is>
      </c>
      <c r="W254">
        <f>HYPERLINK("https://klasma.github.io/Logging_2161/artfynd/A 49956-2024 artfynd.xlsx", "A 49956-2024")</f>
        <v/>
      </c>
      <c r="X254">
        <f>HYPERLINK("https://klasma.github.io/Logging_2161/kartor/A 49956-2024 karta.png", "A 49956-2024")</f>
        <v/>
      </c>
      <c r="Y254">
        <f>HYPERLINK("https://klasma.github.io/Logging_2161/kartor_geotiff/A 49956-2024 georefererad karta.tif", "A 49956-2024")</f>
        <v/>
      </c>
      <c r="AA254">
        <f>HYPERLINK("https://klasma.github.io/Logging_2161/klagomål/A 49956-2024 FSC-klagomål.docx", "A 49956-2024")</f>
        <v/>
      </c>
      <c r="AB254">
        <f>HYPERLINK("https://klasma.github.io/Logging_2161/klagomålsmail/A 49956-2024 FSC-klagomål mail.docx", "A 49956-2024")</f>
        <v/>
      </c>
      <c r="AC254">
        <f>HYPERLINK("https://klasma.github.io/Logging_2161/tillsyn/A 49956-2024 tillsynsbegäran.docx", "A 49956-2024")</f>
        <v/>
      </c>
      <c r="AD254">
        <f>HYPERLINK("https://klasma.github.io/Logging_2161/tillsynsmail/A 49956-2024 tillsynsbegäran mail.docx", "A 49956-2024")</f>
        <v/>
      </c>
    </row>
    <row r="255" ht="15" customHeight="1">
      <c r="A255" t="inlineStr">
        <is>
          <t>A 17003-2026</t>
        </is>
      </c>
      <c r="B255" t="inlineStr">
        <is>
          <t>avverkningsanmälan</t>
        </is>
      </c>
      <c r="C255" t="inlineStr">
        <is>
          <t>Föryngringsavverkning</t>
        </is>
      </c>
      <c r="D255" s="1" t="n">
        <v>46114</v>
      </c>
      <c r="E255" s="1" t="n">
        <v>46292</v>
      </c>
      <c r="F255" t="inlineStr">
        <is>
          <t>GÄVLEBORGS LÄN</t>
        </is>
      </c>
      <c r="G255" t="inlineStr">
        <is>
          <t>LJUSDAL</t>
        </is>
      </c>
      <c r="H255" t="inlineStr">
        <is>
          <t>SCA</t>
        </is>
      </c>
      <c r="I255" t="n">
        <v>1.2</v>
      </c>
      <c r="J255" t="n">
        <v>1</v>
      </c>
      <c r="K255" t="n">
        <v>0</v>
      </c>
      <c r="L255" t="n">
        <v>1</v>
      </c>
      <c r="M255" t="n">
        <v>0</v>
      </c>
      <c r="N255" t="n">
        <v>0</v>
      </c>
      <c r="O255" t="n">
        <v>0</v>
      </c>
      <c r="P255" t="n">
        <v>0</v>
      </c>
      <c r="Q255" t="n">
        <v>1</v>
      </c>
      <c r="R255" t="n">
        <v>0</v>
      </c>
      <c r="S255" t="n">
        <v>2</v>
      </c>
      <c r="T255" t="n">
        <v>2</v>
      </c>
      <c r="U255" t="n">
        <v>2</v>
      </c>
      <c r="V255" s="2" t="inlineStr">
        <is>
          <t>Ullticka
Spillkråka</t>
        </is>
      </c>
      <c r="W255">
        <f>HYPERLINK("https://klasma.github.io/Logging_2161/artfynd/A 17003-2026 artfynd.xlsx", "A 17003-2026")</f>
        <v/>
      </c>
      <c r="X255">
        <f>HYPERLINK("https://klasma.github.io/Logging_2161/kartor/A 17003-2026 karta.png", "A 17003-2026")</f>
        <v/>
      </c>
      <c r="Y255">
        <f>HYPERLINK("https://klasma.github.io/Logging_2161/kartor_geotiff/A 17003-2026 georefererad karta.tif", "A 17003-2026")</f>
        <v/>
      </c>
      <c r="AA255">
        <f>HYPERLINK("https://klasma.github.io/Logging_2161/klagomål/A 17003-2026 FSC-klagomål.docx", "A 17003-2026")</f>
        <v/>
      </c>
      <c r="AB255">
        <f>HYPERLINK("https://klasma.github.io/Logging_2161/klagomålsmail/A 17003-2026 FSC-klagomål mail.docx", "A 17003-2026")</f>
        <v/>
      </c>
      <c r="AC255">
        <f>HYPERLINK("https://klasma.github.io/Logging_2161/tillsyn/A 17003-2026 tillsynsbegäran.docx", "A 17003-2026")</f>
        <v/>
      </c>
      <c r="AD255">
        <f>HYPERLINK("https://klasma.github.io/Logging_2161/tillsynsmail/A 17003-2026 tillsynsbegäran mail.docx", "A 17003-2026")</f>
        <v/>
      </c>
      <c r="AE255">
        <f>HYPERLINK("https://klasma.github.io/Logging_2161/fåglar/A 17003-2026 prioriterade fågelarter.docx", "A 17003-2026")</f>
        <v/>
      </c>
    </row>
    <row r="256" ht="15" customHeight="1">
      <c r="A256" t="inlineStr">
        <is>
          <t>A 30910-2026</t>
        </is>
      </c>
      <c r="B256" t="inlineStr">
        <is>
          <t>avverkningsanmälan</t>
        </is>
      </c>
      <c r="C256" t="inlineStr">
        <is>
          <t>Föryngringsavverkning</t>
        </is>
      </c>
      <c r="D256" s="1" t="n">
        <v>46213</v>
      </c>
      <c r="E256" s="1" t="n">
        <v>46292</v>
      </c>
      <c r="F256" t="inlineStr">
        <is>
          <t>GÄVLEBORGS LÄN</t>
        </is>
      </c>
      <c r="G256" t="inlineStr">
        <is>
          <t>LJUSDAL</t>
        </is>
      </c>
      <c r="I256" t="n">
        <v>1.6</v>
      </c>
      <c r="J256" t="n">
        <v>1</v>
      </c>
      <c r="K256" t="n">
        <v>1</v>
      </c>
      <c r="L256" t="n">
        <v>0</v>
      </c>
      <c r="M256" t="n">
        <v>1</v>
      </c>
      <c r="N256" t="n">
        <v>0</v>
      </c>
      <c r="O256" t="n">
        <v>0</v>
      </c>
      <c r="P256" t="n">
        <v>0</v>
      </c>
      <c r="Q256" t="n">
        <v>1</v>
      </c>
      <c r="R256" t="n">
        <v>1</v>
      </c>
      <c r="S256" t="n">
        <v>2</v>
      </c>
      <c r="T256" t="n">
        <v>14</v>
      </c>
      <c r="U256" t="n">
        <v>0</v>
      </c>
      <c r="V256" s="2" t="inlineStr">
        <is>
          <t>Knärot
Mörk husmossa</t>
        </is>
      </c>
      <c r="W256">
        <f>HYPERLINK("https://klasma.github.io/Logging_2161/artfynd/A 30910-2026 artfynd.xlsx", "A 30910-2026")</f>
        <v/>
      </c>
      <c r="X256">
        <f>HYPERLINK("https://klasma.github.io/Logging_2161/kartor/A 30910-2026 karta.png", "A 30910-2026")</f>
        <v/>
      </c>
      <c r="Y256">
        <f>HYPERLINK("https://klasma.github.io/Logging_2161/kartor_geotiff/A 30910-2026 georefererad karta.tif", "A 30910-2026")</f>
        <v/>
      </c>
      <c r="Z256">
        <f>HYPERLINK("https://klasma.github.io/Logging_2161/knärot/A 30910-2026 karta knärot.png", "A 30910-2026")</f>
        <v/>
      </c>
      <c r="AA256">
        <f>HYPERLINK("https://klasma.github.io/Logging_2161/klagomål/A 30910-2026 FSC-klagomål.docx", "A 30910-2026")</f>
        <v/>
      </c>
      <c r="AB256">
        <f>HYPERLINK("https://klasma.github.io/Logging_2161/klagomålsmail/A 30910-2026 FSC-klagomål mail.docx", "A 30910-2026")</f>
        <v/>
      </c>
      <c r="AC256">
        <f>HYPERLINK("https://klasma.github.io/Logging_2161/tillsyn/A 30910-2026 tillsynsbegäran.docx", "A 30910-2026")</f>
        <v/>
      </c>
      <c r="AD256">
        <f>HYPERLINK("https://klasma.github.io/Logging_2161/tillsynsmail/A 30910-2026 tillsynsbegäran mail.docx", "A 30910-2026")</f>
        <v/>
      </c>
    </row>
    <row r="257" ht="15" customHeight="1">
      <c r="A257" t="inlineStr">
        <is>
          <t>A 15825-2025</t>
        </is>
      </c>
      <c r="B257" t="inlineStr">
        <is>
          <t>avverkningsanmälan</t>
        </is>
      </c>
      <c r="C257" t="inlineStr">
        <is>
          <t>Föryngringsavverkning</t>
        </is>
      </c>
      <c r="D257" s="1" t="n">
        <v>45748</v>
      </c>
      <c r="E257" s="1" t="n">
        <v>46292</v>
      </c>
      <c r="F257" t="inlineStr">
        <is>
          <t>GÄVLEBORGS LÄN</t>
        </is>
      </c>
      <c r="G257" t="inlineStr">
        <is>
          <t>LJUSDAL</t>
        </is>
      </c>
      <c r="H257" t="inlineStr">
        <is>
          <t>SCA</t>
        </is>
      </c>
      <c r="I257" t="n">
        <v>9.9</v>
      </c>
      <c r="J257" t="n">
        <v>2</v>
      </c>
      <c r="K257" t="n">
        <v>1</v>
      </c>
      <c r="L257" t="n">
        <v>0</v>
      </c>
      <c r="M257" t="n">
        <v>1</v>
      </c>
      <c r="N257" t="n">
        <v>0</v>
      </c>
      <c r="O257" t="n">
        <v>0</v>
      </c>
      <c r="P257" t="n">
        <v>0</v>
      </c>
      <c r="Q257" t="n">
        <v>1</v>
      </c>
      <c r="R257" t="n">
        <v>1</v>
      </c>
      <c r="S257" t="n">
        <v>2</v>
      </c>
      <c r="T257" t="n">
        <v>2</v>
      </c>
      <c r="U257" t="n">
        <v>0</v>
      </c>
      <c r="V257" s="2" t="inlineStr">
        <is>
          <t>Knärot
Spindelblomster</t>
        </is>
      </c>
      <c r="W257">
        <f>HYPERLINK("https://klasma.github.io/Logging_2161/artfynd/A 15825-2025 artfynd.xlsx", "A 15825-2025")</f>
        <v/>
      </c>
      <c r="X257">
        <f>HYPERLINK("https://klasma.github.io/Logging_2161/kartor/A 15825-2025 karta.png", "A 15825-2025")</f>
        <v/>
      </c>
      <c r="Y257">
        <f>HYPERLINK("https://klasma.github.io/Logging_2161/kartor_geotiff/A 15825-2025 georefererad karta.tif", "A 15825-2025")</f>
        <v/>
      </c>
      <c r="Z257">
        <f>HYPERLINK("https://klasma.github.io/Logging_2161/knärot/A 15825-2025 karta knärot.png", "A 15825-2025")</f>
        <v/>
      </c>
      <c r="AA257">
        <f>HYPERLINK("https://klasma.github.io/Logging_2161/klagomål/A 15825-2025 FSC-klagomål.docx", "A 15825-2025")</f>
        <v/>
      </c>
      <c r="AB257">
        <f>HYPERLINK("https://klasma.github.io/Logging_2161/klagomålsmail/A 15825-2025 FSC-klagomål mail.docx", "A 15825-2025")</f>
        <v/>
      </c>
      <c r="AC257">
        <f>HYPERLINK("https://klasma.github.io/Logging_2161/tillsyn/A 15825-2025 tillsynsbegäran.docx", "A 15825-2025")</f>
        <v/>
      </c>
      <c r="AD257">
        <f>HYPERLINK("https://klasma.github.io/Logging_2161/tillsynsmail/A 15825-2025 tillsynsbegäran mail.docx", "A 15825-2025")</f>
        <v/>
      </c>
    </row>
    <row r="258" ht="15" customHeight="1">
      <c r="A258" t="inlineStr">
        <is>
          <t>A 35520-2026</t>
        </is>
      </c>
      <c r="B258" t="inlineStr">
        <is>
          <t>avverkningsanmälan</t>
        </is>
      </c>
      <c r="C258" t="inlineStr">
        <is>
          <t>Föryngringsavverkning</t>
        </is>
      </c>
      <c r="D258" s="1" t="n">
        <v>46262</v>
      </c>
      <c r="E258" s="1" t="n">
        <v>46292</v>
      </c>
      <c r="F258" t="inlineStr">
        <is>
          <t>GÄVLEBORGS LÄN</t>
        </is>
      </c>
      <c r="G258" t="inlineStr">
        <is>
          <t>LJUSDAL</t>
        </is>
      </c>
      <c r="H258" t="inlineStr">
        <is>
          <t>Sveaskog</t>
        </is>
      </c>
      <c r="I258" t="n">
        <v>35.1</v>
      </c>
      <c r="J258" t="n">
        <v>0</v>
      </c>
      <c r="K258" t="n">
        <v>0</v>
      </c>
      <c r="L258" t="n">
        <v>2</v>
      </c>
      <c r="M258" t="n">
        <v>0</v>
      </c>
      <c r="N258" t="n">
        <v>0</v>
      </c>
      <c r="O258" t="n">
        <v>0</v>
      </c>
      <c r="P258" t="n">
        <v>0</v>
      </c>
      <c r="Q258" t="n">
        <v>2</v>
      </c>
      <c r="R258" t="n">
        <v>0</v>
      </c>
      <c r="S258" t="n">
        <v>2</v>
      </c>
      <c r="T258" t="n">
        <v>2</v>
      </c>
      <c r="U258" t="n">
        <v>2</v>
      </c>
      <c r="V258" s="2" t="inlineStr">
        <is>
          <t>Kolflarnlav
Mörk kolflarnlav</t>
        </is>
      </c>
      <c r="W258">
        <f>HYPERLINK("https://klasma.github.io/Logging_2161/artfynd/A 35520-2026 artfynd.xlsx", "A 35520-2026")</f>
        <v/>
      </c>
      <c r="X258">
        <f>HYPERLINK("https://klasma.github.io/Logging_2161/kartor/A 35520-2026 karta.png", "A 35520-2026")</f>
        <v/>
      </c>
      <c r="Y258">
        <f>HYPERLINK("https://klasma.github.io/Logging_2161/kartor_geotiff/A 35520-2026 georefererad karta.tif", "A 35520-2026")</f>
        <v/>
      </c>
      <c r="AA258">
        <f>HYPERLINK("https://klasma.github.io/Logging_2161/klagomål/A 35520-2026 FSC-klagomål.docx", "A 35520-2026")</f>
        <v/>
      </c>
      <c r="AB258">
        <f>HYPERLINK("https://klasma.github.io/Logging_2161/klagomålsmail/A 35520-2026 FSC-klagomål mail.docx", "A 35520-2026")</f>
        <v/>
      </c>
      <c r="AC258">
        <f>HYPERLINK("https://klasma.github.io/Logging_2161/tillsyn/A 35520-2026 tillsynsbegäran.docx", "A 35520-2026")</f>
        <v/>
      </c>
      <c r="AD258">
        <f>HYPERLINK("https://klasma.github.io/Logging_2161/tillsynsmail/A 35520-2026 tillsynsbegäran mail.docx", "A 35520-2026")</f>
        <v/>
      </c>
    </row>
    <row r="259" ht="15" customHeight="1">
      <c r="A259" t="inlineStr">
        <is>
          <t>A 30885-2024</t>
        </is>
      </c>
      <c r="B259" t="inlineStr">
        <is>
          <t>avverkningsanmälan</t>
        </is>
      </c>
      <c r="C259" t="inlineStr">
        <is>
          <t>Föryngringsavverkning</t>
        </is>
      </c>
      <c r="D259" s="1" t="n">
        <v>45498</v>
      </c>
      <c r="E259" s="1" t="n">
        <v>46292</v>
      </c>
      <c r="F259" t="inlineStr">
        <is>
          <t>GÄVLEBORGS LÄN</t>
        </is>
      </c>
      <c r="G259" t="inlineStr">
        <is>
          <t>LJUSDAL</t>
        </is>
      </c>
      <c r="H259" t="inlineStr">
        <is>
          <t>Sveaskog</t>
        </is>
      </c>
      <c r="I259" t="n">
        <v>11.2</v>
      </c>
      <c r="J259" t="n">
        <v>1</v>
      </c>
      <c r="K259" t="n">
        <v>1</v>
      </c>
      <c r="L259" t="n">
        <v>1</v>
      </c>
      <c r="M259" t="n">
        <v>0</v>
      </c>
      <c r="N259" t="n">
        <v>0</v>
      </c>
      <c r="O259" t="n">
        <v>0</v>
      </c>
      <c r="P259" t="n">
        <v>0</v>
      </c>
      <c r="Q259" t="n">
        <v>1</v>
      </c>
      <c r="R259" t="n">
        <v>0</v>
      </c>
      <c r="S259" t="n">
        <v>2</v>
      </c>
      <c r="T259" t="n">
        <v>2</v>
      </c>
      <c r="U259" t="n">
        <v>1</v>
      </c>
      <c r="V259" s="2" t="inlineStr">
        <is>
          <t>Kolflarnlav
Plattlummer</t>
        </is>
      </c>
      <c r="W259">
        <f>HYPERLINK("https://klasma.github.io/Logging_2161/artfynd/A 30885-2024 artfynd.xlsx", "A 30885-2024")</f>
        <v/>
      </c>
      <c r="X259">
        <f>HYPERLINK("https://klasma.github.io/Logging_2161/kartor/A 30885-2024 karta.png", "A 30885-2024")</f>
        <v/>
      </c>
      <c r="Y259">
        <f>HYPERLINK("https://klasma.github.io/Logging_2161/kartor_geotiff/A 30885-2024 georefererad karta.tif", "A 30885-2024")</f>
        <v/>
      </c>
      <c r="AA259">
        <f>HYPERLINK("https://klasma.github.io/Logging_2161/klagomål/A 30885-2024 FSC-klagomål.docx", "A 30885-2024")</f>
        <v/>
      </c>
      <c r="AB259">
        <f>HYPERLINK("https://klasma.github.io/Logging_2161/klagomålsmail/A 30885-2024 FSC-klagomål mail.docx", "A 30885-2024")</f>
        <v/>
      </c>
      <c r="AC259">
        <f>HYPERLINK("https://klasma.github.io/Logging_2161/tillsyn/A 30885-2024 tillsynsbegäran.docx", "A 30885-2024")</f>
        <v/>
      </c>
      <c r="AD259">
        <f>HYPERLINK("https://klasma.github.io/Logging_2161/tillsynsmail/A 30885-2024 tillsynsbegäran mail.docx", "A 30885-2024")</f>
        <v/>
      </c>
    </row>
    <row r="260" ht="15" customHeight="1">
      <c r="A260" t="inlineStr">
        <is>
          <t>A 36604-2026</t>
        </is>
      </c>
      <c r="B260" t="inlineStr">
        <is>
          <t>avverkningsanmälan</t>
        </is>
      </c>
      <c r="C260" t="inlineStr">
        <is>
          <t>Föryngringsavverkning</t>
        </is>
      </c>
      <c r="D260" s="1" t="n">
        <v>46269</v>
      </c>
      <c r="E260" s="1" t="n">
        <v>46292</v>
      </c>
      <c r="F260" t="inlineStr">
        <is>
          <t>GÄVLEBORGS LÄN</t>
        </is>
      </c>
      <c r="G260" t="inlineStr">
        <is>
          <t>LJUSDAL</t>
        </is>
      </c>
      <c r="H260" t="inlineStr">
        <is>
          <t>Sveaskog</t>
        </is>
      </c>
      <c r="I260" t="n">
        <v>4.5</v>
      </c>
      <c r="J260" t="n">
        <v>1</v>
      </c>
      <c r="K260" t="n">
        <v>1</v>
      </c>
      <c r="L260" t="n">
        <v>1</v>
      </c>
      <c r="M260" t="n">
        <v>0</v>
      </c>
      <c r="N260" t="n">
        <v>0</v>
      </c>
      <c r="O260" t="n">
        <v>0</v>
      </c>
      <c r="P260" t="n">
        <v>0</v>
      </c>
      <c r="Q260" t="n">
        <v>1</v>
      </c>
      <c r="R260" t="n">
        <v>0</v>
      </c>
      <c r="S260" t="n">
        <v>2</v>
      </c>
      <c r="T260" t="n">
        <v>2</v>
      </c>
      <c r="U260" t="n">
        <v>2</v>
      </c>
      <c r="V260" s="2" t="inlineStr">
        <is>
          <t>Lunglav
Plattlummer</t>
        </is>
      </c>
      <c r="W260">
        <f>HYPERLINK("https://klasma.github.io/Logging_2161/artfynd/A 36604-2026 artfynd.xlsx", "A 36604-2026")</f>
        <v/>
      </c>
      <c r="X260">
        <f>HYPERLINK("https://klasma.github.io/Logging_2161/kartor/A 36604-2026 karta.png", "A 36604-2026")</f>
        <v/>
      </c>
      <c r="Y260">
        <f>HYPERLINK("https://klasma.github.io/Logging_2161/kartor_geotiff/A 36604-2026 georefererad karta.tif", "A 36604-2026")</f>
        <v/>
      </c>
      <c r="AA260">
        <f>HYPERLINK("https://klasma.github.io/Logging_2161/klagomål/A 36604-2026 FSC-klagomål.docx", "A 36604-2026")</f>
        <v/>
      </c>
      <c r="AB260">
        <f>HYPERLINK("https://klasma.github.io/Logging_2161/klagomålsmail/A 36604-2026 FSC-klagomål mail.docx", "A 36604-2026")</f>
        <v/>
      </c>
      <c r="AC260">
        <f>HYPERLINK("https://klasma.github.io/Logging_2161/tillsyn/A 36604-2026 tillsynsbegäran.docx", "A 36604-2026")</f>
        <v/>
      </c>
      <c r="AD260">
        <f>HYPERLINK("https://klasma.github.io/Logging_2161/tillsynsmail/A 36604-2026 tillsynsbegäran mail.docx", "A 36604-2026")</f>
        <v/>
      </c>
    </row>
    <row r="261" ht="15" customHeight="1">
      <c r="A261" t="inlineStr">
        <is>
          <t>A 36472-2026</t>
        </is>
      </c>
      <c r="B261" t="inlineStr">
        <is>
          <t>avverkningsanmälan</t>
        </is>
      </c>
      <c r="C261" t="inlineStr">
        <is>
          <t>Föryngringsavverkning</t>
        </is>
      </c>
      <c r="D261" s="1" t="n">
        <v>46269</v>
      </c>
      <c r="E261" s="1" t="n">
        <v>46292</v>
      </c>
      <c r="F261" t="inlineStr">
        <is>
          <t>GÄVLEBORGS LÄN</t>
        </is>
      </c>
      <c r="G261" t="inlineStr">
        <is>
          <t>LJUSDAL</t>
        </is>
      </c>
      <c r="H261" t="inlineStr">
        <is>
          <t>Sveaskog</t>
        </is>
      </c>
      <c r="I261" t="n">
        <v>11</v>
      </c>
      <c r="J261" t="n">
        <v>0</v>
      </c>
      <c r="K261" t="n">
        <v>0</v>
      </c>
      <c r="L261" t="n">
        <v>2</v>
      </c>
      <c r="M261" t="n">
        <v>0</v>
      </c>
      <c r="N261" t="n">
        <v>0</v>
      </c>
      <c r="O261" t="n">
        <v>0</v>
      </c>
      <c r="P261" t="n">
        <v>0</v>
      </c>
      <c r="Q261" t="n">
        <v>2</v>
      </c>
      <c r="R261" t="n">
        <v>0</v>
      </c>
      <c r="S261" t="n">
        <v>2</v>
      </c>
      <c r="T261" t="n">
        <v>2</v>
      </c>
      <c r="U261" t="n">
        <v>2</v>
      </c>
      <c r="V261" s="2" t="inlineStr">
        <is>
          <t>Blanksvart spiklav
Kolflarnlav</t>
        </is>
      </c>
      <c r="W261">
        <f>HYPERLINK("https://klasma.github.io/Logging_2161/artfynd/A 36472-2026 artfynd.xlsx", "A 36472-2026")</f>
        <v/>
      </c>
      <c r="X261">
        <f>HYPERLINK("https://klasma.github.io/Logging_2161/kartor/A 36472-2026 karta.png", "A 36472-2026")</f>
        <v/>
      </c>
      <c r="Y261">
        <f>HYPERLINK("https://klasma.github.io/Logging_2161/kartor_geotiff/A 36472-2026 georefererad karta.tif", "A 36472-2026")</f>
        <v/>
      </c>
      <c r="AA261">
        <f>HYPERLINK("https://klasma.github.io/Logging_2161/klagomål/A 36472-2026 FSC-klagomål.docx", "A 36472-2026")</f>
        <v/>
      </c>
      <c r="AB261">
        <f>HYPERLINK("https://klasma.github.io/Logging_2161/klagomålsmail/A 36472-2026 FSC-klagomål mail.docx", "A 36472-2026")</f>
        <v/>
      </c>
      <c r="AC261">
        <f>HYPERLINK("https://klasma.github.io/Logging_2161/tillsyn/A 36472-2026 tillsynsbegäran.docx", "A 36472-2026")</f>
        <v/>
      </c>
      <c r="AD261">
        <f>HYPERLINK("https://klasma.github.io/Logging_2161/tillsynsmail/A 36472-2026 tillsynsbegäran mail.docx", "A 36472-2026")</f>
        <v/>
      </c>
    </row>
    <row r="262" ht="15" customHeight="1">
      <c r="A262" t="inlineStr">
        <is>
          <t>A 25992-2023</t>
        </is>
      </c>
      <c r="B262" t="inlineStr">
        <is>
          <t>avverkningsanmälan</t>
        </is>
      </c>
      <c r="C262" t="inlineStr">
        <is>
          <t>Föryngringsavverkning</t>
        </is>
      </c>
      <c r="D262" s="1" t="n">
        <v>45090</v>
      </c>
      <c r="E262" s="1" t="n">
        <v>46292</v>
      </c>
      <c r="F262" t="inlineStr">
        <is>
          <t>GÄVLEBORGS LÄN</t>
        </is>
      </c>
      <c r="G262" t="inlineStr">
        <is>
          <t>LJUSDAL</t>
        </is>
      </c>
      <c r="I262" t="n">
        <v>3.8</v>
      </c>
      <c r="J262" t="n">
        <v>2</v>
      </c>
      <c r="K262" t="n">
        <v>0</v>
      </c>
      <c r="L262" t="n">
        <v>1</v>
      </c>
      <c r="M262" t="n">
        <v>0</v>
      </c>
      <c r="N262" t="n">
        <v>0</v>
      </c>
      <c r="O262" t="n">
        <v>0</v>
      </c>
      <c r="P262" t="n">
        <v>0</v>
      </c>
      <c r="Q262" t="n">
        <v>1</v>
      </c>
      <c r="R262" t="n">
        <v>0</v>
      </c>
      <c r="S262" t="n">
        <v>2</v>
      </c>
      <c r="T262" t="n">
        <v>2</v>
      </c>
      <c r="U262" t="n">
        <v>2</v>
      </c>
      <c r="V262" s="2" t="inlineStr">
        <is>
          <t>Järnsparv
Blåsippa</t>
        </is>
      </c>
      <c r="W262">
        <f>HYPERLINK("https://klasma.github.io/Logging_2161/artfynd/A 25992-2023 artfynd.xlsx", "A 25992-2023")</f>
        <v/>
      </c>
      <c r="X262">
        <f>HYPERLINK("https://klasma.github.io/Logging_2161/kartor/A 25992-2023 karta.png", "A 25992-2023")</f>
        <v/>
      </c>
      <c r="Y262">
        <f>HYPERLINK("https://klasma.github.io/Logging_2161/kartor_geotiff/A 25992-2023 georefererad karta.tif", "A 25992-2023")</f>
        <v/>
      </c>
      <c r="AA262">
        <f>HYPERLINK("https://klasma.github.io/Logging_2161/klagomål/A 25992-2023 FSC-klagomål.docx", "A 25992-2023")</f>
        <v/>
      </c>
      <c r="AB262">
        <f>HYPERLINK("https://klasma.github.io/Logging_2161/klagomålsmail/A 25992-2023 FSC-klagomål mail.docx", "A 25992-2023")</f>
        <v/>
      </c>
      <c r="AC262">
        <f>HYPERLINK("https://klasma.github.io/Logging_2161/tillsyn/A 25992-2023 tillsynsbegäran.docx", "A 25992-2023")</f>
        <v/>
      </c>
      <c r="AD262">
        <f>HYPERLINK("https://klasma.github.io/Logging_2161/tillsynsmail/A 25992-2023 tillsynsbegäran mail.docx", "A 25992-2023")</f>
        <v/>
      </c>
      <c r="AE262">
        <f>HYPERLINK("https://klasma.github.io/Logging_2161/fåglar/A 25992-2023 prioriterade fågelarter.docx", "A 25992-2023")</f>
        <v/>
      </c>
    </row>
    <row r="263" ht="15" customHeight="1">
      <c r="A263" t="inlineStr">
        <is>
          <t>A 32067-2026</t>
        </is>
      </c>
      <c r="B263" t="inlineStr">
        <is>
          <t>avverkningsanmälan</t>
        </is>
      </c>
      <c r="C263" t="inlineStr">
        <is>
          <t>Föryngringsavverkning</t>
        </is>
      </c>
      <c r="D263" s="1" t="n">
        <v>46233</v>
      </c>
      <c r="E263" s="1" t="n">
        <v>46292</v>
      </c>
      <c r="F263" t="inlineStr">
        <is>
          <t>GÄVLEBORGS LÄN</t>
        </is>
      </c>
      <c r="G263" t="inlineStr">
        <is>
          <t>LJUSDAL</t>
        </is>
      </c>
      <c r="H263" t="inlineStr">
        <is>
          <t>Sveaskog</t>
        </is>
      </c>
      <c r="I263" t="n">
        <v>3.6</v>
      </c>
      <c r="J263" t="n">
        <v>0</v>
      </c>
      <c r="K263" t="n">
        <v>0</v>
      </c>
      <c r="L263" t="n">
        <v>2</v>
      </c>
      <c r="M263" t="n">
        <v>0</v>
      </c>
      <c r="N263" t="n">
        <v>0</v>
      </c>
      <c r="O263" t="n">
        <v>0</v>
      </c>
      <c r="P263" t="n">
        <v>0</v>
      </c>
      <c r="Q263" t="n">
        <v>2</v>
      </c>
      <c r="R263" t="n">
        <v>0</v>
      </c>
      <c r="S263" t="n">
        <v>2</v>
      </c>
      <c r="T263" t="n">
        <v>2</v>
      </c>
      <c r="U263" t="n">
        <v>2</v>
      </c>
      <c r="V263" s="2" t="inlineStr">
        <is>
          <t>Kolflarnlav
Lunglav</t>
        </is>
      </c>
      <c r="W263">
        <f>HYPERLINK("https://klasma.github.io/Logging_2161/artfynd/A 32067-2026 artfynd.xlsx", "A 32067-2026")</f>
        <v/>
      </c>
      <c r="X263">
        <f>HYPERLINK("https://klasma.github.io/Logging_2161/kartor/A 32067-2026 karta.png", "A 32067-2026")</f>
        <v/>
      </c>
      <c r="Y263">
        <f>HYPERLINK("https://klasma.github.io/Logging_2161/kartor_geotiff/A 32067-2026 georefererad karta.tif", "A 32067-2026")</f>
        <v/>
      </c>
      <c r="AA263">
        <f>HYPERLINK("https://klasma.github.io/Logging_2161/klagomål/A 32067-2026 FSC-klagomål.docx", "A 32067-2026")</f>
        <v/>
      </c>
      <c r="AB263">
        <f>HYPERLINK("https://klasma.github.io/Logging_2161/klagomålsmail/A 32067-2026 FSC-klagomål mail.docx", "A 32067-2026")</f>
        <v/>
      </c>
      <c r="AC263">
        <f>HYPERLINK("https://klasma.github.io/Logging_2161/tillsyn/A 32067-2026 tillsynsbegäran.docx", "A 32067-2026")</f>
        <v/>
      </c>
      <c r="AD263">
        <f>HYPERLINK("https://klasma.github.io/Logging_2161/tillsynsmail/A 32067-2026 tillsynsbegäran mail.docx", "A 32067-2026")</f>
        <v/>
      </c>
    </row>
    <row r="264" ht="15" customHeight="1">
      <c r="A264" t="inlineStr">
        <is>
          <t>A 51232-2023</t>
        </is>
      </c>
      <c r="B264" t="inlineStr">
        <is>
          <t>avverkningsanmälan</t>
        </is>
      </c>
      <c r="C264" t="inlineStr">
        <is>
          <t>Föryngringsavverkning</t>
        </is>
      </c>
      <c r="D264" s="1" t="n">
        <v>45219</v>
      </c>
      <c r="E264" s="1" t="n">
        <v>46292</v>
      </c>
      <c r="F264" t="inlineStr">
        <is>
          <t>GÄVLEBORGS LÄN</t>
        </is>
      </c>
      <c r="G264" t="inlineStr">
        <is>
          <t>LJUSDAL</t>
        </is>
      </c>
      <c r="H264" t="inlineStr">
        <is>
          <t>Sveaskog</t>
        </is>
      </c>
      <c r="I264" t="n">
        <v>1.9</v>
      </c>
      <c r="J264" t="n">
        <v>0</v>
      </c>
      <c r="K264" t="n">
        <v>1</v>
      </c>
      <c r="L264" t="n">
        <v>1</v>
      </c>
      <c r="M264" t="n">
        <v>0</v>
      </c>
      <c r="N264" t="n">
        <v>0</v>
      </c>
      <c r="O264" t="n">
        <v>0</v>
      </c>
      <c r="P264" t="n">
        <v>0</v>
      </c>
      <c r="Q264" t="n">
        <v>1</v>
      </c>
      <c r="R264" t="n">
        <v>0</v>
      </c>
      <c r="S264" t="n">
        <v>2</v>
      </c>
      <c r="T264" t="n">
        <v>3</v>
      </c>
      <c r="U264" t="n">
        <v>1</v>
      </c>
      <c r="V264" s="2" t="inlineStr">
        <is>
          <t>Lunglav
Korallblylav</t>
        </is>
      </c>
      <c r="W264">
        <f>HYPERLINK("https://klasma.github.io/Logging_2161/artfynd/A 51232-2023 artfynd.xlsx", "A 51232-2023")</f>
        <v/>
      </c>
      <c r="X264">
        <f>HYPERLINK("https://klasma.github.io/Logging_2161/kartor/A 51232-2023 karta.png", "A 51232-2023")</f>
        <v/>
      </c>
      <c r="Y264">
        <f>HYPERLINK("https://klasma.github.io/Logging_2161/kartor_geotiff/A 51232-2023 georefererad karta.tif", "A 51232-2023")</f>
        <v/>
      </c>
      <c r="AA264">
        <f>HYPERLINK("https://klasma.github.io/Logging_2161/klagomål/A 51232-2023 FSC-klagomål.docx", "A 51232-2023")</f>
        <v/>
      </c>
      <c r="AB264">
        <f>HYPERLINK("https://klasma.github.io/Logging_2161/klagomålsmail/A 51232-2023 FSC-klagomål mail.docx", "A 51232-2023")</f>
        <v/>
      </c>
      <c r="AC264">
        <f>HYPERLINK("https://klasma.github.io/Logging_2161/tillsyn/A 51232-2023 tillsynsbegäran.docx", "A 51232-2023")</f>
        <v/>
      </c>
      <c r="AD264">
        <f>HYPERLINK("https://klasma.github.io/Logging_2161/tillsynsmail/A 51232-2023 tillsynsbegäran mail.docx", "A 51232-2023")</f>
        <v/>
      </c>
    </row>
    <row r="265" ht="15" customHeight="1">
      <c r="A265" t="inlineStr">
        <is>
          <t>A 26527-2023</t>
        </is>
      </c>
      <c r="B265" t="inlineStr">
        <is>
          <t>avverkningsanmälan</t>
        </is>
      </c>
      <c r="C265" t="inlineStr">
        <is>
          <t>Föryngringsavverkning</t>
        </is>
      </c>
      <c r="D265" s="1" t="n">
        <v>45092</v>
      </c>
      <c r="E265" s="1" t="n">
        <v>46292</v>
      </c>
      <c r="F265" t="inlineStr">
        <is>
          <t>GÄVLEBORGS LÄN</t>
        </is>
      </c>
      <c r="G265" t="inlineStr">
        <is>
          <t>LJUSDAL</t>
        </is>
      </c>
      <c r="H265" t="inlineStr">
        <is>
          <t>Sveaskog</t>
        </is>
      </c>
      <c r="I265" t="n">
        <v>2.8</v>
      </c>
      <c r="J265" t="n">
        <v>0</v>
      </c>
      <c r="K265" t="n">
        <v>1</v>
      </c>
      <c r="L265" t="n">
        <v>0</v>
      </c>
      <c r="M265" t="n">
        <v>1</v>
      </c>
      <c r="N265" t="n">
        <v>0</v>
      </c>
      <c r="O265" t="n">
        <v>0</v>
      </c>
      <c r="P265" t="n">
        <v>0</v>
      </c>
      <c r="Q265" t="n">
        <v>1</v>
      </c>
      <c r="R265" t="n">
        <v>1</v>
      </c>
      <c r="S265" t="n">
        <v>2</v>
      </c>
      <c r="T265" t="n">
        <v>4</v>
      </c>
      <c r="U265" t="n">
        <v>4</v>
      </c>
      <c r="V265" s="2" t="inlineStr">
        <is>
          <t>Garnlav
Stuplav</t>
        </is>
      </c>
      <c r="W265">
        <f>HYPERLINK("https://klasma.github.io/Logging_2161/artfynd/A 26527-2023 artfynd.xlsx", "A 26527-2023")</f>
        <v/>
      </c>
      <c r="X265">
        <f>HYPERLINK("https://klasma.github.io/Logging_2161/kartor/A 26527-2023 karta.png", "A 26527-2023")</f>
        <v/>
      </c>
      <c r="Y265">
        <f>HYPERLINK("https://klasma.github.io/Logging_2161/kartor_geotiff/A 26527-2023 georefererad karta.tif", "A 26527-2023")</f>
        <v/>
      </c>
      <c r="AA265">
        <f>HYPERLINK("https://klasma.github.io/Logging_2161/klagomål/A 26527-2023 FSC-klagomål.docx", "A 26527-2023")</f>
        <v/>
      </c>
      <c r="AB265">
        <f>HYPERLINK("https://klasma.github.io/Logging_2161/klagomålsmail/A 26527-2023 FSC-klagomål mail.docx", "A 26527-2023")</f>
        <v/>
      </c>
      <c r="AC265">
        <f>HYPERLINK("https://klasma.github.io/Logging_2161/tillsyn/A 26527-2023 tillsynsbegäran.docx", "A 26527-2023")</f>
        <v/>
      </c>
      <c r="AD265">
        <f>HYPERLINK("https://klasma.github.io/Logging_2161/tillsynsmail/A 26527-2023 tillsynsbegäran mail.docx", "A 26527-2023")</f>
        <v/>
      </c>
    </row>
    <row r="266" ht="15" customHeight="1">
      <c r="A266" t="inlineStr">
        <is>
          <t>A 17474-2025</t>
        </is>
      </c>
      <c r="B266" t="inlineStr">
        <is>
          <t>avverkningsanmälan</t>
        </is>
      </c>
      <c r="C266" t="inlineStr">
        <is>
          <t>Föryngringsavverkning</t>
        </is>
      </c>
      <c r="D266" s="1" t="n">
        <v>45757</v>
      </c>
      <c r="E266" s="1" t="n">
        <v>46292</v>
      </c>
      <c r="F266" t="inlineStr">
        <is>
          <t>GÄVLEBORGS LÄN</t>
        </is>
      </c>
      <c r="G266" t="inlineStr">
        <is>
          <t>LJUSDAL</t>
        </is>
      </c>
      <c r="H266" t="inlineStr">
        <is>
          <t>Sveaskog</t>
        </is>
      </c>
      <c r="I266" t="n">
        <v>9.4</v>
      </c>
      <c r="J266" t="n">
        <v>0</v>
      </c>
      <c r="K266" t="n">
        <v>0</v>
      </c>
      <c r="L266" t="n">
        <v>2</v>
      </c>
      <c r="M266" t="n">
        <v>0</v>
      </c>
      <c r="N266" t="n">
        <v>0</v>
      </c>
      <c r="O266" t="n">
        <v>0</v>
      </c>
      <c r="P266" t="n">
        <v>0</v>
      </c>
      <c r="Q266" t="n">
        <v>2</v>
      </c>
      <c r="R266" t="n">
        <v>0</v>
      </c>
      <c r="S266" t="n">
        <v>2</v>
      </c>
      <c r="T266" t="n">
        <v>2</v>
      </c>
      <c r="U266" t="n">
        <v>2</v>
      </c>
      <c r="V266" s="2" t="inlineStr">
        <is>
          <t>Kolflarnlav
Lunglav</t>
        </is>
      </c>
      <c r="W266">
        <f>HYPERLINK("https://klasma.github.io/Logging_2161/artfynd/A 17474-2025 artfynd.xlsx", "A 17474-2025")</f>
        <v/>
      </c>
      <c r="X266">
        <f>HYPERLINK("https://klasma.github.io/Logging_2161/kartor/A 17474-2025 karta.png", "A 17474-2025")</f>
        <v/>
      </c>
      <c r="Y266">
        <f>HYPERLINK("https://klasma.github.io/Logging_2161/kartor_geotiff/A 17474-2025 georefererad karta.tif", "A 17474-2025")</f>
        <v/>
      </c>
      <c r="AA266">
        <f>HYPERLINK("https://klasma.github.io/Logging_2161/klagomål/A 17474-2025 FSC-klagomål.docx", "A 17474-2025")</f>
        <v/>
      </c>
      <c r="AB266">
        <f>HYPERLINK("https://klasma.github.io/Logging_2161/klagomålsmail/A 17474-2025 FSC-klagomål mail.docx", "A 17474-2025")</f>
        <v/>
      </c>
      <c r="AC266">
        <f>HYPERLINK("https://klasma.github.io/Logging_2161/tillsyn/A 17474-2025 tillsynsbegäran.docx", "A 17474-2025")</f>
        <v/>
      </c>
      <c r="AD266">
        <f>HYPERLINK("https://klasma.github.io/Logging_2161/tillsynsmail/A 17474-2025 tillsynsbegäran mail.docx", "A 17474-2025")</f>
        <v/>
      </c>
    </row>
    <row r="267" ht="15" customHeight="1">
      <c r="A267" t="inlineStr">
        <is>
          <t>A 38306-2024</t>
        </is>
      </c>
      <c r="B267" t="inlineStr">
        <is>
          <t>avverkningsanmälan</t>
        </is>
      </c>
      <c r="C267" t="inlineStr">
        <is>
          <t>Föryngringsavverkning</t>
        </is>
      </c>
      <c r="D267" s="1" t="n">
        <v>45545</v>
      </c>
      <c r="E267" s="1" t="n">
        <v>46292</v>
      </c>
      <c r="F267" t="inlineStr">
        <is>
          <t>GÄVLEBORGS LÄN</t>
        </is>
      </c>
      <c r="G267" t="inlineStr">
        <is>
          <t>LJUSDAL</t>
        </is>
      </c>
      <c r="H267" t="inlineStr">
        <is>
          <t>Sveaskog</t>
        </is>
      </c>
      <c r="I267" t="n">
        <v>4.1</v>
      </c>
      <c r="J267" t="n">
        <v>0</v>
      </c>
      <c r="K267" t="n">
        <v>0</v>
      </c>
      <c r="L267" t="n">
        <v>1</v>
      </c>
      <c r="M267" t="n">
        <v>1</v>
      </c>
      <c r="N267" t="n">
        <v>0</v>
      </c>
      <c r="O267" t="n">
        <v>0</v>
      </c>
      <c r="P267" t="n">
        <v>0</v>
      </c>
      <c r="Q267" t="n">
        <v>2</v>
      </c>
      <c r="R267" t="n">
        <v>1</v>
      </c>
      <c r="S267" t="n">
        <v>2</v>
      </c>
      <c r="T267" t="n">
        <v>2</v>
      </c>
      <c r="U267" t="n">
        <v>2</v>
      </c>
      <c r="V267" s="2" t="inlineStr">
        <is>
          <t>Garnlav
Lunglav</t>
        </is>
      </c>
      <c r="W267">
        <f>HYPERLINK("https://klasma.github.io/Logging_2161/artfynd/A 38306-2024 artfynd.xlsx", "A 38306-2024")</f>
        <v/>
      </c>
      <c r="X267">
        <f>HYPERLINK("https://klasma.github.io/Logging_2161/kartor/A 38306-2024 karta.png", "A 38306-2024")</f>
        <v/>
      </c>
      <c r="Y267">
        <f>HYPERLINK("https://klasma.github.io/Logging_2161/kartor_geotiff/A 38306-2024 georefererad karta.tif", "A 38306-2024")</f>
        <v/>
      </c>
      <c r="AA267">
        <f>HYPERLINK("https://klasma.github.io/Logging_2161/klagomål/A 38306-2024 FSC-klagomål.docx", "A 38306-2024")</f>
        <v/>
      </c>
      <c r="AB267">
        <f>HYPERLINK("https://klasma.github.io/Logging_2161/klagomålsmail/A 38306-2024 FSC-klagomål mail.docx", "A 38306-2024")</f>
        <v/>
      </c>
      <c r="AC267">
        <f>HYPERLINK("https://klasma.github.io/Logging_2161/tillsyn/A 38306-2024 tillsynsbegäran.docx", "A 38306-2024")</f>
        <v/>
      </c>
      <c r="AD267">
        <f>HYPERLINK("https://klasma.github.io/Logging_2161/tillsynsmail/A 38306-2024 tillsynsbegäran mail.docx", "A 38306-2024")</f>
        <v/>
      </c>
    </row>
    <row r="268" ht="15" customHeight="1">
      <c r="A268" t="inlineStr">
        <is>
          <t>A 25114-2023</t>
        </is>
      </c>
      <c r="B268" t="inlineStr">
        <is>
          <t>avverkningsanmälan</t>
        </is>
      </c>
      <c r="C268" t="inlineStr">
        <is>
          <t>Föryngringsavverkning</t>
        </is>
      </c>
      <c r="D268" s="1" t="n">
        <v>45086</v>
      </c>
      <c r="E268" s="1" t="n">
        <v>46292</v>
      </c>
      <c r="F268" t="inlineStr">
        <is>
          <t>GÄVLEBORGS LÄN</t>
        </is>
      </c>
      <c r="G268" t="inlineStr">
        <is>
          <t>LJUSDAL</t>
        </is>
      </c>
      <c r="I268" t="n">
        <v>0.9</v>
      </c>
      <c r="J268" t="n">
        <v>1</v>
      </c>
      <c r="K268" t="n">
        <v>1</v>
      </c>
      <c r="L268" t="n">
        <v>0</v>
      </c>
      <c r="M268" t="n">
        <v>1</v>
      </c>
      <c r="N268" t="n">
        <v>0</v>
      </c>
      <c r="O268" t="n">
        <v>0</v>
      </c>
      <c r="P268" t="n">
        <v>0</v>
      </c>
      <c r="Q268" t="n">
        <v>1</v>
      </c>
      <c r="R268" t="n">
        <v>1</v>
      </c>
      <c r="S268" t="n">
        <v>2</v>
      </c>
      <c r="T268" t="n">
        <v>2</v>
      </c>
      <c r="U268" t="n">
        <v>0</v>
      </c>
      <c r="V268" s="2" t="inlineStr">
        <is>
          <t>Knärot
Vedticka</t>
        </is>
      </c>
      <c r="W268">
        <f>HYPERLINK("https://klasma.github.io/Logging_2161/artfynd/A 25114-2023 artfynd.xlsx", "A 25114-2023")</f>
        <v/>
      </c>
      <c r="X268">
        <f>HYPERLINK("https://klasma.github.io/Logging_2161/kartor/A 25114-2023 karta.png", "A 25114-2023")</f>
        <v/>
      </c>
      <c r="Y268">
        <f>HYPERLINK("https://klasma.github.io/Logging_2161/kartor_geotiff/A 25114-2023 georefererad karta.tif", "A 25114-2023")</f>
        <v/>
      </c>
      <c r="Z268">
        <f>HYPERLINK("https://klasma.github.io/Logging_2161/knärot/A 25114-2023 karta knärot.png", "A 25114-2023")</f>
        <v/>
      </c>
      <c r="AA268">
        <f>HYPERLINK("https://klasma.github.io/Logging_2161/klagomål/A 25114-2023 FSC-klagomål.docx", "A 25114-2023")</f>
        <v/>
      </c>
      <c r="AB268">
        <f>HYPERLINK("https://klasma.github.io/Logging_2161/klagomålsmail/A 25114-2023 FSC-klagomål mail.docx", "A 25114-2023")</f>
        <v/>
      </c>
      <c r="AC268">
        <f>HYPERLINK("https://klasma.github.io/Logging_2161/tillsyn/A 25114-2023 tillsynsbegäran.docx", "A 25114-2023")</f>
        <v/>
      </c>
      <c r="AD268">
        <f>HYPERLINK("https://klasma.github.io/Logging_2161/tillsynsmail/A 25114-2023 tillsynsbegäran mail.docx", "A 25114-2023")</f>
        <v/>
      </c>
    </row>
    <row r="269" ht="15" customHeight="1">
      <c r="A269" t="inlineStr">
        <is>
          <t>A 23483-2025</t>
        </is>
      </c>
      <c r="B269" t="inlineStr">
        <is>
          <t>avverkningsanmälan</t>
        </is>
      </c>
      <c r="C269" t="inlineStr">
        <is>
          <t>Föryngringsavverkning</t>
        </is>
      </c>
      <c r="D269" s="1" t="n">
        <v>45792</v>
      </c>
      <c r="E269" s="1" t="n">
        <v>46292</v>
      </c>
      <c r="F269" t="inlineStr">
        <is>
          <t>GÄVLEBORGS LÄN</t>
        </is>
      </c>
      <c r="G269" t="inlineStr">
        <is>
          <t>LJUSDAL</t>
        </is>
      </c>
      <c r="H269" t="inlineStr">
        <is>
          <t>Sveaskog</t>
        </is>
      </c>
      <c r="I269" t="n">
        <v>3.6</v>
      </c>
      <c r="J269" t="n">
        <v>0</v>
      </c>
      <c r="K269" t="n">
        <v>0</v>
      </c>
      <c r="L269" t="n">
        <v>2</v>
      </c>
      <c r="M269" t="n">
        <v>0</v>
      </c>
      <c r="N269" t="n">
        <v>0</v>
      </c>
      <c r="O269" t="n">
        <v>0</v>
      </c>
      <c r="P269" t="n">
        <v>0</v>
      </c>
      <c r="Q269" t="n">
        <v>2</v>
      </c>
      <c r="R269" t="n">
        <v>0</v>
      </c>
      <c r="S269" t="n">
        <v>2</v>
      </c>
      <c r="T269" t="n">
        <v>3</v>
      </c>
      <c r="U269" t="n">
        <v>3</v>
      </c>
      <c r="V269" s="2" t="inlineStr">
        <is>
          <t>Kolflarnlav
Lunglav</t>
        </is>
      </c>
      <c r="W269">
        <f>HYPERLINK("https://klasma.github.io/Logging_2161/artfynd/A 23483-2025 artfynd.xlsx", "A 23483-2025")</f>
        <v/>
      </c>
      <c r="X269">
        <f>HYPERLINK("https://klasma.github.io/Logging_2161/kartor/A 23483-2025 karta.png", "A 23483-2025")</f>
        <v/>
      </c>
      <c r="Y269">
        <f>HYPERLINK("https://klasma.github.io/Logging_2161/kartor_geotiff/A 23483-2025 georefererad karta.tif", "A 23483-2025")</f>
        <v/>
      </c>
      <c r="AA269">
        <f>HYPERLINK("https://klasma.github.io/Logging_2161/klagomål/A 23483-2025 FSC-klagomål.docx", "A 23483-2025")</f>
        <v/>
      </c>
      <c r="AB269">
        <f>HYPERLINK("https://klasma.github.io/Logging_2161/klagomålsmail/A 23483-2025 FSC-klagomål mail.docx", "A 23483-2025")</f>
        <v/>
      </c>
      <c r="AC269">
        <f>HYPERLINK("https://klasma.github.io/Logging_2161/tillsyn/A 23483-2025 tillsynsbegäran.docx", "A 23483-2025")</f>
        <v/>
      </c>
      <c r="AD269">
        <f>HYPERLINK("https://klasma.github.io/Logging_2161/tillsynsmail/A 23483-2025 tillsynsbegäran mail.docx", "A 23483-2025")</f>
        <v/>
      </c>
    </row>
    <row r="270" ht="15" customHeight="1">
      <c r="A270" t="inlineStr">
        <is>
          <t>S 8654-2021</t>
        </is>
      </c>
      <c r="B270" t="inlineStr">
        <is>
          <t>samrådsanmälan</t>
        </is>
      </c>
      <c r="C270" t="inlineStr">
        <is>
          <t>Skogsgödsling</t>
        </is>
      </c>
      <c r="D270" s="1" t="n">
        <v>44498</v>
      </c>
      <c r="E270" s="1" t="n">
        <v>46292</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46292</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46292</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46292</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46292</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46292</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46292</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46292</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46292</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32579-2024</t>
        </is>
      </c>
      <c r="B279" t="inlineStr">
        <is>
          <t>avverkningsanmälan</t>
        </is>
      </c>
      <c r="C279" t="inlineStr">
        <is>
          <t>Föryngringsavverkning</t>
        </is>
      </c>
      <c r="D279" s="1" t="n">
        <v>45513</v>
      </c>
      <c r="E279" s="1" t="n">
        <v>46292</v>
      </c>
      <c r="F279" t="inlineStr">
        <is>
          <t>GÄVLEBORGS LÄN</t>
        </is>
      </c>
      <c r="G279" t="inlineStr">
        <is>
          <t>LJUSDAL</t>
        </is>
      </c>
      <c r="H279" t="inlineStr">
        <is>
          <t>Sveaskog</t>
        </is>
      </c>
      <c r="I279" t="n">
        <v>33.7</v>
      </c>
      <c r="J279" t="n">
        <v>0</v>
      </c>
      <c r="K279" t="n">
        <v>0</v>
      </c>
      <c r="L279" t="n">
        <v>1</v>
      </c>
      <c r="M279" t="n">
        <v>0</v>
      </c>
      <c r="N279" t="n">
        <v>0</v>
      </c>
      <c r="O279" t="n">
        <v>0</v>
      </c>
      <c r="P279" t="n">
        <v>0</v>
      </c>
      <c r="Q279" t="n">
        <v>1</v>
      </c>
      <c r="R279" t="n">
        <v>0</v>
      </c>
      <c r="S279" t="n">
        <v>1</v>
      </c>
      <c r="T279" t="n">
        <v>2</v>
      </c>
      <c r="U279" t="n">
        <v>0</v>
      </c>
      <c r="V279" s="2" t="inlineStr">
        <is>
          <t>Lunglav</t>
        </is>
      </c>
      <c r="W279">
        <f>HYPERLINK("https://klasma.github.io/Logging_2161/artfynd/A 32579-2024 artfynd.xlsx", "A 32579-2024")</f>
        <v/>
      </c>
      <c r="X279">
        <f>HYPERLINK("https://klasma.github.io/Logging_2161/kartor/A 32579-2024 karta.png", "A 32579-2024")</f>
        <v/>
      </c>
      <c r="Y279">
        <f>HYPERLINK("https://klasma.github.io/Logging_2161/kartor_geotiff/A 32579-2024 georefererad karta.tif", "A 32579-2024")</f>
        <v/>
      </c>
      <c r="AA279">
        <f>HYPERLINK("https://klasma.github.io/Logging_2161/klagomål/A 32579-2024 FSC-klagomål.docx", "A 32579-2024")</f>
        <v/>
      </c>
      <c r="AB279">
        <f>HYPERLINK("https://klasma.github.io/Logging_2161/klagomålsmail/A 32579-2024 FSC-klagomål mail.docx", "A 32579-2024")</f>
        <v/>
      </c>
      <c r="AC279">
        <f>HYPERLINK("https://klasma.github.io/Logging_2161/tillsyn/A 32579-2024 tillsynsbegäran.docx", "A 32579-2024")</f>
        <v/>
      </c>
      <c r="AD279">
        <f>HYPERLINK("https://klasma.github.io/Logging_2161/tillsynsmail/A 32579-2024 tillsynsbegäran mail.docx", "A 32579-2024")</f>
        <v/>
      </c>
    </row>
    <row r="280" ht="15" customHeight="1">
      <c r="A280" t="inlineStr">
        <is>
          <t>A 31417-2024</t>
        </is>
      </c>
      <c r="B280" t="inlineStr">
        <is>
          <t>avverkningsanmälan</t>
        </is>
      </c>
      <c r="C280" t="inlineStr">
        <is>
          <t>Föryngringsavverkning</t>
        </is>
      </c>
      <c r="D280" s="1" t="n">
        <v>45505</v>
      </c>
      <c r="E280" s="1" t="n">
        <v>46292</v>
      </c>
      <c r="F280" t="inlineStr">
        <is>
          <t>GÄVLEBORGS LÄN</t>
        </is>
      </c>
      <c r="G280" t="inlineStr">
        <is>
          <t>LJUSDAL</t>
        </is>
      </c>
      <c r="H280" t="inlineStr">
        <is>
          <t>Sveaskog</t>
        </is>
      </c>
      <c r="I280" t="n">
        <v>3</v>
      </c>
      <c r="J280" t="n">
        <v>0</v>
      </c>
      <c r="K280" t="n">
        <v>0</v>
      </c>
      <c r="L280" t="n">
        <v>1</v>
      </c>
      <c r="M280" t="n">
        <v>0</v>
      </c>
      <c r="N280" t="n">
        <v>0</v>
      </c>
      <c r="O280" t="n">
        <v>0</v>
      </c>
      <c r="P280" t="n">
        <v>0</v>
      </c>
      <c r="Q280" t="n">
        <v>1</v>
      </c>
      <c r="R280" t="n">
        <v>0</v>
      </c>
      <c r="S280" t="n">
        <v>1</v>
      </c>
      <c r="T280" t="n">
        <v>1</v>
      </c>
      <c r="U280" t="n">
        <v>1</v>
      </c>
      <c r="V280" s="2" t="inlineStr">
        <is>
          <t>Kolflarnlav</t>
        </is>
      </c>
      <c r="W280">
        <f>HYPERLINK("https://klasma.github.io/Logging_2161/artfynd/A 31417-2024 artfynd.xlsx", "A 31417-2024")</f>
        <v/>
      </c>
      <c r="X280">
        <f>HYPERLINK("https://klasma.github.io/Logging_2161/kartor/A 31417-2024 karta.png", "A 31417-2024")</f>
        <v/>
      </c>
      <c r="Y280">
        <f>HYPERLINK("https://klasma.github.io/Logging_2161/kartor_geotiff/A 31417-2024 georefererad karta.tif", "A 31417-2024")</f>
        <v/>
      </c>
      <c r="AA280">
        <f>HYPERLINK("https://klasma.github.io/Logging_2161/klagomål/A 31417-2024 FSC-klagomål.docx", "A 31417-2024")</f>
        <v/>
      </c>
      <c r="AB280">
        <f>HYPERLINK("https://klasma.github.io/Logging_2161/klagomålsmail/A 31417-2024 FSC-klagomål mail.docx", "A 31417-2024")</f>
        <v/>
      </c>
      <c r="AC280">
        <f>HYPERLINK("https://klasma.github.io/Logging_2161/tillsyn/A 31417-2024 tillsynsbegäran.docx", "A 31417-2024")</f>
        <v/>
      </c>
      <c r="AD280">
        <f>HYPERLINK("https://klasma.github.io/Logging_2161/tillsynsmail/A 31417-2024 tillsynsbegäran mail.docx", "A 31417-2024")</f>
        <v/>
      </c>
    </row>
    <row r="281" ht="15" customHeight="1">
      <c r="A281" t="inlineStr">
        <is>
          <t>A 61718-2023</t>
        </is>
      </c>
      <c r="B281" t="inlineStr">
        <is>
          <t>avverkningsanmälan</t>
        </is>
      </c>
      <c r="C281" t="inlineStr">
        <is>
          <t>Avverkning för annat ändamål</t>
        </is>
      </c>
      <c r="D281" s="1" t="n">
        <v>45265</v>
      </c>
      <c r="E281" s="1" t="n">
        <v>46292</v>
      </c>
      <c r="F281" t="inlineStr">
        <is>
          <t>GÄVLEBORGS LÄN</t>
        </is>
      </c>
      <c r="G281" t="inlineStr">
        <is>
          <t>LJUSDAL</t>
        </is>
      </c>
      <c r="H281" t="inlineStr">
        <is>
          <t>Kommuner</t>
        </is>
      </c>
      <c r="I281" t="n">
        <v>0.9</v>
      </c>
      <c r="J281" t="n">
        <v>1</v>
      </c>
      <c r="K281" t="n">
        <v>0</v>
      </c>
      <c r="L281" t="n">
        <v>0</v>
      </c>
      <c r="M281" t="n">
        <v>0</v>
      </c>
      <c r="N281" t="n">
        <v>1</v>
      </c>
      <c r="O281" t="n">
        <v>0</v>
      </c>
      <c r="P281" t="n">
        <v>0</v>
      </c>
      <c r="Q281" t="n">
        <v>1</v>
      </c>
      <c r="R281" t="n">
        <v>1</v>
      </c>
      <c r="S281" t="n">
        <v>1</v>
      </c>
      <c r="T281" t="n">
        <v>1</v>
      </c>
      <c r="U281" t="n">
        <v>0</v>
      </c>
      <c r="V281" s="2" t="inlineStr">
        <is>
          <t>Mosippa</t>
        </is>
      </c>
      <c r="W281">
        <f>HYPERLINK("https://klasma.github.io/Logging_2161/artfynd/A 61718-2023 artfynd.xlsx", "A 61718-2023")</f>
        <v/>
      </c>
      <c r="X281">
        <f>HYPERLINK("https://klasma.github.io/Logging_2161/kartor/A 61718-2023 karta.png", "A 61718-2023")</f>
        <v/>
      </c>
      <c r="Y281">
        <f>HYPERLINK("https://klasma.github.io/Logging_2161/kartor_geotiff/A 61718-2023 georefererad karta.tif", "A 61718-2023")</f>
        <v/>
      </c>
      <c r="AA281">
        <f>HYPERLINK("https://klasma.github.io/Logging_2161/klagomål/A 61718-2023 FSC-klagomål.docx", "A 61718-2023")</f>
        <v/>
      </c>
      <c r="AB281">
        <f>HYPERLINK("https://klasma.github.io/Logging_2161/klagomålsmail/A 61718-2023 FSC-klagomål mail.docx", "A 61718-2023")</f>
        <v/>
      </c>
      <c r="AC281">
        <f>HYPERLINK("https://klasma.github.io/Logging_2161/tillsyn/A 61718-2023 tillsynsbegäran.docx", "A 61718-2023")</f>
        <v/>
      </c>
      <c r="AD281">
        <f>HYPERLINK("https://klasma.github.io/Logging_2161/tillsynsmail/A 61718-2023 tillsynsbegäran mail.docx", "A 61718-2023")</f>
        <v/>
      </c>
    </row>
    <row r="282" ht="15" customHeight="1">
      <c r="A282" t="inlineStr">
        <is>
          <t>A 58900-2021</t>
        </is>
      </c>
      <c r="B282" t="inlineStr">
        <is>
          <t>avverkningsanmälan</t>
        </is>
      </c>
      <c r="C282" t="inlineStr">
        <is>
          <t>Föryngringsavverkning</t>
        </is>
      </c>
      <c r="D282" s="1" t="n">
        <v>44489</v>
      </c>
      <c r="E282" s="1" t="n">
        <v>46292</v>
      </c>
      <c r="F282" t="inlineStr">
        <is>
          <t>GÄVLEBORGS LÄN</t>
        </is>
      </c>
      <c r="G282" t="inlineStr">
        <is>
          <t>LJUSDAL</t>
        </is>
      </c>
      <c r="H282" t="inlineStr">
        <is>
          <t>Sveaskog</t>
        </is>
      </c>
      <c r="I282" t="n">
        <v>5.2</v>
      </c>
      <c r="J282" t="n">
        <v>0</v>
      </c>
      <c r="K282" t="n">
        <v>0</v>
      </c>
      <c r="L282" t="n">
        <v>1</v>
      </c>
      <c r="M282" t="n">
        <v>0</v>
      </c>
      <c r="N282" t="n">
        <v>0</v>
      </c>
      <c r="O282" t="n">
        <v>0</v>
      </c>
      <c r="P282" t="n">
        <v>0</v>
      </c>
      <c r="Q282" t="n">
        <v>1</v>
      </c>
      <c r="R282" t="n">
        <v>0</v>
      </c>
      <c r="S282" t="n">
        <v>1</v>
      </c>
      <c r="T282" t="n">
        <v>1</v>
      </c>
      <c r="U282" t="n">
        <v>0</v>
      </c>
      <c r="V282" s="2" t="inlineStr">
        <is>
          <t>Skuggblåslav</t>
        </is>
      </c>
      <c r="W282">
        <f>HYPERLINK("https://klasma.github.io/Logging_2161/artfynd/A 58900-2021 artfynd.xlsx", "A 58900-2021")</f>
        <v/>
      </c>
      <c r="X282">
        <f>HYPERLINK("https://klasma.github.io/Logging_2161/kartor/A 58900-2021 karta.png", "A 58900-2021")</f>
        <v/>
      </c>
      <c r="Y282">
        <f>HYPERLINK("https://klasma.github.io/Logging_2161/kartor_geotiff/A 58900-2021 georefererad karta.tif", "A 58900-2021")</f>
        <v/>
      </c>
      <c r="AA282">
        <f>HYPERLINK("https://klasma.github.io/Logging_2161/klagomål/A 58900-2021 FSC-klagomål.docx", "A 58900-2021")</f>
        <v/>
      </c>
      <c r="AB282">
        <f>HYPERLINK("https://klasma.github.io/Logging_2161/klagomålsmail/A 58900-2021 FSC-klagomål mail.docx", "A 58900-2021")</f>
        <v/>
      </c>
      <c r="AC282">
        <f>HYPERLINK("https://klasma.github.io/Logging_2161/tillsyn/A 58900-2021 tillsynsbegäran.docx", "A 58900-2021")</f>
        <v/>
      </c>
      <c r="AD282">
        <f>HYPERLINK("https://klasma.github.io/Logging_2161/tillsynsmail/A 58900-2021 tillsynsbegäran mail.docx", "A 58900-2021")</f>
        <v/>
      </c>
    </row>
    <row r="283" ht="15" customHeight="1">
      <c r="A283" t="inlineStr">
        <is>
          <t>A 31125-2023</t>
        </is>
      </c>
      <c r="B283" t="inlineStr">
        <is>
          <t>avverkningsanmälan</t>
        </is>
      </c>
      <c r="C283" t="inlineStr">
        <is>
          <t>Föryngringsavverkning</t>
        </is>
      </c>
      <c r="D283" s="1" t="n">
        <v>45113</v>
      </c>
      <c r="E283" s="1" t="n">
        <v>46292</v>
      </c>
      <c r="F283" t="inlineStr">
        <is>
          <t>GÄVLEBORGS LÄN</t>
        </is>
      </c>
      <c r="G283" t="inlineStr">
        <is>
          <t>LJUSDAL</t>
        </is>
      </c>
      <c r="H283" t="inlineStr">
        <is>
          <t>Sveaskog</t>
        </is>
      </c>
      <c r="I283" t="n">
        <v>1.8</v>
      </c>
      <c r="J283" t="n">
        <v>0</v>
      </c>
      <c r="K283" t="n">
        <v>1</v>
      </c>
      <c r="L283" t="n">
        <v>0</v>
      </c>
      <c r="M283" t="n">
        <v>0</v>
      </c>
      <c r="N283" t="n">
        <v>0</v>
      </c>
      <c r="O283" t="n">
        <v>0</v>
      </c>
      <c r="P283" t="n">
        <v>0</v>
      </c>
      <c r="Q283" t="n">
        <v>0</v>
      </c>
      <c r="R283" t="n">
        <v>0</v>
      </c>
      <c r="S283" t="n">
        <v>1</v>
      </c>
      <c r="T283" t="n">
        <v>1</v>
      </c>
      <c r="U283" t="n">
        <v>1</v>
      </c>
      <c r="V283" s="2" t="inlineStr">
        <is>
          <t>Stuplav</t>
        </is>
      </c>
      <c r="W283">
        <f>HYPERLINK("https://klasma.github.io/Logging_2161/artfynd/A 31125-2023 artfynd.xlsx", "A 31125-2023")</f>
        <v/>
      </c>
      <c r="X283">
        <f>HYPERLINK("https://klasma.github.io/Logging_2161/kartor/A 31125-2023 karta.png", "A 31125-2023")</f>
        <v/>
      </c>
      <c r="Y283">
        <f>HYPERLINK("https://klasma.github.io/Logging_2161/kartor_geotiff/A 31125-2023 georefererad karta.tif", "A 31125-2023")</f>
        <v/>
      </c>
      <c r="AA283">
        <f>HYPERLINK("https://klasma.github.io/Logging_2161/klagomål/A 31125-2023 FSC-klagomål.docx", "A 31125-2023")</f>
        <v/>
      </c>
      <c r="AB283">
        <f>HYPERLINK("https://klasma.github.io/Logging_2161/klagomålsmail/A 31125-2023 FSC-klagomål mail.docx", "A 31125-2023")</f>
        <v/>
      </c>
      <c r="AC283">
        <f>HYPERLINK("https://klasma.github.io/Logging_2161/tillsyn/A 31125-2023 tillsynsbegäran.docx", "A 31125-2023")</f>
        <v/>
      </c>
      <c r="AD283">
        <f>HYPERLINK("https://klasma.github.io/Logging_2161/tillsynsmail/A 31125-2023 tillsynsbegäran mail.docx", "A 31125-2023")</f>
        <v/>
      </c>
    </row>
    <row r="284" ht="15" customHeight="1">
      <c r="A284" t="inlineStr">
        <is>
          <t>A 32171-2023</t>
        </is>
      </c>
      <c r="B284" t="inlineStr">
        <is>
          <t>avverkningsanmälan</t>
        </is>
      </c>
      <c r="C284" t="inlineStr">
        <is>
          <t>Föryngringsavverkning</t>
        </is>
      </c>
      <c r="D284" s="1" t="n">
        <v>45107</v>
      </c>
      <c r="E284" s="1" t="n">
        <v>46292</v>
      </c>
      <c r="F284" t="inlineStr">
        <is>
          <t>GÄVLEBORGS LÄN</t>
        </is>
      </c>
      <c r="G284" t="inlineStr">
        <is>
          <t>LJUSDAL</t>
        </is>
      </c>
      <c r="I284" t="n">
        <v>1.5</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HYPERLINK("https://klasma.github.io/Logging_2161/artfynd/A 32171-2023 artfynd.xlsx", "A 32171-2023")</f>
        <v/>
      </c>
      <c r="X284">
        <f>HYPERLINK("https://klasma.github.io/Logging_2161/kartor/A 32171-2023 karta.png", "A 32171-2023")</f>
        <v/>
      </c>
      <c r="Y284">
        <f>HYPERLINK("https://klasma.github.io/Logging_2161/kartor_geotiff/A 32171-2023 georefererad karta.tif", "A 32171-2023")</f>
        <v/>
      </c>
      <c r="AA284">
        <f>HYPERLINK("https://klasma.github.io/Logging_2161/klagomål/A 32171-2023 FSC-klagomål.docx", "A 32171-2023")</f>
        <v/>
      </c>
      <c r="AB284">
        <f>HYPERLINK("https://klasma.github.io/Logging_2161/klagomålsmail/A 32171-2023 FSC-klagomål mail.docx", "A 32171-2023")</f>
        <v/>
      </c>
      <c r="AC284">
        <f>HYPERLINK("https://klasma.github.io/Logging_2161/tillsyn/A 32171-2023 tillsynsbegäran.docx", "A 32171-2023")</f>
        <v/>
      </c>
      <c r="AD284">
        <f>HYPERLINK("https://klasma.github.io/Logging_2161/tillsynsmail/A 32171-2023 tillsynsbegäran mail.docx", "A 32171-2023")</f>
        <v/>
      </c>
      <c r="AE284">
        <f>HYPERLINK("https://klasma.github.io/Logging_2161/fåglar/A 32171-2023 prioriterade fågelarter.docx", "A 32171-2023")</f>
        <v/>
      </c>
    </row>
    <row r="285" ht="15" customHeight="1">
      <c r="A285" t="inlineStr">
        <is>
          <t>A 21786-2022</t>
        </is>
      </c>
      <c r="B285" t="inlineStr">
        <is>
          <t>avverkningsanmälan</t>
        </is>
      </c>
      <c r="C285" t="inlineStr">
        <is>
          <t>Föryngringsavverkning</t>
        </is>
      </c>
      <c r="D285" s="1" t="n">
        <v>44708</v>
      </c>
      <c r="E285" s="1" t="n">
        <v>46292</v>
      </c>
      <c r="F285" t="inlineStr">
        <is>
          <t>GÄVLEBORGS LÄN</t>
        </is>
      </c>
      <c r="G285" t="inlineStr">
        <is>
          <t>LJUSDAL</t>
        </is>
      </c>
      <c r="H285" t="inlineStr">
        <is>
          <t>Holmen skog AB</t>
        </is>
      </c>
      <c r="I285" t="n">
        <v>1</v>
      </c>
      <c r="J285" t="n">
        <v>0</v>
      </c>
      <c r="K285" t="n">
        <v>1</v>
      </c>
      <c r="L285" t="n">
        <v>0</v>
      </c>
      <c r="M285" t="n">
        <v>0</v>
      </c>
      <c r="N285" t="n">
        <v>0</v>
      </c>
      <c r="O285" t="n">
        <v>0</v>
      </c>
      <c r="P285" t="n">
        <v>0</v>
      </c>
      <c r="Q285" t="n">
        <v>0</v>
      </c>
      <c r="R285" t="n">
        <v>0</v>
      </c>
      <c r="S285" t="n">
        <v>1</v>
      </c>
      <c r="T285" t="n">
        <v>1</v>
      </c>
      <c r="U285" t="n">
        <v>1</v>
      </c>
      <c r="V285" s="2" t="inlineStr">
        <is>
          <t>Vågbandad barkbock</t>
        </is>
      </c>
      <c r="W285">
        <f>HYPERLINK("https://klasma.github.io/Logging_2161/artfynd/A 21786-2022 artfynd.xlsx", "A 21786-2022")</f>
        <v/>
      </c>
      <c r="X285">
        <f>HYPERLINK("https://klasma.github.io/Logging_2161/kartor/A 21786-2022 karta.png", "A 21786-2022")</f>
        <v/>
      </c>
      <c r="Y285">
        <f>HYPERLINK("https://klasma.github.io/Logging_2161/kartor_geotiff/A 21786-2022 georefererad karta.tif", "A 21786-2022")</f>
        <v/>
      </c>
      <c r="AA285">
        <f>HYPERLINK("https://klasma.github.io/Logging_2161/klagomål/A 21786-2022 FSC-klagomål.docx", "A 21786-2022")</f>
        <v/>
      </c>
      <c r="AB285">
        <f>HYPERLINK("https://klasma.github.io/Logging_2161/klagomålsmail/A 21786-2022 FSC-klagomål mail.docx", "A 21786-2022")</f>
        <v/>
      </c>
      <c r="AC285">
        <f>HYPERLINK("https://klasma.github.io/Logging_2161/tillsyn/A 21786-2022 tillsynsbegäran.docx", "A 21786-2022")</f>
        <v/>
      </c>
      <c r="AD285">
        <f>HYPERLINK("https://klasma.github.io/Logging_2161/tillsynsmail/A 21786-2022 tillsynsbegäran mail.docx", "A 21786-2022")</f>
        <v/>
      </c>
    </row>
    <row r="286" ht="15" customHeight="1">
      <c r="A286" t="inlineStr">
        <is>
          <t>A 24400-2025</t>
        </is>
      </c>
      <c r="B286" t="inlineStr">
        <is>
          <t>avverkningsanmälan</t>
        </is>
      </c>
      <c r="C286" t="inlineStr">
        <is>
          <t>Föryngringsavverkning</t>
        </is>
      </c>
      <c r="D286" s="1" t="n">
        <v>45797</v>
      </c>
      <c r="E286" s="1" t="n">
        <v>46292</v>
      </c>
      <c r="F286" t="inlineStr">
        <is>
          <t>GÄVLEBORGS LÄN</t>
        </is>
      </c>
      <c r="G286" t="inlineStr">
        <is>
          <t>LJUSDAL</t>
        </is>
      </c>
      <c r="I286" t="n">
        <v>4.9</v>
      </c>
      <c r="J286" t="n">
        <v>0</v>
      </c>
      <c r="K286" t="n">
        <v>0</v>
      </c>
      <c r="L286" t="n">
        <v>1</v>
      </c>
      <c r="M286" t="n">
        <v>0</v>
      </c>
      <c r="N286" t="n">
        <v>0</v>
      </c>
      <c r="O286" t="n">
        <v>0</v>
      </c>
      <c r="P286" t="n">
        <v>0</v>
      </c>
      <c r="Q286" t="n">
        <v>1</v>
      </c>
      <c r="R286" t="n">
        <v>0</v>
      </c>
      <c r="S286" t="n">
        <v>1</v>
      </c>
      <c r="T286" t="n">
        <v>1</v>
      </c>
      <c r="U286" t="n">
        <v>0</v>
      </c>
      <c r="V286" s="2" t="inlineStr">
        <is>
          <t>Violettgrå tagellav</t>
        </is>
      </c>
      <c r="W286">
        <f>HYPERLINK("https://klasma.github.io/Logging_2161/artfynd/A 24400-2025 artfynd.xlsx", "A 24400-2025")</f>
        <v/>
      </c>
      <c r="X286">
        <f>HYPERLINK("https://klasma.github.io/Logging_2161/kartor/A 24400-2025 karta.png", "A 24400-2025")</f>
        <v/>
      </c>
      <c r="Y286">
        <f>HYPERLINK("https://klasma.github.io/Logging_2161/kartor_geotiff/A 24400-2025 georefererad karta.tif", "A 24400-2025")</f>
        <v/>
      </c>
      <c r="AA286">
        <f>HYPERLINK("https://klasma.github.io/Logging_2161/klagomål/A 24400-2025 FSC-klagomål.docx", "A 24400-2025")</f>
        <v/>
      </c>
      <c r="AB286">
        <f>HYPERLINK("https://klasma.github.io/Logging_2161/klagomålsmail/A 24400-2025 FSC-klagomål mail.docx", "A 24400-2025")</f>
        <v/>
      </c>
      <c r="AC286">
        <f>HYPERLINK("https://klasma.github.io/Logging_2161/tillsyn/A 24400-2025 tillsynsbegäran.docx", "A 24400-2025")</f>
        <v/>
      </c>
      <c r="AD286">
        <f>HYPERLINK("https://klasma.github.io/Logging_2161/tillsynsmail/A 24400-2025 tillsynsbegäran mail.docx", "A 24400-2025")</f>
        <v/>
      </c>
    </row>
    <row r="287" ht="15" customHeight="1">
      <c r="A287" t="inlineStr">
        <is>
          <t>A 60763-2025</t>
        </is>
      </c>
      <c r="B287" t="inlineStr">
        <is>
          <t>avverkningsanmälan</t>
        </is>
      </c>
      <c r="C287" t="inlineStr">
        <is>
          <t>Föryngringsavverkning</t>
        </is>
      </c>
      <c r="D287" s="1" t="n">
        <v>45999</v>
      </c>
      <c r="E287" s="1" t="n">
        <v>46292</v>
      </c>
      <c r="F287" t="inlineStr">
        <is>
          <t>GÄVLEBORGS LÄN</t>
        </is>
      </c>
      <c r="G287" t="inlineStr">
        <is>
          <t>LJUSDAL</t>
        </is>
      </c>
      <c r="H287" t="inlineStr">
        <is>
          <t>SCA</t>
        </is>
      </c>
      <c r="I287" t="n">
        <v>7.5</v>
      </c>
      <c r="J287" t="n">
        <v>0</v>
      </c>
      <c r="K287" t="n">
        <v>0</v>
      </c>
      <c r="L287" t="n">
        <v>1</v>
      </c>
      <c r="M287" t="n">
        <v>0</v>
      </c>
      <c r="N287" t="n">
        <v>0</v>
      </c>
      <c r="O287" t="n">
        <v>0</v>
      </c>
      <c r="P287" t="n">
        <v>0</v>
      </c>
      <c r="Q287" t="n">
        <v>1</v>
      </c>
      <c r="R287" t="n">
        <v>0</v>
      </c>
      <c r="S287" t="n">
        <v>1</v>
      </c>
      <c r="T287" t="n">
        <v>1</v>
      </c>
      <c r="U287" t="n">
        <v>1</v>
      </c>
      <c r="V287" s="2" t="inlineStr">
        <is>
          <t>Tallticka</t>
        </is>
      </c>
      <c r="W287">
        <f>HYPERLINK("https://klasma.github.io/Logging_2161/artfynd/A 60763-2025 artfynd.xlsx", "A 60763-2025")</f>
        <v/>
      </c>
      <c r="X287">
        <f>HYPERLINK("https://klasma.github.io/Logging_2161/kartor/A 60763-2025 karta.png", "A 60763-2025")</f>
        <v/>
      </c>
      <c r="Y287">
        <f>HYPERLINK("https://klasma.github.io/Logging_2161/kartor_geotiff/A 60763-2025 georefererad karta.tif", "A 60763-2025")</f>
        <v/>
      </c>
      <c r="AA287">
        <f>HYPERLINK("https://klasma.github.io/Logging_2161/klagomål/A 60763-2025 FSC-klagomål.docx", "A 60763-2025")</f>
        <v/>
      </c>
      <c r="AB287">
        <f>HYPERLINK("https://klasma.github.io/Logging_2161/klagomålsmail/A 60763-2025 FSC-klagomål mail.docx", "A 60763-2025")</f>
        <v/>
      </c>
      <c r="AC287">
        <f>HYPERLINK("https://klasma.github.io/Logging_2161/tillsyn/A 60763-2025 tillsynsbegäran.docx", "A 60763-2025")</f>
        <v/>
      </c>
      <c r="AD287">
        <f>HYPERLINK("https://klasma.github.io/Logging_2161/tillsynsmail/A 60763-2025 tillsynsbegäran mail.docx", "A 60763-2025")</f>
        <v/>
      </c>
    </row>
    <row r="288" ht="15" customHeight="1">
      <c r="A288" t="inlineStr">
        <is>
          <t>A 63095-2025</t>
        </is>
      </c>
      <c r="B288" t="inlineStr">
        <is>
          <t>avverkningsanmälan</t>
        </is>
      </c>
      <c r="C288" t="inlineStr">
        <is>
          <t>Föryngringsavverkning</t>
        </is>
      </c>
      <c r="D288" s="1" t="n">
        <v>46009</v>
      </c>
      <c r="E288" s="1" t="n">
        <v>46292</v>
      </c>
      <c r="F288" t="inlineStr">
        <is>
          <t>GÄVLEBORGS LÄN</t>
        </is>
      </c>
      <c r="G288" t="inlineStr">
        <is>
          <t>LJUSDAL</t>
        </is>
      </c>
      <c r="H288" t="inlineStr">
        <is>
          <t>Kommuner</t>
        </is>
      </c>
      <c r="I288" t="n">
        <v>5.7</v>
      </c>
      <c r="J288" t="n">
        <v>1</v>
      </c>
      <c r="K288" t="n">
        <v>1</v>
      </c>
      <c r="L288" t="n">
        <v>0</v>
      </c>
      <c r="M288" t="n">
        <v>0</v>
      </c>
      <c r="N288" t="n">
        <v>0</v>
      </c>
      <c r="O288" t="n">
        <v>0</v>
      </c>
      <c r="P288" t="n">
        <v>0</v>
      </c>
      <c r="Q288" t="n">
        <v>0</v>
      </c>
      <c r="R288" t="n">
        <v>0</v>
      </c>
      <c r="S288" t="n">
        <v>1</v>
      </c>
      <c r="T288" t="n">
        <v>1</v>
      </c>
      <c r="U288" t="n">
        <v>1</v>
      </c>
      <c r="V288" s="2" t="inlineStr">
        <is>
          <t>Plattlummer</t>
        </is>
      </c>
      <c r="W288">
        <f>HYPERLINK("https://klasma.github.io/Logging_2161/artfynd/A 63095-2025 artfynd.xlsx", "A 63095-2025")</f>
        <v/>
      </c>
      <c r="X288">
        <f>HYPERLINK("https://klasma.github.io/Logging_2161/kartor/A 63095-2025 karta.png", "A 63095-2025")</f>
        <v/>
      </c>
      <c r="Y288">
        <f>HYPERLINK("https://klasma.github.io/Logging_2161/kartor_geotiff/A 63095-2025 georefererad karta.tif", "A 63095-2025")</f>
        <v/>
      </c>
      <c r="AA288">
        <f>HYPERLINK("https://klasma.github.io/Logging_2161/klagomål/A 63095-2025 FSC-klagomål.docx", "A 63095-2025")</f>
        <v/>
      </c>
      <c r="AB288">
        <f>HYPERLINK("https://klasma.github.io/Logging_2161/klagomålsmail/A 63095-2025 FSC-klagomål mail.docx", "A 63095-2025")</f>
        <v/>
      </c>
      <c r="AC288">
        <f>HYPERLINK("https://klasma.github.io/Logging_2161/tillsyn/A 63095-2025 tillsynsbegäran.docx", "A 63095-2025")</f>
        <v/>
      </c>
      <c r="AD288">
        <f>HYPERLINK("https://klasma.github.io/Logging_2161/tillsynsmail/A 63095-2025 tillsynsbegäran mail.docx", "A 63095-2025")</f>
        <v/>
      </c>
    </row>
    <row r="289" ht="15" customHeight="1">
      <c r="A289" t="inlineStr">
        <is>
          <t>A 41010-2025</t>
        </is>
      </c>
      <c r="B289" t="inlineStr">
        <is>
          <t>avverkningsanmälan</t>
        </is>
      </c>
      <c r="C289" t="inlineStr">
        <is>
          <t>Föryngringsavverkning</t>
        </is>
      </c>
      <c r="D289" s="1" t="n">
        <v>45898</v>
      </c>
      <c r="E289" s="1" t="n">
        <v>46292</v>
      </c>
      <c r="F289" t="inlineStr">
        <is>
          <t>GÄVLEBORGS LÄN</t>
        </is>
      </c>
      <c r="G289" t="inlineStr">
        <is>
          <t>LJUSDAL</t>
        </is>
      </c>
      <c r="H289" t="inlineStr">
        <is>
          <t>Sveaskog</t>
        </is>
      </c>
      <c r="I289" t="n">
        <v>10.1</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HYPERLINK("https://klasma.github.io/Logging_2161/artfynd/A 41010-2025 artfynd.xlsx", "A 41010-2025")</f>
        <v/>
      </c>
      <c r="X289">
        <f>HYPERLINK("https://klasma.github.io/Logging_2161/kartor/A 41010-2025 karta.png", "A 41010-2025")</f>
        <v/>
      </c>
      <c r="Y289">
        <f>HYPERLINK("https://klasma.github.io/Logging_2161/kartor_geotiff/A 41010-2025 georefererad karta.tif", "A 41010-2025")</f>
        <v/>
      </c>
      <c r="Z289">
        <f>HYPERLINK("https://klasma.github.io/Logging_2161/knärot/A 41010-2025 karta knärot.png", "A 41010-2025")</f>
        <v/>
      </c>
      <c r="AA289">
        <f>HYPERLINK("https://klasma.github.io/Logging_2161/klagomål/A 41010-2025 FSC-klagomål.docx", "A 41010-2025")</f>
        <v/>
      </c>
      <c r="AB289">
        <f>HYPERLINK("https://klasma.github.io/Logging_2161/klagomålsmail/A 41010-2025 FSC-klagomål mail.docx", "A 41010-2025")</f>
        <v/>
      </c>
      <c r="AC289">
        <f>HYPERLINK("https://klasma.github.io/Logging_2161/tillsyn/A 41010-2025 tillsynsbegäran.docx", "A 41010-2025")</f>
        <v/>
      </c>
      <c r="AD289">
        <f>HYPERLINK("https://klasma.github.io/Logging_2161/tillsynsmail/A 41010-2025 tillsynsbegäran mail.docx", "A 41010-2025")</f>
        <v/>
      </c>
    </row>
    <row r="290" ht="15" customHeight="1">
      <c r="A290" t="inlineStr">
        <is>
          <t>A 41211-2025</t>
        </is>
      </c>
      <c r="B290" t="inlineStr">
        <is>
          <t>avverkningsanmälan</t>
        </is>
      </c>
      <c r="C290" t="inlineStr">
        <is>
          <t>Föryngringsavverkning</t>
        </is>
      </c>
      <c r="D290" s="1" t="n">
        <v>45898</v>
      </c>
      <c r="E290" s="1" t="n">
        <v>46292</v>
      </c>
      <c r="F290" t="inlineStr">
        <is>
          <t>GÄVLEBORGS LÄN</t>
        </is>
      </c>
      <c r="G290" t="inlineStr">
        <is>
          <t>LJUSDAL</t>
        </is>
      </c>
      <c r="H290" t="inlineStr">
        <is>
          <t>Sveaskog</t>
        </is>
      </c>
      <c r="I290" t="n">
        <v>4.9</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HYPERLINK("https://klasma.github.io/Logging_2161/artfynd/A 41211-2025 artfynd.xlsx", "A 41211-2025")</f>
        <v/>
      </c>
      <c r="X290">
        <f>HYPERLINK("https://klasma.github.io/Logging_2161/kartor/A 41211-2025 karta.png", "A 41211-2025")</f>
        <v/>
      </c>
      <c r="Y290">
        <f>HYPERLINK("https://klasma.github.io/Logging_2161/kartor_geotiff/A 41211-2025 georefererad karta.tif", "A 41211-2025")</f>
        <v/>
      </c>
      <c r="AA290">
        <f>HYPERLINK("https://klasma.github.io/Logging_2161/klagomål/A 41211-2025 FSC-klagomål.docx", "A 41211-2025")</f>
        <v/>
      </c>
      <c r="AB290">
        <f>HYPERLINK("https://klasma.github.io/Logging_2161/klagomålsmail/A 41211-2025 FSC-klagomål mail.docx", "A 41211-2025")</f>
        <v/>
      </c>
      <c r="AC290">
        <f>HYPERLINK("https://klasma.github.io/Logging_2161/tillsyn/A 41211-2025 tillsynsbegäran.docx", "A 41211-2025")</f>
        <v/>
      </c>
      <c r="AD290">
        <f>HYPERLINK("https://klasma.github.io/Logging_2161/tillsynsmail/A 41211-2025 tillsynsbegäran mail.docx", "A 41211-2025")</f>
        <v/>
      </c>
    </row>
    <row r="291" ht="15" customHeight="1">
      <c r="A291" t="inlineStr">
        <is>
          <t>A 41457-2025</t>
        </is>
      </c>
      <c r="B291" t="inlineStr">
        <is>
          <t>avverkningsanmälan</t>
        </is>
      </c>
      <c r="C291" t="inlineStr">
        <is>
          <t>Föryngringsavverkning</t>
        </is>
      </c>
      <c r="D291" s="1" t="n">
        <v>45901</v>
      </c>
      <c r="E291" s="1" t="n">
        <v>46292</v>
      </c>
      <c r="F291" t="inlineStr">
        <is>
          <t>GÄVLEBORGS LÄN</t>
        </is>
      </c>
      <c r="G291" t="inlineStr">
        <is>
          <t>LJUSDAL</t>
        </is>
      </c>
      <c r="H291" t="inlineStr">
        <is>
          <t>Bergvik skog väst AB</t>
        </is>
      </c>
      <c r="I291" t="n">
        <v>3.2</v>
      </c>
      <c r="J291" t="n">
        <v>0</v>
      </c>
      <c r="K291" t="n">
        <v>0</v>
      </c>
      <c r="L291" t="n">
        <v>0</v>
      </c>
      <c r="M291" t="n">
        <v>1</v>
      </c>
      <c r="N291" t="n">
        <v>0</v>
      </c>
      <c r="O291" t="n">
        <v>0</v>
      </c>
      <c r="P291" t="n">
        <v>0</v>
      </c>
      <c r="Q291" t="n">
        <v>1</v>
      </c>
      <c r="R291" t="n">
        <v>1</v>
      </c>
      <c r="S291" t="n">
        <v>1</v>
      </c>
      <c r="T291" t="n">
        <v>4</v>
      </c>
      <c r="U291" t="n">
        <v>4</v>
      </c>
      <c r="V291" s="2" t="inlineStr">
        <is>
          <t>Garnlav</t>
        </is>
      </c>
      <c r="W291">
        <f>HYPERLINK("https://klasma.github.io/Logging_2161/artfynd/A 41457-2025 artfynd.xlsx", "A 41457-2025")</f>
        <v/>
      </c>
      <c r="X291">
        <f>HYPERLINK("https://klasma.github.io/Logging_2161/kartor/A 41457-2025 karta.png", "A 41457-2025")</f>
        <v/>
      </c>
      <c r="Y291">
        <f>HYPERLINK("https://klasma.github.io/Logging_2161/kartor_geotiff/A 41457-2025 georefererad karta.tif", "A 41457-2025")</f>
        <v/>
      </c>
      <c r="AA291">
        <f>HYPERLINK("https://klasma.github.io/Logging_2161/klagomål/A 41457-2025 FSC-klagomål.docx", "A 41457-2025")</f>
        <v/>
      </c>
      <c r="AB291">
        <f>HYPERLINK("https://klasma.github.io/Logging_2161/klagomålsmail/A 41457-2025 FSC-klagomål mail.docx", "A 41457-2025")</f>
        <v/>
      </c>
      <c r="AC291">
        <f>HYPERLINK("https://klasma.github.io/Logging_2161/tillsyn/A 41457-2025 tillsynsbegäran.docx", "A 41457-2025")</f>
        <v/>
      </c>
      <c r="AD291">
        <f>HYPERLINK("https://klasma.github.io/Logging_2161/tillsynsmail/A 41457-2025 tillsynsbegäran mail.docx", "A 41457-2025")</f>
        <v/>
      </c>
    </row>
    <row r="292" ht="15" customHeight="1">
      <c r="A292" t="inlineStr">
        <is>
          <t>A 41463-2025</t>
        </is>
      </c>
      <c r="B292" t="inlineStr">
        <is>
          <t>avverkningsanmälan</t>
        </is>
      </c>
      <c r="C292" t="inlineStr">
        <is>
          <t>Föryngringsavverkning</t>
        </is>
      </c>
      <c r="D292" s="1" t="n">
        <v>45901</v>
      </c>
      <c r="E292" s="1" t="n">
        <v>46292</v>
      </c>
      <c r="F292" t="inlineStr">
        <is>
          <t>GÄVLEBORGS LÄN</t>
        </is>
      </c>
      <c r="G292" t="inlineStr">
        <is>
          <t>LJUSDAL</t>
        </is>
      </c>
      <c r="H292" t="inlineStr">
        <is>
          <t>Bergvik skog väst AB</t>
        </is>
      </c>
      <c r="I292" t="n">
        <v>5.6</v>
      </c>
      <c r="J292" t="n">
        <v>0</v>
      </c>
      <c r="K292" t="n">
        <v>0</v>
      </c>
      <c r="L292" t="n">
        <v>0</v>
      </c>
      <c r="M292" t="n">
        <v>1</v>
      </c>
      <c r="N292" t="n">
        <v>0</v>
      </c>
      <c r="O292" t="n">
        <v>0</v>
      </c>
      <c r="P292" t="n">
        <v>0</v>
      </c>
      <c r="Q292" t="n">
        <v>1</v>
      </c>
      <c r="R292" t="n">
        <v>1</v>
      </c>
      <c r="S292" t="n">
        <v>1</v>
      </c>
      <c r="T292" t="n">
        <v>2</v>
      </c>
      <c r="U292" t="n">
        <v>2</v>
      </c>
      <c r="V292" s="2" t="inlineStr">
        <is>
          <t>Garnlav</t>
        </is>
      </c>
      <c r="W292">
        <f>HYPERLINK("https://klasma.github.io/Logging_2161/artfynd/A 41463-2025 artfynd.xlsx", "A 41463-2025")</f>
        <v/>
      </c>
      <c r="X292">
        <f>HYPERLINK("https://klasma.github.io/Logging_2161/kartor/A 41463-2025 karta.png", "A 41463-2025")</f>
        <v/>
      </c>
      <c r="Y292">
        <f>HYPERLINK("https://klasma.github.io/Logging_2161/kartor_geotiff/A 41463-2025 georefererad karta.tif", "A 41463-2025")</f>
        <v/>
      </c>
      <c r="AA292">
        <f>HYPERLINK("https://klasma.github.io/Logging_2161/klagomål/A 41463-2025 FSC-klagomål.docx", "A 41463-2025")</f>
        <v/>
      </c>
      <c r="AB292">
        <f>HYPERLINK("https://klasma.github.io/Logging_2161/klagomålsmail/A 41463-2025 FSC-klagomål mail.docx", "A 41463-2025")</f>
        <v/>
      </c>
      <c r="AC292">
        <f>HYPERLINK("https://klasma.github.io/Logging_2161/tillsyn/A 41463-2025 tillsynsbegäran.docx", "A 41463-2025")</f>
        <v/>
      </c>
      <c r="AD292">
        <f>HYPERLINK("https://klasma.github.io/Logging_2161/tillsynsmail/A 41463-2025 tillsynsbegäran mail.docx", "A 41463-2025")</f>
        <v/>
      </c>
    </row>
    <row r="293" ht="15" customHeight="1">
      <c r="A293" t="inlineStr">
        <is>
          <t>A 44856-2024</t>
        </is>
      </c>
      <c r="B293" t="inlineStr">
        <is>
          <t>avverkningsanmälan</t>
        </is>
      </c>
      <c r="C293" t="inlineStr">
        <is>
          <t>Föryngringsavverkning</t>
        </is>
      </c>
      <c r="D293" s="1" t="n">
        <v>45575</v>
      </c>
      <c r="E293" s="1" t="n">
        <v>46292</v>
      </c>
      <c r="F293" t="inlineStr">
        <is>
          <t>GÄVLEBORGS LÄN</t>
        </is>
      </c>
      <c r="G293" t="inlineStr">
        <is>
          <t>LJUSDAL</t>
        </is>
      </c>
      <c r="I293" t="n">
        <v>2.3</v>
      </c>
      <c r="J293" t="n">
        <v>0</v>
      </c>
      <c r="K293" t="n">
        <v>1</v>
      </c>
      <c r="L293" t="n">
        <v>0</v>
      </c>
      <c r="M293" t="n">
        <v>0</v>
      </c>
      <c r="N293" t="n">
        <v>0</v>
      </c>
      <c r="O293" t="n">
        <v>0</v>
      </c>
      <c r="P293" t="n">
        <v>0</v>
      </c>
      <c r="Q293" t="n">
        <v>0</v>
      </c>
      <c r="R293" t="n">
        <v>0</v>
      </c>
      <c r="S293" t="n">
        <v>1</v>
      </c>
      <c r="T293" t="n">
        <v>1</v>
      </c>
      <c r="U293" t="n">
        <v>0</v>
      </c>
      <c r="V293" s="2" t="inlineStr">
        <is>
          <t>Nästlav</t>
        </is>
      </c>
      <c r="W293">
        <f>HYPERLINK("https://klasma.github.io/Logging_2161/artfynd/A 44856-2024 artfynd.xlsx", "A 44856-2024")</f>
        <v/>
      </c>
      <c r="X293">
        <f>HYPERLINK("https://klasma.github.io/Logging_2161/kartor/A 44856-2024 karta.png", "A 44856-2024")</f>
        <v/>
      </c>
      <c r="Y293">
        <f>HYPERLINK("https://klasma.github.io/Logging_2161/kartor_geotiff/A 44856-2024 georefererad karta.tif", "A 44856-2024")</f>
        <v/>
      </c>
      <c r="AA293">
        <f>HYPERLINK("https://klasma.github.io/Logging_2161/klagomål/A 44856-2024 FSC-klagomål.docx", "A 44856-2024")</f>
        <v/>
      </c>
      <c r="AB293">
        <f>HYPERLINK("https://klasma.github.io/Logging_2161/klagomålsmail/A 44856-2024 FSC-klagomål mail.docx", "A 44856-2024")</f>
        <v/>
      </c>
      <c r="AC293">
        <f>HYPERLINK("https://klasma.github.io/Logging_2161/tillsyn/A 44856-2024 tillsynsbegäran.docx", "A 44856-2024")</f>
        <v/>
      </c>
      <c r="AD293">
        <f>HYPERLINK("https://klasma.github.io/Logging_2161/tillsynsmail/A 44856-2024 tillsynsbegäran mail.docx", "A 44856-2024")</f>
        <v/>
      </c>
    </row>
    <row r="294" ht="15" customHeight="1">
      <c r="A294" t="inlineStr">
        <is>
          <t>A 23777-2025</t>
        </is>
      </c>
      <c r="B294" t="inlineStr">
        <is>
          <t>avverkningsanmälan</t>
        </is>
      </c>
      <c r="C294" t="inlineStr">
        <is>
          <t>Föryngringsavverkning</t>
        </is>
      </c>
      <c r="D294" s="1" t="n">
        <v>45793</v>
      </c>
      <c r="E294" s="1" t="n">
        <v>46292</v>
      </c>
      <c r="F294" t="inlineStr">
        <is>
          <t>GÄVLEBORGS LÄN</t>
        </is>
      </c>
      <c r="G294" t="inlineStr">
        <is>
          <t>LJUSDAL</t>
        </is>
      </c>
      <c r="H294" t="inlineStr">
        <is>
          <t>Sveaskog</t>
        </is>
      </c>
      <c r="I294" t="n">
        <v>6.7</v>
      </c>
      <c r="J294" t="n">
        <v>1</v>
      </c>
      <c r="K294" t="n">
        <v>0</v>
      </c>
      <c r="L294" t="n">
        <v>0</v>
      </c>
      <c r="M294" t="n">
        <v>1</v>
      </c>
      <c r="N294" t="n">
        <v>0</v>
      </c>
      <c r="O294" t="n">
        <v>0</v>
      </c>
      <c r="P294" t="n">
        <v>0</v>
      </c>
      <c r="Q294" t="n">
        <v>1</v>
      </c>
      <c r="R294" t="n">
        <v>1</v>
      </c>
      <c r="S294" t="n">
        <v>1</v>
      </c>
      <c r="T294" t="n">
        <v>3</v>
      </c>
      <c r="U294" t="n">
        <v>3</v>
      </c>
      <c r="V294" s="2" t="inlineStr">
        <is>
          <t>Knärot</t>
        </is>
      </c>
      <c r="W294">
        <f>HYPERLINK("https://klasma.github.io/Logging_2161/artfynd/A 23777-2025 artfynd.xlsx", "A 23777-2025")</f>
        <v/>
      </c>
      <c r="X294">
        <f>HYPERLINK("https://klasma.github.io/Logging_2161/kartor/A 23777-2025 karta.png", "A 23777-2025")</f>
        <v/>
      </c>
      <c r="Y294">
        <f>HYPERLINK("https://klasma.github.io/Logging_2161/kartor_geotiff/A 23777-2025 georefererad karta.tif", "A 23777-2025")</f>
        <v/>
      </c>
      <c r="Z294">
        <f>HYPERLINK("https://klasma.github.io/Logging_2161/knärot/A 23777-2025 karta knärot.png", "A 23777-2025")</f>
        <v/>
      </c>
      <c r="AA294">
        <f>HYPERLINK("https://klasma.github.io/Logging_2161/klagomål/A 23777-2025 FSC-klagomål.docx", "A 23777-2025")</f>
        <v/>
      </c>
      <c r="AB294">
        <f>HYPERLINK("https://klasma.github.io/Logging_2161/klagomålsmail/A 23777-2025 FSC-klagomål mail.docx", "A 23777-2025")</f>
        <v/>
      </c>
      <c r="AC294">
        <f>HYPERLINK("https://klasma.github.io/Logging_2161/tillsyn/A 23777-2025 tillsynsbegäran.docx", "A 23777-2025")</f>
        <v/>
      </c>
      <c r="AD294">
        <f>HYPERLINK("https://klasma.github.io/Logging_2161/tillsynsmail/A 23777-2025 tillsynsbegäran mail.docx", "A 23777-2025")</f>
        <v/>
      </c>
    </row>
    <row r="295" ht="15" customHeight="1">
      <c r="A295" t="inlineStr">
        <is>
          <t>A 42018-2025</t>
        </is>
      </c>
      <c r="B295" t="inlineStr">
        <is>
          <t>avverkningsanmälan</t>
        </is>
      </c>
      <c r="C295" t="inlineStr">
        <is>
          <t>Föryngringsavverkning</t>
        </is>
      </c>
      <c r="D295" s="1" t="n">
        <v>45903</v>
      </c>
      <c r="E295" s="1" t="n">
        <v>46292</v>
      </c>
      <c r="F295" t="inlineStr">
        <is>
          <t>GÄVLEBORGS LÄN</t>
        </is>
      </c>
      <c r="G295" t="inlineStr">
        <is>
          <t>LJUSDAL</t>
        </is>
      </c>
      <c r="H295" t="inlineStr">
        <is>
          <t>Bergvik skog väst AB</t>
        </is>
      </c>
      <c r="I295" t="n">
        <v>0.7</v>
      </c>
      <c r="J295" t="n">
        <v>0</v>
      </c>
      <c r="K295" t="n">
        <v>0</v>
      </c>
      <c r="L295" t="n">
        <v>1</v>
      </c>
      <c r="M295" t="n">
        <v>0</v>
      </c>
      <c r="N295" t="n">
        <v>0</v>
      </c>
      <c r="O295" t="n">
        <v>0</v>
      </c>
      <c r="P295" t="n">
        <v>0</v>
      </c>
      <c r="Q295" t="n">
        <v>1</v>
      </c>
      <c r="R295" t="n">
        <v>0</v>
      </c>
      <c r="S295" t="n">
        <v>1</v>
      </c>
      <c r="T295" t="n">
        <v>1</v>
      </c>
      <c r="U295" t="n">
        <v>0</v>
      </c>
      <c r="V295" s="2" t="inlineStr">
        <is>
          <t>Skogshare</t>
        </is>
      </c>
      <c r="W295">
        <f>HYPERLINK("https://klasma.github.io/Logging_2161/artfynd/A 42018-2025 artfynd.xlsx", "A 42018-2025")</f>
        <v/>
      </c>
      <c r="X295">
        <f>HYPERLINK("https://klasma.github.io/Logging_2161/kartor/A 42018-2025 karta.png", "A 42018-2025")</f>
        <v/>
      </c>
      <c r="Y295">
        <f>HYPERLINK("https://klasma.github.io/Logging_2161/kartor_geotiff/A 42018-2025 georefererad karta.tif", "A 42018-2025")</f>
        <v/>
      </c>
      <c r="AA295">
        <f>HYPERLINK("https://klasma.github.io/Logging_2161/klagomål/A 42018-2025 FSC-klagomål.docx", "A 42018-2025")</f>
        <v/>
      </c>
      <c r="AB295">
        <f>HYPERLINK("https://klasma.github.io/Logging_2161/klagomålsmail/A 42018-2025 FSC-klagomål mail.docx", "A 42018-2025")</f>
        <v/>
      </c>
      <c r="AC295">
        <f>HYPERLINK("https://klasma.github.io/Logging_2161/tillsyn/A 42018-2025 tillsynsbegäran.docx", "A 42018-2025")</f>
        <v/>
      </c>
      <c r="AD295">
        <f>HYPERLINK("https://klasma.github.io/Logging_2161/tillsynsmail/A 42018-2025 tillsynsbegäran mail.docx", "A 42018-2025")</f>
        <v/>
      </c>
    </row>
    <row r="296" ht="15" customHeight="1">
      <c r="A296" t="inlineStr">
        <is>
          <t>A 38495-2025</t>
        </is>
      </c>
      <c r="B296" t="inlineStr">
        <is>
          <t>avverkningsanmälan</t>
        </is>
      </c>
      <c r="C296" t="inlineStr">
        <is>
          <t>Föryngringsavverkning</t>
        </is>
      </c>
      <c r="D296" s="1" t="n">
        <v>45884</v>
      </c>
      <c r="E296" s="1" t="n">
        <v>46292</v>
      </c>
      <c r="F296" t="inlineStr">
        <is>
          <t>GÄVLEBORGS LÄN</t>
        </is>
      </c>
      <c r="G296" t="inlineStr">
        <is>
          <t>LJUSDAL</t>
        </is>
      </c>
      <c r="H296" t="inlineStr">
        <is>
          <t>Sveaskog</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HYPERLINK("https://klasma.github.io/Logging_2161/artfynd/A 38495-2025 artfynd.xlsx", "A 38495-2025")</f>
        <v/>
      </c>
      <c r="X296">
        <f>HYPERLINK("https://klasma.github.io/Logging_2161/kartor/A 38495-2025 karta.png", "A 38495-2025")</f>
        <v/>
      </c>
      <c r="Y296">
        <f>HYPERLINK("https://klasma.github.io/Logging_2161/kartor_geotiff/A 38495-2025 georefererad karta.tif", "A 38495-2025")</f>
        <v/>
      </c>
      <c r="AA296">
        <f>HYPERLINK("https://klasma.github.io/Logging_2161/klagomål/A 38495-2025 FSC-klagomål.docx", "A 38495-2025")</f>
        <v/>
      </c>
      <c r="AB296">
        <f>HYPERLINK("https://klasma.github.io/Logging_2161/klagomålsmail/A 38495-2025 FSC-klagomål mail.docx", "A 38495-2025")</f>
        <v/>
      </c>
      <c r="AC296">
        <f>HYPERLINK("https://klasma.github.io/Logging_2161/tillsyn/A 38495-2025 tillsynsbegäran.docx", "A 38495-2025")</f>
        <v/>
      </c>
      <c r="AD296">
        <f>HYPERLINK("https://klasma.github.io/Logging_2161/tillsynsmail/A 38495-2025 tillsynsbegäran mail.docx", "A 38495-2025")</f>
        <v/>
      </c>
    </row>
    <row r="297" ht="15" customHeight="1">
      <c r="A297" t="inlineStr">
        <is>
          <t>A 2584-2025</t>
        </is>
      </c>
      <c r="B297" t="inlineStr">
        <is>
          <t>avverkningsanmälan</t>
        </is>
      </c>
      <c r="C297" t="inlineStr">
        <is>
          <t>Föryngringsavverkning</t>
        </is>
      </c>
      <c r="D297" s="1" t="n">
        <v>45674</v>
      </c>
      <c r="E297" s="1" t="n">
        <v>46292</v>
      </c>
      <c r="F297" t="inlineStr">
        <is>
          <t>GÄVLEBORGS LÄN</t>
        </is>
      </c>
      <c r="G297" t="inlineStr">
        <is>
          <t>LJUSDAL</t>
        </is>
      </c>
      <c r="H297" t="inlineStr">
        <is>
          <t>Sveaskog</t>
        </is>
      </c>
      <c r="I297" t="n">
        <v>4.1</v>
      </c>
      <c r="J297" t="n">
        <v>0</v>
      </c>
      <c r="K297" t="n">
        <v>0</v>
      </c>
      <c r="L297" t="n">
        <v>0</v>
      </c>
      <c r="M297" t="n">
        <v>0</v>
      </c>
      <c r="N297" t="n">
        <v>0</v>
      </c>
      <c r="O297" t="n">
        <v>1</v>
      </c>
      <c r="P297" t="n">
        <v>0</v>
      </c>
      <c r="Q297" t="n">
        <v>1</v>
      </c>
      <c r="R297" t="n">
        <v>1</v>
      </c>
      <c r="S297" t="n">
        <v>1</v>
      </c>
      <c r="T297" t="n">
        <v>1</v>
      </c>
      <c r="U297" t="n">
        <v>1</v>
      </c>
      <c r="V297" s="2" t="inlineStr">
        <is>
          <t>Flodkräfta</t>
        </is>
      </c>
      <c r="W297">
        <f>HYPERLINK("https://klasma.github.io/Logging_2161/artfynd/A 2584-2025 artfynd.xlsx", "A 2584-2025")</f>
        <v/>
      </c>
      <c r="X297">
        <f>HYPERLINK("https://klasma.github.io/Logging_2161/kartor/A 2584-2025 karta.png", "A 2584-2025")</f>
        <v/>
      </c>
      <c r="Y297">
        <f>HYPERLINK("https://klasma.github.io/Logging_2161/kartor_geotiff/A 2584-2025 georefererad karta.tif", "A 2584-2025")</f>
        <v/>
      </c>
      <c r="AA297">
        <f>HYPERLINK("https://klasma.github.io/Logging_2161/klagomål/A 2584-2025 FSC-klagomål.docx", "A 2584-2025")</f>
        <v/>
      </c>
      <c r="AB297">
        <f>HYPERLINK("https://klasma.github.io/Logging_2161/klagomålsmail/A 2584-2025 FSC-klagomål mail.docx", "A 2584-2025")</f>
        <v/>
      </c>
      <c r="AC297">
        <f>HYPERLINK("https://klasma.github.io/Logging_2161/tillsyn/A 2584-2025 tillsynsbegäran.docx", "A 2584-2025")</f>
        <v/>
      </c>
      <c r="AD297">
        <f>HYPERLINK("https://klasma.github.io/Logging_2161/tillsynsmail/A 2584-2025 tillsynsbegäran mail.docx", "A 2584-2025")</f>
        <v/>
      </c>
    </row>
    <row r="298" ht="15" customHeight="1">
      <c r="A298" t="inlineStr">
        <is>
          <t>A 49803-2022</t>
        </is>
      </c>
      <c r="B298" t="inlineStr">
        <is>
          <t>avverkningsanmälan</t>
        </is>
      </c>
      <c r="C298" t="inlineStr">
        <is>
          <t>Föryngringsavverkning</t>
        </is>
      </c>
      <c r="D298" s="1" t="n">
        <v>44862</v>
      </c>
      <c r="E298" s="1" t="n">
        <v>46292</v>
      </c>
      <c r="F298" t="inlineStr">
        <is>
          <t>GÄVLEBORGS LÄN</t>
        </is>
      </c>
      <c r="G298" t="inlineStr">
        <is>
          <t>LJUSDAL</t>
        </is>
      </c>
      <c r="H298" t="inlineStr">
        <is>
          <t>Sveaskog</t>
        </is>
      </c>
      <c r="I298" t="n">
        <v>1.9</v>
      </c>
      <c r="J298" t="n">
        <v>1</v>
      </c>
      <c r="K298" t="n">
        <v>0</v>
      </c>
      <c r="L298" t="n">
        <v>0</v>
      </c>
      <c r="M298" t="n">
        <v>0</v>
      </c>
      <c r="N298" t="n">
        <v>0</v>
      </c>
      <c r="O298" t="n">
        <v>0</v>
      </c>
      <c r="P298" t="n">
        <v>0</v>
      </c>
      <c r="Q298" t="n">
        <v>0</v>
      </c>
      <c r="R298" t="n">
        <v>0</v>
      </c>
      <c r="S298" t="n">
        <v>1</v>
      </c>
      <c r="T298" t="n">
        <v>3</v>
      </c>
      <c r="U298" t="n">
        <v>3</v>
      </c>
      <c r="V298" s="2" t="inlineStr">
        <is>
          <t>Fläcknycklar</t>
        </is>
      </c>
      <c r="W298">
        <f>HYPERLINK("https://klasma.github.io/Logging_2161/artfynd/A 49803-2022 artfynd.xlsx", "A 49803-2022")</f>
        <v/>
      </c>
      <c r="X298">
        <f>HYPERLINK("https://klasma.github.io/Logging_2161/kartor/A 49803-2022 karta.png", "A 49803-2022")</f>
        <v/>
      </c>
      <c r="Y298">
        <f>HYPERLINK("https://klasma.github.io/Logging_2161/kartor_geotiff/A 49803-2022 georefererad karta.tif", "A 49803-2022")</f>
        <v/>
      </c>
      <c r="AA298">
        <f>HYPERLINK("https://klasma.github.io/Logging_2161/klagomål/A 49803-2022 FSC-klagomål.docx", "A 49803-2022")</f>
        <v/>
      </c>
      <c r="AB298">
        <f>HYPERLINK("https://klasma.github.io/Logging_2161/klagomålsmail/A 49803-2022 FSC-klagomål mail.docx", "A 49803-2022")</f>
        <v/>
      </c>
      <c r="AC298">
        <f>HYPERLINK("https://klasma.github.io/Logging_2161/tillsyn/A 49803-2022 tillsynsbegäran.docx", "A 49803-2022")</f>
        <v/>
      </c>
      <c r="AD298">
        <f>HYPERLINK("https://klasma.github.io/Logging_2161/tillsynsmail/A 49803-2022 tillsynsbegäran mail.docx", "A 49803-2022")</f>
        <v/>
      </c>
    </row>
    <row r="299" ht="15" customHeight="1">
      <c r="A299" t="inlineStr">
        <is>
          <t>A 25991-2023</t>
        </is>
      </c>
      <c r="B299" t="inlineStr">
        <is>
          <t>avverkningsanmälan</t>
        </is>
      </c>
      <c r="C299" t="inlineStr">
        <is>
          <t>Föryngringsavverkning</t>
        </is>
      </c>
      <c r="D299" s="1" t="n">
        <v>45090</v>
      </c>
      <c r="E299" s="1" t="n">
        <v>46292</v>
      </c>
      <c r="F299" t="inlineStr">
        <is>
          <t>GÄVLEBORGS LÄN</t>
        </is>
      </c>
      <c r="G299" t="inlineStr">
        <is>
          <t>LJUSDAL</t>
        </is>
      </c>
      <c r="I299" t="n">
        <v>9.5</v>
      </c>
      <c r="J299" t="n">
        <v>1</v>
      </c>
      <c r="K299" t="n">
        <v>0</v>
      </c>
      <c r="L299" t="n">
        <v>0</v>
      </c>
      <c r="M299" t="n">
        <v>1</v>
      </c>
      <c r="N299" t="n">
        <v>0</v>
      </c>
      <c r="O299" t="n">
        <v>0</v>
      </c>
      <c r="P299" t="n">
        <v>0</v>
      </c>
      <c r="Q299" t="n">
        <v>1</v>
      </c>
      <c r="R299" t="n">
        <v>1</v>
      </c>
      <c r="S299" t="n">
        <v>1</v>
      </c>
      <c r="T299" t="n">
        <v>1</v>
      </c>
      <c r="U299" t="n">
        <v>0</v>
      </c>
      <c r="V299" s="2" t="inlineStr">
        <is>
          <t>Ävjepilört</t>
        </is>
      </c>
      <c r="W299">
        <f>HYPERLINK("https://klasma.github.io/Logging_2161/artfynd/A 25991-2023 artfynd.xlsx", "A 25991-2023")</f>
        <v/>
      </c>
      <c r="X299">
        <f>HYPERLINK("https://klasma.github.io/Logging_2161/kartor/A 25991-2023 karta.png", "A 25991-2023")</f>
        <v/>
      </c>
      <c r="Y299">
        <f>HYPERLINK("https://klasma.github.io/Logging_2161/kartor_geotiff/A 25991-2023 georefererad karta.tif", "A 25991-2023")</f>
        <v/>
      </c>
      <c r="AA299">
        <f>HYPERLINK("https://klasma.github.io/Logging_2161/klagomål/A 25991-2023 FSC-klagomål.docx", "A 25991-2023")</f>
        <v/>
      </c>
      <c r="AB299">
        <f>HYPERLINK("https://klasma.github.io/Logging_2161/klagomålsmail/A 25991-2023 FSC-klagomål mail.docx", "A 25991-2023")</f>
        <v/>
      </c>
      <c r="AC299">
        <f>HYPERLINK("https://klasma.github.io/Logging_2161/tillsyn/A 25991-2023 tillsynsbegäran.docx", "A 25991-2023")</f>
        <v/>
      </c>
      <c r="AD299">
        <f>HYPERLINK("https://klasma.github.io/Logging_2161/tillsynsmail/A 25991-2023 tillsynsbegäran mail.docx", "A 25991-2023")</f>
        <v/>
      </c>
    </row>
    <row r="300" ht="15" customHeight="1">
      <c r="A300" t="inlineStr">
        <is>
          <t>A 44445-2025</t>
        </is>
      </c>
      <c r="B300" t="inlineStr">
        <is>
          <t>avverkningsanmälan</t>
        </is>
      </c>
      <c r="C300" t="inlineStr">
        <is>
          <t>Föryngringsavverkning</t>
        </is>
      </c>
      <c r="D300" s="1" t="n">
        <v>45916</v>
      </c>
      <c r="E300" s="1" t="n">
        <v>46292</v>
      </c>
      <c r="F300" t="inlineStr">
        <is>
          <t>GÄVLEBORGS LÄN</t>
        </is>
      </c>
      <c r="G300" t="inlineStr">
        <is>
          <t>LJUSDAL</t>
        </is>
      </c>
      <c r="H300" t="inlineStr">
        <is>
          <t>Sveaskog</t>
        </is>
      </c>
      <c r="I300" t="n">
        <v>4.4</v>
      </c>
      <c r="J300" t="n">
        <v>1</v>
      </c>
      <c r="K300" t="n">
        <v>1</v>
      </c>
      <c r="L300" t="n">
        <v>0</v>
      </c>
      <c r="M300" t="n">
        <v>0</v>
      </c>
      <c r="N300" t="n">
        <v>0</v>
      </c>
      <c r="O300" t="n">
        <v>0</v>
      </c>
      <c r="P300" t="n">
        <v>0</v>
      </c>
      <c r="Q300" t="n">
        <v>0</v>
      </c>
      <c r="R300" t="n">
        <v>0</v>
      </c>
      <c r="S300" t="n">
        <v>1</v>
      </c>
      <c r="T300" t="n">
        <v>1</v>
      </c>
      <c r="U300" t="n">
        <v>0</v>
      </c>
      <c r="V300" s="2" t="inlineStr">
        <is>
          <t>Spindelblomster</t>
        </is>
      </c>
      <c r="W300">
        <f>HYPERLINK("https://klasma.github.io/Logging_2161/artfynd/A 44445-2025 artfynd.xlsx", "A 44445-2025")</f>
        <v/>
      </c>
      <c r="X300">
        <f>HYPERLINK("https://klasma.github.io/Logging_2161/kartor/A 44445-2025 karta.png", "A 44445-2025")</f>
        <v/>
      </c>
      <c r="Y300">
        <f>HYPERLINK("https://klasma.github.io/Logging_2161/kartor_geotiff/A 44445-2025 georefererad karta.tif", "A 44445-2025")</f>
        <v/>
      </c>
      <c r="AA300">
        <f>HYPERLINK("https://klasma.github.io/Logging_2161/klagomål/A 44445-2025 FSC-klagomål.docx", "A 44445-2025")</f>
        <v/>
      </c>
      <c r="AB300">
        <f>HYPERLINK("https://klasma.github.io/Logging_2161/klagomålsmail/A 44445-2025 FSC-klagomål mail.docx", "A 44445-2025")</f>
        <v/>
      </c>
      <c r="AC300">
        <f>HYPERLINK("https://klasma.github.io/Logging_2161/tillsyn/A 44445-2025 tillsynsbegäran.docx", "A 44445-2025")</f>
        <v/>
      </c>
      <c r="AD300">
        <f>HYPERLINK("https://klasma.github.io/Logging_2161/tillsynsmail/A 44445-2025 tillsynsbegäran mail.docx", "A 44445-2025")</f>
        <v/>
      </c>
    </row>
    <row r="301" ht="15" customHeight="1">
      <c r="A301" t="inlineStr">
        <is>
          <t>A 44835-2025</t>
        </is>
      </c>
      <c r="B301" t="inlineStr">
        <is>
          <t>avverkningsanmälan</t>
        </is>
      </c>
      <c r="C301" t="inlineStr">
        <is>
          <t>Föryngringsavverkning</t>
        </is>
      </c>
      <c r="D301" s="1" t="n">
        <v>45918</v>
      </c>
      <c r="E301" s="1" t="n">
        <v>46292</v>
      </c>
      <c r="F301" t="inlineStr">
        <is>
          <t>GÄVLEBORGS LÄN</t>
        </is>
      </c>
      <c r="G301" t="inlineStr">
        <is>
          <t>LJUSDAL</t>
        </is>
      </c>
      <c r="H301" t="inlineStr">
        <is>
          <t>Sveaskog</t>
        </is>
      </c>
      <c r="I301" t="n">
        <v>7.7</v>
      </c>
      <c r="J301" t="n">
        <v>0</v>
      </c>
      <c r="K301" t="n">
        <v>0</v>
      </c>
      <c r="L301" t="n">
        <v>1</v>
      </c>
      <c r="M301" t="n">
        <v>0</v>
      </c>
      <c r="N301" t="n">
        <v>0</v>
      </c>
      <c r="O301" t="n">
        <v>0</v>
      </c>
      <c r="P301" t="n">
        <v>0</v>
      </c>
      <c r="Q301" t="n">
        <v>1</v>
      </c>
      <c r="R301" t="n">
        <v>0</v>
      </c>
      <c r="S301" t="n">
        <v>1</v>
      </c>
      <c r="T301" t="n">
        <v>1</v>
      </c>
      <c r="U301" t="n">
        <v>1</v>
      </c>
      <c r="V301" s="2" t="inlineStr">
        <is>
          <t>Skarp dropptaggsvamp</t>
        </is>
      </c>
      <c r="W301">
        <f>HYPERLINK("https://klasma.github.io/Logging_2161/artfynd/A 44835-2025 artfynd.xlsx", "A 44835-2025")</f>
        <v/>
      </c>
      <c r="X301">
        <f>HYPERLINK("https://klasma.github.io/Logging_2161/kartor/A 44835-2025 karta.png", "A 44835-2025")</f>
        <v/>
      </c>
      <c r="Y301">
        <f>HYPERLINK("https://klasma.github.io/Logging_2161/kartor_geotiff/A 44835-2025 georefererad karta.tif", "A 44835-2025")</f>
        <v/>
      </c>
      <c r="AA301">
        <f>HYPERLINK("https://klasma.github.io/Logging_2161/klagomål/A 44835-2025 FSC-klagomål.docx", "A 44835-2025")</f>
        <v/>
      </c>
      <c r="AB301">
        <f>HYPERLINK("https://klasma.github.io/Logging_2161/klagomålsmail/A 44835-2025 FSC-klagomål mail.docx", "A 44835-2025")</f>
        <v/>
      </c>
      <c r="AC301">
        <f>HYPERLINK("https://klasma.github.io/Logging_2161/tillsyn/A 44835-2025 tillsynsbegäran.docx", "A 44835-2025")</f>
        <v/>
      </c>
      <c r="AD301">
        <f>HYPERLINK("https://klasma.github.io/Logging_2161/tillsynsmail/A 44835-2025 tillsynsbegäran mail.docx", "A 44835-2025")</f>
        <v/>
      </c>
    </row>
    <row r="302" ht="15" customHeight="1">
      <c r="A302" t="inlineStr">
        <is>
          <t>A 30115-2024</t>
        </is>
      </c>
      <c r="B302" t="inlineStr">
        <is>
          <t>avverkningsanmälan</t>
        </is>
      </c>
      <c r="C302" t="inlineStr">
        <is>
          <t>Föryngringsavverkning</t>
        </is>
      </c>
      <c r="D302" s="1" t="n">
        <v>45489</v>
      </c>
      <c r="E302" s="1" t="n">
        <v>46292</v>
      </c>
      <c r="F302" t="inlineStr">
        <is>
          <t>GÄVLEBORGS LÄN</t>
        </is>
      </c>
      <c r="G302" t="inlineStr">
        <is>
          <t>LJUSDAL</t>
        </is>
      </c>
      <c r="H302" t="inlineStr">
        <is>
          <t>Sveaskog</t>
        </is>
      </c>
      <c r="I302" t="n">
        <v>3.7</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HYPERLINK("https://klasma.github.io/Logging_2161/artfynd/A 30115-2024 artfynd.xlsx", "A 30115-2024")</f>
        <v/>
      </c>
      <c r="X302">
        <f>HYPERLINK("https://klasma.github.io/Logging_2161/kartor/A 30115-2024 karta.png", "A 30115-2024")</f>
        <v/>
      </c>
      <c r="Y302">
        <f>HYPERLINK("https://klasma.github.io/Logging_2161/kartor_geotiff/A 30115-2024 georefererad karta.tif", "A 30115-2024")</f>
        <v/>
      </c>
      <c r="AA302">
        <f>HYPERLINK("https://klasma.github.io/Logging_2161/klagomål/A 30115-2024 FSC-klagomål.docx", "A 30115-2024")</f>
        <v/>
      </c>
      <c r="AB302">
        <f>HYPERLINK("https://klasma.github.io/Logging_2161/klagomålsmail/A 30115-2024 FSC-klagomål mail.docx", "A 30115-2024")</f>
        <v/>
      </c>
      <c r="AC302">
        <f>HYPERLINK("https://klasma.github.io/Logging_2161/tillsyn/A 30115-2024 tillsynsbegäran.docx", "A 30115-2024")</f>
        <v/>
      </c>
      <c r="AD302">
        <f>HYPERLINK("https://klasma.github.io/Logging_2161/tillsynsmail/A 30115-2024 tillsynsbegäran mail.docx", "A 30115-2024")</f>
        <v/>
      </c>
    </row>
    <row r="303" ht="15" customHeight="1">
      <c r="A303" t="inlineStr">
        <is>
          <t>A 3532-2023</t>
        </is>
      </c>
      <c r="B303" t="inlineStr">
        <is>
          <t>avverkningsanmälan</t>
        </is>
      </c>
      <c r="C303" t="inlineStr">
        <is>
          <t>Föryngringsavverkning</t>
        </is>
      </c>
      <c r="D303" s="1" t="n">
        <v>44950</v>
      </c>
      <c r="E303" s="1" t="n">
        <v>46292</v>
      </c>
      <c r="F303" t="inlineStr">
        <is>
          <t>GÄVLEBORGS LÄN</t>
        </is>
      </c>
      <c r="G303" t="inlineStr">
        <is>
          <t>LJUSDAL</t>
        </is>
      </c>
      <c r="I303" t="n">
        <v>4.6</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HYPERLINK("https://klasma.github.io/Logging_2161/artfynd/A 3532-2023 artfynd.xlsx", "A 3532-2023")</f>
        <v/>
      </c>
      <c r="X303">
        <f>HYPERLINK("https://klasma.github.io/Logging_2161/kartor/A 3532-2023 karta.png", "A 3532-2023")</f>
        <v/>
      </c>
      <c r="Y303">
        <f>HYPERLINK("https://klasma.github.io/Logging_2161/kartor_geotiff/A 3532-2023 georefererad karta.tif", "A 3532-2023")</f>
        <v/>
      </c>
      <c r="AA303">
        <f>HYPERLINK("https://klasma.github.io/Logging_2161/klagomål/A 3532-2023 FSC-klagomål.docx", "A 3532-2023")</f>
        <v/>
      </c>
      <c r="AB303">
        <f>HYPERLINK("https://klasma.github.io/Logging_2161/klagomålsmail/A 3532-2023 FSC-klagomål mail.docx", "A 3532-2023")</f>
        <v/>
      </c>
      <c r="AC303">
        <f>HYPERLINK("https://klasma.github.io/Logging_2161/tillsyn/A 3532-2023 tillsynsbegäran.docx", "A 3532-2023")</f>
        <v/>
      </c>
      <c r="AD303">
        <f>HYPERLINK("https://klasma.github.io/Logging_2161/tillsynsmail/A 3532-2023 tillsynsbegäran mail.docx", "A 3532-2023")</f>
        <v/>
      </c>
    </row>
    <row r="304" ht="15" customHeight="1">
      <c r="A304" t="inlineStr">
        <is>
          <t>A 46741-2025</t>
        </is>
      </c>
      <c r="B304" t="inlineStr">
        <is>
          <t>avverkningsanmälan</t>
        </is>
      </c>
      <c r="C304" t="inlineStr">
        <is>
          <t>Föryngringsavverkning</t>
        </is>
      </c>
      <c r="D304" s="1" t="n">
        <v>45926</v>
      </c>
      <c r="E304" s="1" t="n">
        <v>46292</v>
      </c>
      <c r="F304" t="inlineStr">
        <is>
          <t>GÄVLEBORGS LÄN</t>
        </is>
      </c>
      <c r="G304" t="inlineStr">
        <is>
          <t>LJUSDAL</t>
        </is>
      </c>
      <c r="H304" t="inlineStr">
        <is>
          <t>Sveaskog</t>
        </is>
      </c>
      <c r="I304" t="n">
        <v>5.5</v>
      </c>
      <c r="J304" t="n">
        <v>0</v>
      </c>
      <c r="K304" t="n">
        <v>0</v>
      </c>
      <c r="L304" t="n">
        <v>1</v>
      </c>
      <c r="M304" t="n">
        <v>0</v>
      </c>
      <c r="N304" t="n">
        <v>0</v>
      </c>
      <c r="O304" t="n">
        <v>0</v>
      </c>
      <c r="P304" t="n">
        <v>0</v>
      </c>
      <c r="Q304" t="n">
        <v>1</v>
      </c>
      <c r="R304" t="n">
        <v>0</v>
      </c>
      <c r="S304" t="n">
        <v>1</v>
      </c>
      <c r="T304" t="n">
        <v>1</v>
      </c>
      <c r="U304" t="n">
        <v>0</v>
      </c>
      <c r="V304" s="2" t="inlineStr">
        <is>
          <t>Vedskivlav</t>
        </is>
      </c>
      <c r="W304">
        <f>HYPERLINK("https://klasma.github.io/Logging_2161/artfynd/A 46741-2025 artfynd.xlsx", "A 46741-2025")</f>
        <v/>
      </c>
      <c r="X304">
        <f>HYPERLINK("https://klasma.github.io/Logging_2161/kartor/A 46741-2025 karta.png", "A 46741-2025")</f>
        <v/>
      </c>
      <c r="Y304">
        <f>HYPERLINK("https://klasma.github.io/Logging_2161/kartor_geotiff/A 46741-2025 georefererad karta.tif", "A 46741-2025")</f>
        <v/>
      </c>
      <c r="AA304">
        <f>HYPERLINK("https://klasma.github.io/Logging_2161/klagomål/A 46741-2025 FSC-klagomål.docx", "A 46741-2025")</f>
        <v/>
      </c>
      <c r="AB304">
        <f>HYPERLINK("https://klasma.github.io/Logging_2161/klagomålsmail/A 46741-2025 FSC-klagomål mail.docx", "A 46741-2025")</f>
        <v/>
      </c>
      <c r="AC304">
        <f>HYPERLINK("https://klasma.github.io/Logging_2161/tillsyn/A 46741-2025 tillsynsbegäran.docx", "A 46741-2025")</f>
        <v/>
      </c>
      <c r="AD304">
        <f>HYPERLINK("https://klasma.github.io/Logging_2161/tillsynsmail/A 46741-2025 tillsynsbegäran mail.docx", "A 46741-2025")</f>
        <v/>
      </c>
    </row>
    <row r="305" ht="15" customHeight="1">
      <c r="A305" t="inlineStr">
        <is>
          <t>A 20023-2025</t>
        </is>
      </c>
      <c r="B305" t="inlineStr">
        <is>
          <t>avverkningsanmälan</t>
        </is>
      </c>
      <c r="C305" t="inlineStr">
        <is>
          <t>Föryngringsavverkning</t>
        </is>
      </c>
      <c r="D305" s="1" t="n">
        <v>45772</v>
      </c>
      <c r="E305" s="1" t="n">
        <v>46292</v>
      </c>
      <c r="F305" t="inlineStr">
        <is>
          <t>GÄVLEBORGS LÄN</t>
        </is>
      </c>
      <c r="G305" t="inlineStr">
        <is>
          <t>LJUSDAL</t>
        </is>
      </c>
      <c r="H305" t="inlineStr">
        <is>
          <t>SCA</t>
        </is>
      </c>
      <c r="I305" t="n">
        <v>2.1</v>
      </c>
      <c r="J305" t="n">
        <v>0</v>
      </c>
      <c r="K305" t="n">
        <v>0</v>
      </c>
      <c r="L305" t="n">
        <v>0</v>
      </c>
      <c r="M305" t="n">
        <v>1</v>
      </c>
      <c r="N305" t="n">
        <v>0</v>
      </c>
      <c r="O305" t="n">
        <v>0</v>
      </c>
      <c r="P305" t="n">
        <v>0</v>
      </c>
      <c r="Q305" t="n">
        <v>1</v>
      </c>
      <c r="R305" t="n">
        <v>1</v>
      </c>
      <c r="S305" t="n">
        <v>1</v>
      </c>
      <c r="T305" t="n">
        <v>2</v>
      </c>
      <c r="U305" t="n">
        <v>0</v>
      </c>
      <c r="V305" s="2" t="inlineStr">
        <is>
          <t>Ängsblåvinge</t>
        </is>
      </c>
      <c r="W305">
        <f>HYPERLINK("https://klasma.github.io/Logging_2161/artfynd/A 20023-2025 artfynd.xlsx", "A 20023-2025")</f>
        <v/>
      </c>
      <c r="X305">
        <f>HYPERLINK("https://klasma.github.io/Logging_2161/kartor/A 20023-2025 karta.png", "A 20023-2025")</f>
        <v/>
      </c>
      <c r="Y305">
        <f>HYPERLINK("https://klasma.github.io/Logging_2161/kartor_geotiff/A 20023-2025 georefererad karta.tif", "A 20023-2025")</f>
        <v/>
      </c>
      <c r="AA305">
        <f>HYPERLINK("https://klasma.github.io/Logging_2161/klagomål/A 20023-2025 FSC-klagomål.docx", "A 20023-2025")</f>
        <v/>
      </c>
      <c r="AB305">
        <f>HYPERLINK("https://klasma.github.io/Logging_2161/klagomålsmail/A 20023-2025 FSC-klagomål mail.docx", "A 20023-2025")</f>
        <v/>
      </c>
      <c r="AC305">
        <f>HYPERLINK("https://klasma.github.io/Logging_2161/tillsyn/A 20023-2025 tillsynsbegäran.docx", "A 20023-2025")</f>
        <v/>
      </c>
      <c r="AD305">
        <f>HYPERLINK("https://klasma.github.io/Logging_2161/tillsynsmail/A 20023-2025 tillsynsbegäran mail.docx", "A 20023-2025")</f>
        <v/>
      </c>
    </row>
    <row r="306" ht="15" customHeight="1">
      <c r="A306" t="inlineStr">
        <is>
          <t>A 26538-2025</t>
        </is>
      </c>
      <c r="B306" t="inlineStr">
        <is>
          <t>avverkningsanmälan</t>
        </is>
      </c>
      <c r="C306" t="inlineStr">
        <is>
          <t>Föryngringsavverkning</t>
        </is>
      </c>
      <c r="D306" s="1" t="n">
        <v>45807</v>
      </c>
      <c r="E306" s="1" t="n">
        <v>46292</v>
      </c>
      <c r="F306" t="inlineStr">
        <is>
          <t>GÄVLEBORGS LÄN</t>
        </is>
      </c>
      <c r="G306" t="inlineStr">
        <is>
          <t>LJUSDAL</t>
        </is>
      </c>
      <c r="I306" t="n">
        <v>10.5</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HYPERLINK("https://klasma.github.io/Logging_2161/artfynd/A 26538-2025 artfynd.xlsx", "A 26538-2025")</f>
        <v/>
      </c>
      <c r="X306">
        <f>HYPERLINK("https://klasma.github.io/Logging_2161/kartor/A 26538-2025 karta.png", "A 26538-2025")</f>
        <v/>
      </c>
      <c r="Y306">
        <f>HYPERLINK("https://klasma.github.io/Logging_2161/kartor_geotiff/A 26538-2025 georefererad karta.tif", "A 26538-2025")</f>
        <v/>
      </c>
      <c r="AA306">
        <f>HYPERLINK("https://klasma.github.io/Logging_2161/klagomål/A 26538-2025 FSC-klagomål.docx", "A 26538-2025")</f>
        <v/>
      </c>
      <c r="AB306">
        <f>HYPERLINK("https://klasma.github.io/Logging_2161/klagomålsmail/A 26538-2025 FSC-klagomål mail.docx", "A 26538-2025")</f>
        <v/>
      </c>
      <c r="AC306">
        <f>HYPERLINK("https://klasma.github.io/Logging_2161/tillsyn/A 26538-2025 tillsynsbegäran.docx", "A 26538-2025")</f>
        <v/>
      </c>
      <c r="AD306">
        <f>HYPERLINK("https://klasma.github.io/Logging_2161/tillsynsmail/A 26538-2025 tillsynsbegäran mail.docx", "A 26538-2025")</f>
        <v/>
      </c>
      <c r="AE306">
        <f>HYPERLINK("https://klasma.github.io/Logging_2161/fåglar/A 26538-2025 prioriterade fågelarter.docx", "A 26538-2025")</f>
        <v/>
      </c>
    </row>
    <row r="307" ht="15" customHeight="1">
      <c r="A307" t="inlineStr">
        <is>
          <t>A 48300-2025</t>
        </is>
      </c>
      <c r="B307" t="inlineStr">
        <is>
          <t>avverkningsanmälan</t>
        </is>
      </c>
      <c r="C307" t="inlineStr">
        <is>
          <t>Föryngringsavverkning</t>
        </is>
      </c>
      <c r="D307" s="1" t="n">
        <v>45933</v>
      </c>
      <c r="E307" s="1" t="n">
        <v>46292</v>
      </c>
      <c r="F307" t="inlineStr">
        <is>
          <t>GÄVLEBORGS LÄN</t>
        </is>
      </c>
      <c r="G307" t="inlineStr">
        <is>
          <t>LJUSDAL</t>
        </is>
      </c>
      <c r="H307" t="inlineStr">
        <is>
          <t>Sveaskog</t>
        </is>
      </c>
      <c r="I307" t="n">
        <v>8.800000000000001</v>
      </c>
      <c r="J307" t="n">
        <v>0</v>
      </c>
      <c r="K307" t="n">
        <v>0</v>
      </c>
      <c r="L307" t="n">
        <v>0</v>
      </c>
      <c r="M307" t="n">
        <v>1</v>
      </c>
      <c r="N307" t="n">
        <v>0</v>
      </c>
      <c r="O307" t="n">
        <v>0</v>
      </c>
      <c r="P307" t="n">
        <v>0</v>
      </c>
      <c r="Q307" t="n">
        <v>1</v>
      </c>
      <c r="R307" t="n">
        <v>1</v>
      </c>
      <c r="S307" t="n">
        <v>1</v>
      </c>
      <c r="T307" t="n">
        <v>1</v>
      </c>
      <c r="U307" t="n">
        <v>1</v>
      </c>
      <c r="V307" s="2" t="inlineStr">
        <is>
          <t>Garnlav</t>
        </is>
      </c>
      <c r="W307">
        <f>HYPERLINK("https://klasma.github.io/Logging_2161/artfynd/A 48300-2025 artfynd.xlsx", "A 48300-2025")</f>
        <v/>
      </c>
      <c r="X307">
        <f>HYPERLINK("https://klasma.github.io/Logging_2161/kartor/A 48300-2025 karta.png", "A 48300-2025")</f>
        <v/>
      </c>
      <c r="Y307">
        <f>HYPERLINK("https://klasma.github.io/Logging_2161/kartor_geotiff/A 48300-2025 georefererad karta.tif", "A 48300-2025")</f>
        <v/>
      </c>
      <c r="AA307">
        <f>HYPERLINK("https://klasma.github.io/Logging_2161/klagomål/A 48300-2025 FSC-klagomål.docx", "A 48300-2025")</f>
        <v/>
      </c>
      <c r="AB307">
        <f>HYPERLINK("https://klasma.github.io/Logging_2161/klagomålsmail/A 48300-2025 FSC-klagomål mail.docx", "A 48300-2025")</f>
        <v/>
      </c>
      <c r="AC307">
        <f>HYPERLINK("https://klasma.github.io/Logging_2161/tillsyn/A 48300-2025 tillsynsbegäran.docx", "A 48300-2025")</f>
        <v/>
      </c>
      <c r="AD307">
        <f>HYPERLINK("https://klasma.github.io/Logging_2161/tillsynsmail/A 48300-2025 tillsynsbegäran mail.docx", "A 48300-2025")</f>
        <v/>
      </c>
    </row>
    <row r="308" ht="15" customHeight="1">
      <c r="A308" t="inlineStr">
        <is>
          <t>A 18078-2024</t>
        </is>
      </c>
      <c r="B308" t="inlineStr">
        <is>
          <t>avverkningsanmälan</t>
        </is>
      </c>
      <c r="C308" t="inlineStr">
        <is>
          <t>Föryngringsavverkning</t>
        </is>
      </c>
      <c r="D308" s="1" t="n">
        <v>45420</v>
      </c>
      <c r="E308" s="1" t="n">
        <v>46292</v>
      </c>
      <c r="F308" t="inlineStr">
        <is>
          <t>GÄVLEBORGS LÄN</t>
        </is>
      </c>
      <c r="G308" t="inlineStr">
        <is>
          <t>LJUSDAL</t>
        </is>
      </c>
      <c r="H308" t="inlineStr">
        <is>
          <t>Holmen skog AB</t>
        </is>
      </c>
      <c r="I308" t="n">
        <v>0.7</v>
      </c>
      <c r="J308" t="n">
        <v>1</v>
      </c>
      <c r="K308" t="n">
        <v>0</v>
      </c>
      <c r="L308" t="n">
        <v>0</v>
      </c>
      <c r="M308" t="n">
        <v>1</v>
      </c>
      <c r="N308" t="n">
        <v>0</v>
      </c>
      <c r="O308" t="n">
        <v>0</v>
      </c>
      <c r="P308" t="n">
        <v>0</v>
      </c>
      <c r="Q308" t="n">
        <v>1</v>
      </c>
      <c r="R308" t="n">
        <v>1</v>
      </c>
      <c r="S308" t="n">
        <v>1</v>
      </c>
      <c r="T308" t="n">
        <v>1</v>
      </c>
      <c r="U308" t="n">
        <v>1</v>
      </c>
      <c r="V308" s="2" t="inlineStr">
        <is>
          <t>Knärot</t>
        </is>
      </c>
      <c r="W308">
        <f>HYPERLINK("https://klasma.github.io/Logging_2161/artfynd/A 18078-2024 artfynd.xlsx", "A 18078-2024")</f>
        <v/>
      </c>
      <c r="X308">
        <f>HYPERLINK("https://klasma.github.io/Logging_2161/kartor/A 18078-2024 karta.png", "A 18078-2024")</f>
        <v/>
      </c>
      <c r="Y308">
        <f>HYPERLINK("https://klasma.github.io/Logging_2161/kartor_geotiff/A 18078-2024 georefererad karta.tif", "A 18078-2024")</f>
        <v/>
      </c>
      <c r="Z308">
        <f>HYPERLINK("https://klasma.github.io/Logging_2161/knärot/A 18078-2024 karta knärot.png", "A 18078-2024")</f>
        <v/>
      </c>
      <c r="AA308">
        <f>HYPERLINK("https://klasma.github.io/Logging_2161/klagomål/A 18078-2024 FSC-klagomål.docx", "A 18078-2024")</f>
        <v/>
      </c>
      <c r="AB308">
        <f>HYPERLINK("https://klasma.github.io/Logging_2161/klagomålsmail/A 18078-2024 FSC-klagomål mail.docx", "A 18078-2024")</f>
        <v/>
      </c>
      <c r="AC308">
        <f>HYPERLINK("https://klasma.github.io/Logging_2161/tillsyn/A 18078-2024 tillsynsbegäran.docx", "A 18078-2024")</f>
        <v/>
      </c>
      <c r="AD308">
        <f>HYPERLINK("https://klasma.github.io/Logging_2161/tillsynsmail/A 18078-2024 tillsynsbegäran mail.docx", "A 18078-2024")</f>
        <v/>
      </c>
    </row>
    <row r="309" ht="15" customHeight="1">
      <c r="A309" t="inlineStr">
        <is>
          <t>A 50315-2025</t>
        </is>
      </c>
      <c r="B309" t="inlineStr">
        <is>
          <t>avverkningsanmälan</t>
        </is>
      </c>
      <c r="C309" t="inlineStr">
        <is>
          <t>Föryngringsavverkning</t>
        </is>
      </c>
      <c r="D309" s="1" t="n">
        <v>45944</v>
      </c>
      <c r="E309" s="1" t="n">
        <v>46292</v>
      </c>
      <c r="F309" t="inlineStr">
        <is>
          <t>GÄVLEBORGS LÄN</t>
        </is>
      </c>
      <c r="G309" t="inlineStr">
        <is>
          <t>LJUSDAL</t>
        </is>
      </c>
      <c r="H309" t="inlineStr">
        <is>
          <t>Bergvik skog väst AB</t>
        </is>
      </c>
      <c r="I309" t="n">
        <v>11.2</v>
      </c>
      <c r="J309" t="n">
        <v>0</v>
      </c>
      <c r="K309" t="n">
        <v>0</v>
      </c>
      <c r="L309" t="n">
        <v>0</v>
      </c>
      <c r="M309" t="n">
        <v>1</v>
      </c>
      <c r="N309" t="n">
        <v>0</v>
      </c>
      <c r="O309" t="n">
        <v>0</v>
      </c>
      <c r="P309" t="n">
        <v>0</v>
      </c>
      <c r="Q309" t="n">
        <v>1</v>
      </c>
      <c r="R309" t="n">
        <v>1</v>
      </c>
      <c r="S309" t="n">
        <v>1</v>
      </c>
      <c r="T309" t="n">
        <v>1</v>
      </c>
      <c r="U309" t="n">
        <v>1</v>
      </c>
      <c r="V309" s="2" t="inlineStr">
        <is>
          <t>Garnlav</t>
        </is>
      </c>
      <c r="W309">
        <f>HYPERLINK("https://klasma.github.io/Logging_2161/artfynd/A 50315-2025 artfynd.xlsx", "A 50315-2025")</f>
        <v/>
      </c>
      <c r="X309">
        <f>HYPERLINK("https://klasma.github.io/Logging_2161/kartor/A 50315-2025 karta.png", "A 50315-2025")</f>
        <v/>
      </c>
      <c r="Y309">
        <f>HYPERLINK("https://klasma.github.io/Logging_2161/kartor_geotiff/A 50315-2025 georefererad karta.tif", "A 50315-2025")</f>
        <v/>
      </c>
      <c r="AA309">
        <f>HYPERLINK("https://klasma.github.io/Logging_2161/klagomål/A 50315-2025 FSC-klagomål.docx", "A 50315-2025")</f>
        <v/>
      </c>
      <c r="AB309">
        <f>HYPERLINK("https://klasma.github.io/Logging_2161/klagomålsmail/A 50315-2025 FSC-klagomål mail.docx", "A 50315-2025")</f>
        <v/>
      </c>
      <c r="AC309">
        <f>HYPERLINK("https://klasma.github.io/Logging_2161/tillsyn/A 50315-2025 tillsynsbegäran.docx", "A 50315-2025")</f>
        <v/>
      </c>
      <c r="AD309">
        <f>HYPERLINK("https://klasma.github.io/Logging_2161/tillsynsmail/A 50315-2025 tillsynsbegäran mail.docx", "A 50315-2025")</f>
        <v/>
      </c>
    </row>
    <row r="310" ht="15" customHeight="1">
      <c r="A310" t="inlineStr">
        <is>
          <t>A 14638-2026</t>
        </is>
      </c>
      <c r="B310" t="inlineStr">
        <is>
          <t>avverkningsanmälan</t>
        </is>
      </c>
      <c r="C310" t="inlineStr">
        <is>
          <t>Föryngringsavverkning</t>
        </is>
      </c>
      <c r="D310" s="1" t="n">
        <v>46101</v>
      </c>
      <c r="E310" s="1" t="n">
        <v>46292</v>
      </c>
      <c r="F310" t="inlineStr">
        <is>
          <t>GÄVLEBORGS LÄN</t>
        </is>
      </c>
      <c r="G310" t="inlineStr">
        <is>
          <t>LJUSDAL</t>
        </is>
      </c>
      <c r="H310" t="inlineStr">
        <is>
          <t>Holmen skog AB</t>
        </is>
      </c>
      <c r="I310" t="n">
        <v>31.7</v>
      </c>
      <c r="J310" t="n">
        <v>1</v>
      </c>
      <c r="K310" t="n">
        <v>0</v>
      </c>
      <c r="L310" t="n">
        <v>1</v>
      </c>
      <c r="M310" t="n">
        <v>0</v>
      </c>
      <c r="N310" t="n">
        <v>0</v>
      </c>
      <c r="O310" t="n">
        <v>0</v>
      </c>
      <c r="P310" t="n">
        <v>0</v>
      </c>
      <c r="Q310" t="n">
        <v>1</v>
      </c>
      <c r="R310" t="n">
        <v>0</v>
      </c>
      <c r="S310" t="n">
        <v>1</v>
      </c>
      <c r="T310" t="n">
        <v>1</v>
      </c>
      <c r="U310" t="n">
        <v>0</v>
      </c>
      <c r="V310" s="2" t="inlineStr">
        <is>
          <t>Lavskrika</t>
        </is>
      </c>
      <c r="W310">
        <f>HYPERLINK("https://klasma.github.io/Logging_2161/artfynd/A 14638-2026 artfynd.xlsx", "A 14638-2026")</f>
        <v/>
      </c>
      <c r="X310">
        <f>HYPERLINK("https://klasma.github.io/Logging_2161/kartor/A 14638-2026 karta.png", "A 14638-2026")</f>
        <v/>
      </c>
      <c r="Y310">
        <f>HYPERLINK("https://klasma.github.io/Logging_2161/kartor_geotiff/A 14638-2026 georefererad karta.tif", "A 14638-2026")</f>
        <v/>
      </c>
      <c r="AA310">
        <f>HYPERLINK("https://klasma.github.io/Logging_2161/klagomål/A 14638-2026 FSC-klagomål.docx", "A 14638-2026")</f>
        <v/>
      </c>
      <c r="AB310">
        <f>HYPERLINK("https://klasma.github.io/Logging_2161/klagomålsmail/A 14638-2026 FSC-klagomål mail.docx", "A 14638-2026")</f>
        <v/>
      </c>
      <c r="AC310">
        <f>HYPERLINK("https://klasma.github.io/Logging_2161/tillsyn/A 14638-2026 tillsynsbegäran.docx", "A 14638-2026")</f>
        <v/>
      </c>
      <c r="AD310">
        <f>HYPERLINK("https://klasma.github.io/Logging_2161/tillsynsmail/A 14638-2026 tillsynsbegäran mail.docx", "A 14638-2026")</f>
        <v/>
      </c>
      <c r="AE310">
        <f>HYPERLINK("https://klasma.github.io/Logging_2161/fåglar/A 14638-2026 prioriterade fågelarter.docx", "A 14638-2026")</f>
        <v/>
      </c>
    </row>
    <row r="311" ht="15" customHeight="1">
      <c r="A311" t="inlineStr">
        <is>
          <t>A 34744-2024</t>
        </is>
      </c>
      <c r="B311" t="inlineStr">
        <is>
          <t>avverkningsanmälan</t>
        </is>
      </c>
      <c r="C311" t="inlineStr">
        <is>
          <t>Föryngringsavverkning</t>
        </is>
      </c>
      <c r="D311" s="1" t="n">
        <v>45526</v>
      </c>
      <c r="E311" s="1" t="n">
        <v>46292</v>
      </c>
      <c r="F311" t="inlineStr">
        <is>
          <t>GÄVLEBORGS LÄN</t>
        </is>
      </c>
      <c r="G311" t="inlineStr">
        <is>
          <t>LJUSDAL</t>
        </is>
      </c>
      <c r="H311" t="inlineStr">
        <is>
          <t>Sveaskog</t>
        </is>
      </c>
      <c r="I311" t="n">
        <v>9.9</v>
      </c>
      <c r="J311" t="n">
        <v>0</v>
      </c>
      <c r="K311" t="n">
        <v>0</v>
      </c>
      <c r="L311" t="n">
        <v>1</v>
      </c>
      <c r="M311" t="n">
        <v>0</v>
      </c>
      <c r="N311" t="n">
        <v>0</v>
      </c>
      <c r="O311" t="n">
        <v>0</v>
      </c>
      <c r="P311" t="n">
        <v>0</v>
      </c>
      <c r="Q311" t="n">
        <v>1</v>
      </c>
      <c r="R311" t="n">
        <v>0</v>
      </c>
      <c r="S311" t="n">
        <v>1</v>
      </c>
      <c r="T311" t="n">
        <v>1</v>
      </c>
      <c r="U311" t="n">
        <v>1</v>
      </c>
      <c r="V311" s="2" t="inlineStr">
        <is>
          <t>Lunglav</t>
        </is>
      </c>
      <c r="W311">
        <f>HYPERLINK("https://klasma.github.io/Logging_2161/artfynd/A 34744-2024 artfynd.xlsx", "A 34744-2024")</f>
        <v/>
      </c>
      <c r="X311">
        <f>HYPERLINK("https://klasma.github.io/Logging_2161/kartor/A 34744-2024 karta.png", "A 34744-2024")</f>
        <v/>
      </c>
      <c r="Y311">
        <f>HYPERLINK("https://klasma.github.io/Logging_2161/kartor_geotiff/A 34744-2024 georefererad karta.tif", "A 34744-2024")</f>
        <v/>
      </c>
      <c r="AA311">
        <f>HYPERLINK("https://klasma.github.io/Logging_2161/klagomål/A 34744-2024 FSC-klagomål.docx", "A 34744-2024")</f>
        <v/>
      </c>
      <c r="AB311">
        <f>HYPERLINK("https://klasma.github.io/Logging_2161/klagomålsmail/A 34744-2024 FSC-klagomål mail.docx", "A 34744-2024")</f>
        <v/>
      </c>
      <c r="AC311">
        <f>HYPERLINK("https://klasma.github.io/Logging_2161/tillsyn/A 34744-2024 tillsynsbegäran.docx", "A 34744-2024")</f>
        <v/>
      </c>
      <c r="AD311">
        <f>HYPERLINK("https://klasma.github.io/Logging_2161/tillsynsmail/A 34744-2024 tillsynsbegäran mail.docx", "A 34744-2024")</f>
        <v/>
      </c>
    </row>
    <row r="312" ht="15" customHeight="1">
      <c r="A312" t="inlineStr">
        <is>
          <t>A 47933-2025</t>
        </is>
      </c>
      <c r="B312" t="inlineStr">
        <is>
          <t>avverkningsanmälan</t>
        </is>
      </c>
      <c r="C312" t="inlineStr">
        <is>
          <t>Avverkning för annat ändamål</t>
        </is>
      </c>
      <c r="D312" s="1" t="n">
        <v>45932</v>
      </c>
      <c r="E312" s="1" t="n">
        <v>46292</v>
      </c>
      <c r="F312" t="inlineStr">
        <is>
          <t>GÄVLEBORGS LÄN</t>
        </is>
      </c>
      <c r="G312" t="inlineStr">
        <is>
          <t>LJUSDAL</t>
        </is>
      </c>
      <c r="I312" t="n">
        <v>1.8</v>
      </c>
      <c r="J312" t="n">
        <v>0</v>
      </c>
      <c r="K312" t="n">
        <v>0</v>
      </c>
      <c r="L312" t="n">
        <v>1</v>
      </c>
      <c r="M312" t="n">
        <v>0</v>
      </c>
      <c r="N312" t="n">
        <v>0</v>
      </c>
      <c r="O312" t="n">
        <v>0</v>
      </c>
      <c r="P312" t="n">
        <v>0</v>
      </c>
      <c r="Q312" t="n">
        <v>1</v>
      </c>
      <c r="R312" t="n">
        <v>0</v>
      </c>
      <c r="S312" t="n">
        <v>1</v>
      </c>
      <c r="T312" t="n">
        <v>1</v>
      </c>
      <c r="U312" t="n">
        <v>0</v>
      </c>
      <c r="V312" s="2" t="inlineStr">
        <is>
          <t>Vitfläckig guldvinge</t>
        </is>
      </c>
      <c r="W312">
        <f>HYPERLINK("https://klasma.github.io/Logging_2161/artfynd/A 47933-2025 artfynd.xlsx", "A 47933-2025")</f>
        <v/>
      </c>
      <c r="X312">
        <f>HYPERLINK("https://klasma.github.io/Logging_2161/kartor/A 47933-2025 karta.png", "A 47933-2025")</f>
        <v/>
      </c>
      <c r="Y312">
        <f>HYPERLINK("https://klasma.github.io/Logging_2161/kartor_geotiff/A 47933-2025 georefererad karta.tif", "A 47933-2025")</f>
        <v/>
      </c>
      <c r="AA312">
        <f>HYPERLINK("https://klasma.github.io/Logging_2161/klagomål/A 47933-2025 FSC-klagomål.docx", "A 47933-2025")</f>
        <v/>
      </c>
      <c r="AB312">
        <f>HYPERLINK("https://klasma.github.io/Logging_2161/klagomålsmail/A 47933-2025 FSC-klagomål mail.docx", "A 47933-2025")</f>
        <v/>
      </c>
      <c r="AC312">
        <f>HYPERLINK("https://klasma.github.io/Logging_2161/tillsyn/A 47933-2025 tillsynsbegäran.docx", "A 47933-2025")</f>
        <v/>
      </c>
      <c r="AD312">
        <f>HYPERLINK("https://klasma.github.io/Logging_2161/tillsynsmail/A 47933-2025 tillsynsbegäran mail.docx", "A 47933-2025")</f>
        <v/>
      </c>
    </row>
    <row r="313" ht="15" customHeight="1">
      <c r="A313" t="inlineStr">
        <is>
          <t>A 5701-2025</t>
        </is>
      </c>
      <c r="B313" t="inlineStr">
        <is>
          <t>avverkningsanmälan</t>
        </is>
      </c>
      <c r="C313" t="inlineStr">
        <is>
          <t>Avverkning för att bevara och utveckla /försöksver</t>
        </is>
      </c>
      <c r="D313" s="1" t="n">
        <v>45694</v>
      </c>
      <c r="E313" s="1" t="n">
        <v>46292</v>
      </c>
      <c r="F313" t="inlineStr">
        <is>
          <t>GÄVLEBORGS LÄN</t>
        </is>
      </c>
      <c r="G313" t="inlineStr">
        <is>
          <t>LJUSDAL</t>
        </is>
      </c>
      <c r="H313" t="inlineStr">
        <is>
          <t>Bergvik skog väst AB</t>
        </is>
      </c>
      <c r="I313" t="n">
        <v>7.1</v>
      </c>
      <c r="J313" t="n">
        <v>1</v>
      </c>
      <c r="K313" t="n">
        <v>0</v>
      </c>
      <c r="L313" t="n">
        <v>1</v>
      </c>
      <c r="M313" t="n">
        <v>0</v>
      </c>
      <c r="N313" t="n">
        <v>0</v>
      </c>
      <c r="O313" t="n">
        <v>0</v>
      </c>
      <c r="P313" t="n">
        <v>0</v>
      </c>
      <c r="Q313" t="n">
        <v>1</v>
      </c>
      <c r="R313" t="n">
        <v>0</v>
      </c>
      <c r="S313" t="n">
        <v>1</v>
      </c>
      <c r="T313" t="n">
        <v>1</v>
      </c>
      <c r="U313" t="n">
        <v>1</v>
      </c>
      <c r="V313" s="2" t="inlineStr">
        <is>
          <t>Lavskrika</t>
        </is>
      </c>
      <c r="W313">
        <f>HYPERLINK("https://klasma.github.io/Logging_2161/artfynd/A 5701-2025 artfynd.xlsx", "A 5701-2025")</f>
        <v/>
      </c>
      <c r="X313">
        <f>HYPERLINK("https://klasma.github.io/Logging_2161/kartor/A 5701-2025 karta.png", "A 5701-2025")</f>
        <v/>
      </c>
      <c r="Y313">
        <f>HYPERLINK("https://klasma.github.io/Logging_2161/kartor_geotiff/A 5701-2025 georefererad karta.tif", "A 5701-2025")</f>
        <v/>
      </c>
      <c r="AA313">
        <f>HYPERLINK("https://klasma.github.io/Logging_2161/klagomål/A 5701-2025 FSC-klagomål.docx", "A 5701-2025")</f>
        <v/>
      </c>
      <c r="AB313">
        <f>HYPERLINK("https://klasma.github.io/Logging_2161/klagomålsmail/A 5701-2025 FSC-klagomål mail.docx", "A 5701-2025")</f>
        <v/>
      </c>
      <c r="AC313">
        <f>HYPERLINK("https://klasma.github.io/Logging_2161/tillsyn/A 5701-2025 tillsynsbegäran.docx", "A 5701-2025")</f>
        <v/>
      </c>
      <c r="AD313">
        <f>HYPERLINK("https://klasma.github.io/Logging_2161/tillsynsmail/A 5701-2025 tillsynsbegäran mail.docx", "A 5701-2025")</f>
        <v/>
      </c>
      <c r="AE313">
        <f>HYPERLINK("https://klasma.github.io/Logging_2161/fåglar/A 5701-2025 prioriterade fågelarter.docx", "A 5701-2025")</f>
        <v/>
      </c>
    </row>
    <row r="314" ht="15" customHeight="1">
      <c r="A314" t="inlineStr">
        <is>
          <t>A 20613-2026</t>
        </is>
      </c>
      <c r="B314" t="inlineStr">
        <is>
          <t>avverkningsanmälan</t>
        </is>
      </c>
      <c r="C314" t="inlineStr">
        <is>
          <t>Avverkning för annat ändamål</t>
        </is>
      </c>
      <c r="D314" s="1" t="n">
        <v>46140</v>
      </c>
      <c r="E314" s="1" t="n">
        <v>46292</v>
      </c>
      <c r="F314" t="inlineStr">
        <is>
          <t>GÄVLEBORGS LÄN</t>
        </is>
      </c>
      <c r="G314" t="inlineStr">
        <is>
          <t>LJUSDAL</t>
        </is>
      </c>
      <c r="I314" t="n">
        <v>12.5</v>
      </c>
      <c r="J314" t="n">
        <v>1</v>
      </c>
      <c r="K314" t="n">
        <v>1</v>
      </c>
      <c r="L314" t="n">
        <v>0</v>
      </c>
      <c r="M314" t="n">
        <v>0</v>
      </c>
      <c r="N314" t="n">
        <v>0</v>
      </c>
      <c r="O314" t="n">
        <v>0</v>
      </c>
      <c r="P314" t="n">
        <v>0</v>
      </c>
      <c r="Q314" t="n">
        <v>0</v>
      </c>
      <c r="R314" t="n">
        <v>0</v>
      </c>
      <c r="S314" t="n">
        <v>1</v>
      </c>
      <c r="T314" t="n">
        <v>1</v>
      </c>
      <c r="U314" t="n">
        <v>0</v>
      </c>
      <c r="V314" s="2" t="inlineStr">
        <is>
          <t>Plattlummer</t>
        </is>
      </c>
      <c r="W314">
        <f>HYPERLINK("https://klasma.github.io/Logging_2161/artfynd/A 20613-2026 artfynd.xlsx", "A 20613-2026")</f>
        <v/>
      </c>
      <c r="X314">
        <f>HYPERLINK("https://klasma.github.io/Logging_2161/kartor/A 20613-2026 karta.png", "A 20613-2026")</f>
        <v/>
      </c>
      <c r="Y314">
        <f>HYPERLINK("https://klasma.github.io/Logging_2161/kartor_geotiff/A 20613-2026 georefererad karta.tif", "A 20613-2026")</f>
        <v/>
      </c>
      <c r="AA314">
        <f>HYPERLINK("https://klasma.github.io/Logging_2161/klagomål/A 20613-2026 FSC-klagomål.docx", "A 20613-2026")</f>
        <v/>
      </c>
      <c r="AB314">
        <f>HYPERLINK("https://klasma.github.io/Logging_2161/klagomålsmail/A 20613-2026 FSC-klagomål mail.docx", "A 20613-2026")</f>
        <v/>
      </c>
      <c r="AC314">
        <f>HYPERLINK("https://klasma.github.io/Logging_2161/tillsyn/A 20613-2026 tillsynsbegäran.docx", "A 20613-2026")</f>
        <v/>
      </c>
      <c r="AD314">
        <f>HYPERLINK("https://klasma.github.io/Logging_2161/tillsynsmail/A 20613-2026 tillsynsbegäran mail.docx", "A 20613-2026")</f>
        <v/>
      </c>
    </row>
    <row r="315" ht="15" customHeight="1">
      <c r="A315" t="inlineStr">
        <is>
          <t>A 35080-2023</t>
        </is>
      </c>
      <c r="B315" t="inlineStr">
        <is>
          <t>avverkningsanmälan</t>
        </is>
      </c>
      <c r="C315" t="inlineStr">
        <is>
          <t>Föryngringsavverkning</t>
        </is>
      </c>
      <c r="D315" s="1" t="n">
        <v>45145</v>
      </c>
      <c r="E315" s="1" t="n">
        <v>46292</v>
      </c>
      <c r="F315" t="inlineStr">
        <is>
          <t>GÄVLEBORGS LÄN</t>
        </is>
      </c>
      <c r="G315" t="inlineStr">
        <is>
          <t>LJUSDAL</t>
        </is>
      </c>
      <c r="H315" t="inlineStr">
        <is>
          <t>Sveaskog</t>
        </is>
      </c>
      <c r="I315" t="n">
        <v>2.9</v>
      </c>
      <c r="J315" t="n">
        <v>0</v>
      </c>
      <c r="K315" t="n">
        <v>0</v>
      </c>
      <c r="L315" t="n">
        <v>1</v>
      </c>
      <c r="M315" t="n">
        <v>0</v>
      </c>
      <c r="N315" t="n">
        <v>0</v>
      </c>
      <c r="O315" t="n">
        <v>0</v>
      </c>
      <c r="P315" t="n">
        <v>0</v>
      </c>
      <c r="Q315" t="n">
        <v>1</v>
      </c>
      <c r="R315" t="n">
        <v>0</v>
      </c>
      <c r="S315" t="n">
        <v>1</v>
      </c>
      <c r="T315" t="n">
        <v>1</v>
      </c>
      <c r="U315" t="n">
        <v>1</v>
      </c>
      <c r="V315" s="2" t="inlineStr">
        <is>
          <t>Vedflamlav</t>
        </is>
      </c>
      <c r="W315">
        <f>HYPERLINK("https://klasma.github.io/Logging_2161/artfynd/A 35080-2023 artfynd.xlsx", "A 35080-2023")</f>
        <v/>
      </c>
      <c r="X315">
        <f>HYPERLINK("https://klasma.github.io/Logging_2161/kartor/A 35080-2023 karta.png", "A 35080-2023")</f>
        <v/>
      </c>
      <c r="Y315">
        <f>HYPERLINK("https://klasma.github.io/Logging_2161/kartor_geotiff/A 35080-2023 georefererad karta.tif", "A 35080-2023")</f>
        <v/>
      </c>
      <c r="AA315">
        <f>HYPERLINK("https://klasma.github.io/Logging_2161/klagomål/A 35080-2023 FSC-klagomål.docx", "A 35080-2023")</f>
        <v/>
      </c>
      <c r="AB315">
        <f>HYPERLINK("https://klasma.github.io/Logging_2161/klagomålsmail/A 35080-2023 FSC-klagomål mail.docx", "A 35080-2023")</f>
        <v/>
      </c>
      <c r="AC315">
        <f>HYPERLINK("https://klasma.github.io/Logging_2161/tillsyn/A 35080-2023 tillsynsbegäran.docx", "A 35080-2023")</f>
        <v/>
      </c>
      <c r="AD315">
        <f>HYPERLINK("https://klasma.github.io/Logging_2161/tillsynsmail/A 35080-2023 tillsynsbegäran mail.docx", "A 35080-2023")</f>
        <v/>
      </c>
    </row>
    <row r="316" ht="15" customHeight="1">
      <c r="A316" t="inlineStr">
        <is>
          <t>A 56822-2025</t>
        </is>
      </c>
      <c r="B316" t="inlineStr">
        <is>
          <t>avverkningsanmälan</t>
        </is>
      </c>
      <c r="C316" t="inlineStr">
        <is>
          <t>Föryngringsavverkning</t>
        </is>
      </c>
      <c r="D316" s="1" t="n">
        <v>45978</v>
      </c>
      <c r="E316" s="1" t="n">
        <v>46292</v>
      </c>
      <c r="F316" t="inlineStr">
        <is>
          <t>GÄVLEBORGS LÄN</t>
        </is>
      </c>
      <c r="G316" t="inlineStr">
        <is>
          <t>LJUSDAL</t>
        </is>
      </c>
      <c r="H316" t="inlineStr">
        <is>
          <t>Allmännings- och besparingsskogar</t>
        </is>
      </c>
      <c r="I316" t="n">
        <v>17.2</v>
      </c>
      <c r="J316" t="n">
        <v>1</v>
      </c>
      <c r="K316" t="n">
        <v>0</v>
      </c>
      <c r="L316" t="n">
        <v>0</v>
      </c>
      <c r="M316" t="n">
        <v>1</v>
      </c>
      <c r="N316" t="n">
        <v>0</v>
      </c>
      <c r="O316" t="n">
        <v>0</v>
      </c>
      <c r="P316" t="n">
        <v>0</v>
      </c>
      <c r="Q316" t="n">
        <v>1</v>
      </c>
      <c r="R316" t="n">
        <v>1</v>
      </c>
      <c r="S316" t="n">
        <v>1</v>
      </c>
      <c r="T316" t="n">
        <v>4</v>
      </c>
      <c r="U316" t="n">
        <v>4</v>
      </c>
      <c r="V316" s="2" t="inlineStr">
        <is>
          <t>Knärot</t>
        </is>
      </c>
      <c r="W316">
        <f>HYPERLINK("https://klasma.github.io/Logging_2161/artfynd/A 56822-2025 artfynd.xlsx", "A 56822-2025")</f>
        <v/>
      </c>
      <c r="X316">
        <f>HYPERLINK("https://klasma.github.io/Logging_2161/kartor/A 56822-2025 karta.png", "A 56822-2025")</f>
        <v/>
      </c>
      <c r="Y316">
        <f>HYPERLINK("https://klasma.github.io/Logging_2161/kartor_geotiff/A 56822-2025 georefererad karta.tif", "A 56822-2025")</f>
        <v/>
      </c>
      <c r="Z316">
        <f>HYPERLINK("https://klasma.github.io/Logging_2161/knärot/A 56822-2025 karta knärot.png", "A 56822-2025")</f>
        <v/>
      </c>
      <c r="AA316">
        <f>HYPERLINK("https://klasma.github.io/Logging_2161/klagomål/A 56822-2025 FSC-klagomål.docx", "A 56822-2025")</f>
        <v/>
      </c>
      <c r="AB316">
        <f>HYPERLINK("https://klasma.github.io/Logging_2161/klagomålsmail/A 56822-2025 FSC-klagomål mail.docx", "A 56822-2025")</f>
        <v/>
      </c>
      <c r="AC316">
        <f>HYPERLINK("https://klasma.github.io/Logging_2161/tillsyn/A 56822-2025 tillsynsbegäran.docx", "A 56822-2025")</f>
        <v/>
      </c>
      <c r="AD316">
        <f>HYPERLINK("https://klasma.github.io/Logging_2161/tillsynsmail/A 56822-2025 tillsynsbegäran mail.docx", "A 56822-2025")</f>
        <v/>
      </c>
    </row>
    <row r="317" ht="15" customHeight="1">
      <c r="A317" t="inlineStr">
        <is>
          <t>A 19099-2026</t>
        </is>
      </c>
      <c r="B317" t="inlineStr">
        <is>
          <t>avverkningsanmälan</t>
        </is>
      </c>
      <c r="C317" t="inlineStr">
        <is>
          <t>Föryngringsavverkning</t>
        </is>
      </c>
      <c r="D317" s="1" t="n">
        <v>46132</v>
      </c>
      <c r="E317" s="1" t="n">
        <v>46292</v>
      </c>
      <c r="F317" t="inlineStr">
        <is>
          <t>GÄVLEBORGS LÄN</t>
        </is>
      </c>
      <c r="G317" t="inlineStr">
        <is>
          <t>LJUSDAL</t>
        </is>
      </c>
      <c r="H317" t="inlineStr">
        <is>
          <t>Sveaskog</t>
        </is>
      </c>
      <c r="I317" t="n">
        <v>16.1</v>
      </c>
      <c r="J317" t="n">
        <v>1</v>
      </c>
      <c r="K317" t="n">
        <v>0</v>
      </c>
      <c r="L317" t="n">
        <v>0</v>
      </c>
      <c r="M317" t="n">
        <v>1</v>
      </c>
      <c r="N317" t="n">
        <v>0</v>
      </c>
      <c r="O317" t="n">
        <v>0</v>
      </c>
      <c r="P317" t="n">
        <v>0</v>
      </c>
      <c r="Q317" t="n">
        <v>1</v>
      </c>
      <c r="R317" t="n">
        <v>1</v>
      </c>
      <c r="S317" t="n">
        <v>1</v>
      </c>
      <c r="T317" t="n">
        <v>1</v>
      </c>
      <c r="U317" t="n">
        <v>1</v>
      </c>
      <c r="V317" s="2" t="inlineStr">
        <is>
          <t>Knärot</t>
        </is>
      </c>
      <c r="W317">
        <f>HYPERLINK("https://klasma.github.io/Logging_2161/artfynd/A 19099-2026 artfynd.xlsx", "A 19099-2026")</f>
        <v/>
      </c>
      <c r="X317">
        <f>HYPERLINK("https://klasma.github.io/Logging_2161/kartor/A 19099-2026 karta.png", "A 19099-2026")</f>
        <v/>
      </c>
      <c r="Y317">
        <f>HYPERLINK("https://klasma.github.io/Logging_2161/kartor_geotiff/A 19099-2026 georefererad karta.tif", "A 19099-2026")</f>
        <v/>
      </c>
      <c r="Z317">
        <f>HYPERLINK("https://klasma.github.io/Logging_2161/knärot/A 19099-2026 karta knärot.png", "A 19099-2026")</f>
        <v/>
      </c>
      <c r="AA317">
        <f>HYPERLINK("https://klasma.github.io/Logging_2161/klagomål/A 19099-2026 FSC-klagomål.docx", "A 19099-2026")</f>
        <v/>
      </c>
      <c r="AB317">
        <f>HYPERLINK("https://klasma.github.io/Logging_2161/klagomålsmail/A 19099-2026 FSC-klagomål mail.docx", "A 19099-2026")</f>
        <v/>
      </c>
      <c r="AC317">
        <f>HYPERLINK("https://klasma.github.io/Logging_2161/tillsyn/A 19099-2026 tillsynsbegäran.docx", "A 19099-2026")</f>
        <v/>
      </c>
      <c r="AD317">
        <f>HYPERLINK("https://klasma.github.io/Logging_2161/tillsynsmail/A 19099-2026 tillsynsbegäran mail.docx", "A 19099-2026")</f>
        <v/>
      </c>
    </row>
    <row r="318" ht="15" customHeight="1">
      <c r="A318" t="inlineStr">
        <is>
          <t>A 20002-2026</t>
        </is>
      </c>
      <c r="B318" t="inlineStr">
        <is>
          <t>avverkningsanmälan</t>
        </is>
      </c>
      <c r="C318" t="inlineStr">
        <is>
          <t>Föryngringsavverkning</t>
        </is>
      </c>
      <c r="D318" s="1" t="n">
        <v>46136</v>
      </c>
      <c r="E318" s="1" t="n">
        <v>46292</v>
      </c>
      <c r="F318" t="inlineStr">
        <is>
          <t>GÄVLEBORGS LÄN</t>
        </is>
      </c>
      <c r="G318" t="inlineStr">
        <is>
          <t>LJUSDAL</t>
        </is>
      </c>
      <c r="H318" t="inlineStr">
        <is>
          <t>Sveaskog</t>
        </is>
      </c>
      <c r="I318" t="n">
        <v>2.3</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20002-2026 artfynd.xlsx", "A 20002-2026")</f>
        <v/>
      </c>
      <c r="X318">
        <f>HYPERLINK("https://klasma.github.io/Logging_2161/kartor/A 20002-2026 karta.png", "A 20002-2026")</f>
        <v/>
      </c>
      <c r="Y318">
        <f>HYPERLINK("https://klasma.github.io/Logging_2161/kartor_geotiff/A 20002-2026 georefererad karta.tif", "A 20002-2026")</f>
        <v/>
      </c>
      <c r="AA318">
        <f>HYPERLINK("https://klasma.github.io/Logging_2161/klagomål/A 20002-2026 FSC-klagomål.docx", "A 20002-2026")</f>
        <v/>
      </c>
      <c r="AB318">
        <f>HYPERLINK("https://klasma.github.io/Logging_2161/klagomålsmail/A 20002-2026 FSC-klagomål mail.docx", "A 20002-2026")</f>
        <v/>
      </c>
      <c r="AC318">
        <f>HYPERLINK("https://klasma.github.io/Logging_2161/tillsyn/A 20002-2026 tillsynsbegäran.docx", "A 20002-2026")</f>
        <v/>
      </c>
      <c r="AD318">
        <f>HYPERLINK("https://klasma.github.io/Logging_2161/tillsynsmail/A 20002-2026 tillsynsbegäran mail.docx", "A 20002-2026")</f>
        <v/>
      </c>
    </row>
    <row r="319" ht="15" customHeight="1">
      <c r="A319" t="inlineStr">
        <is>
          <t>A 17228-2023</t>
        </is>
      </c>
      <c r="B319" t="inlineStr">
        <is>
          <t>avverkningsanmälan</t>
        </is>
      </c>
      <c r="C319" t="inlineStr">
        <is>
          <t>Föryngringsavverkning</t>
        </is>
      </c>
      <c r="D319" s="1" t="n">
        <v>45035</v>
      </c>
      <c r="E319" s="1" t="n">
        <v>46292</v>
      </c>
      <c r="F319" t="inlineStr">
        <is>
          <t>GÄVLEBORGS LÄN</t>
        </is>
      </c>
      <c r="G319" t="inlineStr">
        <is>
          <t>LJUSDAL</t>
        </is>
      </c>
      <c r="H319" t="inlineStr">
        <is>
          <t>Holmen skog AB</t>
        </is>
      </c>
      <c r="I319" t="n">
        <v>1.8</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HYPERLINK("https://klasma.github.io/Logging_2161/artfynd/A 17228-2023 artfynd.xlsx", "A 17228-2023")</f>
        <v/>
      </c>
      <c r="X319">
        <f>HYPERLINK("https://klasma.github.io/Logging_2161/kartor/A 17228-2023 karta.png", "A 17228-2023")</f>
        <v/>
      </c>
      <c r="Y319">
        <f>HYPERLINK("https://klasma.github.io/Logging_2161/kartor_geotiff/A 17228-2023 georefererad karta.tif", "A 17228-2023")</f>
        <v/>
      </c>
      <c r="Z319">
        <f>HYPERLINK("https://klasma.github.io/Logging_2161/knärot/A 17228-2023 karta knärot.png", "A 17228-2023")</f>
        <v/>
      </c>
      <c r="AA319">
        <f>HYPERLINK("https://klasma.github.io/Logging_2161/klagomål/A 17228-2023 FSC-klagomål.docx", "A 17228-2023")</f>
        <v/>
      </c>
      <c r="AB319">
        <f>HYPERLINK("https://klasma.github.io/Logging_2161/klagomålsmail/A 17228-2023 FSC-klagomål mail.docx", "A 17228-2023")</f>
        <v/>
      </c>
      <c r="AC319">
        <f>HYPERLINK("https://klasma.github.io/Logging_2161/tillsyn/A 17228-2023 tillsynsbegäran.docx", "A 17228-2023")</f>
        <v/>
      </c>
      <c r="AD319">
        <f>HYPERLINK("https://klasma.github.io/Logging_2161/tillsynsmail/A 17228-2023 tillsynsbegäran mail.docx", "A 17228-2023")</f>
        <v/>
      </c>
    </row>
    <row r="320" ht="15" customHeight="1">
      <c r="A320" t="inlineStr">
        <is>
          <t>A 31515-2025</t>
        </is>
      </c>
      <c r="B320" t="inlineStr">
        <is>
          <t>avverkningsanmälan</t>
        </is>
      </c>
      <c r="C320" t="inlineStr">
        <is>
          <t>Föryngringsavverkning</t>
        </is>
      </c>
      <c r="D320" s="1" t="n">
        <v>45833</v>
      </c>
      <c r="E320" s="1" t="n">
        <v>46292</v>
      </c>
      <c r="F320" t="inlineStr">
        <is>
          <t>GÄVLEBORGS LÄN</t>
        </is>
      </c>
      <c r="G320" t="inlineStr">
        <is>
          <t>LJUSDAL</t>
        </is>
      </c>
      <c r="I320" t="n">
        <v>4.6</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HYPERLINK("https://klasma.github.io/Logging_2161/artfynd/A 31515-2025 artfynd.xlsx", "A 31515-2025")</f>
        <v/>
      </c>
      <c r="X320">
        <f>HYPERLINK("https://klasma.github.io/Logging_2161/kartor/A 31515-2025 karta.png", "A 31515-2025")</f>
        <v/>
      </c>
      <c r="Y320">
        <f>HYPERLINK("https://klasma.github.io/Logging_2161/kartor_geotiff/A 31515-2025 georefererad karta.tif", "A 31515-2025")</f>
        <v/>
      </c>
      <c r="AA320">
        <f>HYPERLINK("https://klasma.github.io/Logging_2161/klagomål/A 31515-2025 FSC-klagomål.docx", "A 31515-2025")</f>
        <v/>
      </c>
      <c r="AB320">
        <f>HYPERLINK("https://klasma.github.io/Logging_2161/klagomålsmail/A 31515-2025 FSC-klagomål mail.docx", "A 31515-2025")</f>
        <v/>
      </c>
      <c r="AC320">
        <f>HYPERLINK("https://klasma.github.io/Logging_2161/tillsyn/A 31515-2025 tillsynsbegäran.docx", "A 31515-2025")</f>
        <v/>
      </c>
      <c r="AD320">
        <f>HYPERLINK("https://klasma.github.io/Logging_2161/tillsynsmail/A 31515-2025 tillsynsbegäran mail.docx", "A 31515-2025")</f>
        <v/>
      </c>
    </row>
    <row r="321" ht="15" customHeight="1">
      <c r="A321" t="inlineStr">
        <is>
          <t>A 37115-2025</t>
        </is>
      </c>
      <c r="B321" t="inlineStr">
        <is>
          <t>avverkningsanmälan</t>
        </is>
      </c>
      <c r="C321" t="inlineStr">
        <is>
          <t>Föryngringsavverkning</t>
        </is>
      </c>
      <c r="D321" s="1" t="n">
        <v>45875</v>
      </c>
      <c r="E321" s="1" t="n">
        <v>46292</v>
      </c>
      <c r="F321" t="inlineStr">
        <is>
          <t>GÄVLEBORGS LÄN</t>
        </is>
      </c>
      <c r="G321" t="inlineStr">
        <is>
          <t>LJUSDAL</t>
        </is>
      </c>
      <c r="H321" t="inlineStr">
        <is>
          <t>SCA</t>
        </is>
      </c>
      <c r="I321" t="n">
        <v>1.9</v>
      </c>
      <c r="J321" t="n">
        <v>1</v>
      </c>
      <c r="K321" t="n">
        <v>0</v>
      </c>
      <c r="L321" t="n">
        <v>0</v>
      </c>
      <c r="M321" t="n">
        <v>1</v>
      </c>
      <c r="N321" t="n">
        <v>0</v>
      </c>
      <c r="O321" t="n">
        <v>0</v>
      </c>
      <c r="P321" t="n">
        <v>0</v>
      </c>
      <c r="Q321" t="n">
        <v>1</v>
      </c>
      <c r="R321" t="n">
        <v>1</v>
      </c>
      <c r="S321" t="n">
        <v>1</v>
      </c>
      <c r="T321" t="n">
        <v>1</v>
      </c>
      <c r="U321" t="n">
        <v>0</v>
      </c>
      <c r="V321" s="2" t="inlineStr">
        <is>
          <t>Violett guldvinge</t>
        </is>
      </c>
      <c r="W321">
        <f>HYPERLINK("https://klasma.github.io/Logging_2161/artfynd/A 37115-2025 artfynd.xlsx", "A 37115-2025")</f>
        <v/>
      </c>
      <c r="X321">
        <f>HYPERLINK("https://klasma.github.io/Logging_2161/kartor/A 37115-2025 karta.png", "A 37115-2025")</f>
        <v/>
      </c>
      <c r="Y321">
        <f>HYPERLINK("https://klasma.github.io/Logging_2161/kartor_geotiff/A 37115-2025 georefererad karta.tif", "A 37115-2025")</f>
        <v/>
      </c>
      <c r="AA321">
        <f>HYPERLINK("https://klasma.github.io/Logging_2161/klagomål/A 37115-2025 FSC-klagomål.docx", "A 37115-2025")</f>
        <v/>
      </c>
      <c r="AB321">
        <f>HYPERLINK("https://klasma.github.io/Logging_2161/klagomålsmail/A 37115-2025 FSC-klagomål mail.docx", "A 37115-2025")</f>
        <v/>
      </c>
      <c r="AC321">
        <f>HYPERLINK("https://klasma.github.io/Logging_2161/tillsyn/A 37115-2025 tillsynsbegäran.docx", "A 37115-2025")</f>
        <v/>
      </c>
      <c r="AD321">
        <f>HYPERLINK("https://klasma.github.io/Logging_2161/tillsynsmail/A 37115-2025 tillsynsbegäran mail.docx", "A 37115-2025")</f>
        <v/>
      </c>
    </row>
    <row r="322" ht="15" customHeight="1">
      <c r="A322" t="inlineStr">
        <is>
          <t>A 7461-2025</t>
        </is>
      </c>
      <c r="B322" t="inlineStr">
        <is>
          <t>avverkningsanmälan</t>
        </is>
      </c>
      <c r="C322" t="inlineStr">
        <is>
          <t>Föryngringsavverkning</t>
        </is>
      </c>
      <c r="D322" s="1" t="n">
        <v>45705</v>
      </c>
      <c r="E322" s="1" t="n">
        <v>46292</v>
      </c>
      <c r="F322" t="inlineStr">
        <is>
          <t>GÄVLEBORGS LÄN</t>
        </is>
      </c>
      <c r="G322" t="inlineStr">
        <is>
          <t>LJUSDAL</t>
        </is>
      </c>
      <c r="I322" t="n">
        <v>26.4</v>
      </c>
      <c r="J322" t="n">
        <v>1</v>
      </c>
      <c r="K322" t="n">
        <v>0</v>
      </c>
      <c r="L322" t="n">
        <v>1</v>
      </c>
      <c r="M322" t="n">
        <v>0</v>
      </c>
      <c r="N322" t="n">
        <v>0</v>
      </c>
      <c r="O322" t="n">
        <v>0</v>
      </c>
      <c r="P322" t="n">
        <v>0</v>
      </c>
      <c r="Q322" t="n">
        <v>1</v>
      </c>
      <c r="R322" t="n">
        <v>0</v>
      </c>
      <c r="S322" t="n">
        <v>1</v>
      </c>
      <c r="T322" t="n">
        <v>1</v>
      </c>
      <c r="U322" t="n">
        <v>0</v>
      </c>
      <c r="V322" s="2" t="inlineStr">
        <is>
          <t>Sparvuggla</t>
        </is>
      </c>
      <c r="W322">
        <f>HYPERLINK("https://klasma.github.io/Logging_2161/artfynd/A 7461-2025 artfynd.xlsx", "A 7461-2025")</f>
        <v/>
      </c>
      <c r="X322">
        <f>HYPERLINK("https://klasma.github.io/Logging_2161/kartor/A 7461-2025 karta.png", "A 7461-2025")</f>
        <v/>
      </c>
      <c r="Y322">
        <f>HYPERLINK("https://klasma.github.io/Logging_2161/kartor_geotiff/A 7461-2025 georefererad karta.tif", "A 7461-2025")</f>
        <v/>
      </c>
      <c r="AA322">
        <f>HYPERLINK("https://klasma.github.io/Logging_2161/klagomål/A 7461-2025 FSC-klagomål.docx", "A 7461-2025")</f>
        <v/>
      </c>
      <c r="AB322">
        <f>HYPERLINK("https://klasma.github.io/Logging_2161/klagomålsmail/A 7461-2025 FSC-klagomål mail.docx", "A 7461-2025")</f>
        <v/>
      </c>
      <c r="AC322">
        <f>HYPERLINK("https://klasma.github.io/Logging_2161/tillsyn/A 7461-2025 tillsynsbegäran.docx", "A 7461-2025")</f>
        <v/>
      </c>
      <c r="AD322">
        <f>HYPERLINK("https://klasma.github.io/Logging_2161/tillsynsmail/A 7461-2025 tillsynsbegäran mail.docx", "A 7461-2025")</f>
        <v/>
      </c>
      <c r="AE322">
        <f>HYPERLINK("https://klasma.github.io/Logging_2161/fåglar/A 7461-2025 prioriterade fågelarter.docx", "A 7461-2025")</f>
        <v/>
      </c>
    </row>
    <row r="323" ht="15" customHeight="1">
      <c r="A323" t="inlineStr">
        <is>
          <t>A 30371-2025</t>
        </is>
      </c>
      <c r="B323" t="inlineStr">
        <is>
          <t>avverkningsanmälan</t>
        </is>
      </c>
      <c r="C323" t="inlineStr">
        <is>
          <t>Föryngringsavverkning</t>
        </is>
      </c>
      <c r="D323" s="1" t="n">
        <v>45827</v>
      </c>
      <c r="E323" s="1" t="n">
        <v>46292</v>
      </c>
      <c r="F323" t="inlineStr">
        <is>
          <t>GÄVLEBORGS LÄN</t>
        </is>
      </c>
      <c r="G323" t="inlineStr">
        <is>
          <t>LJUSDAL</t>
        </is>
      </c>
      <c r="H323" t="inlineStr">
        <is>
          <t>Sveaskog</t>
        </is>
      </c>
      <c r="I323" t="n">
        <v>4.6</v>
      </c>
      <c r="J323" t="n">
        <v>0</v>
      </c>
      <c r="K323" t="n">
        <v>0</v>
      </c>
      <c r="L323" t="n">
        <v>1</v>
      </c>
      <c r="M323" t="n">
        <v>0</v>
      </c>
      <c r="N323" t="n">
        <v>0</v>
      </c>
      <c r="O323" t="n">
        <v>0</v>
      </c>
      <c r="P323" t="n">
        <v>0</v>
      </c>
      <c r="Q323" t="n">
        <v>1</v>
      </c>
      <c r="R323" t="n">
        <v>0</v>
      </c>
      <c r="S323" t="n">
        <v>1</v>
      </c>
      <c r="T323" t="n">
        <v>1</v>
      </c>
      <c r="U323" t="n">
        <v>0</v>
      </c>
      <c r="V323" s="2" t="inlineStr">
        <is>
          <t>Kolflarnlav</t>
        </is>
      </c>
      <c r="W323">
        <f>HYPERLINK("https://klasma.github.io/Logging_2161/artfynd/A 30371-2025 artfynd.xlsx", "A 30371-2025")</f>
        <v/>
      </c>
      <c r="X323">
        <f>HYPERLINK("https://klasma.github.io/Logging_2161/kartor/A 30371-2025 karta.png", "A 30371-2025")</f>
        <v/>
      </c>
      <c r="Y323">
        <f>HYPERLINK("https://klasma.github.io/Logging_2161/kartor_geotiff/A 30371-2025 georefererad karta.tif", "A 30371-2025")</f>
        <v/>
      </c>
      <c r="AA323">
        <f>HYPERLINK("https://klasma.github.io/Logging_2161/klagomål/A 30371-2025 FSC-klagomål.docx", "A 30371-2025")</f>
        <v/>
      </c>
      <c r="AB323">
        <f>HYPERLINK("https://klasma.github.io/Logging_2161/klagomålsmail/A 30371-2025 FSC-klagomål mail.docx", "A 30371-2025")</f>
        <v/>
      </c>
      <c r="AC323">
        <f>HYPERLINK("https://klasma.github.io/Logging_2161/tillsyn/A 30371-2025 tillsynsbegäran.docx", "A 30371-2025")</f>
        <v/>
      </c>
      <c r="AD323">
        <f>HYPERLINK("https://klasma.github.io/Logging_2161/tillsynsmail/A 30371-2025 tillsynsbegäran mail.docx", "A 30371-2025")</f>
        <v/>
      </c>
    </row>
    <row r="324" ht="15" customHeight="1">
      <c r="A324" t="inlineStr">
        <is>
          <t>A 34233-2024</t>
        </is>
      </c>
      <c r="B324" t="inlineStr">
        <is>
          <t>avverkningsanmälan</t>
        </is>
      </c>
      <c r="C324" t="inlineStr">
        <is>
          <t>Föryngringsavverkning</t>
        </is>
      </c>
      <c r="D324" s="1" t="n">
        <v>45524</v>
      </c>
      <c r="E324" s="1" t="n">
        <v>46292</v>
      </c>
      <c r="F324" t="inlineStr">
        <is>
          <t>GÄVLEBORGS LÄN</t>
        </is>
      </c>
      <c r="G324" t="inlineStr">
        <is>
          <t>LJUSDAL</t>
        </is>
      </c>
      <c r="H324" t="inlineStr">
        <is>
          <t>Sveaskog</t>
        </is>
      </c>
      <c r="I324" t="n">
        <v>7.5</v>
      </c>
      <c r="J324" t="n">
        <v>1</v>
      </c>
      <c r="K324" t="n">
        <v>1</v>
      </c>
      <c r="L324" t="n">
        <v>0</v>
      </c>
      <c r="M324" t="n">
        <v>0</v>
      </c>
      <c r="N324" t="n">
        <v>0</v>
      </c>
      <c r="O324" t="n">
        <v>0</v>
      </c>
      <c r="P324" t="n">
        <v>0</v>
      </c>
      <c r="Q324" t="n">
        <v>0</v>
      </c>
      <c r="R324" t="n">
        <v>0</v>
      </c>
      <c r="S324" t="n">
        <v>1</v>
      </c>
      <c r="T324" t="n">
        <v>1</v>
      </c>
      <c r="U324" t="n">
        <v>1</v>
      </c>
      <c r="V324" s="2" t="inlineStr">
        <is>
          <t>Plattlummer</t>
        </is>
      </c>
      <c r="W324">
        <f>HYPERLINK("https://klasma.github.io/Logging_2161/artfynd/A 34233-2024 artfynd.xlsx", "A 34233-2024")</f>
        <v/>
      </c>
      <c r="X324">
        <f>HYPERLINK("https://klasma.github.io/Logging_2161/kartor/A 34233-2024 karta.png", "A 34233-2024")</f>
        <v/>
      </c>
      <c r="Y324">
        <f>HYPERLINK("https://klasma.github.io/Logging_2161/kartor_geotiff/A 34233-2024 georefererad karta.tif", "A 34233-2024")</f>
        <v/>
      </c>
      <c r="AA324">
        <f>HYPERLINK("https://klasma.github.io/Logging_2161/klagomål/A 34233-2024 FSC-klagomål.docx", "A 34233-2024")</f>
        <v/>
      </c>
      <c r="AB324">
        <f>HYPERLINK("https://klasma.github.io/Logging_2161/klagomålsmail/A 34233-2024 FSC-klagomål mail.docx", "A 34233-2024")</f>
        <v/>
      </c>
      <c r="AC324">
        <f>HYPERLINK("https://klasma.github.io/Logging_2161/tillsyn/A 34233-2024 tillsynsbegäran.docx", "A 34233-2024")</f>
        <v/>
      </c>
      <c r="AD324">
        <f>HYPERLINK("https://klasma.github.io/Logging_2161/tillsynsmail/A 34233-2024 tillsynsbegäran mail.docx", "A 34233-2024")</f>
        <v/>
      </c>
    </row>
    <row r="325" ht="15" customHeight="1">
      <c r="A325" t="inlineStr">
        <is>
          <t>A 5063-2026</t>
        </is>
      </c>
      <c r="B325" t="inlineStr">
        <is>
          <t>avverkningsanmälan</t>
        </is>
      </c>
      <c r="C325" t="inlineStr">
        <is>
          <t>Föryngringsavverkning</t>
        </is>
      </c>
      <c r="D325" s="1" t="n">
        <v>46049</v>
      </c>
      <c r="E325" s="1" t="n">
        <v>46292</v>
      </c>
      <c r="F325" t="inlineStr">
        <is>
          <t>GÄVLEBORGS LÄN</t>
        </is>
      </c>
      <c r="G325" t="inlineStr">
        <is>
          <t>LJUSDAL</t>
        </is>
      </c>
      <c r="H325" t="inlineStr">
        <is>
          <t>Holmen skog AB</t>
        </is>
      </c>
      <c r="I325" t="n">
        <v>9.5</v>
      </c>
      <c r="J325" t="n">
        <v>1</v>
      </c>
      <c r="K325" t="n">
        <v>1</v>
      </c>
      <c r="L325" t="n">
        <v>0</v>
      </c>
      <c r="M325" t="n">
        <v>0</v>
      </c>
      <c r="N325" t="n">
        <v>0</v>
      </c>
      <c r="O325" t="n">
        <v>0</v>
      </c>
      <c r="P325" t="n">
        <v>0</v>
      </c>
      <c r="Q325" t="n">
        <v>0</v>
      </c>
      <c r="R325" t="n">
        <v>0</v>
      </c>
      <c r="S325" t="n">
        <v>1</v>
      </c>
      <c r="T325" t="n">
        <v>1</v>
      </c>
      <c r="U325" t="n">
        <v>0</v>
      </c>
      <c r="V325" s="2" t="inlineStr">
        <is>
          <t>Plattlummer</t>
        </is>
      </c>
      <c r="W325">
        <f>HYPERLINK("https://klasma.github.io/Logging_2161/artfynd/A 5063-2026 artfynd.xlsx", "A 5063-2026")</f>
        <v/>
      </c>
      <c r="X325">
        <f>HYPERLINK("https://klasma.github.io/Logging_2161/kartor/A 5063-2026 karta.png", "A 5063-2026")</f>
        <v/>
      </c>
      <c r="Y325">
        <f>HYPERLINK("https://klasma.github.io/Logging_2161/kartor_geotiff/A 5063-2026 georefererad karta.tif", "A 5063-2026")</f>
        <v/>
      </c>
      <c r="AA325">
        <f>HYPERLINK("https://klasma.github.io/Logging_2161/klagomål/A 5063-2026 FSC-klagomål.docx", "A 5063-2026")</f>
        <v/>
      </c>
      <c r="AB325">
        <f>HYPERLINK("https://klasma.github.io/Logging_2161/klagomålsmail/A 5063-2026 FSC-klagomål mail.docx", "A 5063-2026")</f>
        <v/>
      </c>
      <c r="AC325">
        <f>HYPERLINK("https://klasma.github.io/Logging_2161/tillsyn/A 5063-2026 tillsynsbegäran.docx", "A 5063-2026")</f>
        <v/>
      </c>
      <c r="AD325">
        <f>HYPERLINK("https://klasma.github.io/Logging_2161/tillsynsmail/A 5063-2026 tillsynsbegäran mail.docx", "A 5063-2026")</f>
        <v/>
      </c>
    </row>
    <row r="326" ht="15" customHeight="1">
      <c r="A326" t="inlineStr">
        <is>
          <t>A 63166-2023</t>
        </is>
      </c>
      <c r="B326" t="inlineStr">
        <is>
          <t>avverkningsanmälan</t>
        </is>
      </c>
      <c r="C326" t="inlineStr">
        <is>
          <t>Föryngringsavverkning</t>
        </is>
      </c>
      <c r="D326" s="1" t="n">
        <v>45273</v>
      </c>
      <c r="E326" s="1" t="n">
        <v>46292</v>
      </c>
      <c r="F326" t="inlineStr">
        <is>
          <t>GÄVLEBORGS LÄN</t>
        </is>
      </c>
      <c r="G326" t="inlineStr">
        <is>
          <t>LJUSDAL</t>
        </is>
      </c>
      <c r="I326" t="n">
        <v>3.1</v>
      </c>
      <c r="J326" t="n">
        <v>0</v>
      </c>
      <c r="K326" t="n">
        <v>0</v>
      </c>
      <c r="L326" t="n">
        <v>1</v>
      </c>
      <c r="M326" t="n">
        <v>0</v>
      </c>
      <c r="N326" t="n">
        <v>0</v>
      </c>
      <c r="O326" t="n">
        <v>0</v>
      </c>
      <c r="P326" t="n">
        <v>0</v>
      </c>
      <c r="Q326" t="n">
        <v>1</v>
      </c>
      <c r="R326" t="n">
        <v>0</v>
      </c>
      <c r="S326" t="n">
        <v>1</v>
      </c>
      <c r="T326" t="n">
        <v>2</v>
      </c>
      <c r="U326" t="n">
        <v>2</v>
      </c>
      <c r="V326" s="2" t="inlineStr">
        <is>
          <t>Tallticka</t>
        </is>
      </c>
      <c r="W326">
        <f>HYPERLINK("https://klasma.github.io/Logging_2161/artfynd/A 63166-2023 artfynd.xlsx", "A 63166-2023")</f>
        <v/>
      </c>
      <c r="X326">
        <f>HYPERLINK("https://klasma.github.io/Logging_2161/kartor/A 63166-2023 karta.png", "A 63166-2023")</f>
        <v/>
      </c>
      <c r="Y326">
        <f>HYPERLINK("https://klasma.github.io/Logging_2161/kartor_geotiff/A 63166-2023 georefererad karta.tif", "A 63166-2023")</f>
        <v/>
      </c>
      <c r="AA326">
        <f>HYPERLINK("https://klasma.github.io/Logging_2161/klagomål/A 63166-2023 FSC-klagomål.docx", "A 63166-2023")</f>
        <v/>
      </c>
      <c r="AB326">
        <f>HYPERLINK("https://klasma.github.io/Logging_2161/klagomålsmail/A 63166-2023 FSC-klagomål mail.docx", "A 63166-2023")</f>
        <v/>
      </c>
      <c r="AC326">
        <f>HYPERLINK("https://klasma.github.io/Logging_2161/tillsyn/A 63166-2023 tillsynsbegäran.docx", "A 63166-2023")</f>
        <v/>
      </c>
      <c r="AD326">
        <f>HYPERLINK("https://klasma.github.io/Logging_2161/tillsynsmail/A 63166-2023 tillsynsbegäran mail.docx", "A 63166-2023")</f>
        <v/>
      </c>
    </row>
    <row r="327" ht="15" customHeight="1">
      <c r="A327" t="inlineStr">
        <is>
          <t>A 20930-2026</t>
        </is>
      </c>
      <c r="B327" t="inlineStr">
        <is>
          <t>avverkningsanmälan</t>
        </is>
      </c>
      <c r="C327" t="inlineStr">
        <is>
          <t>Föryngringsavverkning</t>
        </is>
      </c>
      <c r="D327" s="1" t="n">
        <v>46142</v>
      </c>
      <c r="E327" s="1" t="n">
        <v>46292</v>
      </c>
      <c r="F327" t="inlineStr">
        <is>
          <t>GÄVLEBORGS LÄN</t>
        </is>
      </c>
      <c r="G327" t="inlineStr">
        <is>
          <t>LJUSDAL</t>
        </is>
      </c>
      <c r="H327" t="inlineStr">
        <is>
          <t>Sveaskog</t>
        </is>
      </c>
      <c r="I327" t="n">
        <v>9.6</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HYPERLINK("https://klasma.github.io/Logging_2161/artfynd/A 20930-2026 artfynd.xlsx", "A 20930-2026")</f>
        <v/>
      </c>
      <c r="X327">
        <f>HYPERLINK("https://klasma.github.io/Logging_2161/kartor/A 20930-2026 karta.png", "A 20930-2026")</f>
        <v/>
      </c>
      <c r="Y327">
        <f>HYPERLINK("https://klasma.github.io/Logging_2161/kartor_geotiff/A 20930-2026 georefererad karta.tif", "A 20930-2026")</f>
        <v/>
      </c>
      <c r="AA327">
        <f>HYPERLINK("https://klasma.github.io/Logging_2161/klagomål/A 20930-2026 FSC-klagomål.docx", "A 20930-2026")</f>
        <v/>
      </c>
      <c r="AB327">
        <f>HYPERLINK("https://klasma.github.io/Logging_2161/klagomålsmail/A 20930-2026 FSC-klagomål mail.docx", "A 20930-2026")</f>
        <v/>
      </c>
      <c r="AC327">
        <f>HYPERLINK("https://klasma.github.io/Logging_2161/tillsyn/A 20930-2026 tillsynsbegäran.docx", "A 20930-2026")</f>
        <v/>
      </c>
      <c r="AD327">
        <f>HYPERLINK("https://klasma.github.io/Logging_2161/tillsynsmail/A 20930-2026 tillsynsbegäran mail.docx", "A 20930-2026")</f>
        <v/>
      </c>
    </row>
    <row r="328" ht="15" customHeight="1">
      <c r="A328" t="inlineStr">
        <is>
          <t>A 30296-2025</t>
        </is>
      </c>
      <c r="B328" t="inlineStr">
        <is>
          <t>avverkningsanmälan</t>
        </is>
      </c>
      <c r="C328" t="inlineStr">
        <is>
          <t>Föryngringsavverkning</t>
        </is>
      </c>
      <c r="D328" s="1" t="n">
        <v>45827</v>
      </c>
      <c r="E328" s="1" t="n">
        <v>46292</v>
      </c>
      <c r="F328" t="inlineStr">
        <is>
          <t>GÄVLEBORGS LÄN</t>
        </is>
      </c>
      <c r="G328" t="inlineStr">
        <is>
          <t>LJUSDAL</t>
        </is>
      </c>
      <c r="H328" t="inlineStr">
        <is>
          <t>Sveaskog</t>
        </is>
      </c>
      <c r="I328" t="n">
        <v>5.5</v>
      </c>
      <c r="J328" t="n">
        <v>0</v>
      </c>
      <c r="K328" t="n">
        <v>0</v>
      </c>
      <c r="L328" t="n">
        <v>1</v>
      </c>
      <c r="M328" t="n">
        <v>0</v>
      </c>
      <c r="N328" t="n">
        <v>0</v>
      </c>
      <c r="O328" t="n">
        <v>0</v>
      </c>
      <c r="P328" t="n">
        <v>0</v>
      </c>
      <c r="Q328" t="n">
        <v>1</v>
      </c>
      <c r="R328" t="n">
        <v>0</v>
      </c>
      <c r="S328" t="n">
        <v>1</v>
      </c>
      <c r="T328" t="n">
        <v>1</v>
      </c>
      <c r="U328" t="n">
        <v>0</v>
      </c>
      <c r="V328" s="2" t="inlineStr">
        <is>
          <t>Kolflarnlav</t>
        </is>
      </c>
      <c r="W328">
        <f>HYPERLINK("https://klasma.github.io/Logging_2161/artfynd/A 30296-2025 artfynd.xlsx", "A 30296-2025")</f>
        <v/>
      </c>
      <c r="X328">
        <f>HYPERLINK("https://klasma.github.io/Logging_2161/kartor/A 30296-2025 karta.png", "A 30296-2025")</f>
        <v/>
      </c>
      <c r="Y328">
        <f>HYPERLINK("https://klasma.github.io/Logging_2161/kartor_geotiff/A 30296-2025 georefererad karta.tif", "A 30296-2025")</f>
        <v/>
      </c>
      <c r="AA328">
        <f>HYPERLINK("https://klasma.github.io/Logging_2161/klagomål/A 30296-2025 FSC-klagomål.docx", "A 30296-2025")</f>
        <v/>
      </c>
      <c r="AB328">
        <f>HYPERLINK("https://klasma.github.io/Logging_2161/klagomålsmail/A 30296-2025 FSC-klagomål mail.docx", "A 30296-2025")</f>
        <v/>
      </c>
      <c r="AC328">
        <f>HYPERLINK("https://klasma.github.io/Logging_2161/tillsyn/A 30296-2025 tillsynsbegäran.docx", "A 30296-2025")</f>
        <v/>
      </c>
      <c r="AD328">
        <f>HYPERLINK("https://klasma.github.io/Logging_2161/tillsynsmail/A 30296-2025 tillsynsbegäran mail.docx", "A 30296-2025")</f>
        <v/>
      </c>
    </row>
    <row r="329" ht="15" customHeight="1">
      <c r="A329" t="inlineStr">
        <is>
          <t>A 34597-2024</t>
        </is>
      </c>
      <c r="B329" t="inlineStr">
        <is>
          <t>avverkningsanmälan</t>
        </is>
      </c>
      <c r="C329" t="inlineStr">
        <is>
          <t>Föryngringsavverkning</t>
        </is>
      </c>
      <c r="D329" s="1" t="n">
        <v>45526</v>
      </c>
      <c r="E329" s="1" t="n">
        <v>46292</v>
      </c>
      <c r="F329" t="inlineStr">
        <is>
          <t>GÄVLEBORGS LÄN</t>
        </is>
      </c>
      <c r="G329" t="inlineStr">
        <is>
          <t>LJUSDAL</t>
        </is>
      </c>
      <c r="H329" t="inlineStr">
        <is>
          <t>Sveaskog</t>
        </is>
      </c>
      <c r="I329" t="n">
        <v>2.1</v>
      </c>
      <c r="J329" t="n">
        <v>0</v>
      </c>
      <c r="K329" t="n">
        <v>0</v>
      </c>
      <c r="L329" t="n">
        <v>0</v>
      </c>
      <c r="M329" t="n">
        <v>1</v>
      </c>
      <c r="N329" t="n">
        <v>0</v>
      </c>
      <c r="O329" t="n">
        <v>0</v>
      </c>
      <c r="P329" t="n">
        <v>0</v>
      </c>
      <c r="Q329" t="n">
        <v>1</v>
      </c>
      <c r="R329" t="n">
        <v>1</v>
      </c>
      <c r="S329" t="n">
        <v>1</v>
      </c>
      <c r="T329" t="n">
        <v>1</v>
      </c>
      <c r="U329" t="n">
        <v>1</v>
      </c>
      <c r="V329" s="2" t="inlineStr">
        <is>
          <t>Garnlav</t>
        </is>
      </c>
      <c r="W329">
        <f>HYPERLINK("https://klasma.github.io/Logging_2161/artfynd/A 34597-2024 artfynd.xlsx", "A 34597-2024")</f>
        <v/>
      </c>
      <c r="X329">
        <f>HYPERLINK("https://klasma.github.io/Logging_2161/kartor/A 34597-2024 karta.png", "A 34597-2024")</f>
        <v/>
      </c>
      <c r="Y329">
        <f>HYPERLINK("https://klasma.github.io/Logging_2161/kartor_geotiff/A 34597-2024 georefererad karta.tif", "A 34597-2024")</f>
        <v/>
      </c>
      <c r="AA329">
        <f>HYPERLINK("https://klasma.github.io/Logging_2161/klagomål/A 34597-2024 FSC-klagomål.docx", "A 34597-2024")</f>
        <v/>
      </c>
      <c r="AB329">
        <f>HYPERLINK("https://klasma.github.io/Logging_2161/klagomålsmail/A 34597-2024 FSC-klagomål mail.docx", "A 34597-2024")</f>
        <v/>
      </c>
      <c r="AC329">
        <f>HYPERLINK("https://klasma.github.io/Logging_2161/tillsyn/A 34597-2024 tillsynsbegäran.docx", "A 34597-2024")</f>
        <v/>
      </c>
      <c r="AD329">
        <f>HYPERLINK("https://klasma.github.io/Logging_2161/tillsynsmail/A 34597-2024 tillsynsbegäran mail.docx", "A 34597-2024")</f>
        <v/>
      </c>
    </row>
    <row r="330" ht="15" customHeight="1">
      <c r="A330" t="inlineStr">
        <is>
          <t>A 20932-2026</t>
        </is>
      </c>
      <c r="B330" t="inlineStr">
        <is>
          <t>avverkningsanmälan</t>
        </is>
      </c>
      <c r="C330" t="inlineStr">
        <is>
          <t>Föryngringsavverkning</t>
        </is>
      </c>
      <c r="D330" s="1" t="n">
        <v>46142</v>
      </c>
      <c r="E330" s="1" t="n">
        <v>46292</v>
      </c>
      <c r="F330" t="inlineStr">
        <is>
          <t>GÄVLEBORGS LÄN</t>
        </is>
      </c>
      <c r="G330" t="inlineStr">
        <is>
          <t>LJUSDAL</t>
        </is>
      </c>
      <c r="H330" t="inlineStr">
        <is>
          <t>Sveaskog</t>
        </is>
      </c>
      <c r="I330" t="n">
        <v>10.1</v>
      </c>
      <c r="J330" t="n">
        <v>0</v>
      </c>
      <c r="K330" t="n">
        <v>0</v>
      </c>
      <c r="L330" t="n">
        <v>1</v>
      </c>
      <c r="M330" t="n">
        <v>0</v>
      </c>
      <c r="N330" t="n">
        <v>0</v>
      </c>
      <c r="O330" t="n">
        <v>0</v>
      </c>
      <c r="P330" t="n">
        <v>0</v>
      </c>
      <c r="Q330" t="n">
        <v>1</v>
      </c>
      <c r="R330" t="n">
        <v>0</v>
      </c>
      <c r="S330" t="n">
        <v>1</v>
      </c>
      <c r="T330" t="n">
        <v>1</v>
      </c>
      <c r="U330" t="n">
        <v>1</v>
      </c>
      <c r="V330" s="2" t="inlineStr">
        <is>
          <t>Kolflarnlav</t>
        </is>
      </c>
      <c r="W330">
        <f>HYPERLINK("https://klasma.github.io/Logging_2161/artfynd/A 20932-2026 artfynd.xlsx", "A 20932-2026")</f>
        <v/>
      </c>
      <c r="X330">
        <f>HYPERLINK("https://klasma.github.io/Logging_2161/kartor/A 20932-2026 karta.png", "A 20932-2026")</f>
        <v/>
      </c>
      <c r="Y330">
        <f>HYPERLINK("https://klasma.github.io/Logging_2161/kartor_geotiff/A 20932-2026 georefererad karta.tif", "A 20932-2026")</f>
        <v/>
      </c>
      <c r="AA330">
        <f>HYPERLINK("https://klasma.github.io/Logging_2161/klagomål/A 20932-2026 FSC-klagomål.docx", "A 20932-2026")</f>
        <v/>
      </c>
      <c r="AB330">
        <f>HYPERLINK("https://klasma.github.io/Logging_2161/klagomålsmail/A 20932-2026 FSC-klagomål mail.docx", "A 20932-2026")</f>
        <v/>
      </c>
      <c r="AC330">
        <f>HYPERLINK("https://klasma.github.io/Logging_2161/tillsyn/A 20932-2026 tillsynsbegäran.docx", "A 20932-2026")</f>
        <v/>
      </c>
      <c r="AD330">
        <f>HYPERLINK("https://klasma.github.io/Logging_2161/tillsynsmail/A 20932-2026 tillsynsbegäran mail.docx", "A 20932-2026")</f>
        <v/>
      </c>
    </row>
    <row r="331" ht="15" customHeight="1">
      <c r="A331" t="inlineStr">
        <is>
          <t>A 30298-2025</t>
        </is>
      </c>
      <c r="B331" t="inlineStr">
        <is>
          <t>avverkningsanmälan</t>
        </is>
      </c>
      <c r="C331" t="inlineStr">
        <is>
          <t>Föryngringsavverkning</t>
        </is>
      </c>
      <c r="D331" s="1" t="n">
        <v>45827</v>
      </c>
      <c r="E331" s="1" t="n">
        <v>46292</v>
      </c>
      <c r="F331" t="inlineStr">
        <is>
          <t>GÄVLEBORGS LÄN</t>
        </is>
      </c>
      <c r="G331" t="inlineStr">
        <is>
          <t>LJUSDAL</t>
        </is>
      </c>
      <c r="H331" t="inlineStr">
        <is>
          <t>Sveaskog</t>
        </is>
      </c>
      <c r="I331" t="n">
        <v>8.800000000000001</v>
      </c>
      <c r="J331" t="n">
        <v>0</v>
      </c>
      <c r="K331" t="n">
        <v>0</v>
      </c>
      <c r="L331" t="n">
        <v>1</v>
      </c>
      <c r="M331" t="n">
        <v>0</v>
      </c>
      <c r="N331" t="n">
        <v>0</v>
      </c>
      <c r="O331" t="n">
        <v>0</v>
      </c>
      <c r="P331" t="n">
        <v>0</v>
      </c>
      <c r="Q331" t="n">
        <v>1</v>
      </c>
      <c r="R331" t="n">
        <v>0</v>
      </c>
      <c r="S331" t="n">
        <v>1</v>
      </c>
      <c r="T331" t="n">
        <v>1</v>
      </c>
      <c r="U331" t="n">
        <v>0</v>
      </c>
      <c r="V331" s="2" t="inlineStr">
        <is>
          <t>Kolflarnlav</t>
        </is>
      </c>
      <c r="W331">
        <f>HYPERLINK("https://klasma.github.io/Logging_2161/artfynd/A 30298-2025 artfynd.xlsx", "A 30298-2025")</f>
        <v/>
      </c>
      <c r="X331">
        <f>HYPERLINK("https://klasma.github.io/Logging_2161/kartor/A 30298-2025 karta.png", "A 30298-2025")</f>
        <v/>
      </c>
      <c r="Y331">
        <f>HYPERLINK("https://klasma.github.io/Logging_2161/kartor_geotiff/A 30298-2025 georefererad karta.tif", "A 30298-2025")</f>
        <v/>
      </c>
      <c r="AA331">
        <f>HYPERLINK("https://klasma.github.io/Logging_2161/klagomål/A 30298-2025 FSC-klagomål.docx", "A 30298-2025")</f>
        <v/>
      </c>
      <c r="AB331">
        <f>HYPERLINK("https://klasma.github.io/Logging_2161/klagomålsmail/A 30298-2025 FSC-klagomål mail.docx", "A 30298-2025")</f>
        <v/>
      </c>
      <c r="AC331">
        <f>HYPERLINK("https://klasma.github.io/Logging_2161/tillsyn/A 30298-2025 tillsynsbegäran.docx", "A 30298-2025")</f>
        <v/>
      </c>
      <c r="AD331">
        <f>HYPERLINK("https://klasma.github.io/Logging_2161/tillsynsmail/A 30298-2025 tillsynsbegäran mail.docx", "A 30298-2025")</f>
        <v/>
      </c>
    </row>
    <row r="332" ht="15" customHeight="1">
      <c r="A332" t="inlineStr">
        <is>
          <t>A 20989-2026</t>
        </is>
      </c>
      <c r="B332" t="inlineStr">
        <is>
          <t>avverkningsanmälan</t>
        </is>
      </c>
      <c r="C332" t="inlineStr">
        <is>
          <t>Föryngringsavverkning</t>
        </is>
      </c>
      <c r="D332" s="1" t="n">
        <v>46142</v>
      </c>
      <c r="E332" s="1" t="n">
        <v>46292</v>
      </c>
      <c r="F332" t="inlineStr">
        <is>
          <t>GÄVLEBORGS LÄN</t>
        </is>
      </c>
      <c r="G332" t="inlineStr">
        <is>
          <t>LJUSDAL</t>
        </is>
      </c>
      <c r="H332" t="inlineStr">
        <is>
          <t>Sveaskog</t>
        </is>
      </c>
      <c r="I332" t="n">
        <v>3.5</v>
      </c>
      <c r="J332" t="n">
        <v>0</v>
      </c>
      <c r="K332" t="n">
        <v>0</v>
      </c>
      <c r="L332" t="n">
        <v>1</v>
      </c>
      <c r="M332" t="n">
        <v>0</v>
      </c>
      <c r="N332" t="n">
        <v>0</v>
      </c>
      <c r="O332" t="n">
        <v>0</v>
      </c>
      <c r="P332" t="n">
        <v>0</v>
      </c>
      <c r="Q332" t="n">
        <v>1</v>
      </c>
      <c r="R332" t="n">
        <v>0</v>
      </c>
      <c r="S332" t="n">
        <v>1</v>
      </c>
      <c r="T332" t="n">
        <v>2</v>
      </c>
      <c r="U332" t="n">
        <v>1</v>
      </c>
      <c r="V332" s="2" t="inlineStr">
        <is>
          <t>Lunglav</t>
        </is>
      </c>
      <c r="W332">
        <f>HYPERLINK("https://klasma.github.io/Logging_2161/artfynd/A 20989-2026 artfynd.xlsx", "A 20989-2026")</f>
        <v/>
      </c>
      <c r="X332">
        <f>HYPERLINK("https://klasma.github.io/Logging_2161/kartor/A 20989-2026 karta.png", "A 20989-2026")</f>
        <v/>
      </c>
      <c r="Y332">
        <f>HYPERLINK("https://klasma.github.io/Logging_2161/kartor_geotiff/A 20989-2026 georefererad karta.tif", "A 20989-2026")</f>
        <v/>
      </c>
      <c r="AA332">
        <f>HYPERLINK("https://klasma.github.io/Logging_2161/klagomål/A 20989-2026 FSC-klagomål.docx", "A 20989-2026")</f>
        <v/>
      </c>
      <c r="AB332">
        <f>HYPERLINK("https://klasma.github.io/Logging_2161/klagomålsmail/A 20989-2026 FSC-klagomål mail.docx", "A 20989-2026")</f>
        <v/>
      </c>
      <c r="AC332">
        <f>HYPERLINK("https://klasma.github.io/Logging_2161/tillsyn/A 20989-2026 tillsynsbegäran.docx", "A 20989-2026")</f>
        <v/>
      </c>
      <c r="AD332">
        <f>HYPERLINK("https://klasma.github.io/Logging_2161/tillsynsmail/A 20989-2026 tillsynsbegäran mail.docx", "A 20989-2026")</f>
        <v/>
      </c>
    </row>
    <row r="333" ht="15" customHeight="1">
      <c r="A333" t="inlineStr">
        <is>
          <t>A 55943-2025</t>
        </is>
      </c>
      <c r="B333" t="inlineStr">
        <is>
          <t>avverkningsanmälan</t>
        </is>
      </c>
      <c r="C333" t="inlineStr">
        <is>
          <t>Avverkning för annat ändamål</t>
        </is>
      </c>
      <c r="D333" s="1" t="n">
        <v>45973</v>
      </c>
      <c r="E333" s="1" t="n">
        <v>46292</v>
      </c>
      <c r="F333" t="inlineStr">
        <is>
          <t>GÄVLEBORGS LÄN</t>
        </is>
      </c>
      <c r="G333" t="inlineStr">
        <is>
          <t>LJUSDAL</t>
        </is>
      </c>
      <c r="H333" t="inlineStr">
        <is>
          <t>Bergvik skog väst AB</t>
        </is>
      </c>
      <c r="I333" t="n">
        <v>0.9</v>
      </c>
      <c r="J333" t="n">
        <v>1</v>
      </c>
      <c r="K333" t="n">
        <v>0</v>
      </c>
      <c r="L333" t="n">
        <v>1</v>
      </c>
      <c r="M333" t="n">
        <v>0</v>
      </c>
      <c r="N333" t="n">
        <v>0</v>
      </c>
      <c r="O333" t="n">
        <v>0</v>
      </c>
      <c r="P333" t="n">
        <v>0</v>
      </c>
      <c r="Q333" t="n">
        <v>1</v>
      </c>
      <c r="R333" t="n">
        <v>0</v>
      </c>
      <c r="S333" t="n">
        <v>1</v>
      </c>
      <c r="T333" t="n">
        <v>1</v>
      </c>
      <c r="U333" t="n">
        <v>0</v>
      </c>
      <c r="V333" s="2" t="inlineStr">
        <is>
          <t>Kungsörn</t>
        </is>
      </c>
      <c r="W333">
        <f>HYPERLINK("https://klasma.github.io/Logging_2161/artfynd/A 55943-2025 artfynd.xlsx", "A 55943-2025")</f>
        <v/>
      </c>
      <c r="X333">
        <f>HYPERLINK("https://klasma.github.io/Logging_2161/kartor/A 55943-2025 karta.png", "A 55943-2025")</f>
        <v/>
      </c>
      <c r="Y333">
        <f>HYPERLINK("https://klasma.github.io/Logging_2161/kartor_geotiff/A 55943-2025 georefererad karta.tif", "A 55943-2025")</f>
        <v/>
      </c>
      <c r="AA333">
        <f>HYPERLINK("https://klasma.github.io/Logging_2161/klagomål/A 55943-2025 FSC-klagomål.docx", "A 55943-2025")</f>
        <v/>
      </c>
      <c r="AB333">
        <f>HYPERLINK("https://klasma.github.io/Logging_2161/klagomålsmail/A 55943-2025 FSC-klagomål mail.docx", "A 55943-2025")</f>
        <v/>
      </c>
      <c r="AC333">
        <f>HYPERLINK("https://klasma.github.io/Logging_2161/tillsyn/A 55943-2025 tillsynsbegäran.docx", "A 55943-2025")</f>
        <v/>
      </c>
      <c r="AD333">
        <f>HYPERLINK("https://klasma.github.io/Logging_2161/tillsynsmail/A 55943-2025 tillsynsbegäran mail.docx", "A 55943-2025")</f>
        <v/>
      </c>
      <c r="AE333">
        <f>HYPERLINK("https://klasma.github.io/Logging_2161/fåglar/A 55943-2025 prioriterade fågelarter.docx", "A 55943-2025")</f>
        <v/>
      </c>
    </row>
    <row r="334" ht="15" customHeight="1">
      <c r="A334" t="inlineStr">
        <is>
          <t>A 31828-2025</t>
        </is>
      </c>
      <c r="B334" t="inlineStr">
        <is>
          <t>avverkningsanmälan</t>
        </is>
      </c>
      <c r="C334" t="inlineStr">
        <is>
          <t>Föryngringsavverkning</t>
        </is>
      </c>
      <c r="D334" s="1" t="n">
        <v>45834</v>
      </c>
      <c r="E334" s="1" t="n">
        <v>46292</v>
      </c>
      <c r="F334" t="inlineStr">
        <is>
          <t>GÄVLEBORGS LÄN</t>
        </is>
      </c>
      <c r="G334" t="inlineStr">
        <is>
          <t>LJUSDAL</t>
        </is>
      </c>
      <c r="H334" t="inlineStr">
        <is>
          <t>Sveaskog</t>
        </is>
      </c>
      <c r="I334" t="n">
        <v>4</v>
      </c>
      <c r="J334" t="n">
        <v>0</v>
      </c>
      <c r="K334" t="n">
        <v>0</v>
      </c>
      <c r="L334" t="n">
        <v>1</v>
      </c>
      <c r="M334" t="n">
        <v>0</v>
      </c>
      <c r="N334" t="n">
        <v>0</v>
      </c>
      <c r="O334" t="n">
        <v>0</v>
      </c>
      <c r="P334" t="n">
        <v>0</v>
      </c>
      <c r="Q334" t="n">
        <v>1</v>
      </c>
      <c r="R334" t="n">
        <v>0</v>
      </c>
      <c r="S334" t="n">
        <v>1</v>
      </c>
      <c r="T334" t="n">
        <v>1</v>
      </c>
      <c r="U334" t="n">
        <v>0</v>
      </c>
      <c r="V334" s="2" t="inlineStr">
        <is>
          <t>Blå taggsvamp</t>
        </is>
      </c>
      <c r="W334">
        <f>HYPERLINK("https://klasma.github.io/Logging_2161/artfynd/A 31828-2025 artfynd.xlsx", "A 31828-2025")</f>
        <v/>
      </c>
      <c r="X334">
        <f>HYPERLINK("https://klasma.github.io/Logging_2161/kartor/A 31828-2025 karta.png", "A 31828-2025")</f>
        <v/>
      </c>
      <c r="Y334">
        <f>HYPERLINK("https://klasma.github.io/Logging_2161/kartor_geotiff/A 31828-2025 georefererad karta.tif", "A 31828-2025")</f>
        <v/>
      </c>
      <c r="AA334">
        <f>HYPERLINK("https://klasma.github.io/Logging_2161/klagomål/A 31828-2025 FSC-klagomål.docx", "A 31828-2025")</f>
        <v/>
      </c>
      <c r="AB334">
        <f>HYPERLINK("https://klasma.github.io/Logging_2161/klagomålsmail/A 31828-2025 FSC-klagomål mail.docx", "A 31828-2025")</f>
        <v/>
      </c>
      <c r="AC334">
        <f>HYPERLINK("https://klasma.github.io/Logging_2161/tillsyn/A 31828-2025 tillsynsbegäran.docx", "A 31828-2025")</f>
        <v/>
      </c>
      <c r="AD334">
        <f>HYPERLINK("https://klasma.github.io/Logging_2161/tillsynsmail/A 31828-2025 tillsynsbegäran mail.docx", "A 31828-2025")</f>
        <v/>
      </c>
    </row>
    <row r="335" ht="15" customHeight="1">
      <c r="A335" t="inlineStr">
        <is>
          <t>A 22400-2026</t>
        </is>
      </c>
      <c r="B335" t="inlineStr">
        <is>
          <t>avverkningsanmälan</t>
        </is>
      </c>
      <c r="C335" t="inlineStr">
        <is>
          <t>Föryngringsavverkning</t>
        </is>
      </c>
      <c r="D335" s="1" t="n">
        <v>46154</v>
      </c>
      <c r="E335" s="1" t="n">
        <v>46292</v>
      </c>
      <c r="F335" t="inlineStr">
        <is>
          <t>GÄVLEBORGS LÄN</t>
        </is>
      </c>
      <c r="G335" t="inlineStr">
        <is>
          <t>LJUSDAL</t>
        </is>
      </c>
      <c r="H335" t="inlineStr">
        <is>
          <t>Sveaskog</t>
        </is>
      </c>
      <c r="I335" t="n">
        <v>3.1</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HYPERLINK("https://klasma.github.io/Logging_2161/artfynd/A 22400-2026 artfynd.xlsx", "A 22400-2026")</f>
        <v/>
      </c>
      <c r="X335">
        <f>HYPERLINK("https://klasma.github.io/Logging_2161/kartor/A 22400-2026 karta.png", "A 22400-2026")</f>
        <v/>
      </c>
      <c r="Y335">
        <f>HYPERLINK("https://klasma.github.io/Logging_2161/kartor_geotiff/A 22400-2026 georefererad karta.tif", "A 22400-2026")</f>
        <v/>
      </c>
      <c r="AA335">
        <f>HYPERLINK("https://klasma.github.io/Logging_2161/klagomål/A 22400-2026 FSC-klagomål.docx", "A 22400-2026")</f>
        <v/>
      </c>
      <c r="AB335">
        <f>HYPERLINK("https://klasma.github.io/Logging_2161/klagomålsmail/A 22400-2026 FSC-klagomål mail.docx", "A 22400-2026")</f>
        <v/>
      </c>
      <c r="AC335">
        <f>HYPERLINK("https://klasma.github.io/Logging_2161/tillsyn/A 22400-2026 tillsynsbegäran.docx", "A 22400-2026")</f>
        <v/>
      </c>
      <c r="AD335">
        <f>HYPERLINK("https://klasma.github.io/Logging_2161/tillsynsmail/A 22400-2026 tillsynsbegäran mail.docx", "A 22400-2026")</f>
        <v/>
      </c>
    </row>
    <row r="336" ht="15" customHeight="1">
      <c r="A336" t="inlineStr">
        <is>
          <t>A 52778-2021</t>
        </is>
      </c>
      <c r="B336" t="inlineStr">
        <is>
          <t>avverkningsanmälan</t>
        </is>
      </c>
      <c r="C336" t="inlineStr">
        <is>
          <t>Föryngringsavverkning</t>
        </is>
      </c>
      <c r="D336" s="1" t="n">
        <v>44467</v>
      </c>
      <c r="E336" s="1" t="n">
        <v>46292</v>
      </c>
      <c r="F336" t="inlineStr">
        <is>
          <t>GÄVLEBORGS LÄN</t>
        </is>
      </c>
      <c r="G336" t="inlineStr">
        <is>
          <t>LJUSDAL</t>
        </is>
      </c>
      <c r="H336" t="inlineStr">
        <is>
          <t>Sveaskog</t>
        </is>
      </c>
      <c r="I336" t="n">
        <v>3.5</v>
      </c>
      <c r="J336" t="n">
        <v>1</v>
      </c>
      <c r="K336" t="n">
        <v>0</v>
      </c>
      <c r="L336" t="n">
        <v>0</v>
      </c>
      <c r="M336" t="n">
        <v>1</v>
      </c>
      <c r="N336" t="n">
        <v>0</v>
      </c>
      <c r="O336" t="n">
        <v>0</v>
      </c>
      <c r="P336" t="n">
        <v>0</v>
      </c>
      <c r="Q336" t="n">
        <v>1</v>
      </c>
      <c r="R336" t="n">
        <v>1</v>
      </c>
      <c r="S336" t="n">
        <v>1</v>
      </c>
      <c r="T336" t="n">
        <v>1</v>
      </c>
      <c r="U336" t="n">
        <v>0</v>
      </c>
      <c r="V336" s="2" t="inlineStr">
        <is>
          <t>Lappuggla</t>
        </is>
      </c>
      <c r="W336">
        <f>HYPERLINK("https://klasma.github.io/Logging_2161/artfynd/A 52778-2021 artfynd.xlsx", "A 52778-2021")</f>
        <v/>
      </c>
      <c r="X336">
        <f>HYPERLINK("https://klasma.github.io/Logging_2161/kartor/A 52778-2021 karta.png", "A 52778-2021")</f>
        <v/>
      </c>
      <c r="Y336">
        <f>HYPERLINK("https://klasma.github.io/Logging_2161/kartor_geotiff/A 52778-2021 georefererad karta.tif", "A 52778-2021")</f>
        <v/>
      </c>
      <c r="AA336">
        <f>HYPERLINK("https://klasma.github.io/Logging_2161/klagomål/A 52778-2021 FSC-klagomål.docx", "A 52778-2021")</f>
        <v/>
      </c>
      <c r="AB336">
        <f>HYPERLINK("https://klasma.github.io/Logging_2161/klagomålsmail/A 52778-2021 FSC-klagomål mail.docx", "A 52778-2021")</f>
        <v/>
      </c>
      <c r="AC336">
        <f>HYPERLINK("https://klasma.github.io/Logging_2161/tillsyn/A 52778-2021 tillsynsbegäran.docx", "A 52778-2021")</f>
        <v/>
      </c>
      <c r="AD336">
        <f>HYPERLINK("https://klasma.github.io/Logging_2161/tillsynsmail/A 52778-2021 tillsynsbegäran mail.docx", "A 52778-2021")</f>
        <v/>
      </c>
      <c r="AE336">
        <f>HYPERLINK("https://klasma.github.io/Logging_2161/fåglar/A 52778-2021 prioriterade fågelarter.docx", "A 52778-2021")</f>
        <v/>
      </c>
    </row>
    <row r="337" ht="15" customHeight="1">
      <c r="A337" t="inlineStr">
        <is>
          <t>A 58796-2022</t>
        </is>
      </c>
      <c r="B337" t="inlineStr">
        <is>
          <t>avverkningsanmälan</t>
        </is>
      </c>
      <c r="C337" t="inlineStr">
        <is>
          <t>Föryngringsavverkning</t>
        </is>
      </c>
      <c r="D337" s="1" t="n">
        <v>44903</v>
      </c>
      <c r="E337" s="1" t="n">
        <v>46292</v>
      </c>
      <c r="F337" t="inlineStr">
        <is>
          <t>GÄVLEBORGS LÄN</t>
        </is>
      </c>
      <c r="G337" t="inlineStr">
        <is>
          <t>LJUSDAL</t>
        </is>
      </c>
      <c r="H337" t="inlineStr">
        <is>
          <t>Kyrkan</t>
        </is>
      </c>
      <c r="I337" t="n">
        <v>6.8</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HYPERLINK("https://klasma.github.io/Logging_2161/artfynd/A 58796-2022 artfynd.xlsx", "A 58796-2022")</f>
        <v/>
      </c>
      <c r="X337">
        <f>HYPERLINK("https://klasma.github.io/Logging_2161/kartor/A 58796-2022 karta.png", "A 58796-2022")</f>
        <v/>
      </c>
      <c r="Y337">
        <f>HYPERLINK("https://klasma.github.io/Logging_2161/kartor_geotiff/A 58796-2022 georefererad karta.tif", "A 58796-2022")</f>
        <v/>
      </c>
      <c r="Z337">
        <f>HYPERLINK("https://klasma.github.io/Logging_2161/knärot/A 58796-2022 karta knärot.png", "A 58796-2022")</f>
        <v/>
      </c>
      <c r="AA337">
        <f>HYPERLINK("https://klasma.github.io/Logging_2161/klagomål/A 58796-2022 FSC-klagomål.docx", "A 58796-2022")</f>
        <v/>
      </c>
      <c r="AB337">
        <f>HYPERLINK("https://klasma.github.io/Logging_2161/klagomålsmail/A 58796-2022 FSC-klagomål mail.docx", "A 58796-2022")</f>
        <v/>
      </c>
      <c r="AC337">
        <f>HYPERLINK("https://klasma.github.io/Logging_2161/tillsyn/A 58796-2022 tillsynsbegäran.docx", "A 58796-2022")</f>
        <v/>
      </c>
      <c r="AD337">
        <f>HYPERLINK("https://klasma.github.io/Logging_2161/tillsynsmail/A 58796-2022 tillsynsbegäran mail.docx", "A 58796-2022")</f>
        <v/>
      </c>
    </row>
    <row r="338" ht="15" customHeight="1">
      <c r="A338" t="inlineStr">
        <is>
          <t>A 32815-2025</t>
        </is>
      </c>
      <c r="B338" t="inlineStr">
        <is>
          <t>avverkningsanmälan</t>
        </is>
      </c>
      <c r="C338" t="inlineStr">
        <is>
          <t>Föryngringsavverkning</t>
        </is>
      </c>
      <c r="D338" s="1" t="n">
        <v>45839</v>
      </c>
      <c r="E338" s="1" t="n">
        <v>46292</v>
      </c>
      <c r="F338" t="inlineStr">
        <is>
          <t>GÄVLEBORGS LÄN</t>
        </is>
      </c>
      <c r="G338" t="inlineStr">
        <is>
          <t>LJUSDAL</t>
        </is>
      </c>
      <c r="H338" t="inlineStr">
        <is>
          <t>Sveaskog</t>
        </is>
      </c>
      <c r="I338" t="n">
        <v>2.1</v>
      </c>
      <c r="J338" t="n">
        <v>1</v>
      </c>
      <c r="K338" t="n">
        <v>0</v>
      </c>
      <c r="L338" t="n">
        <v>0</v>
      </c>
      <c r="M338" t="n">
        <v>0</v>
      </c>
      <c r="N338" t="n">
        <v>0</v>
      </c>
      <c r="O338" t="n">
        <v>0</v>
      </c>
      <c r="P338" t="n">
        <v>0</v>
      </c>
      <c r="Q338" t="n">
        <v>0</v>
      </c>
      <c r="R338" t="n">
        <v>0</v>
      </c>
      <c r="S338" t="n">
        <v>1</v>
      </c>
      <c r="T338" t="n">
        <v>1</v>
      </c>
      <c r="U338" t="n">
        <v>1</v>
      </c>
      <c r="V338" s="2" t="inlineStr">
        <is>
          <t>Fläcknycklar</t>
        </is>
      </c>
      <c r="W338">
        <f>HYPERLINK("https://klasma.github.io/Logging_2161/artfynd/A 32815-2025 artfynd.xlsx", "A 32815-2025")</f>
        <v/>
      </c>
      <c r="X338">
        <f>HYPERLINK("https://klasma.github.io/Logging_2161/kartor/A 32815-2025 karta.png", "A 32815-2025")</f>
        <v/>
      </c>
      <c r="Y338">
        <f>HYPERLINK("https://klasma.github.io/Logging_2161/kartor_geotiff/A 32815-2025 georefererad karta.tif", "A 32815-2025")</f>
        <v/>
      </c>
      <c r="AA338">
        <f>HYPERLINK("https://klasma.github.io/Logging_2161/klagomål/A 32815-2025 FSC-klagomål.docx", "A 32815-2025")</f>
        <v/>
      </c>
      <c r="AB338">
        <f>HYPERLINK("https://klasma.github.io/Logging_2161/klagomålsmail/A 32815-2025 FSC-klagomål mail.docx", "A 32815-2025")</f>
        <v/>
      </c>
      <c r="AC338">
        <f>HYPERLINK("https://klasma.github.io/Logging_2161/tillsyn/A 32815-2025 tillsynsbegäran.docx", "A 32815-2025")</f>
        <v/>
      </c>
      <c r="AD338">
        <f>HYPERLINK("https://klasma.github.io/Logging_2161/tillsynsmail/A 32815-2025 tillsynsbegäran mail.docx", "A 32815-2025")</f>
        <v/>
      </c>
    </row>
    <row r="339" ht="15" customHeight="1">
      <c r="A339" t="inlineStr">
        <is>
          <t>A 34974-2024</t>
        </is>
      </c>
      <c r="B339" t="inlineStr">
        <is>
          <t>avverkningsanmälan</t>
        </is>
      </c>
      <c r="C339" t="inlineStr">
        <is>
          <t>Föryngringsavverkning</t>
        </is>
      </c>
      <c r="D339" s="1" t="n">
        <v>45527</v>
      </c>
      <c r="E339" s="1" t="n">
        <v>46292</v>
      </c>
      <c r="F339" t="inlineStr">
        <is>
          <t>GÄVLEBORGS LÄN</t>
        </is>
      </c>
      <c r="G339" t="inlineStr">
        <is>
          <t>LJUSDAL</t>
        </is>
      </c>
      <c r="H339" t="inlineStr">
        <is>
          <t>Sveaskog</t>
        </is>
      </c>
      <c r="I339" t="n">
        <v>4.6</v>
      </c>
      <c r="J339" t="n">
        <v>0</v>
      </c>
      <c r="K339" t="n">
        <v>0</v>
      </c>
      <c r="L339" t="n">
        <v>1</v>
      </c>
      <c r="M339" t="n">
        <v>0</v>
      </c>
      <c r="N339" t="n">
        <v>0</v>
      </c>
      <c r="O339" t="n">
        <v>0</v>
      </c>
      <c r="P339" t="n">
        <v>0</v>
      </c>
      <c r="Q339" t="n">
        <v>1</v>
      </c>
      <c r="R339" t="n">
        <v>0</v>
      </c>
      <c r="S339" t="n">
        <v>1</v>
      </c>
      <c r="T339" t="n">
        <v>2</v>
      </c>
      <c r="U339" t="n">
        <v>0</v>
      </c>
      <c r="V339" s="2" t="inlineStr">
        <is>
          <t>Kolflarnlav</t>
        </is>
      </c>
      <c r="W339">
        <f>HYPERLINK("https://klasma.github.io/Logging_2161/artfynd/A 34974-2024 artfynd.xlsx", "A 34974-2024")</f>
        <v/>
      </c>
      <c r="X339">
        <f>HYPERLINK("https://klasma.github.io/Logging_2161/kartor/A 34974-2024 karta.png", "A 34974-2024")</f>
        <v/>
      </c>
      <c r="Y339">
        <f>HYPERLINK("https://klasma.github.io/Logging_2161/kartor_geotiff/A 34974-2024 georefererad karta.tif", "A 34974-2024")</f>
        <v/>
      </c>
      <c r="AA339">
        <f>HYPERLINK("https://klasma.github.io/Logging_2161/klagomål/A 34974-2024 FSC-klagomål.docx", "A 34974-2024")</f>
        <v/>
      </c>
      <c r="AB339">
        <f>HYPERLINK("https://klasma.github.io/Logging_2161/klagomålsmail/A 34974-2024 FSC-klagomål mail.docx", "A 34974-2024")</f>
        <v/>
      </c>
      <c r="AC339">
        <f>HYPERLINK("https://klasma.github.io/Logging_2161/tillsyn/A 34974-2024 tillsynsbegäran.docx", "A 34974-2024")</f>
        <v/>
      </c>
      <c r="AD339">
        <f>HYPERLINK("https://klasma.github.io/Logging_2161/tillsynsmail/A 34974-2024 tillsynsbegäran mail.docx", "A 34974-2024")</f>
        <v/>
      </c>
    </row>
    <row r="340" ht="15" customHeight="1">
      <c r="A340" t="inlineStr">
        <is>
          <t>A 33338-2025</t>
        </is>
      </c>
      <c r="B340" t="inlineStr">
        <is>
          <t>avverkningsanmälan</t>
        </is>
      </c>
      <c r="C340" t="inlineStr">
        <is>
          <t>Föryngringsavverkning</t>
        </is>
      </c>
      <c r="D340" s="1" t="n">
        <v>45841</v>
      </c>
      <c r="E340" s="1" t="n">
        <v>46292</v>
      </c>
      <c r="F340" t="inlineStr">
        <is>
          <t>GÄVLEBORGS LÄN</t>
        </is>
      </c>
      <c r="G340" t="inlineStr">
        <is>
          <t>LJUSDAL</t>
        </is>
      </c>
      <c r="H340" t="inlineStr">
        <is>
          <t>Sveaskog</t>
        </is>
      </c>
      <c r="I340" t="n">
        <v>1.6</v>
      </c>
      <c r="J340" t="n">
        <v>1</v>
      </c>
      <c r="K340" t="n">
        <v>0</v>
      </c>
      <c r="L340" t="n">
        <v>0</v>
      </c>
      <c r="M340" t="n">
        <v>0</v>
      </c>
      <c r="N340" t="n">
        <v>0</v>
      </c>
      <c r="O340" t="n">
        <v>0</v>
      </c>
      <c r="P340" t="n">
        <v>0</v>
      </c>
      <c r="Q340" t="n">
        <v>0</v>
      </c>
      <c r="R340" t="n">
        <v>0</v>
      </c>
      <c r="S340" t="n">
        <v>1</v>
      </c>
      <c r="T340" t="n">
        <v>1</v>
      </c>
      <c r="U340" t="n">
        <v>1</v>
      </c>
      <c r="V340" s="2" t="inlineStr">
        <is>
          <t>Fläcknycklar</t>
        </is>
      </c>
      <c r="W340">
        <f>HYPERLINK("https://klasma.github.io/Logging_2161/artfynd/A 33338-2025 artfynd.xlsx", "A 33338-2025")</f>
        <v/>
      </c>
      <c r="X340">
        <f>HYPERLINK("https://klasma.github.io/Logging_2161/kartor/A 33338-2025 karta.png", "A 33338-2025")</f>
        <v/>
      </c>
      <c r="Y340">
        <f>HYPERLINK("https://klasma.github.io/Logging_2161/kartor_geotiff/A 33338-2025 georefererad karta.tif", "A 33338-2025")</f>
        <v/>
      </c>
      <c r="AA340">
        <f>HYPERLINK("https://klasma.github.io/Logging_2161/klagomål/A 33338-2025 FSC-klagomål.docx", "A 33338-2025")</f>
        <v/>
      </c>
      <c r="AB340">
        <f>HYPERLINK("https://klasma.github.io/Logging_2161/klagomålsmail/A 33338-2025 FSC-klagomål mail.docx", "A 33338-2025")</f>
        <v/>
      </c>
      <c r="AC340">
        <f>HYPERLINK("https://klasma.github.io/Logging_2161/tillsyn/A 33338-2025 tillsynsbegäran.docx", "A 33338-2025")</f>
        <v/>
      </c>
      <c r="AD340">
        <f>HYPERLINK("https://klasma.github.io/Logging_2161/tillsynsmail/A 33338-2025 tillsynsbegäran mail.docx", "A 33338-2025")</f>
        <v/>
      </c>
    </row>
    <row r="341" ht="15" customHeight="1">
      <c r="A341" t="inlineStr">
        <is>
          <t>A 23394-2024</t>
        </is>
      </c>
      <c r="B341" t="inlineStr">
        <is>
          <t>avverkningsanmälan</t>
        </is>
      </c>
      <c r="C341" t="inlineStr">
        <is>
          <t>Föryngringsavverkning</t>
        </is>
      </c>
      <c r="D341" s="1" t="n">
        <v>45453</v>
      </c>
      <c r="E341" s="1" t="n">
        <v>46292</v>
      </c>
      <c r="F341" t="inlineStr">
        <is>
          <t>GÄVLEBORGS LÄN</t>
        </is>
      </c>
      <c r="G341" t="inlineStr">
        <is>
          <t>LJUSDAL</t>
        </is>
      </c>
      <c r="I341" t="n">
        <v>3.3</v>
      </c>
      <c r="J341" t="n">
        <v>0</v>
      </c>
      <c r="K341" t="n">
        <v>0</v>
      </c>
      <c r="L341" t="n">
        <v>1</v>
      </c>
      <c r="M341" t="n">
        <v>0</v>
      </c>
      <c r="N341" t="n">
        <v>0</v>
      </c>
      <c r="O341" t="n">
        <v>0</v>
      </c>
      <c r="P341" t="n">
        <v>0</v>
      </c>
      <c r="Q341" t="n">
        <v>1</v>
      </c>
      <c r="R341" t="n">
        <v>0</v>
      </c>
      <c r="S341" t="n">
        <v>1</v>
      </c>
      <c r="T341" t="n">
        <v>1</v>
      </c>
      <c r="U341" t="n">
        <v>1</v>
      </c>
      <c r="V341" s="2" t="inlineStr">
        <is>
          <t>Lunglav</t>
        </is>
      </c>
      <c r="W341">
        <f>HYPERLINK("https://klasma.github.io/Logging_2161/artfynd/A 23394-2024 artfynd.xlsx", "A 23394-2024")</f>
        <v/>
      </c>
      <c r="X341">
        <f>HYPERLINK("https://klasma.github.io/Logging_2161/kartor/A 23394-2024 karta.png", "A 23394-2024")</f>
        <v/>
      </c>
      <c r="Y341">
        <f>HYPERLINK("https://klasma.github.io/Logging_2161/kartor_geotiff/A 23394-2024 georefererad karta.tif", "A 23394-2024")</f>
        <v/>
      </c>
      <c r="AA341">
        <f>HYPERLINK("https://klasma.github.io/Logging_2161/klagomål/A 23394-2024 FSC-klagomål.docx", "A 23394-2024")</f>
        <v/>
      </c>
      <c r="AB341">
        <f>HYPERLINK("https://klasma.github.io/Logging_2161/klagomålsmail/A 23394-2024 FSC-klagomål mail.docx", "A 23394-2024")</f>
        <v/>
      </c>
      <c r="AC341">
        <f>HYPERLINK("https://klasma.github.io/Logging_2161/tillsyn/A 23394-2024 tillsynsbegäran.docx", "A 23394-2024")</f>
        <v/>
      </c>
      <c r="AD341">
        <f>HYPERLINK("https://klasma.github.io/Logging_2161/tillsynsmail/A 23394-2024 tillsynsbegäran mail.docx", "A 23394-2024")</f>
        <v/>
      </c>
    </row>
    <row r="342" ht="15" customHeight="1">
      <c r="A342" t="inlineStr">
        <is>
          <t>A 23779-2026</t>
        </is>
      </c>
      <c r="B342" t="inlineStr">
        <is>
          <t>avverkningsanmälan</t>
        </is>
      </c>
      <c r="C342" t="inlineStr">
        <is>
          <t>Föryngringsavverkning</t>
        </is>
      </c>
      <c r="D342" s="1" t="n">
        <v>46164</v>
      </c>
      <c r="E342" s="1" t="n">
        <v>46292</v>
      </c>
      <c r="F342" t="inlineStr">
        <is>
          <t>GÄVLEBORGS LÄN</t>
        </is>
      </c>
      <c r="G342" t="inlineStr">
        <is>
          <t>LJUSDAL</t>
        </is>
      </c>
      <c r="H342" t="inlineStr">
        <is>
          <t>Sveaskog</t>
        </is>
      </c>
      <c r="I342" t="n">
        <v>5.4</v>
      </c>
      <c r="J342" t="n">
        <v>0</v>
      </c>
      <c r="K342" t="n">
        <v>0</v>
      </c>
      <c r="L342" t="n">
        <v>1</v>
      </c>
      <c r="M342" t="n">
        <v>0</v>
      </c>
      <c r="N342" t="n">
        <v>0</v>
      </c>
      <c r="O342" t="n">
        <v>0</v>
      </c>
      <c r="P342" t="n">
        <v>0</v>
      </c>
      <c r="Q342" t="n">
        <v>1</v>
      </c>
      <c r="R342" t="n">
        <v>0</v>
      </c>
      <c r="S342" t="n">
        <v>1</v>
      </c>
      <c r="T342" t="n">
        <v>1</v>
      </c>
      <c r="U342" t="n">
        <v>1</v>
      </c>
      <c r="V342" s="2" t="inlineStr">
        <is>
          <t>Tallticka</t>
        </is>
      </c>
      <c r="W342">
        <f>HYPERLINK("https://klasma.github.io/Logging_2161/artfynd/A 23779-2026 artfynd.xlsx", "A 23779-2026")</f>
        <v/>
      </c>
      <c r="X342">
        <f>HYPERLINK("https://klasma.github.io/Logging_2161/kartor/A 23779-2026 karta.png", "A 23779-2026")</f>
        <v/>
      </c>
      <c r="Y342">
        <f>HYPERLINK("https://klasma.github.io/Logging_2161/kartor_geotiff/A 23779-2026 georefererad karta.tif", "A 23779-2026")</f>
        <v/>
      </c>
      <c r="AA342">
        <f>HYPERLINK("https://klasma.github.io/Logging_2161/klagomål/A 23779-2026 FSC-klagomål.docx", "A 23779-2026")</f>
        <v/>
      </c>
      <c r="AB342">
        <f>HYPERLINK("https://klasma.github.io/Logging_2161/klagomålsmail/A 23779-2026 FSC-klagomål mail.docx", "A 23779-2026")</f>
        <v/>
      </c>
      <c r="AC342">
        <f>HYPERLINK("https://klasma.github.io/Logging_2161/tillsyn/A 23779-2026 tillsynsbegäran.docx", "A 23779-2026")</f>
        <v/>
      </c>
      <c r="AD342">
        <f>HYPERLINK("https://klasma.github.io/Logging_2161/tillsynsmail/A 23779-2026 tillsynsbegäran mail.docx", "A 23779-2026")</f>
        <v/>
      </c>
    </row>
    <row r="343" ht="15" customHeight="1">
      <c r="A343" t="inlineStr">
        <is>
          <t>A 32499-2023</t>
        </is>
      </c>
      <c r="B343" t="inlineStr">
        <is>
          <t>avverkningsanmälan</t>
        </is>
      </c>
      <c r="C343" t="inlineStr">
        <is>
          <t>Föryngringsavverkning</t>
        </is>
      </c>
      <c r="D343" s="1" t="n">
        <v>45121</v>
      </c>
      <c r="E343" s="1" t="n">
        <v>46292</v>
      </c>
      <c r="F343" t="inlineStr">
        <is>
          <t>GÄVLEBORGS LÄN</t>
        </is>
      </c>
      <c r="G343" t="inlineStr">
        <is>
          <t>LJUSDAL</t>
        </is>
      </c>
      <c r="H343" t="inlineStr">
        <is>
          <t>Sveaskog</t>
        </is>
      </c>
      <c r="I343" t="n">
        <v>2.6</v>
      </c>
      <c r="J343" t="n">
        <v>1</v>
      </c>
      <c r="K343" t="n">
        <v>0</v>
      </c>
      <c r="L343" t="n">
        <v>0</v>
      </c>
      <c r="M343" t="n">
        <v>1</v>
      </c>
      <c r="N343" t="n">
        <v>0</v>
      </c>
      <c r="O343" t="n">
        <v>0</v>
      </c>
      <c r="P343" t="n">
        <v>0</v>
      </c>
      <c r="Q343" t="n">
        <v>1</v>
      </c>
      <c r="R343" t="n">
        <v>1</v>
      </c>
      <c r="S343" t="n">
        <v>1</v>
      </c>
      <c r="T343" t="n">
        <v>1</v>
      </c>
      <c r="U343" t="n">
        <v>1</v>
      </c>
      <c r="V343" s="2" t="inlineStr">
        <is>
          <t>Knärot</t>
        </is>
      </c>
      <c r="W343">
        <f>HYPERLINK("https://klasma.github.io/Logging_2161/artfynd/A 32499-2023 artfynd.xlsx", "A 32499-2023")</f>
        <v/>
      </c>
      <c r="X343">
        <f>HYPERLINK("https://klasma.github.io/Logging_2161/kartor/A 32499-2023 karta.png", "A 32499-2023")</f>
        <v/>
      </c>
      <c r="Y343">
        <f>HYPERLINK("https://klasma.github.io/Logging_2161/kartor_geotiff/A 32499-2023 georefererad karta.tif", "A 32499-2023")</f>
        <v/>
      </c>
      <c r="Z343">
        <f>HYPERLINK("https://klasma.github.io/Logging_2161/knärot/A 32499-2023 karta knärot.png", "A 32499-2023")</f>
        <v/>
      </c>
      <c r="AA343">
        <f>HYPERLINK("https://klasma.github.io/Logging_2161/klagomål/A 32499-2023 FSC-klagomål.docx", "A 32499-2023")</f>
        <v/>
      </c>
      <c r="AB343">
        <f>HYPERLINK("https://klasma.github.io/Logging_2161/klagomålsmail/A 32499-2023 FSC-klagomål mail.docx", "A 32499-2023")</f>
        <v/>
      </c>
      <c r="AC343">
        <f>HYPERLINK("https://klasma.github.io/Logging_2161/tillsyn/A 32499-2023 tillsynsbegäran.docx", "A 32499-2023")</f>
        <v/>
      </c>
      <c r="AD343">
        <f>HYPERLINK("https://klasma.github.io/Logging_2161/tillsynsmail/A 32499-2023 tillsynsbegäran mail.docx", "A 32499-2023")</f>
        <v/>
      </c>
    </row>
    <row r="344" ht="15" customHeight="1">
      <c r="A344" t="inlineStr">
        <is>
          <t>A 36058-2025</t>
        </is>
      </c>
      <c r="B344" t="inlineStr">
        <is>
          <t>avverkningsanmälan</t>
        </is>
      </c>
      <c r="C344" t="inlineStr">
        <is>
          <t>Föryngringsavverkning</t>
        </is>
      </c>
      <c r="D344" s="1" t="n">
        <v>45866</v>
      </c>
      <c r="E344" s="1" t="n">
        <v>46292</v>
      </c>
      <c r="F344" t="inlineStr">
        <is>
          <t>GÄVLEBORGS LÄN</t>
        </is>
      </c>
      <c r="G344" t="inlineStr">
        <is>
          <t>LJUSDAL</t>
        </is>
      </c>
      <c r="H344" t="inlineStr">
        <is>
          <t>Bergvik skog väst AB</t>
        </is>
      </c>
      <c r="I344" t="n">
        <v>6.2</v>
      </c>
      <c r="J344" t="n">
        <v>0</v>
      </c>
      <c r="K344" t="n">
        <v>0</v>
      </c>
      <c r="L344" t="n">
        <v>0</v>
      </c>
      <c r="M344" t="n">
        <v>1</v>
      </c>
      <c r="N344" t="n">
        <v>0</v>
      </c>
      <c r="O344" t="n">
        <v>0</v>
      </c>
      <c r="P344" t="n">
        <v>0</v>
      </c>
      <c r="Q344" t="n">
        <v>1</v>
      </c>
      <c r="R344" t="n">
        <v>1</v>
      </c>
      <c r="S344" t="n">
        <v>1</v>
      </c>
      <c r="T344" t="n">
        <v>1</v>
      </c>
      <c r="U344" t="n">
        <v>1</v>
      </c>
      <c r="V344" s="2" t="inlineStr">
        <is>
          <t>Garnlav</t>
        </is>
      </c>
      <c r="W344">
        <f>HYPERLINK("https://klasma.github.io/Logging_2161/artfynd/A 36058-2025 artfynd.xlsx", "A 36058-2025")</f>
        <v/>
      </c>
      <c r="X344">
        <f>HYPERLINK("https://klasma.github.io/Logging_2161/kartor/A 36058-2025 karta.png", "A 36058-2025")</f>
        <v/>
      </c>
      <c r="Y344">
        <f>HYPERLINK("https://klasma.github.io/Logging_2161/kartor_geotiff/A 36058-2025 georefererad karta.tif", "A 36058-2025")</f>
        <v/>
      </c>
      <c r="AA344">
        <f>HYPERLINK("https://klasma.github.io/Logging_2161/klagomål/A 36058-2025 FSC-klagomål.docx", "A 36058-2025")</f>
        <v/>
      </c>
      <c r="AB344">
        <f>HYPERLINK("https://klasma.github.io/Logging_2161/klagomålsmail/A 36058-2025 FSC-klagomål mail.docx", "A 36058-2025")</f>
        <v/>
      </c>
      <c r="AC344">
        <f>HYPERLINK("https://klasma.github.io/Logging_2161/tillsyn/A 36058-2025 tillsynsbegäran.docx", "A 36058-2025")</f>
        <v/>
      </c>
      <c r="AD344">
        <f>HYPERLINK("https://klasma.github.io/Logging_2161/tillsynsmail/A 36058-2025 tillsynsbegäran mail.docx", "A 36058-2025")</f>
        <v/>
      </c>
    </row>
    <row r="345" ht="15" customHeight="1">
      <c r="A345" t="inlineStr">
        <is>
          <t>A 25489-2026</t>
        </is>
      </c>
      <c r="B345" t="inlineStr">
        <is>
          <t>avverkningsanmälan</t>
        </is>
      </c>
      <c r="C345" t="inlineStr">
        <is>
          <t>Föryngringsavverkning</t>
        </is>
      </c>
      <c r="D345" s="1" t="n">
        <v>46177</v>
      </c>
      <c r="E345" s="1" t="n">
        <v>46292</v>
      </c>
      <c r="F345" t="inlineStr">
        <is>
          <t>GÄVLEBORGS LÄN</t>
        </is>
      </c>
      <c r="G345" t="inlineStr">
        <is>
          <t>LJUSDAL</t>
        </is>
      </c>
      <c r="H345" t="inlineStr">
        <is>
          <t>Allmännings- och besparingsskogar</t>
        </is>
      </c>
      <c r="I345" t="n">
        <v>15.8</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25489-2026 artfynd.xlsx", "A 25489-2026")</f>
        <v/>
      </c>
      <c r="X345">
        <f>HYPERLINK("https://klasma.github.io/Logging_2161/kartor/A 25489-2026 karta.png", "A 25489-2026")</f>
        <v/>
      </c>
      <c r="Y345">
        <f>HYPERLINK("https://klasma.github.io/Logging_2161/kartor_geotiff/A 25489-2026 georefererad karta.tif", "A 25489-2026")</f>
        <v/>
      </c>
      <c r="AA345">
        <f>HYPERLINK("https://klasma.github.io/Logging_2161/klagomål/A 25489-2026 FSC-klagomål.docx", "A 25489-2026")</f>
        <v/>
      </c>
      <c r="AB345">
        <f>HYPERLINK("https://klasma.github.io/Logging_2161/klagomålsmail/A 25489-2026 FSC-klagomål mail.docx", "A 25489-2026")</f>
        <v/>
      </c>
      <c r="AC345">
        <f>HYPERLINK("https://klasma.github.io/Logging_2161/tillsyn/A 25489-2026 tillsynsbegäran.docx", "A 25489-2026")</f>
        <v/>
      </c>
      <c r="AD345">
        <f>HYPERLINK("https://klasma.github.io/Logging_2161/tillsynsmail/A 25489-2026 tillsynsbegäran mail.docx", "A 25489-2026")</f>
        <v/>
      </c>
    </row>
    <row r="346" ht="15" customHeight="1">
      <c r="A346" t="inlineStr">
        <is>
          <t>A 52787-2024</t>
        </is>
      </c>
      <c r="B346" t="inlineStr">
        <is>
          <t>avverkningsanmälan</t>
        </is>
      </c>
      <c r="C346" t="inlineStr">
        <is>
          <t>Föryngringsavverkning</t>
        </is>
      </c>
      <c r="D346" s="1" t="n">
        <v>45610</v>
      </c>
      <c r="E346" s="1" t="n">
        <v>46292</v>
      </c>
      <c r="F346" t="inlineStr">
        <is>
          <t>GÄVLEBORGS LÄN</t>
        </is>
      </c>
      <c r="G346" t="inlineStr">
        <is>
          <t>LJUSDAL</t>
        </is>
      </c>
      <c r="H346" t="inlineStr">
        <is>
          <t>SCA</t>
        </is>
      </c>
      <c r="I346" t="n">
        <v>4.7</v>
      </c>
      <c r="J346" t="n">
        <v>1</v>
      </c>
      <c r="K346" t="n">
        <v>0</v>
      </c>
      <c r="L346" t="n">
        <v>0</v>
      </c>
      <c r="M346" t="n">
        <v>0</v>
      </c>
      <c r="N346" t="n">
        <v>0</v>
      </c>
      <c r="O346" t="n">
        <v>0</v>
      </c>
      <c r="P346" t="n">
        <v>0</v>
      </c>
      <c r="Q346" t="n">
        <v>0</v>
      </c>
      <c r="R346" t="n">
        <v>0</v>
      </c>
      <c r="S346" t="n">
        <v>1</v>
      </c>
      <c r="T346" t="n">
        <v>1</v>
      </c>
      <c r="U346" t="n">
        <v>1</v>
      </c>
      <c r="V346" s="2" t="inlineStr">
        <is>
          <t>Fiskgjuse</t>
        </is>
      </c>
      <c r="W346">
        <f>HYPERLINK("https://klasma.github.io/Logging_2161/artfynd/A 52787-2024 artfynd.xlsx", "A 52787-2024")</f>
        <v/>
      </c>
      <c r="X346">
        <f>HYPERLINK("https://klasma.github.io/Logging_2161/kartor/A 52787-2024 karta.png", "A 52787-2024")</f>
        <v/>
      </c>
      <c r="Y346">
        <f>HYPERLINK("https://klasma.github.io/Logging_2161/kartor_geotiff/A 52787-2024 georefererad karta.tif", "A 52787-2024")</f>
        <v/>
      </c>
      <c r="AA346">
        <f>HYPERLINK("https://klasma.github.io/Logging_2161/klagomål/A 52787-2024 FSC-klagomål.docx", "A 52787-2024")</f>
        <v/>
      </c>
      <c r="AB346">
        <f>HYPERLINK("https://klasma.github.io/Logging_2161/klagomålsmail/A 52787-2024 FSC-klagomål mail.docx", "A 52787-2024")</f>
        <v/>
      </c>
      <c r="AC346">
        <f>HYPERLINK("https://klasma.github.io/Logging_2161/tillsyn/A 52787-2024 tillsynsbegäran.docx", "A 52787-2024")</f>
        <v/>
      </c>
      <c r="AD346">
        <f>HYPERLINK("https://klasma.github.io/Logging_2161/tillsynsmail/A 52787-2024 tillsynsbegäran mail.docx", "A 52787-2024")</f>
        <v/>
      </c>
      <c r="AE346">
        <f>HYPERLINK("https://klasma.github.io/Logging_2161/fåglar/A 52787-2024 prioriterade fågelarter.docx", "A 52787-2024")</f>
        <v/>
      </c>
    </row>
    <row r="347" ht="15" customHeight="1">
      <c r="A347" t="inlineStr">
        <is>
          <t>A 25342-2026</t>
        </is>
      </c>
      <c r="B347" t="inlineStr">
        <is>
          <t>avverkningsanmälan</t>
        </is>
      </c>
      <c r="C347" t="inlineStr">
        <is>
          <t>Föryngringsavverkning</t>
        </is>
      </c>
      <c r="D347" s="1" t="n">
        <v>46176</v>
      </c>
      <c r="E347" s="1" t="n">
        <v>46292</v>
      </c>
      <c r="F347" t="inlineStr">
        <is>
          <t>GÄVLEBORGS LÄN</t>
        </is>
      </c>
      <c r="G347" t="inlineStr">
        <is>
          <t>LJUSDAL</t>
        </is>
      </c>
      <c r="H347" t="inlineStr">
        <is>
          <t>Allmännings- och besparingsskogar</t>
        </is>
      </c>
      <c r="I347" t="n">
        <v>4.9</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25342-2026 artfynd.xlsx", "A 25342-2026")</f>
        <v/>
      </c>
      <c r="X347">
        <f>HYPERLINK("https://klasma.github.io/Logging_2161/kartor/A 25342-2026 karta.png", "A 25342-2026")</f>
        <v/>
      </c>
      <c r="Y347">
        <f>HYPERLINK("https://klasma.github.io/Logging_2161/kartor_geotiff/A 25342-2026 georefererad karta.tif", "A 25342-2026")</f>
        <v/>
      </c>
      <c r="AA347">
        <f>HYPERLINK("https://klasma.github.io/Logging_2161/klagomål/A 25342-2026 FSC-klagomål.docx", "A 25342-2026")</f>
        <v/>
      </c>
      <c r="AB347">
        <f>HYPERLINK("https://klasma.github.io/Logging_2161/klagomålsmail/A 25342-2026 FSC-klagomål mail.docx", "A 25342-2026")</f>
        <v/>
      </c>
      <c r="AC347">
        <f>HYPERLINK("https://klasma.github.io/Logging_2161/tillsyn/A 25342-2026 tillsynsbegäran.docx", "A 25342-2026")</f>
        <v/>
      </c>
      <c r="AD347">
        <f>HYPERLINK("https://klasma.github.io/Logging_2161/tillsynsmail/A 25342-2026 tillsynsbegäran mail.docx", "A 25342-2026")</f>
        <v/>
      </c>
    </row>
    <row r="348" ht="15" customHeight="1">
      <c r="A348" t="inlineStr">
        <is>
          <t>A 25854-2026</t>
        </is>
      </c>
      <c r="B348" t="inlineStr">
        <is>
          <t>avverkningsanmälan</t>
        </is>
      </c>
      <c r="C348" t="inlineStr">
        <is>
          <t>Avverkning för att bevara och utveckla /försöksver</t>
        </is>
      </c>
      <c r="D348" s="1" t="n">
        <v>46178</v>
      </c>
      <c r="E348" s="1" t="n">
        <v>46292</v>
      </c>
      <c r="F348" t="inlineStr">
        <is>
          <t>GÄVLEBORGS LÄN</t>
        </is>
      </c>
      <c r="G348" t="inlineStr">
        <is>
          <t>LJUSDAL</t>
        </is>
      </c>
      <c r="H348" t="inlineStr">
        <is>
          <t>Sveaskog</t>
        </is>
      </c>
      <c r="I348" t="n">
        <v>4</v>
      </c>
      <c r="J348" t="n">
        <v>0</v>
      </c>
      <c r="K348" t="n">
        <v>0</v>
      </c>
      <c r="L348" t="n">
        <v>1</v>
      </c>
      <c r="M348" t="n">
        <v>0</v>
      </c>
      <c r="N348" t="n">
        <v>0</v>
      </c>
      <c r="O348" t="n">
        <v>0</v>
      </c>
      <c r="P348" t="n">
        <v>0</v>
      </c>
      <c r="Q348" t="n">
        <v>1</v>
      </c>
      <c r="R348" t="n">
        <v>0</v>
      </c>
      <c r="S348" t="n">
        <v>1</v>
      </c>
      <c r="T348" t="n">
        <v>4</v>
      </c>
      <c r="U348" t="n">
        <v>4</v>
      </c>
      <c r="V348" s="2" t="inlineStr">
        <is>
          <t>Lunglav</t>
        </is>
      </c>
      <c r="W348">
        <f>HYPERLINK("https://klasma.github.io/Logging_2161/artfynd/A 25854-2026 artfynd.xlsx", "A 25854-2026")</f>
        <v/>
      </c>
      <c r="X348">
        <f>HYPERLINK("https://klasma.github.io/Logging_2161/kartor/A 25854-2026 karta.png", "A 25854-2026")</f>
        <v/>
      </c>
      <c r="Y348">
        <f>HYPERLINK("https://klasma.github.io/Logging_2161/kartor_geotiff/A 25854-2026 georefererad karta.tif", "A 25854-2026")</f>
        <v/>
      </c>
      <c r="AA348">
        <f>HYPERLINK("https://klasma.github.io/Logging_2161/klagomål/A 25854-2026 FSC-klagomål.docx", "A 25854-2026")</f>
        <v/>
      </c>
      <c r="AB348">
        <f>HYPERLINK("https://klasma.github.io/Logging_2161/klagomålsmail/A 25854-2026 FSC-klagomål mail.docx", "A 25854-2026")</f>
        <v/>
      </c>
      <c r="AC348">
        <f>HYPERLINK("https://klasma.github.io/Logging_2161/tillsyn/A 25854-2026 tillsynsbegäran.docx", "A 25854-2026")</f>
        <v/>
      </c>
      <c r="AD348">
        <f>HYPERLINK("https://klasma.github.io/Logging_2161/tillsynsmail/A 25854-2026 tillsynsbegäran mail.docx", "A 25854-2026")</f>
        <v/>
      </c>
    </row>
    <row r="349" ht="15" customHeight="1">
      <c r="A349" t="inlineStr">
        <is>
          <t>A 53508-2024</t>
        </is>
      </c>
      <c r="B349" t="inlineStr">
        <is>
          <t>avverkningsanmälan</t>
        </is>
      </c>
      <c r="C349" t="inlineStr">
        <is>
          <t>Föryngringsavverkning</t>
        </is>
      </c>
      <c r="D349" s="1" t="n">
        <v>45614</v>
      </c>
      <c r="E349" s="1" t="n">
        <v>46292</v>
      </c>
      <c r="F349" t="inlineStr">
        <is>
          <t>GÄVLEBORGS LÄN</t>
        </is>
      </c>
      <c r="G349" t="inlineStr">
        <is>
          <t>LJUSDAL</t>
        </is>
      </c>
      <c r="I349" t="n">
        <v>2.4</v>
      </c>
      <c r="J349" t="n">
        <v>0</v>
      </c>
      <c r="K349" t="n">
        <v>0</v>
      </c>
      <c r="L349" t="n">
        <v>1</v>
      </c>
      <c r="M349" t="n">
        <v>0</v>
      </c>
      <c r="N349" t="n">
        <v>0</v>
      </c>
      <c r="O349" t="n">
        <v>0</v>
      </c>
      <c r="P349" t="n">
        <v>0</v>
      </c>
      <c r="Q349" t="n">
        <v>1</v>
      </c>
      <c r="R349" t="n">
        <v>0</v>
      </c>
      <c r="S349" t="n">
        <v>1</v>
      </c>
      <c r="T349" t="n">
        <v>1</v>
      </c>
      <c r="U349" t="n">
        <v>1</v>
      </c>
      <c r="V349" s="2" t="inlineStr">
        <is>
          <t>Lunglav</t>
        </is>
      </c>
      <c r="W349">
        <f>HYPERLINK("https://klasma.github.io/Logging_2161/artfynd/A 53508-2024 artfynd.xlsx", "A 53508-2024")</f>
        <v/>
      </c>
      <c r="X349">
        <f>HYPERLINK("https://klasma.github.io/Logging_2161/kartor/A 53508-2024 karta.png", "A 53508-2024")</f>
        <v/>
      </c>
      <c r="Y349">
        <f>HYPERLINK("https://klasma.github.io/Logging_2161/kartor_geotiff/A 53508-2024 georefererad karta.tif", "A 53508-2024")</f>
        <v/>
      </c>
      <c r="AA349">
        <f>HYPERLINK("https://klasma.github.io/Logging_2161/klagomål/A 53508-2024 FSC-klagomål.docx", "A 53508-2024")</f>
        <v/>
      </c>
      <c r="AB349">
        <f>HYPERLINK("https://klasma.github.io/Logging_2161/klagomålsmail/A 53508-2024 FSC-klagomål mail.docx", "A 53508-2024")</f>
        <v/>
      </c>
      <c r="AC349">
        <f>HYPERLINK("https://klasma.github.io/Logging_2161/tillsyn/A 53508-2024 tillsynsbegäran.docx", "A 53508-2024")</f>
        <v/>
      </c>
      <c r="AD349">
        <f>HYPERLINK("https://klasma.github.io/Logging_2161/tillsynsmail/A 53508-2024 tillsynsbegäran mail.docx", "A 53508-2024")</f>
        <v/>
      </c>
    </row>
    <row r="350" ht="15" customHeight="1">
      <c r="A350" t="inlineStr">
        <is>
          <t>A 34919-2024</t>
        </is>
      </c>
      <c r="B350" t="inlineStr">
        <is>
          <t>avverkningsanmälan</t>
        </is>
      </c>
      <c r="C350" t="inlineStr">
        <is>
          <t>Föryngringsavverkning</t>
        </is>
      </c>
      <c r="D350" s="1" t="n">
        <v>45527</v>
      </c>
      <c r="E350" s="1" t="n">
        <v>46292</v>
      </c>
      <c r="F350" t="inlineStr">
        <is>
          <t>GÄVLEBORGS LÄN</t>
        </is>
      </c>
      <c r="G350" t="inlineStr">
        <is>
          <t>LJUSDAL</t>
        </is>
      </c>
      <c r="H350" t="inlineStr">
        <is>
          <t>Holmen skog AB</t>
        </is>
      </c>
      <c r="I350" t="n">
        <v>2.3</v>
      </c>
      <c r="J350" t="n">
        <v>1</v>
      </c>
      <c r="K350" t="n">
        <v>0</v>
      </c>
      <c r="L350" t="n">
        <v>0</v>
      </c>
      <c r="M350" t="n">
        <v>0</v>
      </c>
      <c r="N350" t="n">
        <v>0</v>
      </c>
      <c r="O350" t="n">
        <v>0</v>
      </c>
      <c r="P350" t="n">
        <v>0</v>
      </c>
      <c r="Q350" t="n">
        <v>0</v>
      </c>
      <c r="R350" t="n">
        <v>0</v>
      </c>
      <c r="S350" t="n">
        <v>1</v>
      </c>
      <c r="T350" t="n">
        <v>1</v>
      </c>
      <c r="U350" t="n">
        <v>0</v>
      </c>
      <c r="V350" s="2" t="inlineStr">
        <is>
          <t>Revlummer</t>
        </is>
      </c>
      <c r="W350">
        <f>HYPERLINK("https://klasma.github.io/Logging_2161/artfynd/A 34919-2024 artfynd.xlsx", "A 34919-2024")</f>
        <v/>
      </c>
      <c r="X350">
        <f>HYPERLINK("https://klasma.github.io/Logging_2161/kartor/A 34919-2024 karta.png", "A 34919-2024")</f>
        <v/>
      </c>
      <c r="Y350">
        <f>HYPERLINK("https://klasma.github.io/Logging_2161/kartor_geotiff/A 34919-2024 georefererad karta.tif", "A 34919-2024")</f>
        <v/>
      </c>
      <c r="AA350">
        <f>HYPERLINK("https://klasma.github.io/Logging_2161/klagomål/A 34919-2024 FSC-klagomål.docx", "A 34919-2024")</f>
        <v/>
      </c>
      <c r="AB350">
        <f>HYPERLINK("https://klasma.github.io/Logging_2161/klagomålsmail/A 34919-2024 FSC-klagomål mail.docx", "A 34919-2024")</f>
        <v/>
      </c>
      <c r="AC350">
        <f>HYPERLINK("https://klasma.github.io/Logging_2161/tillsyn/A 34919-2024 tillsynsbegäran.docx", "A 34919-2024")</f>
        <v/>
      </c>
      <c r="AD350">
        <f>HYPERLINK("https://klasma.github.io/Logging_2161/tillsynsmail/A 34919-2024 tillsynsbegäran mail.docx", "A 34919-2024")</f>
        <v/>
      </c>
    </row>
    <row r="351" ht="15" customHeight="1">
      <c r="A351" t="inlineStr">
        <is>
          <t>A 28629-2026</t>
        </is>
      </c>
      <c r="B351" t="inlineStr">
        <is>
          <t>avverkningsanmälan</t>
        </is>
      </c>
      <c r="C351" t="inlineStr">
        <is>
          <t>Föryngringsavverkning</t>
        </is>
      </c>
      <c r="D351" s="1" t="n">
        <v>46198</v>
      </c>
      <c r="E351" s="1" t="n">
        <v>46292</v>
      </c>
      <c r="F351" t="inlineStr">
        <is>
          <t>GÄVLEBORGS LÄN</t>
        </is>
      </c>
      <c r="G351" t="inlineStr">
        <is>
          <t>LJUSDAL</t>
        </is>
      </c>
      <c r="H351" t="inlineStr">
        <is>
          <t>Sveaskog</t>
        </is>
      </c>
      <c r="I351" t="n">
        <v>2.1</v>
      </c>
      <c r="J351" t="n">
        <v>0</v>
      </c>
      <c r="K351" t="n">
        <v>0</v>
      </c>
      <c r="L351" t="n">
        <v>1</v>
      </c>
      <c r="M351" t="n">
        <v>0</v>
      </c>
      <c r="N351" t="n">
        <v>0</v>
      </c>
      <c r="O351" t="n">
        <v>0</v>
      </c>
      <c r="P351" t="n">
        <v>0</v>
      </c>
      <c r="Q351" t="n">
        <v>1</v>
      </c>
      <c r="R351" t="n">
        <v>0</v>
      </c>
      <c r="S351" t="n">
        <v>1</v>
      </c>
      <c r="T351" t="n">
        <v>1</v>
      </c>
      <c r="U351" t="n">
        <v>1</v>
      </c>
      <c r="V351" s="2" t="inlineStr">
        <is>
          <t>Kolflarnlav</t>
        </is>
      </c>
      <c r="W351">
        <f>HYPERLINK("https://klasma.github.io/Logging_2161/artfynd/A 28629-2026 artfynd.xlsx", "A 28629-2026")</f>
        <v/>
      </c>
      <c r="X351">
        <f>HYPERLINK("https://klasma.github.io/Logging_2161/kartor/A 28629-2026 karta.png", "A 28629-2026")</f>
        <v/>
      </c>
      <c r="Y351">
        <f>HYPERLINK("https://klasma.github.io/Logging_2161/kartor_geotiff/A 28629-2026 georefererad karta.tif", "A 28629-2026")</f>
        <v/>
      </c>
      <c r="AA351">
        <f>HYPERLINK("https://klasma.github.io/Logging_2161/klagomål/A 28629-2026 FSC-klagomål.docx", "A 28629-2026")</f>
        <v/>
      </c>
      <c r="AB351">
        <f>HYPERLINK("https://klasma.github.io/Logging_2161/klagomålsmail/A 28629-2026 FSC-klagomål mail.docx", "A 28629-2026")</f>
        <v/>
      </c>
      <c r="AC351">
        <f>HYPERLINK("https://klasma.github.io/Logging_2161/tillsyn/A 28629-2026 tillsynsbegäran.docx", "A 28629-2026")</f>
        <v/>
      </c>
      <c r="AD351">
        <f>HYPERLINK("https://klasma.github.io/Logging_2161/tillsynsmail/A 28629-2026 tillsynsbegäran mail.docx", "A 28629-2026")</f>
        <v/>
      </c>
    </row>
    <row r="352" ht="15" customHeight="1">
      <c r="A352" t="inlineStr">
        <is>
          <t>A 40281-2023</t>
        </is>
      </c>
      <c r="B352" t="inlineStr">
        <is>
          <t>avverkningsanmälan</t>
        </is>
      </c>
      <c r="C352" t="inlineStr">
        <is>
          <t>Föryngringsavverkning</t>
        </is>
      </c>
      <c r="D352" s="1" t="n">
        <v>45169</v>
      </c>
      <c r="E352" s="1" t="n">
        <v>46292</v>
      </c>
      <c r="F352" t="inlineStr">
        <is>
          <t>GÄVLEBORGS LÄN</t>
        </is>
      </c>
      <c r="G352" t="inlineStr">
        <is>
          <t>LJUSDAL</t>
        </is>
      </c>
      <c r="H352" t="inlineStr">
        <is>
          <t>Sveaskog</t>
        </is>
      </c>
      <c r="I352" t="n">
        <v>0.9</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HYPERLINK("https://klasma.github.io/Logging_2161/artfynd/A 40281-2023 artfynd.xlsx", "A 40281-2023")</f>
        <v/>
      </c>
      <c r="X352">
        <f>HYPERLINK("https://klasma.github.io/Logging_2161/kartor/A 40281-2023 karta.png", "A 40281-2023")</f>
        <v/>
      </c>
      <c r="Y352">
        <f>HYPERLINK("https://klasma.github.io/Logging_2161/kartor_geotiff/A 40281-2023 georefererad karta.tif", "A 40281-2023")</f>
        <v/>
      </c>
      <c r="AA352">
        <f>HYPERLINK("https://klasma.github.io/Logging_2161/klagomål/A 40281-2023 FSC-klagomål.docx", "A 40281-2023")</f>
        <v/>
      </c>
      <c r="AB352">
        <f>HYPERLINK("https://klasma.github.io/Logging_2161/klagomålsmail/A 40281-2023 FSC-klagomål mail.docx", "A 40281-2023")</f>
        <v/>
      </c>
      <c r="AC352">
        <f>HYPERLINK("https://klasma.github.io/Logging_2161/tillsyn/A 40281-2023 tillsynsbegäran.docx", "A 40281-2023")</f>
        <v/>
      </c>
      <c r="AD352">
        <f>HYPERLINK("https://klasma.github.io/Logging_2161/tillsynsmail/A 40281-2023 tillsynsbegäran mail.docx", "A 40281-2023")</f>
        <v/>
      </c>
      <c r="AE352">
        <f>HYPERLINK("https://klasma.github.io/Logging_2161/fåglar/A 40281-2023 prioriterade fågelarter.docx", "A 40281-2023")</f>
        <v/>
      </c>
    </row>
    <row r="353" ht="15" customHeight="1">
      <c r="A353" t="inlineStr">
        <is>
          <t>A 29071-2026</t>
        </is>
      </c>
      <c r="B353" t="inlineStr">
        <is>
          <t>avverkningsanmälan</t>
        </is>
      </c>
      <c r="C353" t="inlineStr">
        <is>
          <t>Föryngringsavverkning</t>
        </is>
      </c>
      <c r="D353" s="1" t="n">
        <v>46199</v>
      </c>
      <c r="E353" s="1" t="n">
        <v>46292</v>
      </c>
      <c r="F353" t="inlineStr">
        <is>
          <t>GÄVLEBORGS LÄN</t>
        </is>
      </c>
      <c r="G353" t="inlineStr">
        <is>
          <t>LJUSDAL</t>
        </is>
      </c>
      <c r="H353" t="inlineStr">
        <is>
          <t>Sveaskog</t>
        </is>
      </c>
      <c r="I353" t="n">
        <v>7.5</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29071-2026 artfynd.xlsx", "A 29071-2026")</f>
        <v/>
      </c>
      <c r="X353">
        <f>HYPERLINK("https://klasma.github.io/Logging_2161/kartor/A 29071-2026 karta.png", "A 29071-2026")</f>
        <v/>
      </c>
      <c r="Y353">
        <f>HYPERLINK("https://klasma.github.io/Logging_2161/kartor_geotiff/A 29071-2026 georefererad karta.tif", "A 29071-2026")</f>
        <v/>
      </c>
      <c r="AA353">
        <f>HYPERLINK("https://klasma.github.io/Logging_2161/klagomål/A 29071-2026 FSC-klagomål.docx", "A 29071-2026")</f>
        <v/>
      </c>
      <c r="AB353">
        <f>HYPERLINK("https://klasma.github.io/Logging_2161/klagomålsmail/A 29071-2026 FSC-klagomål mail.docx", "A 29071-2026")</f>
        <v/>
      </c>
      <c r="AC353">
        <f>HYPERLINK("https://klasma.github.io/Logging_2161/tillsyn/A 29071-2026 tillsynsbegäran.docx", "A 29071-2026")</f>
        <v/>
      </c>
      <c r="AD353">
        <f>HYPERLINK("https://klasma.github.io/Logging_2161/tillsynsmail/A 29071-2026 tillsynsbegäran mail.docx", "A 29071-2026")</f>
        <v/>
      </c>
    </row>
    <row r="354" ht="15" customHeight="1">
      <c r="A354" t="inlineStr">
        <is>
          <t>A 28632-2026</t>
        </is>
      </c>
      <c r="B354" t="inlineStr">
        <is>
          <t>avverkningsanmälan</t>
        </is>
      </c>
      <c r="C354" t="inlineStr">
        <is>
          <t>Föryngringsavverkning</t>
        </is>
      </c>
      <c r="D354" s="1" t="n">
        <v>46198</v>
      </c>
      <c r="E354" s="1" t="n">
        <v>46292</v>
      </c>
      <c r="F354" t="inlineStr">
        <is>
          <t>GÄVLEBORGS LÄN</t>
        </is>
      </c>
      <c r="G354" t="inlineStr">
        <is>
          <t>LJUSDAL</t>
        </is>
      </c>
      <c r="H354" t="inlineStr">
        <is>
          <t>Sveaskog</t>
        </is>
      </c>
      <c r="I354" t="n">
        <v>3.8</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28632-2026 artfynd.xlsx", "A 28632-2026")</f>
        <v/>
      </c>
      <c r="X354">
        <f>HYPERLINK("https://klasma.github.io/Logging_2161/kartor/A 28632-2026 karta.png", "A 28632-2026")</f>
        <v/>
      </c>
      <c r="Y354">
        <f>HYPERLINK("https://klasma.github.io/Logging_2161/kartor_geotiff/A 28632-2026 georefererad karta.tif", "A 28632-2026")</f>
        <v/>
      </c>
      <c r="AA354">
        <f>HYPERLINK("https://klasma.github.io/Logging_2161/klagomål/A 28632-2026 FSC-klagomål.docx", "A 28632-2026")</f>
        <v/>
      </c>
      <c r="AB354">
        <f>HYPERLINK("https://klasma.github.io/Logging_2161/klagomålsmail/A 28632-2026 FSC-klagomål mail.docx", "A 28632-2026")</f>
        <v/>
      </c>
      <c r="AC354">
        <f>HYPERLINK("https://klasma.github.io/Logging_2161/tillsyn/A 28632-2026 tillsynsbegäran.docx", "A 28632-2026")</f>
        <v/>
      </c>
      <c r="AD354">
        <f>HYPERLINK("https://klasma.github.io/Logging_2161/tillsynsmail/A 28632-2026 tillsynsbegäran mail.docx", "A 28632-2026")</f>
        <v/>
      </c>
    </row>
    <row r="355" ht="15" customHeight="1">
      <c r="A355" t="inlineStr">
        <is>
          <t>A 29353-2026</t>
        </is>
      </c>
      <c r="B355" t="inlineStr">
        <is>
          <t>avverkningsanmälan</t>
        </is>
      </c>
      <c r="C355" t="inlineStr">
        <is>
          <t>Föryngringsavverkning</t>
        </is>
      </c>
      <c r="D355" s="1" t="n">
        <v>46203</v>
      </c>
      <c r="E355" s="1" t="n">
        <v>46292</v>
      </c>
      <c r="F355" t="inlineStr">
        <is>
          <t>GÄVLEBORGS LÄN</t>
        </is>
      </c>
      <c r="G355" t="inlineStr">
        <is>
          <t>LJUSDAL</t>
        </is>
      </c>
      <c r="I355" t="n">
        <v>2.1</v>
      </c>
      <c r="J355" t="n">
        <v>1</v>
      </c>
      <c r="K355" t="n">
        <v>0</v>
      </c>
      <c r="L355" t="n">
        <v>0</v>
      </c>
      <c r="M355" t="n">
        <v>1</v>
      </c>
      <c r="N355" t="n">
        <v>0</v>
      </c>
      <c r="O355" t="n">
        <v>0</v>
      </c>
      <c r="P355" t="n">
        <v>0</v>
      </c>
      <c r="Q355" t="n">
        <v>1</v>
      </c>
      <c r="R355" t="n">
        <v>1</v>
      </c>
      <c r="S355" t="n">
        <v>1</v>
      </c>
      <c r="T355" t="n">
        <v>1</v>
      </c>
      <c r="U355" t="n">
        <v>0</v>
      </c>
      <c r="V355" s="2" t="inlineStr">
        <is>
          <t>Knärot</t>
        </is>
      </c>
      <c r="W355">
        <f>HYPERLINK("https://klasma.github.io/Logging_2161/artfynd/A 29353-2026 artfynd.xlsx", "A 29353-2026")</f>
        <v/>
      </c>
      <c r="X355">
        <f>HYPERLINK("https://klasma.github.io/Logging_2161/kartor/A 29353-2026 karta.png", "A 29353-2026")</f>
        <v/>
      </c>
      <c r="Y355">
        <f>HYPERLINK("https://klasma.github.io/Logging_2161/kartor_geotiff/A 29353-2026 georefererad karta.tif", "A 29353-2026")</f>
        <v/>
      </c>
      <c r="Z355">
        <f>HYPERLINK("https://klasma.github.io/Logging_2161/knärot/A 29353-2026 karta knärot.png", "A 29353-2026")</f>
        <v/>
      </c>
      <c r="AA355">
        <f>HYPERLINK("https://klasma.github.io/Logging_2161/klagomål/A 29353-2026 FSC-klagomål.docx", "A 29353-2026")</f>
        <v/>
      </c>
      <c r="AB355">
        <f>HYPERLINK("https://klasma.github.io/Logging_2161/klagomålsmail/A 29353-2026 FSC-klagomål mail.docx", "A 29353-2026")</f>
        <v/>
      </c>
      <c r="AC355">
        <f>HYPERLINK("https://klasma.github.io/Logging_2161/tillsyn/A 29353-2026 tillsynsbegäran.docx", "A 29353-2026")</f>
        <v/>
      </c>
      <c r="AD355">
        <f>HYPERLINK("https://klasma.github.io/Logging_2161/tillsynsmail/A 29353-2026 tillsynsbegäran mail.docx", "A 29353-2026")</f>
        <v/>
      </c>
    </row>
    <row r="356" ht="15" customHeight="1">
      <c r="A356" t="inlineStr">
        <is>
          <t>A 33886-2026</t>
        </is>
      </c>
      <c r="B356" t="inlineStr">
        <is>
          <t>avverkningsanmälan</t>
        </is>
      </c>
      <c r="C356" t="inlineStr">
        <is>
          <t>Föryngringsavverkning</t>
        </is>
      </c>
      <c r="D356" s="1" t="n">
        <v>46251</v>
      </c>
      <c r="E356" s="1" t="n">
        <v>46292</v>
      </c>
      <c r="F356" t="inlineStr">
        <is>
          <t>GÄVLEBORGS LÄN</t>
        </is>
      </c>
      <c r="G356" t="inlineStr">
        <is>
          <t>LJUSDAL</t>
        </is>
      </c>
      <c r="H356" t="inlineStr">
        <is>
          <t>Sveaskog</t>
        </is>
      </c>
      <c r="I356" t="n">
        <v>1.6</v>
      </c>
      <c r="J356" t="n">
        <v>0</v>
      </c>
      <c r="K356" t="n">
        <v>0</v>
      </c>
      <c r="L356" t="n">
        <v>1</v>
      </c>
      <c r="M356" t="n">
        <v>0</v>
      </c>
      <c r="N356" t="n">
        <v>0</v>
      </c>
      <c r="O356" t="n">
        <v>0</v>
      </c>
      <c r="P356" t="n">
        <v>0</v>
      </c>
      <c r="Q356" t="n">
        <v>1</v>
      </c>
      <c r="R356" t="n">
        <v>0</v>
      </c>
      <c r="S356" t="n">
        <v>1</v>
      </c>
      <c r="T356" t="n">
        <v>1</v>
      </c>
      <c r="U356" t="n">
        <v>0</v>
      </c>
      <c r="V356" s="2" t="inlineStr">
        <is>
          <t>Kolflarnlav</t>
        </is>
      </c>
      <c r="W356">
        <f>HYPERLINK("https://klasma.github.io/Logging_2161/artfynd/A 33886-2026 artfynd.xlsx", "A 33886-2026")</f>
        <v/>
      </c>
      <c r="X356">
        <f>HYPERLINK("https://klasma.github.io/Logging_2161/kartor/A 33886-2026 karta.png", "A 33886-2026")</f>
        <v/>
      </c>
      <c r="Y356">
        <f>HYPERLINK("https://klasma.github.io/Logging_2161/kartor_geotiff/A 33886-2026 georefererad karta.tif", "A 33886-2026")</f>
        <v/>
      </c>
      <c r="Z356">
        <f>HYPERLINK("https://klasma.github.io/Logging_2161/knärot/A 33886-2026 karta knärot.png", "A 33886-2026")</f>
        <v/>
      </c>
      <c r="AA356">
        <f>HYPERLINK("https://klasma.github.io/Logging_2161/klagomål/A 33886-2026 FSC-klagomål.docx", "A 33886-2026")</f>
        <v/>
      </c>
      <c r="AB356">
        <f>HYPERLINK("https://klasma.github.io/Logging_2161/klagomålsmail/A 33886-2026 FSC-klagomål mail.docx", "A 33886-2026")</f>
        <v/>
      </c>
      <c r="AC356">
        <f>HYPERLINK("https://klasma.github.io/Logging_2161/tillsyn/A 33886-2026 tillsynsbegäran.docx", "A 33886-2026")</f>
        <v/>
      </c>
      <c r="AD356">
        <f>HYPERLINK("https://klasma.github.io/Logging_2161/tillsynsmail/A 33886-2026 tillsynsbegäran mail.docx", "A 33886-2026")</f>
        <v/>
      </c>
    </row>
    <row r="357" ht="15" customHeight="1">
      <c r="A357" t="inlineStr">
        <is>
          <t>A 33883-2026</t>
        </is>
      </c>
      <c r="B357" t="inlineStr">
        <is>
          <t>avverkningsanmälan</t>
        </is>
      </c>
      <c r="C357" t="inlineStr">
        <is>
          <t>Föryngringsavverkning</t>
        </is>
      </c>
      <c r="D357" s="1" t="n">
        <v>46251</v>
      </c>
      <c r="E357" s="1" t="n">
        <v>46292</v>
      </c>
      <c r="F357" t="inlineStr">
        <is>
          <t>GÄVLEBORGS LÄN</t>
        </is>
      </c>
      <c r="G357" t="inlineStr">
        <is>
          <t>LJUSDAL</t>
        </is>
      </c>
      <c r="H357" t="inlineStr">
        <is>
          <t>Sveaskog</t>
        </is>
      </c>
      <c r="I357" t="n">
        <v>3.5</v>
      </c>
      <c r="J357" t="n">
        <v>1</v>
      </c>
      <c r="K357" t="n">
        <v>1</v>
      </c>
      <c r="L357" t="n">
        <v>0</v>
      </c>
      <c r="M357" t="n">
        <v>0</v>
      </c>
      <c r="N357" t="n">
        <v>0</v>
      </c>
      <c r="O357" t="n">
        <v>0</v>
      </c>
      <c r="P357" t="n">
        <v>0</v>
      </c>
      <c r="Q357" t="n">
        <v>0</v>
      </c>
      <c r="R357" t="n">
        <v>0</v>
      </c>
      <c r="S357" t="n">
        <v>1</v>
      </c>
      <c r="T357" t="n">
        <v>2</v>
      </c>
      <c r="U357" t="n">
        <v>1</v>
      </c>
      <c r="V357" s="2" t="inlineStr">
        <is>
          <t>Plattlummer</t>
        </is>
      </c>
      <c r="W357">
        <f>HYPERLINK("https://klasma.github.io/Logging_2161/artfynd/A 33883-2026 artfynd.xlsx", "A 33883-2026")</f>
        <v/>
      </c>
      <c r="X357">
        <f>HYPERLINK("https://klasma.github.io/Logging_2161/kartor/A 33883-2026 karta.png", "A 33883-2026")</f>
        <v/>
      </c>
      <c r="Y357">
        <f>HYPERLINK("https://klasma.github.io/Logging_2161/kartor_geotiff/A 33883-2026 georefererad karta.tif", "A 33883-2026")</f>
        <v/>
      </c>
      <c r="AA357">
        <f>HYPERLINK("https://klasma.github.io/Logging_2161/klagomål/A 33883-2026 FSC-klagomål.docx", "A 33883-2026")</f>
        <v/>
      </c>
      <c r="AB357">
        <f>HYPERLINK("https://klasma.github.io/Logging_2161/klagomålsmail/A 33883-2026 FSC-klagomål mail.docx", "A 33883-2026")</f>
        <v/>
      </c>
      <c r="AC357">
        <f>HYPERLINK("https://klasma.github.io/Logging_2161/tillsyn/A 33883-2026 tillsynsbegäran.docx", "A 33883-2026")</f>
        <v/>
      </c>
      <c r="AD357">
        <f>HYPERLINK("https://klasma.github.io/Logging_2161/tillsynsmail/A 33883-2026 tillsynsbegäran mail.docx", "A 33883-2026")</f>
        <v/>
      </c>
    </row>
    <row r="358" ht="15" customHeight="1">
      <c r="A358" t="inlineStr">
        <is>
          <t>A 30168-2026</t>
        </is>
      </c>
      <c r="B358" t="inlineStr">
        <is>
          <t>avverkningsanmälan</t>
        </is>
      </c>
      <c r="C358" t="inlineStr">
        <is>
          <t>Föryngringsavverkning</t>
        </is>
      </c>
      <c r="D358" s="1" t="n">
        <v>46206</v>
      </c>
      <c r="E358" s="1" t="n">
        <v>46292</v>
      </c>
      <c r="F358" t="inlineStr">
        <is>
          <t>GÄVLEBORGS LÄN</t>
        </is>
      </c>
      <c r="G358" t="inlineStr">
        <is>
          <t>LJUSDAL</t>
        </is>
      </c>
      <c r="H358" t="inlineStr">
        <is>
          <t>Sveaskog</t>
        </is>
      </c>
      <c r="I358" t="n">
        <v>8.5</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HYPERLINK("https://klasma.github.io/Logging_2161/artfynd/A 30168-2026 artfynd.xlsx", "A 30168-2026")</f>
        <v/>
      </c>
      <c r="X358">
        <f>HYPERLINK("https://klasma.github.io/Logging_2161/kartor/A 30168-2026 karta.png", "A 30168-2026")</f>
        <v/>
      </c>
      <c r="Y358">
        <f>HYPERLINK("https://klasma.github.io/Logging_2161/kartor_geotiff/A 30168-2026 georefererad karta.tif", "A 30168-2026")</f>
        <v/>
      </c>
      <c r="AA358">
        <f>HYPERLINK("https://klasma.github.io/Logging_2161/klagomål/A 30168-2026 FSC-klagomål.docx", "A 30168-2026")</f>
        <v/>
      </c>
      <c r="AB358">
        <f>HYPERLINK("https://klasma.github.io/Logging_2161/klagomålsmail/A 30168-2026 FSC-klagomål mail.docx", "A 30168-2026")</f>
        <v/>
      </c>
      <c r="AC358">
        <f>HYPERLINK("https://klasma.github.io/Logging_2161/tillsyn/A 30168-2026 tillsynsbegäran.docx", "A 30168-2026")</f>
        <v/>
      </c>
      <c r="AD358">
        <f>HYPERLINK("https://klasma.github.io/Logging_2161/tillsynsmail/A 30168-2026 tillsynsbegäran mail.docx", "A 30168-2026")</f>
        <v/>
      </c>
    </row>
    <row r="359" ht="15" customHeight="1">
      <c r="A359" t="inlineStr">
        <is>
          <t>A 33885-2026</t>
        </is>
      </c>
      <c r="B359" t="inlineStr">
        <is>
          <t>avverkningsanmälan</t>
        </is>
      </c>
      <c r="C359" t="inlineStr">
        <is>
          <t>Föryngringsavverkning</t>
        </is>
      </c>
      <c r="D359" s="1" t="n">
        <v>46251</v>
      </c>
      <c r="E359" s="1" t="n">
        <v>46292</v>
      </c>
      <c r="F359" t="inlineStr">
        <is>
          <t>GÄVLEBORGS LÄN</t>
        </is>
      </c>
      <c r="G359" t="inlineStr">
        <is>
          <t>LJUSDAL</t>
        </is>
      </c>
      <c r="H359" t="inlineStr">
        <is>
          <t>Sveaskog</t>
        </is>
      </c>
      <c r="I359" t="n">
        <v>1.3</v>
      </c>
      <c r="J359" t="n">
        <v>0</v>
      </c>
      <c r="K359" t="n">
        <v>0</v>
      </c>
      <c r="L359" t="n">
        <v>1</v>
      </c>
      <c r="M359" t="n">
        <v>0</v>
      </c>
      <c r="N359" t="n">
        <v>0</v>
      </c>
      <c r="O359" t="n">
        <v>0</v>
      </c>
      <c r="P359" t="n">
        <v>0</v>
      </c>
      <c r="Q359" t="n">
        <v>1</v>
      </c>
      <c r="R359" t="n">
        <v>0</v>
      </c>
      <c r="S359" t="n">
        <v>1</v>
      </c>
      <c r="T359" t="n">
        <v>2</v>
      </c>
      <c r="U359" t="n">
        <v>0</v>
      </c>
      <c r="V359" s="2" t="inlineStr">
        <is>
          <t>Lunglav</t>
        </is>
      </c>
      <c r="W359">
        <f>HYPERLINK("https://klasma.github.io/Logging_2161/artfynd/A 33885-2026 artfynd.xlsx", "A 33885-2026")</f>
        <v/>
      </c>
      <c r="X359">
        <f>HYPERLINK("https://klasma.github.io/Logging_2161/kartor/A 33885-2026 karta.png", "A 33885-2026")</f>
        <v/>
      </c>
      <c r="Y359">
        <f>HYPERLINK("https://klasma.github.io/Logging_2161/kartor_geotiff/A 33885-2026 georefererad karta.tif", "A 33885-2026")</f>
        <v/>
      </c>
      <c r="AA359">
        <f>HYPERLINK("https://klasma.github.io/Logging_2161/klagomål/A 33885-2026 FSC-klagomål.docx", "A 33885-2026")</f>
        <v/>
      </c>
      <c r="AB359">
        <f>HYPERLINK("https://klasma.github.io/Logging_2161/klagomålsmail/A 33885-2026 FSC-klagomål mail.docx", "A 33885-2026")</f>
        <v/>
      </c>
      <c r="AC359">
        <f>HYPERLINK("https://klasma.github.io/Logging_2161/tillsyn/A 33885-2026 tillsynsbegäran.docx", "A 33885-2026")</f>
        <v/>
      </c>
      <c r="AD359">
        <f>HYPERLINK("https://klasma.github.io/Logging_2161/tillsynsmail/A 33885-2026 tillsynsbegäran mail.docx", "A 33885-2026")</f>
        <v/>
      </c>
    </row>
    <row r="360" ht="15" customHeight="1">
      <c r="A360" t="inlineStr">
        <is>
          <t>A 34041-2026</t>
        </is>
      </c>
      <c r="B360" t="inlineStr">
        <is>
          <t>avverkningsanmälan</t>
        </is>
      </c>
      <c r="C360" t="inlineStr">
        <is>
          <t>Föryngringsavverkning</t>
        </is>
      </c>
      <c r="D360" s="1" t="n">
        <v>46252</v>
      </c>
      <c r="E360" s="1" t="n">
        <v>46292</v>
      </c>
      <c r="F360" t="inlineStr">
        <is>
          <t>GÄVLEBORGS LÄN</t>
        </is>
      </c>
      <c r="G360" t="inlineStr">
        <is>
          <t>LJUSDAL</t>
        </is>
      </c>
      <c r="H360" t="inlineStr">
        <is>
          <t>Sveaskog</t>
        </is>
      </c>
      <c r="I360" t="n">
        <v>2.1</v>
      </c>
      <c r="J360" t="n">
        <v>0</v>
      </c>
      <c r="K360" t="n">
        <v>0</v>
      </c>
      <c r="L360" t="n">
        <v>0</v>
      </c>
      <c r="M360" t="n">
        <v>1</v>
      </c>
      <c r="N360" t="n">
        <v>0</v>
      </c>
      <c r="O360" t="n">
        <v>0</v>
      </c>
      <c r="P360" t="n">
        <v>0</v>
      </c>
      <c r="Q360" t="n">
        <v>1</v>
      </c>
      <c r="R360" t="n">
        <v>1</v>
      </c>
      <c r="S360" t="n">
        <v>1</v>
      </c>
      <c r="T360" t="n">
        <v>1</v>
      </c>
      <c r="U360" t="n">
        <v>0</v>
      </c>
      <c r="V360" s="2" t="inlineStr">
        <is>
          <t>Glesgröe</t>
        </is>
      </c>
      <c r="W360">
        <f>HYPERLINK("https://klasma.github.io/Logging_2161/artfynd/A 34041-2026 artfynd.xlsx", "A 34041-2026")</f>
        <v/>
      </c>
      <c r="X360">
        <f>HYPERLINK("https://klasma.github.io/Logging_2161/kartor/A 34041-2026 karta.png", "A 34041-2026")</f>
        <v/>
      </c>
      <c r="Y360">
        <f>HYPERLINK("https://klasma.github.io/Logging_2161/kartor_geotiff/A 34041-2026 georefererad karta.tif", "A 34041-2026")</f>
        <v/>
      </c>
      <c r="AA360">
        <f>HYPERLINK("https://klasma.github.io/Logging_2161/klagomål/A 34041-2026 FSC-klagomål.docx", "A 34041-2026")</f>
        <v/>
      </c>
      <c r="AB360">
        <f>HYPERLINK("https://klasma.github.io/Logging_2161/klagomålsmail/A 34041-2026 FSC-klagomål mail.docx", "A 34041-2026")</f>
        <v/>
      </c>
      <c r="AC360">
        <f>HYPERLINK("https://klasma.github.io/Logging_2161/tillsyn/A 34041-2026 tillsynsbegäran.docx", "A 34041-2026")</f>
        <v/>
      </c>
      <c r="AD360">
        <f>HYPERLINK("https://klasma.github.io/Logging_2161/tillsynsmail/A 34041-2026 tillsynsbegäran mail.docx", "A 34041-2026")</f>
        <v/>
      </c>
    </row>
    <row r="361" ht="15" customHeight="1">
      <c r="A361" t="inlineStr">
        <is>
          <t>A 268-2025</t>
        </is>
      </c>
      <c r="B361" t="inlineStr">
        <is>
          <t>avverkningsanmälan</t>
        </is>
      </c>
      <c r="C361" t="inlineStr">
        <is>
          <t>Föryngringsavverkning</t>
        </is>
      </c>
      <c r="D361" s="1" t="n">
        <v>45660</v>
      </c>
      <c r="E361" s="1" t="n">
        <v>46292</v>
      </c>
      <c r="F361" t="inlineStr">
        <is>
          <t>GÄVLEBORGS LÄN</t>
        </is>
      </c>
      <c r="G361" t="inlineStr">
        <is>
          <t>LJUSDAL</t>
        </is>
      </c>
      <c r="I361" t="n">
        <v>4</v>
      </c>
      <c r="J361" t="n">
        <v>0</v>
      </c>
      <c r="K361" t="n">
        <v>0</v>
      </c>
      <c r="L361" t="n">
        <v>1</v>
      </c>
      <c r="M361" t="n">
        <v>0</v>
      </c>
      <c r="N361" t="n">
        <v>0</v>
      </c>
      <c r="O361" t="n">
        <v>0</v>
      </c>
      <c r="P361" t="n">
        <v>0</v>
      </c>
      <c r="Q361" t="n">
        <v>1</v>
      </c>
      <c r="R361" t="n">
        <v>0</v>
      </c>
      <c r="S361" t="n">
        <v>1</v>
      </c>
      <c r="T361" t="n">
        <v>1</v>
      </c>
      <c r="U361" t="n">
        <v>0</v>
      </c>
      <c r="V361" s="2" t="inlineStr">
        <is>
          <t>Brunklöver</t>
        </is>
      </c>
      <c r="W361">
        <f>HYPERLINK("https://klasma.github.io/Logging_2161/artfynd/A 268-2025 artfynd.xlsx", "A 268-2025")</f>
        <v/>
      </c>
      <c r="X361">
        <f>HYPERLINK("https://klasma.github.io/Logging_2161/kartor/A 268-2025 karta.png", "A 268-2025")</f>
        <v/>
      </c>
      <c r="Y361">
        <f>HYPERLINK("https://klasma.github.io/Logging_2161/kartor_geotiff/A 268-2025 georefererad karta.tif", "A 268-2025")</f>
        <v/>
      </c>
      <c r="AA361">
        <f>HYPERLINK("https://klasma.github.io/Logging_2161/klagomål/A 268-2025 FSC-klagomål.docx", "A 268-2025")</f>
        <v/>
      </c>
      <c r="AB361">
        <f>HYPERLINK("https://klasma.github.io/Logging_2161/klagomålsmail/A 268-2025 FSC-klagomål mail.docx", "A 268-2025")</f>
        <v/>
      </c>
      <c r="AC361">
        <f>HYPERLINK("https://klasma.github.io/Logging_2161/tillsyn/A 268-2025 tillsynsbegäran.docx", "A 268-2025")</f>
        <v/>
      </c>
      <c r="AD361">
        <f>HYPERLINK("https://klasma.github.io/Logging_2161/tillsynsmail/A 268-2025 tillsynsbegäran mail.docx", "A 268-2025")</f>
        <v/>
      </c>
    </row>
    <row r="362" ht="15" customHeight="1">
      <c r="A362" t="inlineStr">
        <is>
          <t>A 55289-2024</t>
        </is>
      </c>
      <c r="B362" t="inlineStr">
        <is>
          <t>avverkningsanmälan</t>
        </is>
      </c>
      <c r="C362" t="inlineStr">
        <is>
          <t>Föryngringsavverkning</t>
        </is>
      </c>
      <c r="D362" s="1" t="n">
        <v>45621</v>
      </c>
      <c r="E362" s="1" t="n">
        <v>46292</v>
      </c>
      <c r="F362" t="inlineStr">
        <is>
          <t>GÄVLEBORGS LÄN</t>
        </is>
      </c>
      <c r="G362" t="inlineStr">
        <is>
          <t>LJUSDAL</t>
        </is>
      </c>
      <c r="H362" t="inlineStr">
        <is>
          <t>Sveaskog</t>
        </is>
      </c>
      <c r="I362" t="n">
        <v>3.3</v>
      </c>
      <c r="J362" t="n">
        <v>0</v>
      </c>
      <c r="K362" t="n">
        <v>0</v>
      </c>
      <c r="L362" t="n">
        <v>0</v>
      </c>
      <c r="M362" t="n">
        <v>1</v>
      </c>
      <c r="N362" t="n">
        <v>0</v>
      </c>
      <c r="O362" t="n">
        <v>0</v>
      </c>
      <c r="P362" t="n">
        <v>0</v>
      </c>
      <c r="Q362" t="n">
        <v>1</v>
      </c>
      <c r="R362" t="n">
        <v>1</v>
      </c>
      <c r="S362" t="n">
        <v>1</v>
      </c>
      <c r="T362" t="n">
        <v>1</v>
      </c>
      <c r="U362" t="n">
        <v>0</v>
      </c>
      <c r="V362" s="2" t="inlineStr">
        <is>
          <t>Garnlav</t>
        </is>
      </c>
      <c r="W362">
        <f>HYPERLINK("https://klasma.github.io/Logging_2161/artfynd/A 55289-2024 artfynd.xlsx", "A 55289-2024")</f>
        <v/>
      </c>
      <c r="X362">
        <f>HYPERLINK("https://klasma.github.io/Logging_2161/kartor/A 55289-2024 karta.png", "A 55289-2024")</f>
        <v/>
      </c>
      <c r="Y362">
        <f>HYPERLINK("https://klasma.github.io/Logging_2161/kartor_geotiff/A 55289-2024 georefererad karta.tif", "A 55289-2024")</f>
        <v/>
      </c>
      <c r="AA362">
        <f>HYPERLINK("https://klasma.github.io/Logging_2161/klagomål/A 55289-2024 FSC-klagomål.docx", "A 55289-2024")</f>
        <v/>
      </c>
      <c r="AB362">
        <f>HYPERLINK("https://klasma.github.io/Logging_2161/klagomålsmail/A 55289-2024 FSC-klagomål mail.docx", "A 55289-2024")</f>
        <v/>
      </c>
      <c r="AC362">
        <f>HYPERLINK("https://klasma.github.io/Logging_2161/tillsyn/A 55289-2024 tillsynsbegäran.docx", "A 55289-2024")</f>
        <v/>
      </c>
      <c r="AD362">
        <f>HYPERLINK("https://klasma.github.io/Logging_2161/tillsynsmail/A 55289-2024 tillsynsbegäran mail.docx", "A 55289-2024")</f>
        <v/>
      </c>
    </row>
    <row r="363" ht="15" customHeight="1">
      <c r="A363" t="inlineStr">
        <is>
          <t>A 53286-2023</t>
        </is>
      </c>
      <c r="B363" t="inlineStr">
        <is>
          <t>avverkningsanmälan</t>
        </is>
      </c>
      <c r="C363" t="inlineStr">
        <is>
          <t>Föryngringsavverkning</t>
        </is>
      </c>
      <c r="D363" s="1" t="n">
        <v>45229</v>
      </c>
      <c r="E363" s="1" t="n">
        <v>46292</v>
      </c>
      <c r="F363" t="inlineStr">
        <is>
          <t>GÄVLEBORGS LÄN</t>
        </is>
      </c>
      <c r="G363" t="inlineStr">
        <is>
          <t>LJUSDAL</t>
        </is>
      </c>
      <c r="H363" t="inlineStr">
        <is>
          <t>Sveaskog</t>
        </is>
      </c>
      <c r="I363" t="n">
        <v>8</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53286-2023 artfynd.xlsx", "A 53286-2023")</f>
        <v/>
      </c>
      <c r="X363">
        <f>HYPERLINK("https://klasma.github.io/Logging_2161/kartor/A 53286-2023 karta.png", "A 53286-2023")</f>
        <v/>
      </c>
      <c r="Y363">
        <f>HYPERLINK("https://klasma.github.io/Logging_2161/kartor_geotiff/A 53286-2023 georefererad karta.tif", "A 53286-2023")</f>
        <v/>
      </c>
      <c r="AA363">
        <f>HYPERLINK("https://klasma.github.io/Logging_2161/klagomål/A 53286-2023 FSC-klagomål.docx", "A 53286-2023")</f>
        <v/>
      </c>
      <c r="AB363">
        <f>HYPERLINK("https://klasma.github.io/Logging_2161/klagomålsmail/A 53286-2023 FSC-klagomål mail.docx", "A 53286-2023")</f>
        <v/>
      </c>
      <c r="AC363">
        <f>HYPERLINK("https://klasma.github.io/Logging_2161/tillsyn/A 53286-2023 tillsynsbegäran.docx", "A 53286-2023")</f>
        <v/>
      </c>
      <c r="AD363">
        <f>HYPERLINK("https://klasma.github.io/Logging_2161/tillsynsmail/A 53286-2023 tillsynsbegäran mail.docx", "A 53286-2023")</f>
        <v/>
      </c>
    </row>
    <row r="364" ht="15" customHeight="1">
      <c r="A364" t="inlineStr">
        <is>
          <t>A 48654-2022</t>
        </is>
      </c>
      <c r="B364" t="inlineStr">
        <is>
          <t>avverkningsanmälan</t>
        </is>
      </c>
      <c r="C364" t="inlineStr">
        <is>
          <t>Föryngringsavverkning</t>
        </is>
      </c>
      <c r="D364" s="1" t="n">
        <v>44859</v>
      </c>
      <c r="E364" s="1" t="n">
        <v>46292</v>
      </c>
      <c r="F364" t="inlineStr">
        <is>
          <t>GÄVLEBORGS LÄN</t>
        </is>
      </c>
      <c r="G364" t="inlineStr">
        <is>
          <t>LJUSDAL</t>
        </is>
      </c>
      <c r="I364" t="n">
        <v>1.2</v>
      </c>
      <c r="J364" t="n">
        <v>1</v>
      </c>
      <c r="K364" t="n">
        <v>0</v>
      </c>
      <c r="L364" t="n">
        <v>0</v>
      </c>
      <c r="M364" t="n">
        <v>0</v>
      </c>
      <c r="N364" t="n">
        <v>0</v>
      </c>
      <c r="O364" t="n">
        <v>0</v>
      </c>
      <c r="P364" t="n">
        <v>0</v>
      </c>
      <c r="Q364" t="n">
        <v>0</v>
      </c>
      <c r="R364" t="n">
        <v>0</v>
      </c>
      <c r="S364" t="n">
        <v>1</v>
      </c>
      <c r="T364" t="n">
        <v>1</v>
      </c>
      <c r="U364" t="n">
        <v>1</v>
      </c>
      <c r="V364" s="2" t="inlineStr">
        <is>
          <t>Blåsippa</t>
        </is>
      </c>
      <c r="W364">
        <f>HYPERLINK("https://klasma.github.io/Logging_2161/artfynd/A 48654-2022 artfynd.xlsx", "A 48654-2022")</f>
        <v/>
      </c>
      <c r="X364">
        <f>HYPERLINK("https://klasma.github.io/Logging_2161/kartor/A 48654-2022 karta.png", "A 48654-2022")</f>
        <v/>
      </c>
      <c r="Y364">
        <f>HYPERLINK("https://klasma.github.io/Logging_2161/kartor_geotiff/A 48654-2022 georefererad karta.tif", "A 48654-2022")</f>
        <v/>
      </c>
      <c r="AA364">
        <f>HYPERLINK("https://klasma.github.io/Logging_2161/klagomål/A 48654-2022 FSC-klagomål.docx", "A 48654-2022")</f>
        <v/>
      </c>
      <c r="AB364">
        <f>HYPERLINK("https://klasma.github.io/Logging_2161/klagomålsmail/A 48654-2022 FSC-klagomål mail.docx", "A 48654-2022")</f>
        <v/>
      </c>
      <c r="AC364">
        <f>HYPERLINK("https://klasma.github.io/Logging_2161/tillsyn/A 48654-2022 tillsynsbegäran.docx", "A 48654-2022")</f>
        <v/>
      </c>
      <c r="AD364">
        <f>HYPERLINK("https://klasma.github.io/Logging_2161/tillsynsmail/A 48654-2022 tillsynsbegäran mail.docx", "A 48654-2022")</f>
        <v/>
      </c>
    </row>
    <row r="365" ht="15" customHeight="1">
      <c r="A365" t="inlineStr">
        <is>
          <t>A 31800-2026</t>
        </is>
      </c>
      <c r="B365" t="inlineStr">
        <is>
          <t>avverkningsanmälan</t>
        </is>
      </c>
      <c r="C365" t="inlineStr">
        <is>
          <t>Föryngringsavverkning</t>
        </is>
      </c>
      <c r="D365" s="1" t="n">
        <v>46230</v>
      </c>
      <c r="E365" s="1" t="n">
        <v>46292</v>
      </c>
      <c r="F365" t="inlineStr">
        <is>
          <t>GÄVLEBORGS LÄN</t>
        </is>
      </c>
      <c r="G365" t="inlineStr">
        <is>
          <t>LJUSDAL</t>
        </is>
      </c>
      <c r="H365" t="inlineStr">
        <is>
          <t>Bergvik skog väst AB</t>
        </is>
      </c>
      <c r="I365" t="n">
        <v>2</v>
      </c>
      <c r="J365" t="n">
        <v>0</v>
      </c>
      <c r="K365" t="n">
        <v>0</v>
      </c>
      <c r="L365" t="n">
        <v>0</v>
      </c>
      <c r="M365" t="n">
        <v>1</v>
      </c>
      <c r="N365" t="n">
        <v>0</v>
      </c>
      <c r="O365" t="n">
        <v>0</v>
      </c>
      <c r="P365" t="n">
        <v>0</v>
      </c>
      <c r="Q365" t="n">
        <v>1</v>
      </c>
      <c r="R365" t="n">
        <v>1</v>
      </c>
      <c r="S365" t="n">
        <v>1</v>
      </c>
      <c r="T365" t="n">
        <v>2</v>
      </c>
      <c r="U365" t="n">
        <v>2</v>
      </c>
      <c r="V365" s="2" t="inlineStr">
        <is>
          <t>Garnlav</t>
        </is>
      </c>
      <c r="W365">
        <f>HYPERLINK("https://klasma.github.io/Logging_2161/artfynd/A 31800-2026 artfynd.xlsx", "A 31800-2026")</f>
        <v/>
      </c>
      <c r="X365">
        <f>HYPERLINK("https://klasma.github.io/Logging_2161/kartor/A 31800-2026 karta.png", "A 31800-2026")</f>
        <v/>
      </c>
      <c r="Y365">
        <f>HYPERLINK("https://klasma.github.io/Logging_2161/kartor_geotiff/A 31800-2026 georefererad karta.tif", "A 31800-2026")</f>
        <v/>
      </c>
      <c r="AA365">
        <f>HYPERLINK("https://klasma.github.io/Logging_2161/klagomål/A 31800-2026 FSC-klagomål.docx", "A 31800-2026")</f>
        <v/>
      </c>
      <c r="AB365">
        <f>HYPERLINK("https://klasma.github.io/Logging_2161/klagomålsmail/A 31800-2026 FSC-klagomål mail.docx", "A 31800-2026")</f>
        <v/>
      </c>
      <c r="AC365">
        <f>HYPERLINK("https://klasma.github.io/Logging_2161/tillsyn/A 31800-2026 tillsynsbegäran.docx", "A 31800-2026")</f>
        <v/>
      </c>
      <c r="AD365">
        <f>HYPERLINK("https://klasma.github.io/Logging_2161/tillsynsmail/A 31800-2026 tillsynsbegäran mail.docx", "A 31800-2026")</f>
        <v/>
      </c>
    </row>
    <row r="366" ht="15" customHeight="1">
      <c r="A366" t="inlineStr">
        <is>
          <t>A 37581-2026</t>
        </is>
      </c>
      <c r="B366" t="inlineStr">
        <is>
          <t>avverkningsanmälan</t>
        </is>
      </c>
      <c r="C366" t="inlineStr">
        <is>
          <t>Föryngringsavverkning</t>
        </is>
      </c>
      <c r="D366" s="1" t="n">
        <v>46276</v>
      </c>
      <c r="E366" s="1" t="n">
        <v>46292</v>
      </c>
      <c r="F366" t="inlineStr">
        <is>
          <t>GÄVLEBORGS LÄN</t>
        </is>
      </c>
      <c r="G366" t="inlineStr">
        <is>
          <t>LJUSDAL</t>
        </is>
      </c>
      <c r="H366" t="inlineStr">
        <is>
          <t>Sveaskog</t>
        </is>
      </c>
      <c r="I366" t="n">
        <v>2.5</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37581-2026 artfynd.xlsx", "A 37581-2026")</f>
        <v/>
      </c>
      <c r="X366">
        <f>HYPERLINK("https://klasma.github.io/Logging_2161/kartor/A 37581-2026 karta.png", "A 37581-2026")</f>
        <v/>
      </c>
      <c r="Y366">
        <f>HYPERLINK("https://klasma.github.io/Logging_2161/kartor_geotiff/A 37581-2026 georefererad karta.tif", "A 37581-2026")</f>
        <v/>
      </c>
      <c r="AA366">
        <f>HYPERLINK("https://klasma.github.io/Logging_2161/klagomål/A 37581-2026 FSC-klagomål.docx", "A 37581-2026")</f>
        <v/>
      </c>
      <c r="AB366">
        <f>HYPERLINK("https://klasma.github.io/Logging_2161/klagomålsmail/A 37581-2026 FSC-klagomål mail.docx", "A 37581-2026")</f>
        <v/>
      </c>
      <c r="AC366">
        <f>HYPERLINK("https://klasma.github.io/Logging_2161/tillsyn/A 37581-2026 tillsynsbegäran.docx", "A 37581-2026")</f>
        <v/>
      </c>
      <c r="AD366">
        <f>HYPERLINK("https://klasma.github.io/Logging_2161/tillsynsmail/A 37581-2026 tillsynsbegäran mail.docx", "A 37581-2026")</f>
        <v/>
      </c>
    </row>
    <row r="367" ht="15" customHeight="1">
      <c r="A367" t="inlineStr">
        <is>
          <t>A 32065-2026</t>
        </is>
      </c>
      <c r="B367" t="inlineStr">
        <is>
          <t>avverkningsanmälan</t>
        </is>
      </c>
      <c r="C367" t="inlineStr">
        <is>
          <t>Föryngringsavverkning</t>
        </is>
      </c>
      <c r="D367" s="1" t="n">
        <v>46233</v>
      </c>
      <c r="E367" s="1" t="n">
        <v>46292</v>
      </c>
      <c r="F367" t="inlineStr">
        <is>
          <t>GÄVLEBORGS LÄN</t>
        </is>
      </c>
      <c r="G367" t="inlineStr">
        <is>
          <t>LJUSDAL</t>
        </is>
      </c>
      <c r="H367" t="inlineStr">
        <is>
          <t>Sveaskog</t>
        </is>
      </c>
      <c r="I367" t="n">
        <v>7.1</v>
      </c>
      <c r="J367" t="n">
        <v>1</v>
      </c>
      <c r="K367" t="n">
        <v>0</v>
      </c>
      <c r="L367" t="n">
        <v>0</v>
      </c>
      <c r="M367" t="n">
        <v>0</v>
      </c>
      <c r="N367" t="n">
        <v>0</v>
      </c>
      <c r="O367" t="n">
        <v>0</v>
      </c>
      <c r="P367" t="n">
        <v>0</v>
      </c>
      <c r="Q367" t="n">
        <v>0</v>
      </c>
      <c r="R367" t="n">
        <v>0</v>
      </c>
      <c r="S367" t="n">
        <v>1</v>
      </c>
      <c r="T367" t="n">
        <v>1</v>
      </c>
      <c r="U367" t="n">
        <v>1</v>
      </c>
      <c r="V367" s="2" t="inlineStr">
        <is>
          <t>Fläcknycklar</t>
        </is>
      </c>
      <c r="W367">
        <f>HYPERLINK("https://klasma.github.io/Logging_2161/artfynd/A 32065-2026 artfynd.xlsx", "A 32065-2026")</f>
        <v/>
      </c>
      <c r="X367">
        <f>HYPERLINK("https://klasma.github.io/Logging_2161/kartor/A 32065-2026 karta.png", "A 32065-2026")</f>
        <v/>
      </c>
      <c r="Y367">
        <f>HYPERLINK("https://klasma.github.io/Logging_2161/kartor_geotiff/A 32065-2026 georefererad karta.tif", "A 32065-2026")</f>
        <v/>
      </c>
      <c r="AA367">
        <f>HYPERLINK("https://klasma.github.io/Logging_2161/klagomål/A 32065-2026 FSC-klagomål.docx", "A 32065-2026")</f>
        <v/>
      </c>
      <c r="AB367">
        <f>HYPERLINK("https://klasma.github.io/Logging_2161/klagomålsmail/A 32065-2026 FSC-klagomål mail.docx", "A 32065-2026")</f>
        <v/>
      </c>
      <c r="AC367">
        <f>HYPERLINK("https://klasma.github.io/Logging_2161/tillsyn/A 32065-2026 tillsynsbegäran.docx", "A 32065-2026")</f>
        <v/>
      </c>
      <c r="AD367">
        <f>HYPERLINK("https://klasma.github.io/Logging_2161/tillsynsmail/A 32065-2026 tillsynsbegäran mail.docx", "A 32065-2026")</f>
        <v/>
      </c>
    </row>
    <row r="368" ht="15" customHeight="1">
      <c r="A368" t="inlineStr">
        <is>
          <t>A 37577-2026</t>
        </is>
      </c>
      <c r="B368" t="inlineStr">
        <is>
          <t>avverkningsanmälan</t>
        </is>
      </c>
      <c r="C368" t="inlineStr">
        <is>
          <t>Föryngringsavverkning</t>
        </is>
      </c>
      <c r="D368" s="1" t="n">
        <v>46276</v>
      </c>
      <c r="E368" s="1" t="n">
        <v>46292</v>
      </c>
      <c r="F368" t="inlineStr">
        <is>
          <t>GÄVLEBORGS LÄN</t>
        </is>
      </c>
      <c r="G368" t="inlineStr">
        <is>
          <t>LJUSDAL</t>
        </is>
      </c>
      <c r="H368" t="inlineStr">
        <is>
          <t>Sveaskog</t>
        </is>
      </c>
      <c r="I368" t="n">
        <v>1.1</v>
      </c>
      <c r="J368" t="n">
        <v>0</v>
      </c>
      <c r="K368" t="n">
        <v>0</v>
      </c>
      <c r="L368" t="n">
        <v>1</v>
      </c>
      <c r="M368" t="n">
        <v>0</v>
      </c>
      <c r="N368" t="n">
        <v>0</v>
      </c>
      <c r="O368" t="n">
        <v>0</v>
      </c>
      <c r="P368" t="n">
        <v>0</v>
      </c>
      <c r="Q368" t="n">
        <v>1</v>
      </c>
      <c r="R368" t="n">
        <v>0</v>
      </c>
      <c r="S368" t="n">
        <v>1</v>
      </c>
      <c r="T368" t="n">
        <v>1</v>
      </c>
      <c r="U368" t="n">
        <v>1</v>
      </c>
      <c r="V368" s="2" t="inlineStr">
        <is>
          <t>Kolflarnlav</t>
        </is>
      </c>
      <c r="W368">
        <f>HYPERLINK("https://klasma.github.io/Logging_2161/artfynd/A 37577-2026 artfynd.xlsx", "A 37577-2026")</f>
        <v/>
      </c>
      <c r="X368">
        <f>HYPERLINK("https://klasma.github.io/Logging_2161/kartor/A 37577-2026 karta.png", "A 37577-2026")</f>
        <v/>
      </c>
      <c r="Y368">
        <f>HYPERLINK("https://klasma.github.io/Logging_2161/kartor_geotiff/A 37577-2026 georefererad karta.tif", "A 37577-2026")</f>
        <v/>
      </c>
      <c r="AA368">
        <f>HYPERLINK("https://klasma.github.io/Logging_2161/klagomål/A 37577-2026 FSC-klagomål.docx", "A 37577-2026")</f>
        <v/>
      </c>
      <c r="AB368">
        <f>HYPERLINK("https://klasma.github.io/Logging_2161/klagomålsmail/A 37577-2026 FSC-klagomål mail.docx", "A 37577-2026")</f>
        <v/>
      </c>
      <c r="AC368">
        <f>HYPERLINK("https://klasma.github.io/Logging_2161/tillsyn/A 37577-2026 tillsynsbegäran.docx", "A 37577-2026")</f>
        <v/>
      </c>
      <c r="AD368">
        <f>HYPERLINK("https://klasma.github.io/Logging_2161/tillsynsmail/A 37577-2026 tillsynsbegäran mail.docx", "A 37577-2026")</f>
        <v/>
      </c>
    </row>
    <row r="369" ht="15" customHeight="1">
      <c r="A369" t="inlineStr">
        <is>
          <t>A 38310-2026</t>
        </is>
      </c>
      <c r="B369" t="inlineStr">
        <is>
          <t>avverkningsanmälan</t>
        </is>
      </c>
      <c r="C369" t="inlineStr">
        <is>
          <t>Föryngringsavverkning</t>
        </is>
      </c>
      <c r="D369" s="1" t="n">
        <v>46282</v>
      </c>
      <c r="E369" s="1" t="n">
        <v>46292</v>
      </c>
      <c r="F369" t="inlineStr">
        <is>
          <t>GÄVLEBORGS LÄN</t>
        </is>
      </c>
      <c r="G369" t="inlineStr">
        <is>
          <t>LJUSDAL</t>
        </is>
      </c>
      <c r="H369" t="inlineStr">
        <is>
          <t>Sveaskog</t>
        </is>
      </c>
      <c r="I369" t="n">
        <v>1.6</v>
      </c>
      <c r="J369" t="n">
        <v>0</v>
      </c>
      <c r="K369" t="n">
        <v>0</v>
      </c>
      <c r="L369" t="n">
        <v>1</v>
      </c>
      <c r="M369" t="n">
        <v>0</v>
      </c>
      <c r="N369" t="n">
        <v>0</v>
      </c>
      <c r="O369" t="n">
        <v>0</v>
      </c>
      <c r="P369" t="n">
        <v>0</v>
      </c>
      <c r="Q369" t="n">
        <v>1</v>
      </c>
      <c r="R369" t="n">
        <v>0</v>
      </c>
      <c r="S369" t="n">
        <v>1</v>
      </c>
      <c r="T369" t="n">
        <v>2</v>
      </c>
      <c r="U369" t="n">
        <v>0</v>
      </c>
      <c r="V369" s="2" t="inlineStr">
        <is>
          <t>Lunglav</t>
        </is>
      </c>
      <c r="W369">
        <f>HYPERLINK("https://klasma.github.io/Logging_2161/artfynd/A 38310-2026 artfynd.xlsx", "A 38310-2026")</f>
        <v/>
      </c>
      <c r="X369">
        <f>HYPERLINK("https://klasma.github.io/Logging_2161/kartor/A 38310-2026 karta.png", "A 38310-2026")</f>
        <v/>
      </c>
      <c r="Y369">
        <f>HYPERLINK("https://klasma.github.io/Logging_2161/kartor_geotiff/A 38310-2026 georefererad karta.tif", "A 38310-2026")</f>
        <v/>
      </c>
      <c r="AA369">
        <f>HYPERLINK("https://klasma.github.io/Logging_2161/klagomål/A 38310-2026 FSC-klagomål.docx", "A 38310-2026")</f>
        <v/>
      </c>
      <c r="AB369">
        <f>HYPERLINK("https://klasma.github.io/Logging_2161/klagomålsmail/A 38310-2026 FSC-klagomål mail.docx", "A 38310-2026")</f>
        <v/>
      </c>
      <c r="AC369">
        <f>HYPERLINK("https://klasma.github.io/Logging_2161/tillsyn/A 38310-2026 tillsynsbegäran.docx", "A 38310-2026")</f>
        <v/>
      </c>
      <c r="AD369">
        <f>HYPERLINK("https://klasma.github.io/Logging_2161/tillsynsmail/A 38310-2026 tillsynsbegäran mail.docx", "A 38310-2026")</f>
        <v/>
      </c>
    </row>
    <row r="370" ht="15" customHeight="1">
      <c r="A370" t="inlineStr">
        <is>
          <t>A 24831-2024</t>
        </is>
      </c>
      <c r="B370" t="inlineStr">
        <is>
          <t>avverkningsanmälan</t>
        </is>
      </c>
      <c r="C370" t="inlineStr">
        <is>
          <t>Föryngringsavverkning</t>
        </is>
      </c>
      <c r="D370" s="1" t="n">
        <v>45461</v>
      </c>
      <c r="E370" s="1" t="n">
        <v>46292</v>
      </c>
      <c r="F370" t="inlineStr">
        <is>
          <t>GÄVLEBORGS LÄN</t>
        </is>
      </c>
      <c r="G370" t="inlineStr">
        <is>
          <t>LJUSDAL</t>
        </is>
      </c>
      <c r="I370" t="n">
        <v>4.9</v>
      </c>
      <c r="J370" t="n">
        <v>0</v>
      </c>
      <c r="K370" t="n">
        <v>0</v>
      </c>
      <c r="L370" t="n">
        <v>1</v>
      </c>
      <c r="M370" t="n">
        <v>0</v>
      </c>
      <c r="N370" t="n">
        <v>0</v>
      </c>
      <c r="O370" t="n">
        <v>0</v>
      </c>
      <c r="P370" t="n">
        <v>0</v>
      </c>
      <c r="Q370" t="n">
        <v>1</v>
      </c>
      <c r="R370" t="n">
        <v>0</v>
      </c>
      <c r="S370" t="n">
        <v>1</v>
      </c>
      <c r="T370" t="n">
        <v>1</v>
      </c>
      <c r="U370" t="n">
        <v>1</v>
      </c>
      <c r="V370" s="2" t="inlineStr">
        <is>
          <t>Lunglav</t>
        </is>
      </c>
      <c r="W370">
        <f>HYPERLINK("https://klasma.github.io/Logging_2161/artfynd/A 24831-2024 artfynd.xlsx", "A 24831-2024")</f>
        <v/>
      </c>
      <c r="X370">
        <f>HYPERLINK("https://klasma.github.io/Logging_2161/kartor/A 24831-2024 karta.png", "A 24831-2024")</f>
        <v/>
      </c>
      <c r="Y370">
        <f>HYPERLINK("https://klasma.github.io/Logging_2161/kartor_geotiff/A 24831-2024 georefererad karta.tif", "A 24831-2024")</f>
        <v/>
      </c>
      <c r="AA370">
        <f>HYPERLINK("https://klasma.github.io/Logging_2161/klagomål/A 24831-2024 FSC-klagomål.docx", "A 24831-2024")</f>
        <v/>
      </c>
      <c r="AB370">
        <f>HYPERLINK("https://klasma.github.io/Logging_2161/klagomålsmail/A 24831-2024 FSC-klagomål mail.docx", "A 24831-2024")</f>
        <v/>
      </c>
      <c r="AC370">
        <f>HYPERLINK("https://klasma.github.io/Logging_2161/tillsyn/A 24831-2024 tillsynsbegäran.docx", "A 24831-2024")</f>
        <v/>
      </c>
      <c r="AD370">
        <f>HYPERLINK("https://klasma.github.io/Logging_2161/tillsynsmail/A 24831-2024 tillsynsbegäran mail.docx", "A 24831-2024")</f>
        <v/>
      </c>
    </row>
    <row r="371" ht="15" customHeight="1">
      <c r="A371" t="inlineStr">
        <is>
          <t>A 39923-2026</t>
        </is>
      </c>
      <c r="B371" t="inlineStr">
        <is>
          <t>avverkningsanmälan</t>
        </is>
      </c>
      <c r="C371" t="inlineStr">
        <is>
          <t>Föryngringsavverkning</t>
        </is>
      </c>
      <c r="D371" s="1" t="n">
        <v>46290</v>
      </c>
      <c r="E371" s="1" t="n">
        <v>46292</v>
      </c>
      <c r="F371" t="inlineStr">
        <is>
          <t>GÄVLEBORGS LÄN</t>
        </is>
      </c>
      <c r="G371" t="inlineStr">
        <is>
          <t>LJUSDAL</t>
        </is>
      </c>
      <c r="H371" t="inlineStr">
        <is>
          <t>Sveaskog</t>
        </is>
      </c>
      <c r="I371" t="n">
        <v>2.2</v>
      </c>
      <c r="J371" t="n">
        <v>1</v>
      </c>
      <c r="K371" t="n">
        <v>0</v>
      </c>
      <c r="L371" t="n">
        <v>0</v>
      </c>
      <c r="M371" t="n">
        <v>1</v>
      </c>
      <c r="N371" t="n">
        <v>0</v>
      </c>
      <c r="O371" t="n">
        <v>0</v>
      </c>
      <c r="P371" t="n">
        <v>0</v>
      </c>
      <c r="Q371" t="n">
        <v>1</v>
      </c>
      <c r="R371" t="n">
        <v>1</v>
      </c>
      <c r="S371" t="n">
        <v>1</v>
      </c>
      <c r="T371" t="n">
        <v>1</v>
      </c>
      <c r="U371" t="n">
        <v>0</v>
      </c>
      <c r="V371" s="2" t="inlineStr">
        <is>
          <t>Knärot</t>
        </is>
      </c>
      <c r="W371">
        <f>HYPERLINK("https://klasma.github.io/Logging_2161/artfynd/A 39923-2026 artfynd.xlsx", "A 39923-2026")</f>
        <v/>
      </c>
      <c r="X371">
        <f>HYPERLINK("https://klasma.github.io/Logging_2161/kartor/A 39923-2026 karta.png", "A 39923-2026")</f>
        <v/>
      </c>
      <c r="Y371">
        <f>HYPERLINK("https://klasma.github.io/Logging_2161/kartor_geotiff/A 39923-2026 georefererad karta.tif", "A 39923-2026")</f>
        <v/>
      </c>
      <c r="Z371">
        <f>HYPERLINK("https://klasma.github.io/Logging_2161/knärot/A 39923-2026 karta knärot.png", "A 39923-2026")</f>
        <v/>
      </c>
      <c r="AA371">
        <f>HYPERLINK("https://klasma.github.io/Logging_2161/klagomål/A 39923-2026 FSC-klagomål.docx", "A 39923-2026")</f>
        <v/>
      </c>
      <c r="AB371">
        <f>HYPERLINK("https://klasma.github.io/Logging_2161/klagomålsmail/A 39923-2026 FSC-klagomål mail.docx", "A 39923-2026")</f>
        <v/>
      </c>
      <c r="AC371">
        <f>HYPERLINK("https://klasma.github.io/Logging_2161/tillsyn/A 39923-2026 tillsynsbegäran.docx", "A 39923-2026")</f>
        <v/>
      </c>
      <c r="AD371">
        <f>HYPERLINK("https://klasma.github.io/Logging_2161/tillsynsmail/A 39923-2026 tillsynsbegäran mail.docx", "A 39923-2026")</f>
        <v/>
      </c>
    </row>
    <row r="372" ht="15" customHeight="1">
      <c r="A372" t="inlineStr">
        <is>
          <t>A 44020-2023</t>
        </is>
      </c>
      <c r="B372" t="inlineStr">
        <is>
          <t>avverkningsanmälan</t>
        </is>
      </c>
      <c r="C372" t="inlineStr">
        <is>
          <t>Föryngringsavverkning</t>
        </is>
      </c>
      <c r="D372" s="1" t="n">
        <v>45188</v>
      </c>
      <c r="E372" s="1" t="n">
        <v>46292</v>
      </c>
      <c r="F372" t="inlineStr">
        <is>
          <t>GÄVLEBORGS LÄN</t>
        </is>
      </c>
      <c r="G372" t="inlineStr">
        <is>
          <t>LJUSDAL</t>
        </is>
      </c>
      <c r="H372" t="inlineStr">
        <is>
          <t>Sveaskog</t>
        </is>
      </c>
      <c r="I372" t="n">
        <v>3</v>
      </c>
      <c r="J372" t="n">
        <v>1</v>
      </c>
      <c r="K372" t="n">
        <v>0</v>
      </c>
      <c r="L372" t="n">
        <v>0</v>
      </c>
      <c r="M372" t="n">
        <v>0</v>
      </c>
      <c r="N372" t="n">
        <v>0</v>
      </c>
      <c r="O372" t="n">
        <v>0</v>
      </c>
      <c r="P372" t="n">
        <v>0</v>
      </c>
      <c r="Q372" t="n">
        <v>0</v>
      </c>
      <c r="R372" t="n">
        <v>0</v>
      </c>
      <c r="S372" t="n">
        <v>1</v>
      </c>
      <c r="T372" t="n">
        <v>1</v>
      </c>
      <c r="U372" t="n">
        <v>0</v>
      </c>
      <c r="V372" s="2" t="inlineStr">
        <is>
          <t>Orre</t>
        </is>
      </c>
      <c r="W372">
        <f>HYPERLINK("https://klasma.github.io/Logging_2161/artfynd/A 44020-2023 artfynd.xlsx", "A 44020-2023")</f>
        <v/>
      </c>
      <c r="X372">
        <f>HYPERLINK("https://klasma.github.io/Logging_2161/kartor/A 44020-2023 karta.png", "A 44020-2023")</f>
        <v/>
      </c>
      <c r="Y372">
        <f>HYPERLINK("https://klasma.github.io/Logging_2161/kartor_geotiff/A 44020-2023 georefererad karta.tif", "A 44020-2023")</f>
        <v/>
      </c>
      <c r="AA372">
        <f>HYPERLINK("https://klasma.github.io/Logging_2161/klagomål/A 44020-2023 FSC-klagomål.docx", "A 44020-2023")</f>
        <v/>
      </c>
      <c r="AB372">
        <f>HYPERLINK("https://klasma.github.io/Logging_2161/klagomålsmail/A 44020-2023 FSC-klagomål mail.docx", "A 44020-2023")</f>
        <v/>
      </c>
      <c r="AC372">
        <f>HYPERLINK("https://klasma.github.io/Logging_2161/tillsyn/A 44020-2023 tillsynsbegäran.docx", "A 44020-2023")</f>
        <v/>
      </c>
      <c r="AD372">
        <f>HYPERLINK("https://klasma.github.io/Logging_2161/tillsynsmail/A 44020-2023 tillsynsbegäran mail.docx", "A 44020-2023")</f>
        <v/>
      </c>
      <c r="AE372">
        <f>HYPERLINK("https://klasma.github.io/Logging_2161/fåglar/A 44020-2023 prioriterade fågelarter.docx", "A 44020-2023")</f>
        <v/>
      </c>
    </row>
    <row r="373" ht="15" customHeight="1">
      <c r="A373" t="inlineStr">
        <is>
          <t>A 36170-2023</t>
        </is>
      </c>
      <c r="B373" t="inlineStr">
        <is>
          <t>avverkningsanmälan</t>
        </is>
      </c>
      <c r="C373" t="inlineStr">
        <is>
          <t>Föryngringsavverkning</t>
        </is>
      </c>
      <c r="D373" s="1" t="n">
        <v>45149</v>
      </c>
      <c r="E373" s="1" t="n">
        <v>46292</v>
      </c>
      <c r="F373" t="inlineStr">
        <is>
          <t>GÄVLEBORGS LÄN</t>
        </is>
      </c>
      <c r="G373" t="inlineStr">
        <is>
          <t>LJUSDAL</t>
        </is>
      </c>
      <c r="H373" t="inlineStr">
        <is>
          <t>Sveaskog</t>
        </is>
      </c>
      <c r="I373" t="n">
        <v>9.4</v>
      </c>
      <c r="J373" t="n">
        <v>0</v>
      </c>
      <c r="K373" t="n">
        <v>0</v>
      </c>
      <c r="L373" t="n">
        <v>1</v>
      </c>
      <c r="M373" t="n">
        <v>0</v>
      </c>
      <c r="N373" t="n">
        <v>0</v>
      </c>
      <c r="O373" t="n">
        <v>0</v>
      </c>
      <c r="P373" t="n">
        <v>0</v>
      </c>
      <c r="Q373" t="n">
        <v>1</v>
      </c>
      <c r="R373" t="n">
        <v>0</v>
      </c>
      <c r="S373" t="n">
        <v>1</v>
      </c>
      <c r="T373" t="n">
        <v>1</v>
      </c>
      <c r="U373" t="n">
        <v>1</v>
      </c>
      <c r="V373" s="2" t="inlineStr">
        <is>
          <t>Vedflamlav</t>
        </is>
      </c>
      <c r="W373">
        <f>HYPERLINK("https://klasma.github.io/Logging_2161/artfynd/A 36170-2023 artfynd.xlsx", "A 36170-2023")</f>
        <v/>
      </c>
      <c r="X373">
        <f>HYPERLINK("https://klasma.github.io/Logging_2161/kartor/A 36170-2023 karta.png", "A 36170-2023")</f>
        <v/>
      </c>
      <c r="Y373">
        <f>HYPERLINK("https://klasma.github.io/Logging_2161/kartor_geotiff/A 36170-2023 georefererad karta.tif", "A 36170-2023")</f>
        <v/>
      </c>
      <c r="AA373">
        <f>HYPERLINK("https://klasma.github.io/Logging_2161/klagomål/A 36170-2023 FSC-klagomål.docx", "A 36170-2023")</f>
        <v/>
      </c>
      <c r="AB373">
        <f>HYPERLINK("https://klasma.github.io/Logging_2161/klagomålsmail/A 36170-2023 FSC-klagomål mail.docx", "A 36170-2023")</f>
        <v/>
      </c>
      <c r="AC373">
        <f>HYPERLINK("https://klasma.github.io/Logging_2161/tillsyn/A 36170-2023 tillsynsbegäran.docx", "A 36170-2023")</f>
        <v/>
      </c>
      <c r="AD373">
        <f>HYPERLINK("https://klasma.github.io/Logging_2161/tillsynsmail/A 36170-2023 tillsynsbegäran mail.docx", "A 36170-2023")</f>
        <v/>
      </c>
    </row>
    <row r="374" ht="15" customHeight="1">
      <c r="A374" t="inlineStr">
        <is>
          <t>A 4696-2023</t>
        </is>
      </c>
      <c r="B374" t="inlineStr">
        <is>
          <t>avverkningsanmälan</t>
        </is>
      </c>
      <c r="C374" t="inlineStr">
        <is>
          <t>Föryngringsavverkning</t>
        </is>
      </c>
      <c r="D374" s="1" t="n">
        <v>44957</v>
      </c>
      <c r="E374" s="1" t="n">
        <v>46292</v>
      </c>
      <c r="F374" t="inlineStr">
        <is>
          <t>GÄVLEBORGS LÄN</t>
        </is>
      </c>
      <c r="G374" t="inlineStr">
        <is>
          <t>LJUSDAL</t>
        </is>
      </c>
      <c r="H374" t="inlineStr">
        <is>
          <t>Holmen skog AB</t>
        </is>
      </c>
      <c r="I374" t="n">
        <v>7.3</v>
      </c>
      <c r="J374" t="n">
        <v>0</v>
      </c>
      <c r="K374" t="n">
        <v>1</v>
      </c>
      <c r="L374" t="n">
        <v>0</v>
      </c>
      <c r="M374" t="n">
        <v>0</v>
      </c>
      <c r="N374" t="n">
        <v>0</v>
      </c>
      <c r="O374" t="n">
        <v>0</v>
      </c>
      <c r="P374" t="n">
        <v>0</v>
      </c>
      <c r="Q374" t="n">
        <v>0</v>
      </c>
      <c r="R374" t="n">
        <v>0</v>
      </c>
      <c r="S374" t="n">
        <v>1</v>
      </c>
      <c r="T374" t="n">
        <v>1</v>
      </c>
      <c r="U374" t="n">
        <v>1</v>
      </c>
      <c r="V374" s="2" t="inlineStr">
        <is>
          <t>Vedticka</t>
        </is>
      </c>
      <c r="W374">
        <f>HYPERLINK("https://klasma.github.io/Logging_2161/artfynd/A 4696-2023 artfynd.xlsx", "A 4696-2023")</f>
        <v/>
      </c>
      <c r="X374">
        <f>HYPERLINK("https://klasma.github.io/Logging_2161/kartor/A 4696-2023 karta.png", "A 4696-2023")</f>
        <v/>
      </c>
      <c r="Y374">
        <f>HYPERLINK("https://klasma.github.io/Logging_2161/kartor_geotiff/A 4696-2023 georefererad karta.tif", "A 4696-2023")</f>
        <v/>
      </c>
      <c r="AA374">
        <f>HYPERLINK("https://klasma.github.io/Logging_2161/klagomål/A 4696-2023 FSC-klagomål.docx", "A 4696-2023")</f>
        <v/>
      </c>
      <c r="AB374">
        <f>HYPERLINK("https://klasma.github.io/Logging_2161/klagomålsmail/A 4696-2023 FSC-klagomål mail.docx", "A 4696-2023")</f>
        <v/>
      </c>
      <c r="AC374">
        <f>HYPERLINK("https://klasma.github.io/Logging_2161/tillsyn/A 4696-2023 tillsynsbegäran.docx", "A 4696-2023")</f>
        <v/>
      </c>
      <c r="AD374">
        <f>HYPERLINK("https://klasma.github.io/Logging_2161/tillsynsmail/A 4696-2023 tillsynsbegäran mail.docx", "A 4696-2023")</f>
        <v/>
      </c>
    </row>
    <row r="375" ht="15" customHeight="1">
      <c r="A375" t="inlineStr">
        <is>
          <t>A 58820-2022</t>
        </is>
      </c>
      <c r="B375" t="inlineStr">
        <is>
          <t>avverkningsanmälan</t>
        </is>
      </c>
      <c r="C375" t="inlineStr">
        <is>
          <t>Föryngringsavverkning</t>
        </is>
      </c>
      <c r="D375" s="1" t="n">
        <v>44903</v>
      </c>
      <c r="E375" s="1" t="n">
        <v>46292</v>
      </c>
      <c r="F375" t="inlineStr">
        <is>
          <t>GÄVLEBORGS LÄN</t>
        </is>
      </c>
      <c r="G375" t="inlineStr">
        <is>
          <t>LJUSDAL</t>
        </is>
      </c>
      <c r="H375" t="inlineStr">
        <is>
          <t>Kyrkan</t>
        </is>
      </c>
      <c r="I375" t="n">
        <v>13</v>
      </c>
      <c r="J375" t="n">
        <v>1</v>
      </c>
      <c r="K375" t="n">
        <v>0</v>
      </c>
      <c r="L375" t="n">
        <v>0</v>
      </c>
      <c r="M375" t="n">
        <v>0</v>
      </c>
      <c r="N375" t="n">
        <v>0</v>
      </c>
      <c r="O375" t="n">
        <v>0</v>
      </c>
      <c r="P375" t="n">
        <v>0</v>
      </c>
      <c r="Q375" t="n">
        <v>0</v>
      </c>
      <c r="R375" t="n">
        <v>0</v>
      </c>
      <c r="S375" t="n">
        <v>1</v>
      </c>
      <c r="T375" t="n">
        <v>2</v>
      </c>
      <c r="U375" t="n">
        <v>0</v>
      </c>
      <c r="V375" s="2" t="inlineStr">
        <is>
          <t>Tjäder</t>
        </is>
      </c>
      <c r="W375">
        <f>HYPERLINK("https://klasma.github.io/Logging_2161/artfynd/A 58820-2022 artfynd.xlsx", "A 58820-2022")</f>
        <v/>
      </c>
      <c r="X375">
        <f>HYPERLINK("https://klasma.github.io/Logging_2161/kartor/A 58820-2022 karta.png", "A 58820-2022")</f>
        <v/>
      </c>
      <c r="Y375">
        <f>HYPERLINK("https://klasma.github.io/Logging_2161/kartor_geotiff/A 58820-2022 georefererad karta.tif", "A 58820-2022")</f>
        <v/>
      </c>
      <c r="AA375">
        <f>HYPERLINK("https://klasma.github.io/Logging_2161/klagomål/A 58820-2022 FSC-klagomål.docx", "A 58820-2022")</f>
        <v/>
      </c>
      <c r="AB375">
        <f>HYPERLINK("https://klasma.github.io/Logging_2161/klagomålsmail/A 58820-2022 FSC-klagomål mail.docx", "A 58820-2022")</f>
        <v/>
      </c>
      <c r="AC375">
        <f>HYPERLINK("https://klasma.github.io/Logging_2161/tillsyn/A 58820-2022 tillsynsbegäran.docx", "A 58820-2022")</f>
        <v/>
      </c>
      <c r="AD375">
        <f>HYPERLINK("https://klasma.github.io/Logging_2161/tillsynsmail/A 58820-2022 tillsynsbegäran mail.docx", "A 58820-2022")</f>
        <v/>
      </c>
      <c r="AE375">
        <f>HYPERLINK("https://klasma.github.io/Logging_2161/fåglar/A 58820-2022 prioriterade fågelarter.docx", "A 58820-2022")</f>
        <v/>
      </c>
    </row>
    <row r="376" ht="15" customHeight="1">
      <c r="A376" t="inlineStr">
        <is>
          <t>A 4839-2024</t>
        </is>
      </c>
      <c r="B376" t="inlineStr">
        <is>
          <t>avverkningsanmälan</t>
        </is>
      </c>
      <c r="C376" t="inlineStr">
        <is>
          <t>Föryngringsavverkning</t>
        </is>
      </c>
      <c r="D376" s="1" t="n">
        <v>45329</v>
      </c>
      <c r="E376" s="1" t="n">
        <v>46292</v>
      </c>
      <c r="F376" t="inlineStr">
        <is>
          <t>GÄVLEBORGS LÄN</t>
        </is>
      </c>
      <c r="G376" t="inlineStr">
        <is>
          <t>LJUSDAL</t>
        </is>
      </c>
      <c r="I376" t="n">
        <v>2.5</v>
      </c>
      <c r="J376" t="n">
        <v>1</v>
      </c>
      <c r="K376" t="n">
        <v>0</v>
      </c>
      <c r="L376" t="n">
        <v>0</v>
      </c>
      <c r="M376" t="n">
        <v>1</v>
      </c>
      <c r="N376" t="n">
        <v>0</v>
      </c>
      <c r="O376" t="n">
        <v>0</v>
      </c>
      <c r="P376" t="n">
        <v>0</v>
      </c>
      <c r="Q376" t="n">
        <v>1</v>
      </c>
      <c r="R376" t="n">
        <v>1</v>
      </c>
      <c r="S376" t="n">
        <v>1</v>
      </c>
      <c r="T376" t="n">
        <v>1</v>
      </c>
      <c r="U376" t="n">
        <v>0</v>
      </c>
      <c r="V376" s="2" t="inlineStr">
        <is>
          <t>Ävjepilört</t>
        </is>
      </c>
      <c r="W376">
        <f>HYPERLINK("https://klasma.github.io/Logging_2161/artfynd/A 4839-2024 artfynd.xlsx", "A 4839-2024")</f>
        <v/>
      </c>
      <c r="X376">
        <f>HYPERLINK("https://klasma.github.io/Logging_2161/kartor/A 4839-2024 karta.png", "A 4839-2024")</f>
        <v/>
      </c>
      <c r="Y376">
        <f>HYPERLINK("https://klasma.github.io/Logging_2161/kartor_geotiff/A 4839-2024 georefererad karta.tif", "A 4839-2024")</f>
        <v/>
      </c>
      <c r="AA376">
        <f>HYPERLINK("https://klasma.github.io/Logging_2161/klagomål/A 4839-2024 FSC-klagomål.docx", "A 4839-2024")</f>
        <v/>
      </c>
      <c r="AB376">
        <f>HYPERLINK("https://klasma.github.io/Logging_2161/klagomålsmail/A 4839-2024 FSC-klagomål mail.docx", "A 4839-2024")</f>
        <v/>
      </c>
      <c r="AC376">
        <f>HYPERLINK("https://klasma.github.io/Logging_2161/tillsyn/A 4839-2024 tillsynsbegäran.docx", "A 4839-2024")</f>
        <v/>
      </c>
      <c r="AD376">
        <f>HYPERLINK("https://klasma.github.io/Logging_2161/tillsynsmail/A 4839-2024 tillsynsbegäran mail.docx", "A 4839-2024")</f>
        <v/>
      </c>
    </row>
    <row r="377" ht="15" customHeight="1">
      <c r="A377" t="inlineStr">
        <is>
          <t>A 61603-2022</t>
        </is>
      </c>
      <c r="B377" t="inlineStr">
        <is>
          <t>avverkningsanmälan</t>
        </is>
      </c>
      <c r="C377" t="inlineStr">
        <is>
          <t>Avverkning för annat ändamål</t>
        </is>
      </c>
      <c r="D377" s="1" t="n">
        <v>44916</v>
      </c>
      <c r="E377" s="1" t="n">
        <v>46292</v>
      </c>
      <c r="F377" t="inlineStr">
        <is>
          <t>GÄVLEBORGS LÄN</t>
        </is>
      </c>
      <c r="G377" t="inlineStr">
        <is>
          <t>LJUSDAL</t>
        </is>
      </c>
      <c r="I377" t="n">
        <v>1.2</v>
      </c>
      <c r="J377" t="n">
        <v>1</v>
      </c>
      <c r="K377" t="n">
        <v>0</v>
      </c>
      <c r="L377" t="n">
        <v>1</v>
      </c>
      <c r="M377" t="n">
        <v>0</v>
      </c>
      <c r="N377" t="n">
        <v>0</v>
      </c>
      <c r="O377" t="n">
        <v>0</v>
      </c>
      <c r="P377" t="n">
        <v>0</v>
      </c>
      <c r="Q377" t="n">
        <v>1</v>
      </c>
      <c r="R377" t="n">
        <v>0</v>
      </c>
      <c r="S377" t="n">
        <v>1</v>
      </c>
      <c r="T377" t="n">
        <v>1</v>
      </c>
      <c r="U377" t="n">
        <v>1</v>
      </c>
      <c r="V377" s="2" t="inlineStr">
        <is>
          <t>Lavskrika</t>
        </is>
      </c>
      <c r="W377">
        <f>HYPERLINK("https://klasma.github.io/Logging_2161/artfynd/A 61603-2022 artfynd.xlsx", "A 61603-2022")</f>
        <v/>
      </c>
      <c r="X377">
        <f>HYPERLINK("https://klasma.github.io/Logging_2161/kartor/A 61603-2022 karta.png", "A 61603-2022")</f>
        <v/>
      </c>
      <c r="Y377">
        <f>HYPERLINK("https://klasma.github.io/Logging_2161/kartor_geotiff/A 61603-2022 georefererad karta.tif", "A 61603-2022")</f>
        <v/>
      </c>
      <c r="AA377">
        <f>HYPERLINK("https://klasma.github.io/Logging_2161/klagomål/A 61603-2022 FSC-klagomål.docx", "A 61603-2022")</f>
        <v/>
      </c>
      <c r="AB377">
        <f>HYPERLINK("https://klasma.github.io/Logging_2161/klagomålsmail/A 61603-2022 FSC-klagomål mail.docx", "A 61603-2022")</f>
        <v/>
      </c>
      <c r="AC377">
        <f>HYPERLINK("https://klasma.github.io/Logging_2161/tillsyn/A 61603-2022 tillsynsbegäran.docx", "A 61603-2022")</f>
        <v/>
      </c>
      <c r="AD377">
        <f>HYPERLINK("https://klasma.github.io/Logging_2161/tillsynsmail/A 61603-2022 tillsynsbegäran mail.docx", "A 61603-2022")</f>
        <v/>
      </c>
      <c r="AE377">
        <f>HYPERLINK("https://klasma.github.io/Logging_2161/fåglar/A 61603-2022 prioriterade fågelarter.docx", "A 61603-2022")</f>
        <v/>
      </c>
    </row>
    <row r="378" ht="15" customHeight="1">
      <c r="A378" t="inlineStr">
        <is>
          <t>A 42937-2022</t>
        </is>
      </c>
      <c r="B378" t="inlineStr">
        <is>
          <t>avverkningsanmälan</t>
        </is>
      </c>
      <c r="C378" t="inlineStr">
        <is>
          <t>Föryngringsavverkning</t>
        </is>
      </c>
      <c r="D378" s="1" t="n">
        <v>44833</v>
      </c>
      <c r="E378" s="1" t="n">
        <v>46292</v>
      </c>
      <c r="F378" t="inlineStr">
        <is>
          <t>GÄVLEBORGS LÄN</t>
        </is>
      </c>
      <c r="G378" t="inlineStr">
        <is>
          <t>LJUSDAL</t>
        </is>
      </c>
      <c r="I378" t="n">
        <v>0.7</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HYPERLINK("https://klasma.github.io/Logging_2161/artfynd/A 42937-2022 artfynd.xlsx", "A 42937-2022")</f>
        <v/>
      </c>
      <c r="X378">
        <f>HYPERLINK("https://klasma.github.io/Logging_2161/kartor/A 42937-2022 karta.png", "A 42937-2022")</f>
        <v/>
      </c>
      <c r="Y378">
        <f>HYPERLINK("https://klasma.github.io/Logging_2161/kartor_geotiff/A 42937-2022 georefererad karta.tif", "A 42937-2022")</f>
        <v/>
      </c>
      <c r="AA378">
        <f>HYPERLINK("https://klasma.github.io/Logging_2161/klagomål/A 42937-2022 FSC-klagomål.docx", "A 42937-2022")</f>
        <v/>
      </c>
      <c r="AB378">
        <f>HYPERLINK("https://klasma.github.io/Logging_2161/klagomålsmail/A 42937-2022 FSC-klagomål mail.docx", "A 42937-2022")</f>
        <v/>
      </c>
      <c r="AC378">
        <f>HYPERLINK("https://klasma.github.io/Logging_2161/tillsyn/A 42937-2022 tillsynsbegäran.docx", "A 42937-2022")</f>
        <v/>
      </c>
      <c r="AD378">
        <f>HYPERLINK("https://klasma.github.io/Logging_2161/tillsynsmail/A 42937-2022 tillsynsbegäran mail.docx", "A 42937-2022")</f>
        <v/>
      </c>
    </row>
    <row r="379" ht="15" customHeight="1">
      <c r="A379" t="inlineStr">
        <is>
          <t>A 40943-2023</t>
        </is>
      </c>
      <c r="B379" t="inlineStr">
        <is>
          <t>avverkningsanmälan</t>
        </is>
      </c>
      <c r="C379" t="inlineStr">
        <is>
          <t>Föryngringsavverkning</t>
        </is>
      </c>
      <c r="D379" s="1" t="n">
        <v>45173</v>
      </c>
      <c r="E379" s="1" t="n">
        <v>46292</v>
      </c>
      <c r="F379" t="inlineStr">
        <is>
          <t>GÄVLEBORGS LÄN</t>
        </is>
      </c>
      <c r="G379" t="inlineStr">
        <is>
          <t>LJUSDAL</t>
        </is>
      </c>
      <c r="I379" t="n">
        <v>5.8</v>
      </c>
      <c r="J379" t="n">
        <v>0</v>
      </c>
      <c r="K379" t="n">
        <v>0</v>
      </c>
      <c r="L379" t="n">
        <v>1</v>
      </c>
      <c r="M379" t="n">
        <v>0</v>
      </c>
      <c r="N379" t="n">
        <v>0</v>
      </c>
      <c r="O379" t="n">
        <v>0</v>
      </c>
      <c r="P379" t="n">
        <v>0</v>
      </c>
      <c r="Q379" t="n">
        <v>1</v>
      </c>
      <c r="R379" t="n">
        <v>0</v>
      </c>
      <c r="S379" t="n">
        <v>1</v>
      </c>
      <c r="T379" t="n">
        <v>1</v>
      </c>
      <c r="U379" t="n">
        <v>1</v>
      </c>
      <c r="V379" s="2" t="inlineStr">
        <is>
          <t>Mörk kolflarnlav</t>
        </is>
      </c>
      <c r="W379">
        <f>HYPERLINK("https://klasma.github.io/Logging_2161/artfynd/A 40943-2023 artfynd.xlsx", "A 40943-2023")</f>
        <v/>
      </c>
      <c r="X379">
        <f>HYPERLINK("https://klasma.github.io/Logging_2161/kartor/A 40943-2023 karta.png", "A 40943-2023")</f>
        <v/>
      </c>
      <c r="Y379">
        <f>HYPERLINK("https://klasma.github.io/Logging_2161/kartor_geotiff/A 40943-2023 georefererad karta.tif", "A 40943-2023")</f>
        <v/>
      </c>
      <c r="AA379">
        <f>HYPERLINK("https://klasma.github.io/Logging_2161/klagomål/A 40943-2023 FSC-klagomål.docx", "A 40943-2023")</f>
        <v/>
      </c>
      <c r="AB379">
        <f>HYPERLINK("https://klasma.github.io/Logging_2161/klagomålsmail/A 40943-2023 FSC-klagomål mail.docx", "A 40943-2023")</f>
        <v/>
      </c>
      <c r="AC379">
        <f>HYPERLINK("https://klasma.github.io/Logging_2161/tillsyn/A 40943-2023 tillsynsbegäran.docx", "A 40943-2023")</f>
        <v/>
      </c>
      <c r="AD379">
        <f>HYPERLINK("https://klasma.github.io/Logging_2161/tillsynsmail/A 40943-2023 tillsynsbegäran mail.docx", "A 40943-2023")</f>
        <v/>
      </c>
    </row>
    <row r="380" ht="15" customHeight="1">
      <c r="A380" t="inlineStr">
        <is>
          <t>A 26526-2023</t>
        </is>
      </c>
      <c r="B380" t="inlineStr">
        <is>
          <t>avverkningsanmälan</t>
        </is>
      </c>
      <c r="C380" t="inlineStr">
        <is>
          <t>Föryngringsavverkning</t>
        </is>
      </c>
      <c r="D380" s="1" t="n">
        <v>45092</v>
      </c>
      <c r="E380" s="1" t="n">
        <v>46292</v>
      </c>
      <c r="F380" t="inlineStr">
        <is>
          <t>GÄVLEBORGS LÄN</t>
        </is>
      </c>
      <c r="G380" t="inlineStr">
        <is>
          <t>LJUSDAL</t>
        </is>
      </c>
      <c r="H380" t="inlineStr">
        <is>
          <t>Sveaskog</t>
        </is>
      </c>
      <c r="I380" t="n">
        <v>3.6</v>
      </c>
      <c r="J380" t="n">
        <v>0</v>
      </c>
      <c r="K380" t="n">
        <v>0</v>
      </c>
      <c r="L380" t="n">
        <v>1</v>
      </c>
      <c r="M380" t="n">
        <v>0</v>
      </c>
      <c r="N380" t="n">
        <v>0</v>
      </c>
      <c r="O380" t="n">
        <v>0</v>
      </c>
      <c r="P380" t="n">
        <v>0</v>
      </c>
      <c r="Q380" t="n">
        <v>1</v>
      </c>
      <c r="R380" t="n">
        <v>0</v>
      </c>
      <c r="S380" t="n">
        <v>1</v>
      </c>
      <c r="T380" t="n">
        <v>1</v>
      </c>
      <c r="U380" t="n">
        <v>1</v>
      </c>
      <c r="V380" s="2" t="inlineStr">
        <is>
          <t>Kolflarnlav</t>
        </is>
      </c>
      <c r="W380">
        <f>HYPERLINK("https://klasma.github.io/Logging_2161/artfynd/A 26526-2023 artfynd.xlsx", "A 26526-2023")</f>
        <v/>
      </c>
      <c r="X380">
        <f>HYPERLINK("https://klasma.github.io/Logging_2161/kartor/A 26526-2023 karta.png", "A 26526-2023")</f>
        <v/>
      </c>
      <c r="Y380">
        <f>HYPERLINK("https://klasma.github.io/Logging_2161/kartor_geotiff/A 26526-2023 georefererad karta.tif", "A 26526-2023")</f>
        <v/>
      </c>
      <c r="AA380">
        <f>HYPERLINK("https://klasma.github.io/Logging_2161/klagomål/A 26526-2023 FSC-klagomål.docx", "A 26526-2023")</f>
        <v/>
      </c>
      <c r="AB380">
        <f>HYPERLINK("https://klasma.github.io/Logging_2161/klagomålsmail/A 26526-2023 FSC-klagomål mail.docx", "A 26526-2023")</f>
        <v/>
      </c>
      <c r="AC380">
        <f>HYPERLINK("https://klasma.github.io/Logging_2161/tillsyn/A 26526-2023 tillsynsbegäran.docx", "A 26526-2023")</f>
        <v/>
      </c>
      <c r="AD380">
        <f>HYPERLINK("https://klasma.github.io/Logging_2161/tillsynsmail/A 26526-2023 tillsynsbegäran mail.docx", "A 26526-2023")</f>
        <v/>
      </c>
    </row>
    <row r="381" ht="15" customHeight="1">
      <c r="A381" t="inlineStr">
        <is>
          <t>A 18967-2025</t>
        </is>
      </c>
      <c r="B381" t="inlineStr">
        <is>
          <t>avverkningsanmälan</t>
        </is>
      </c>
      <c r="C381" t="inlineStr">
        <is>
          <t>Föryngringsavverkning</t>
        </is>
      </c>
      <c r="D381" s="1" t="n">
        <v>45764</v>
      </c>
      <c r="E381" s="1" t="n">
        <v>46292</v>
      </c>
      <c r="F381" t="inlineStr">
        <is>
          <t>GÄVLEBORGS LÄN</t>
        </is>
      </c>
      <c r="G381" t="inlineStr">
        <is>
          <t>LJUSDAL</t>
        </is>
      </c>
      <c r="H381" t="inlineStr">
        <is>
          <t>Sveaskog</t>
        </is>
      </c>
      <c r="I381" t="n">
        <v>6.8</v>
      </c>
      <c r="J381" t="n">
        <v>0</v>
      </c>
      <c r="K381" t="n">
        <v>0</v>
      </c>
      <c r="L381" t="n">
        <v>1</v>
      </c>
      <c r="M381" t="n">
        <v>0</v>
      </c>
      <c r="N381" t="n">
        <v>0</v>
      </c>
      <c r="O381" t="n">
        <v>0</v>
      </c>
      <c r="P381" t="n">
        <v>0</v>
      </c>
      <c r="Q381" t="n">
        <v>1</v>
      </c>
      <c r="R381" t="n">
        <v>0</v>
      </c>
      <c r="S381" t="n">
        <v>1</v>
      </c>
      <c r="T381" t="n">
        <v>1</v>
      </c>
      <c r="U381" t="n">
        <v>1</v>
      </c>
      <c r="V381" s="2" t="inlineStr">
        <is>
          <t>Lunglav</t>
        </is>
      </c>
      <c r="W381">
        <f>HYPERLINK("https://klasma.github.io/Logging_2161/artfynd/A 18967-2025 artfynd.xlsx", "A 18967-2025")</f>
        <v/>
      </c>
      <c r="X381">
        <f>HYPERLINK("https://klasma.github.io/Logging_2161/kartor/A 18967-2025 karta.png", "A 18967-2025")</f>
        <v/>
      </c>
      <c r="Y381">
        <f>HYPERLINK("https://klasma.github.io/Logging_2161/kartor_geotiff/A 18967-2025 georefererad karta.tif", "A 18967-2025")</f>
        <v/>
      </c>
      <c r="AA381">
        <f>HYPERLINK("https://klasma.github.io/Logging_2161/klagomål/A 18967-2025 FSC-klagomål.docx", "A 18967-2025")</f>
        <v/>
      </c>
      <c r="AB381">
        <f>HYPERLINK("https://klasma.github.io/Logging_2161/klagomålsmail/A 18967-2025 FSC-klagomål mail.docx", "A 18967-2025")</f>
        <v/>
      </c>
      <c r="AC381">
        <f>HYPERLINK("https://klasma.github.io/Logging_2161/tillsyn/A 18967-2025 tillsynsbegäran.docx", "A 18967-2025")</f>
        <v/>
      </c>
      <c r="AD381">
        <f>HYPERLINK("https://klasma.github.io/Logging_2161/tillsynsmail/A 18967-2025 tillsynsbegäran mail.docx", "A 18967-2025")</f>
        <v/>
      </c>
    </row>
    <row r="382" ht="15" customHeight="1">
      <c r="A382" t="inlineStr">
        <is>
          <t>S 8665-2021</t>
        </is>
      </c>
      <c r="B382" t="inlineStr">
        <is>
          <t>samrådsanmälan</t>
        </is>
      </c>
      <c r="C382" t="inlineStr">
        <is>
          <t>Skogsgödsling</t>
        </is>
      </c>
      <c r="D382" s="1" t="n">
        <v>44498</v>
      </c>
      <c r="E382" s="1" t="n">
        <v>46292</v>
      </c>
      <c r="F382" t="inlineStr">
        <is>
          <t>GÄVLEBORGS LÄN</t>
        </is>
      </c>
      <c r="G382" t="inlineStr">
        <is>
          <t>LJUSDAL</t>
        </is>
      </c>
      <c r="H382" t="inlineStr">
        <is>
          <t>Allmännings- och besparingsskogar</t>
        </is>
      </c>
      <c r="I382" t="n">
        <v>121.6</v>
      </c>
      <c r="J382" t="n">
        <v>1</v>
      </c>
      <c r="K382" t="n">
        <v>0</v>
      </c>
      <c r="L382" t="n">
        <v>1</v>
      </c>
      <c r="M382" t="n">
        <v>0</v>
      </c>
      <c r="N382" t="n">
        <v>0</v>
      </c>
      <c r="O382" t="n">
        <v>0</v>
      </c>
      <c r="P382" t="n">
        <v>0</v>
      </c>
      <c r="Q382" t="n">
        <v>1</v>
      </c>
      <c r="R382" t="n">
        <v>0</v>
      </c>
      <c r="S382" t="n">
        <v>1</v>
      </c>
      <c r="T382" t="n">
        <v>1</v>
      </c>
      <c r="U382" t="n">
        <v>1</v>
      </c>
      <c r="V382" s="2" t="inlineStr">
        <is>
          <t>Kungsörn</t>
        </is>
      </c>
      <c r="W382">
        <f>HYPERLINK("https://klasma.github.io/Logging_2161/artfynd/S 8665-2021 artfynd.xlsx", "S 8665-2021")</f>
        <v/>
      </c>
      <c r="X382">
        <f>HYPERLINK("https://klasma.github.io/Logging_2161/kartor/S 8665-2021 karta.png", "S 8665-2021")</f>
        <v/>
      </c>
      <c r="Y382">
        <f>HYPERLINK("https://klasma.github.io/Logging_2161/kartor_geotiff/S 8665-2021 georefererad karta.tif", "S 8665-2021")</f>
        <v/>
      </c>
      <c r="AA382">
        <f>HYPERLINK("https://klasma.github.io/Logging_2161/klagomål/S 8665-2021 FSC-klagomål.docx", "S 8665-2021")</f>
        <v/>
      </c>
      <c r="AB382">
        <f>HYPERLINK("https://klasma.github.io/Logging_2161/klagomålsmail/S 8665-2021 FSC-klagomål mail.docx", "S 8665-2021")</f>
        <v/>
      </c>
      <c r="AC382">
        <f>HYPERLINK("https://klasma.github.io/Logging_2161/tillsyn/S 8665-2021 tillsynsbegäran.docx", "S 8665-2021")</f>
        <v/>
      </c>
      <c r="AD382">
        <f>HYPERLINK("https://klasma.github.io/Logging_2161/tillsynsmail/S 8665-2021 tillsynsbegäran mail.docx", "S 8665-2021")</f>
        <v/>
      </c>
      <c r="AE382">
        <f>HYPERLINK("https://klasma.github.io/Logging_2161/fåglar/S 8665-2021 prioriterade fågelarter.docx", "S 8665-2021")</f>
        <v/>
      </c>
    </row>
    <row r="383" ht="15" customHeight="1">
      <c r="A383" t="inlineStr">
        <is>
          <t>S 16-2024</t>
        </is>
      </c>
      <c r="B383" t="inlineStr">
        <is>
          <t>samrådsanmälan</t>
        </is>
      </c>
      <c r="C383" t="inlineStr">
        <is>
          <t>Skogsgödsling</t>
        </is>
      </c>
      <c r="D383" s="1" t="n">
        <v>45293</v>
      </c>
      <c r="E383" s="1" t="n">
        <v>46292</v>
      </c>
      <c r="F383" t="inlineStr">
        <is>
          <t>GÄVLEBORGS LÄN</t>
        </is>
      </c>
      <c r="G383" t="inlineStr">
        <is>
          <t>LJUSDAL</t>
        </is>
      </c>
      <c r="H383" t="inlineStr">
        <is>
          <t>Bergvik skog väst AB</t>
        </is>
      </c>
      <c r="I383" t="n">
        <v>31.1</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HYPERLINK("https://klasma.github.io/Logging_2161/artfynd/S 16-2024 artfynd.xlsx", "S 16-2024")</f>
        <v/>
      </c>
      <c r="X383">
        <f>HYPERLINK("https://klasma.github.io/Logging_2161/kartor/S 16-2024 karta.png", "S 16-2024")</f>
        <v/>
      </c>
      <c r="Y383">
        <f>HYPERLINK("https://klasma.github.io/Logging_2161/kartor_geotiff/S 16-2024 georefererad karta.tif", "S 16-2024")</f>
        <v/>
      </c>
      <c r="Z383">
        <f>HYPERLINK("https://klasma.github.io/Logging_2161/knärot/S 16-2024 karta knärot.png", "S 16-2024")</f>
        <v/>
      </c>
      <c r="AA383">
        <f>HYPERLINK("https://klasma.github.io/Logging_2161/klagomål/S 16-2024 FSC-klagomål.docx", "S 16-2024")</f>
        <v/>
      </c>
      <c r="AB383">
        <f>HYPERLINK("https://klasma.github.io/Logging_2161/klagomålsmail/S 16-2024 FSC-klagomål mail.docx", "S 16-2024")</f>
        <v/>
      </c>
      <c r="AC383">
        <f>HYPERLINK("https://klasma.github.io/Logging_2161/tillsyn/S 16-2024 tillsynsbegäran.docx", "S 16-2024")</f>
        <v/>
      </c>
      <c r="AD383">
        <f>HYPERLINK("https://klasma.github.io/Logging_2161/tillsynsmail/S 16-2024 tillsynsbegäran mail.docx", "S 16-2024")</f>
        <v/>
      </c>
    </row>
    <row r="384" ht="15" customHeight="1">
      <c r="A384" t="inlineStr">
        <is>
          <t>S 6-2024</t>
        </is>
      </c>
      <c r="B384" t="inlineStr">
        <is>
          <t>samrådsanmälan</t>
        </is>
      </c>
      <c r="C384" t="inlineStr">
        <is>
          <t>Skogsgödsling</t>
        </is>
      </c>
      <c r="D384" s="1" t="n">
        <v>45293</v>
      </c>
      <c r="E384" s="1" t="n">
        <v>46292</v>
      </c>
      <c r="F384" t="inlineStr">
        <is>
          <t>GÄVLEBORGS LÄN</t>
        </is>
      </c>
      <c r="G384" t="inlineStr">
        <is>
          <t>LJUSDAL</t>
        </is>
      </c>
      <c r="H384" t="inlineStr">
        <is>
          <t>Bergvik skog väst AB</t>
        </is>
      </c>
      <c r="I384" t="n">
        <v>60.8</v>
      </c>
      <c r="J384" t="n">
        <v>0</v>
      </c>
      <c r="K384" t="n">
        <v>0</v>
      </c>
      <c r="L384" t="n">
        <v>1</v>
      </c>
      <c r="M384" t="n">
        <v>0</v>
      </c>
      <c r="N384" t="n">
        <v>0</v>
      </c>
      <c r="O384" t="n">
        <v>0</v>
      </c>
      <c r="P384" t="n">
        <v>0</v>
      </c>
      <c r="Q384" t="n">
        <v>1</v>
      </c>
      <c r="R384" t="n">
        <v>0</v>
      </c>
      <c r="S384" t="n">
        <v>1</v>
      </c>
      <c r="T384" t="n">
        <v>1</v>
      </c>
      <c r="U384" t="n">
        <v>1</v>
      </c>
      <c r="V384" s="2" t="inlineStr">
        <is>
          <t>Kortskaftad ärgspik</t>
        </is>
      </c>
      <c r="W384">
        <f>HYPERLINK("https://klasma.github.io/Logging_2161/artfynd/S 6-2024 artfynd.xlsx", "S 6-2024")</f>
        <v/>
      </c>
      <c r="X384">
        <f>HYPERLINK("https://klasma.github.io/Logging_2161/kartor/S 6-2024 karta.png", "S 6-2024")</f>
        <v/>
      </c>
      <c r="Y384">
        <f>HYPERLINK("https://klasma.github.io/Logging_2161/kartor_geotiff/S 6-2024 georefererad karta.tif", "S 6-2024")</f>
        <v/>
      </c>
      <c r="AA384">
        <f>HYPERLINK("https://klasma.github.io/Logging_2161/klagomål/S 6-2024 FSC-klagomål.docx", "S 6-2024")</f>
        <v/>
      </c>
      <c r="AB384">
        <f>HYPERLINK("https://klasma.github.io/Logging_2161/klagomålsmail/S 6-2024 FSC-klagomål mail.docx", "S 6-2024")</f>
        <v/>
      </c>
      <c r="AC384">
        <f>HYPERLINK("https://klasma.github.io/Logging_2161/tillsyn/S 6-2024 tillsynsbegäran.docx", "S 6-2024")</f>
        <v/>
      </c>
      <c r="AD384">
        <f>HYPERLINK("https://klasma.github.io/Logging_2161/tillsynsmail/S 6-2024 tillsynsbegäran mail.docx", "S 6-2024")</f>
        <v/>
      </c>
    </row>
    <row r="385" ht="15" customHeight="1">
      <c r="A385" t="inlineStr">
        <is>
          <t>S 1579-2023</t>
        </is>
      </c>
      <c r="B385" t="inlineStr">
        <is>
          <t>samrådsanmälan</t>
        </is>
      </c>
      <c r="C385" t="inlineStr">
        <is>
          <t>Skogsgödsling</t>
        </is>
      </c>
      <c r="D385" s="1" t="n">
        <v>45058</v>
      </c>
      <c r="E385" s="1" t="n">
        <v>46292</v>
      </c>
      <c r="F385" t="inlineStr">
        <is>
          <t>GÄVLEBORGS LÄN</t>
        </is>
      </c>
      <c r="G385" t="inlineStr">
        <is>
          <t>LJUSDAL</t>
        </is>
      </c>
      <c r="I385" t="n">
        <v>14.4</v>
      </c>
      <c r="J385" t="n">
        <v>0</v>
      </c>
      <c r="K385" t="n">
        <v>0</v>
      </c>
      <c r="L385" t="n">
        <v>1</v>
      </c>
      <c r="M385" t="n">
        <v>0</v>
      </c>
      <c r="N385" t="n">
        <v>0</v>
      </c>
      <c r="O385" t="n">
        <v>0</v>
      </c>
      <c r="P385" t="n">
        <v>0</v>
      </c>
      <c r="Q385" t="n">
        <v>1</v>
      </c>
      <c r="R385" t="n">
        <v>0</v>
      </c>
      <c r="S385" t="n">
        <v>1</v>
      </c>
      <c r="T385" t="n">
        <v>1</v>
      </c>
      <c r="U385" t="n">
        <v>1</v>
      </c>
      <c r="V385" s="2" t="inlineStr">
        <is>
          <t>Mörk kolflarnlav</t>
        </is>
      </c>
      <c r="W385">
        <f>HYPERLINK("https://klasma.github.io/Logging_2161/artfynd/S 1579-2023 artfynd.xlsx", "S 1579-2023")</f>
        <v/>
      </c>
      <c r="X385">
        <f>HYPERLINK("https://klasma.github.io/Logging_2161/kartor/S 1579-2023 karta.png", "S 1579-2023")</f>
        <v/>
      </c>
      <c r="Y385">
        <f>HYPERLINK("https://klasma.github.io/Logging_2161/kartor_geotiff/S 1579-2023 georefererad karta.tif", "S 1579-2023")</f>
        <v/>
      </c>
      <c r="AA385">
        <f>HYPERLINK("https://klasma.github.io/Logging_2161/klagomål/S 1579-2023 FSC-klagomål.docx", "S 1579-2023")</f>
        <v/>
      </c>
      <c r="AB385">
        <f>HYPERLINK("https://klasma.github.io/Logging_2161/klagomålsmail/S 1579-2023 FSC-klagomål mail.docx", "S 1579-2023")</f>
        <v/>
      </c>
      <c r="AC385">
        <f>HYPERLINK("https://klasma.github.io/Logging_2161/tillsyn/S 1579-2023 tillsynsbegäran.docx", "S 1579-2023")</f>
        <v/>
      </c>
      <c r="AD385">
        <f>HYPERLINK("https://klasma.github.io/Logging_2161/tillsynsmail/S 1579-2023 tillsynsbegäran mail.docx", "S 1579-2023")</f>
        <v/>
      </c>
    </row>
    <row r="386" ht="15" customHeight="1">
      <c r="A386" t="inlineStr">
        <is>
          <t>S 1983-2024</t>
        </is>
      </c>
      <c r="B386" t="inlineStr">
        <is>
          <t>samrådsanmälan</t>
        </is>
      </c>
      <c r="C386" t="inlineStr">
        <is>
          <t>Annan skogsbruksåtgärd</t>
        </is>
      </c>
      <c r="D386" s="1" t="n">
        <v>45446</v>
      </c>
      <c r="E386" s="1" t="n">
        <v>46292</v>
      </c>
      <c r="F386" t="inlineStr">
        <is>
          <t>GÄVLEBORGS LÄN</t>
        </is>
      </c>
      <c r="G386" t="inlineStr">
        <is>
          <t>LJUSDAL</t>
        </is>
      </c>
      <c r="I386" t="n">
        <v>17.1</v>
      </c>
      <c r="J386" t="n">
        <v>1</v>
      </c>
      <c r="K386" t="n">
        <v>0</v>
      </c>
      <c r="L386" t="n">
        <v>0</v>
      </c>
      <c r="M386" t="n">
        <v>0</v>
      </c>
      <c r="N386" t="n">
        <v>0</v>
      </c>
      <c r="O386" t="n">
        <v>0</v>
      </c>
      <c r="P386" t="n">
        <v>0</v>
      </c>
      <c r="Q386" t="n">
        <v>0</v>
      </c>
      <c r="R386" t="n">
        <v>0</v>
      </c>
      <c r="S386" t="n">
        <v>1</v>
      </c>
      <c r="T386" t="n">
        <v>1</v>
      </c>
      <c r="U386" t="n">
        <v>1</v>
      </c>
      <c r="V386" s="2" t="inlineStr">
        <is>
          <t>Järpe</t>
        </is>
      </c>
      <c r="W386">
        <f>HYPERLINK("https://klasma.github.io/Logging_2161/artfynd/S 1983-2024 artfynd.xlsx", "S 1983-2024")</f>
        <v/>
      </c>
      <c r="X386">
        <f>HYPERLINK("https://klasma.github.io/Logging_2161/kartor/S 1983-2024 karta.png", "S 1983-2024")</f>
        <v/>
      </c>
      <c r="Y386">
        <f>HYPERLINK("https://klasma.github.io/Logging_2161/kartor_geotiff/S 1983-2024 georefererad karta.tif", "S 1983-2024")</f>
        <v/>
      </c>
      <c r="AA386">
        <f>HYPERLINK("https://klasma.github.io/Logging_2161/klagomål/S 1983-2024 FSC-klagomål.docx", "S 1983-2024")</f>
        <v/>
      </c>
      <c r="AB386">
        <f>HYPERLINK("https://klasma.github.io/Logging_2161/klagomålsmail/S 1983-2024 FSC-klagomål mail.docx", "S 1983-2024")</f>
        <v/>
      </c>
      <c r="AC386">
        <f>HYPERLINK("https://klasma.github.io/Logging_2161/tillsyn/S 1983-2024 tillsynsbegäran.docx", "S 1983-2024")</f>
        <v/>
      </c>
      <c r="AD386">
        <f>HYPERLINK("https://klasma.github.io/Logging_2161/tillsynsmail/S 1983-2024 tillsynsbegäran mail.docx", "S 1983-2024")</f>
        <v/>
      </c>
      <c r="AE386">
        <f>HYPERLINK("https://klasma.github.io/Logging_2161/fåglar/S 1983-2024 prioriterade fågelarter.docx", "S 1983-2024")</f>
        <v/>
      </c>
    </row>
    <row r="387" ht="15" customHeight="1">
      <c r="A387" t="inlineStr">
        <is>
          <t>S 12-2024</t>
        </is>
      </c>
      <c r="B387" t="inlineStr">
        <is>
          <t>samrådsanmälan</t>
        </is>
      </c>
      <c r="C387" t="inlineStr">
        <is>
          <t>Skogsgödsling</t>
        </is>
      </c>
      <c r="D387" s="1" t="n">
        <v>45293</v>
      </c>
      <c r="E387" s="1" t="n">
        <v>46292</v>
      </c>
      <c r="F387" t="inlineStr">
        <is>
          <t>GÄVLEBORGS LÄN</t>
        </is>
      </c>
      <c r="G387" t="inlineStr">
        <is>
          <t>LJUSDAL</t>
        </is>
      </c>
      <c r="H387" t="inlineStr">
        <is>
          <t>Bergvik skog väst AB</t>
        </is>
      </c>
      <c r="I387" t="n">
        <v>68.3</v>
      </c>
      <c r="J387" t="n">
        <v>0</v>
      </c>
      <c r="K387" t="n">
        <v>0</v>
      </c>
      <c r="L387" t="n">
        <v>0</v>
      </c>
      <c r="M387" t="n">
        <v>1</v>
      </c>
      <c r="N387" t="n">
        <v>0</v>
      </c>
      <c r="O387" t="n">
        <v>0</v>
      </c>
      <c r="P387" t="n">
        <v>0</v>
      </c>
      <c r="Q387" t="n">
        <v>1</v>
      </c>
      <c r="R387" t="n">
        <v>1</v>
      </c>
      <c r="S387" t="n">
        <v>1</v>
      </c>
      <c r="T387" t="n">
        <v>2</v>
      </c>
      <c r="U387" t="n">
        <v>0</v>
      </c>
      <c r="V387" s="2" t="inlineStr">
        <is>
          <t>Garnlav</t>
        </is>
      </c>
      <c r="W387">
        <f>HYPERLINK("https://klasma.github.io/Logging_2161/artfynd/S 12-2024 artfynd.xlsx", "S 12-2024")</f>
        <v/>
      </c>
      <c r="X387">
        <f>HYPERLINK("https://klasma.github.io/Logging_2161/kartor/S 12-2024 karta.png", "S 12-2024")</f>
        <v/>
      </c>
      <c r="Y387">
        <f>HYPERLINK("https://klasma.github.io/Logging_2161/kartor_geotiff/S 12-2024 georefererad karta.tif", "S 12-2024")</f>
        <v/>
      </c>
      <c r="AA387">
        <f>HYPERLINK("https://klasma.github.io/Logging_2161/klagomål/S 12-2024 FSC-klagomål.docx", "S 12-2024")</f>
        <v/>
      </c>
      <c r="AB387">
        <f>HYPERLINK("https://klasma.github.io/Logging_2161/klagomålsmail/S 12-2024 FSC-klagomål mail.docx", "S 12-2024")</f>
        <v/>
      </c>
      <c r="AC387">
        <f>HYPERLINK("https://klasma.github.io/Logging_2161/tillsyn/S 12-2024 tillsynsbegäran.docx", "S 12-2024")</f>
        <v/>
      </c>
      <c r="AD387">
        <f>HYPERLINK("https://klasma.github.io/Logging_2161/tillsynsmail/S 12-2024 tillsynsbegäran mail.docx", "S 12-2024")</f>
        <v/>
      </c>
    </row>
    <row r="388" ht="15" customHeight="1">
      <c r="A388" t="inlineStr">
        <is>
          <t>S 644-2025</t>
        </is>
      </c>
      <c r="B388" t="inlineStr">
        <is>
          <t>samrådsanmälan</t>
        </is>
      </c>
      <c r="C388" t="inlineStr">
        <is>
          <t>Skogsgödsling</t>
        </is>
      </c>
      <c r="D388" s="1" t="n">
        <v>45714</v>
      </c>
      <c r="E388" s="1" t="n">
        <v>46292</v>
      </c>
      <c r="F388" t="inlineStr">
        <is>
          <t>GÄVLEBORGS LÄN</t>
        </is>
      </c>
      <c r="G388" t="inlineStr">
        <is>
          <t>LJUSDAL</t>
        </is>
      </c>
      <c r="H388" t="inlineStr">
        <is>
          <t>Sveaskog</t>
        </is>
      </c>
      <c r="I388" t="n">
        <v>226.1</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HYPERLINK("https://klasma.github.io/Logging_2161/artfynd/S 644-2025 artfynd.xlsx", "S 644-2025")</f>
        <v/>
      </c>
      <c r="X388">
        <f>HYPERLINK("https://klasma.github.io/Logging_2161/kartor/S 644-2025 karta.png", "S 644-2025")</f>
        <v/>
      </c>
      <c r="Y388">
        <f>HYPERLINK("https://klasma.github.io/Logging_2161/kartor_geotiff/S 644-2025 georefererad karta.tif", "S 644-2025")</f>
        <v/>
      </c>
      <c r="AA388">
        <f>HYPERLINK("https://klasma.github.io/Logging_2161/klagomål/S 644-2025 FSC-klagomål.docx", "S 644-2025")</f>
        <v/>
      </c>
      <c r="AB388">
        <f>HYPERLINK("https://klasma.github.io/Logging_2161/klagomålsmail/S 644-2025 FSC-klagomål mail.docx", "S 644-2025")</f>
        <v/>
      </c>
      <c r="AC388">
        <f>HYPERLINK("https://klasma.github.io/Logging_2161/tillsyn/S 644-2025 tillsynsbegäran.docx", "S 644-2025")</f>
        <v/>
      </c>
      <c r="AD388">
        <f>HYPERLINK("https://klasma.github.io/Logging_2161/tillsynsmail/S 644-2025 tillsynsbegäran mail.docx", "S 644-2025")</f>
        <v/>
      </c>
    </row>
    <row r="389" ht="15" customHeight="1">
      <c r="A389" t="inlineStr">
        <is>
          <t>S 522-2025</t>
        </is>
      </c>
      <c r="B389" t="inlineStr">
        <is>
          <t>samrådsanmälan</t>
        </is>
      </c>
      <c r="C389" t="inlineStr">
        <is>
          <t>Skogsgödsling</t>
        </is>
      </c>
      <c r="D389" s="1" t="n">
        <v>45707</v>
      </c>
      <c r="E389" s="1" t="n">
        <v>46292</v>
      </c>
      <c r="F389" t="inlineStr">
        <is>
          <t>GÄVLEBORGS LÄN</t>
        </is>
      </c>
      <c r="G389" t="inlineStr">
        <is>
          <t>LJUSDAL</t>
        </is>
      </c>
      <c r="H389" t="inlineStr">
        <is>
          <t>Allmännings- och besparingsskogar</t>
        </is>
      </c>
      <c r="I389" t="n">
        <v>28.4</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HYPERLINK("https://klasma.github.io/Logging_2161/artfynd/S 522-2025 artfynd.xlsx", "S 522-2025")</f>
        <v/>
      </c>
      <c r="X389">
        <f>HYPERLINK("https://klasma.github.io/Logging_2161/kartor/S 522-2025 karta.png", "S 522-2025")</f>
        <v/>
      </c>
      <c r="Y389">
        <f>HYPERLINK("https://klasma.github.io/Logging_2161/kartor_geotiff/S 522-2025 georefererad karta.tif", "S 522-2025")</f>
        <v/>
      </c>
      <c r="AA389">
        <f>HYPERLINK("https://klasma.github.io/Logging_2161/klagomål/S 522-2025 FSC-klagomål.docx", "S 522-2025")</f>
        <v/>
      </c>
      <c r="AB389">
        <f>HYPERLINK("https://klasma.github.io/Logging_2161/klagomålsmail/S 522-2025 FSC-klagomål mail.docx", "S 522-2025")</f>
        <v/>
      </c>
      <c r="AC389">
        <f>HYPERLINK("https://klasma.github.io/Logging_2161/tillsyn/S 522-2025 tillsynsbegäran.docx", "S 522-2025")</f>
        <v/>
      </c>
      <c r="AD389">
        <f>HYPERLINK("https://klasma.github.io/Logging_2161/tillsynsmail/S 522-2025 tillsynsbegäran mail.docx", "S 522-2025")</f>
        <v/>
      </c>
    </row>
    <row r="390" ht="15" customHeight="1">
      <c r="A390" t="inlineStr">
        <is>
          <t>S 629-2025</t>
        </is>
      </c>
      <c r="B390" t="inlineStr">
        <is>
          <t>samrådsanmälan</t>
        </is>
      </c>
      <c r="C390" t="inlineStr">
        <is>
          <t>Skogsgödsling</t>
        </is>
      </c>
      <c r="D390" s="1" t="n">
        <v>45714</v>
      </c>
      <c r="E390" s="1" t="n">
        <v>46292</v>
      </c>
      <c r="F390" t="inlineStr">
        <is>
          <t>GÄVLEBORGS LÄN</t>
        </is>
      </c>
      <c r="G390" t="inlineStr">
        <is>
          <t>LJUSDAL</t>
        </is>
      </c>
      <c r="H390" t="inlineStr">
        <is>
          <t>Sveaskog</t>
        </is>
      </c>
      <c r="I390" t="n">
        <v>1007.4</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HYPERLINK("https://klasma.github.io/Logging_2161/artfynd/S 629-2025 artfynd.xlsx", "S 629-2025")</f>
        <v/>
      </c>
      <c r="X390">
        <f>HYPERLINK("https://klasma.github.io/Logging_2161/kartor/S 629-2025 karta.png", "S 629-2025")</f>
        <v/>
      </c>
      <c r="Y390">
        <f>HYPERLINK("https://klasma.github.io/Logging_2161/kartor_geotiff/S 629-2025 georefererad karta.tif", "S 629-2025")</f>
        <v/>
      </c>
      <c r="AA390">
        <f>HYPERLINK("https://klasma.github.io/Logging_2161/klagomål/S 629-2025 FSC-klagomål.docx", "S 629-2025")</f>
        <v/>
      </c>
      <c r="AB390">
        <f>HYPERLINK("https://klasma.github.io/Logging_2161/klagomålsmail/S 629-2025 FSC-klagomål mail.docx", "S 629-2025")</f>
        <v/>
      </c>
      <c r="AC390">
        <f>HYPERLINK("https://klasma.github.io/Logging_2161/tillsyn/S 629-2025 tillsynsbegäran.docx", "S 629-2025")</f>
        <v/>
      </c>
      <c r="AD390">
        <f>HYPERLINK("https://klasma.github.io/Logging_2161/tillsynsmail/S 629-2025 tillsynsbegäran mail.docx", "S 629-2025")</f>
        <v/>
      </c>
    </row>
    <row r="391" ht="15" customHeight="1">
      <c r="A391" t="inlineStr">
        <is>
          <t>S 2821-2025</t>
        </is>
      </c>
      <c r="B391" t="inlineStr">
        <is>
          <t>samrådsanmälan</t>
        </is>
      </c>
      <c r="C391" t="inlineStr">
        <is>
          <t>Skogsgödsling</t>
        </is>
      </c>
      <c r="D391" s="1" t="n">
        <v>45939</v>
      </c>
      <c r="E391" s="1" t="n">
        <v>46292</v>
      </c>
      <c r="F391" t="inlineStr">
        <is>
          <t>GÄVLEBORGS LÄN</t>
        </is>
      </c>
      <c r="G391" t="inlineStr">
        <is>
          <t>LJUSDAL</t>
        </is>
      </c>
      <c r="H391" t="inlineStr">
        <is>
          <t>Allmännings- och besparingsskogar</t>
        </is>
      </c>
      <c r="I391" t="n">
        <v>36.4</v>
      </c>
      <c r="J391" t="n">
        <v>1</v>
      </c>
      <c r="K391" t="n">
        <v>0</v>
      </c>
      <c r="L391" t="n">
        <v>0</v>
      </c>
      <c r="M391" t="n">
        <v>0</v>
      </c>
      <c r="N391" t="n">
        <v>0</v>
      </c>
      <c r="O391" t="n">
        <v>0</v>
      </c>
      <c r="P391" t="n">
        <v>0</v>
      </c>
      <c r="Q391" t="n">
        <v>0</v>
      </c>
      <c r="R391" t="n">
        <v>0</v>
      </c>
      <c r="S391" t="n">
        <v>1</v>
      </c>
      <c r="T391" t="n">
        <v>1</v>
      </c>
      <c r="U391" t="n">
        <v>0</v>
      </c>
      <c r="V391" s="2" t="inlineStr">
        <is>
          <t>Grönsiska</t>
        </is>
      </c>
      <c r="W391">
        <f>HYPERLINK("https://klasma.github.io/Logging_2161/artfynd/S 2821-2025 artfynd.xlsx", "S 2821-2025")</f>
        <v/>
      </c>
      <c r="X391">
        <f>HYPERLINK("https://klasma.github.io/Logging_2161/kartor/S 2821-2025 karta.png", "S 2821-2025")</f>
        <v/>
      </c>
      <c r="Y391">
        <f>HYPERLINK("https://klasma.github.io/Logging_2161/kartor_geotiff/S 2821-2025 georefererad karta.tif", "S 2821-2025")</f>
        <v/>
      </c>
      <c r="AA391">
        <f>HYPERLINK("https://klasma.github.io/Logging_2161/klagomål/S 2821-2025 FSC-klagomål.docx", "S 2821-2025")</f>
        <v/>
      </c>
      <c r="AB391">
        <f>HYPERLINK("https://klasma.github.io/Logging_2161/klagomålsmail/S 2821-2025 FSC-klagomål mail.docx", "S 2821-2025")</f>
        <v/>
      </c>
      <c r="AC391">
        <f>HYPERLINK("https://klasma.github.io/Logging_2161/tillsyn/S 2821-2025 tillsynsbegäran.docx", "S 2821-2025")</f>
        <v/>
      </c>
      <c r="AD391">
        <f>HYPERLINK("https://klasma.github.io/Logging_2161/tillsynsmail/S 2821-2025 tillsynsbegäran mail.docx", "S 2821-2025")</f>
        <v/>
      </c>
    </row>
    <row r="392" ht="15" customHeight="1">
      <c r="A392" t="inlineStr">
        <is>
          <t>S 2824-2025</t>
        </is>
      </c>
      <c r="B392" t="inlineStr">
        <is>
          <t>samrådsanmälan</t>
        </is>
      </c>
      <c r="C392" t="inlineStr">
        <is>
          <t>Skogsgödsling</t>
        </is>
      </c>
      <c r="D392" s="1" t="n">
        <v>45939</v>
      </c>
      <c r="E392" s="1" t="n">
        <v>46292</v>
      </c>
      <c r="F392" t="inlineStr">
        <is>
          <t>GÄVLEBORGS LÄN</t>
        </is>
      </c>
      <c r="G392" t="inlineStr">
        <is>
          <t>LJUSDAL</t>
        </is>
      </c>
      <c r="H392" t="inlineStr">
        <is>
          <t>Allmännings- och besparingsskogar</t>
        </is>
      </c>
      <c r="I392" t="n">
        <v>99.90000000000001</v>
      </c>
      <c r="J392" t="n">
        <v>1</v>
      </c>
      <c r="K392" t="n">
        <v>0</v>
      </c>
      <c r="L392" t="n">
        <v>1</v>
      </c>
      <c r="M392" t="n">
        <v>0</v>
      </c>
      <c r="N392" t="n">
        <v>0</v>
      </c>
      <c r="O392" t="n">
        <v>0</v>
      </c>
      <c r="P392" t="n">
        <v>0</v>
      </c>
      <c r="Q392" t="n">
        <v>1</v>
      </c>
      <c r="R392" t="n">
        <v>0</v>
      </c>
      <c r="S392" t="n">
        <v>1</v>
      </c>
      <c r="T392" t="n">
        <v>1</v>
      </c>
      <c r="U392" t="n">
        <v>0</v>
      </c>
      <c r="V392" s="2" t="inlineStr">
        <is>
          <t>Kungsörn</t>
        </is>
      </c>
      <c r="W392">
        <f>HYPERLINK("https://klasma.github.io/Logging_2161/artfynd/S 2824-2025 artfynd.xlsx", "S 2824-2025")</f>
        <v/>
      </c>
      <c r="X392">
        <f>HYPERLINK("https://klasma.github.io/Logging_2161/kartor/S 2824-2025 karta.png", "S 2824-2025")</f>
        <v/>
      </c>
      <c r="Y392">
        <f>HYPERLINK("https://klasma.github.io/Logging_2161/kartor_geotiff/S 2824-2025 georefererad karta.tif", "S 2824-2025")</f>
        <v/>
      </c>
      <c r="AA392">
        <f>HYPERLINK("https://klasma.github.io/Logging_2161/klagomål/S 2824-2025 FSC-klagomål.docx", "S 2824-2025")</f>
        <v/>
      </c>
      <c r="AB392">
        <f>HYPERLINK("https://klasma.github.io/Logging_2161/klagomålsmail/S 2824-2025 FSC-klagomål mail.docx", "S 2824-2025")</f>
        <v/>
      </c>
      <c r="AC392">
        <f>HYPERLINK("https://klasma.github.io/Logging_2161/tillsyn/S 2824-2025 tillsynsbegäran.docx", "S 2824-2025")</f>
        <v/>
      </c>
      <c r="AD392">
        <f>HYPERLINK("https://klasma.github.io/Logging_2161/tillsynsmail/S 2824-2025 tillsynsbegäran mail.docx", "S 2824-2025")</f>
        <v/>
      </c>
      <c r="AE392">
        <f>HYPERLINK("https://klasma.github.io/Logging_2161/fåglar/S 2824-2025 prioriterade fågelarter.docx", "S 2824-2025")</f>
        <v/>
      </c>
    </row>
    <row r="393" ht="15" customHeight="1">
      <c r="A393" t="inlineStr">
        <is>
          <t>S 3385-2025</t>
        </is>
      </c>
      <c r="B393" t="inlineStr">
        <is>
          <t>samrådsanmälan</t>
        </is>
      </c>
      <c r="C393" t="inlineStr">
        <is>
          <t>Skogsgödsling</t>
        </is>
      </c>
      <c r="D393" s="1" t="n">
        <v>45993</v>
      </c>
      <c r="E393" s="1" t="n">
        <v>46292</v>
      </c>
      <c r="F393" t="inlineStr">
        <is>
          <t>GÄVLEBORGS LÄN</t>
        </is>
      </c>
      <c r="G393" t="inlineStr">
        <is>
          <t>LJUSDAL</t>
        </is>
      </c>
      <c r="I393" t="n">
        <v>29.7</v>
      </c>
      <c r="J393" t="n">
        <v>1</v>
      </c>
      <c r="K393" t="n">
        <v>0</v>
      </c>
      <c r="L393" t="n">
        <v>1</v>
      </c>
      <c r="M393" t="n">
        <v>0</v>
      </c>
      <c r="N393" t="n">
        <v>0</v>
      </c>
      <c r="O393" t="n">
        <v>0</v>
      </c>
      <c r="P393" t="n">
        <v>0</v>
      </c>
      <c r="Q393" t="n">
        <v>1</v>
      </c>
      <c r="R393" t="n">
        <v>0</v>
      </c>
      <c r="S393" t="n">
        <v>1</v>
      </c>
      <c r="T393" t="n">
        <v>2</v>
      </c>
      <c r="U393" t="n">
        <v>0</v>
      </c>
      <c r="V393" s="2" t="inlineStr">
        <is>
          <t>Nordfladdermus</t>
        </is>
      </c>
      <c r="W393">
        <f>HYPERLINK("https://klasma.github.io/Logging_2161/artfynd/S 3385-2025 artfynd.xlsx", "S 3385-2025")</f>
        <v/>
      </c>
      <c r="X393">
        <f>HYPERLINK("https://klasma.github.io/Logging_2161/kartor/S 3385-2025 karta.png", "S 3385-2025")</f>
        <v/>
      </c>
      <c r="Y393">
        <f>HYPERLINK("https://klasma.github.io/Logging_2161/kartor_geotiff/S 3385-2025 georefererad karta.tif", "S 3385-2025")</f>
        <v/>
      </c>
      <c r="AA393">
        <f>HYPERLINK("https://klasma.github.io/Logging_2161/klagomål/S 3385-2025 FSC-klagomål.docx", "S 3385-2025")</f>
        <v/>
      </c>
      <c r="AB393">
        <f>HYPERLINK("https://klasma.github.io/Logging_2161/klagomålsmail/S 3385-2025 FSC-klagomål mail.docx", "S 3385-2025")</f>
        <v/>
      </c>
      <c r="AC393">
        <f>HYPERLINK("https://klasma.github.io/Logging_2161/tillsyn/S 3385-2025 tillsynsbegäran.docx", "S 3385-2025")</f>
        <v/>
      </c>
      <c r="AD393">
        <f>HYPERLINK("https://klasma.github.io/Logging_2161/tillsynsmail/S 3385-2025 tillsynsbegäran mail.docx", "S 3385-2025")</f>
        <v/>
      </c>
    </row>
    <row r="394" ht="15" customHeight="1">
      <c r="A394" t="inlineStr">
        <is>
          <t>S 1648-2026</t>
        </is>
      </c>
      <c r="B394" t="inlineStr">
        <is>
          <t>samrådsanmälan</t>
        </is>
      </c>
      <c r="C394" t="inlineStr">
        <is>
          <t>Annan skogsbruksåtgärd</t>
        </is>
      </c>
      <c r="D394" s="1" t="n">
        <v>46178</v>
      </c>
      <c r="E394" s="1" t="n">
        <v>46292</v>
      </c>
      <c r="F394" t="inlineStr">
        <is>
          <t>GÄVLEBORGS LÄN</t>
        </is>
      </c>
      <c r="G394" t="inlineStr">
        <is>
          <t>LJUSDAL</t>
        </is>
      </c>
      <c r="H394" t="inlineStr">
        <is>
          <t>Sveaskog</t>
        </is>
      </c>
      <c r="I394" t="n">
        <v>4</v>
      </c>
      <c r="J394" t="n">
        <v>0</v>
      </c>
      <c r="K394" t="n">
        <v>0</v>
      </c>
      <c r="L394" t="n">
        <v>1</v>
      </c>
      <c r="M394" t="n">
        <v>0</v>
      </c>
      <c r="N394" t="n">
        <v>0</v>
      </c>
      <c r="O394" t="n">
        <v>0</v>
      </c>
      <c r="P394" t="n">
        <v>0</v>
      </c>
      <c r="Q394" t="n">
        <v>1</v>
      </c>
      <c r="R394" t="n">
        <v>0</v>
      </c>
      <c r="S394" t="n">
        <v>1</v>
      </c>
      <c r="T394" t="n">
        <v>4</v>
      </c>
      <c r="U394" t="n">
        <v>4</v>
      </c>
      <c r="V394" s="2" t="inlineStr">
        <is>
          <t>Lunglav</t>
        </is>
      </c>
      <c r="W394">
        <f>HYPERLINK("https://klasma.github.io/Logging_2161/artfynd/S 1648-2026 artfynd.xlsx", "S 1648-2026")</f>
        <v/>
      </c>
      <c r="X394">
        <f>HYPERLINK("https://klasma.github.io/Logging_2161/kartor/S 1648-2026 karta.png", "S 1648-2026")</f>
        <v/>
      </c>
      <c r="Y394">
        <f>HYPERLINK("https://klasma.github.io/Logging_2161/kartor_geotiff/S 1648-2026 georefererad karta.tif", "S 1648-2026")</f>
        <v/>
      </c>
      <c r="AA394">
        <f>HYPERLINK("https://klasma.github.io/Logging_2161/klagomål/S 1648-2026 FSC-klagomål.docx", "S 1648-2026")</f>
        <v/>
      </c>
      <c r="AB394">
        <f>HYPERLINK("https://klasma.github.io/Logging_2161/klagomålsmail/S 1648-2026 FSC-klagomål mail.docx", "S 1648-2026")</f>
        <v/>
      </c>
      <c r="AC394">
        <f>HYPERLINK("https://klasma.github.io/Logging_2161/tillsyn/S 1648-2026 tillsynsbegäran.docx", "S 1648-2026")</f>
        <v/>
      </c>
      <c r="AD394">
        <f>HYPERLINK("https://klasma.github.io/Logging_2161/tillsynsmail/S 1648-2026 tillsynsbegäran mail.docx", "S 1648-2026")</f>
        <v/>
      </c>
    </row>
    <row r="395" ht="15" customHeight="1">
      <c r="A395" t="inlineStr">
        <is>
          <t>A 30629-2022</t>
        </is>
      </c>
      <c r="B395" t="inlineStr">
        <is>
          <t>avverkningsanmälan</t>
        </is>
      </c>
      <c r="C395" t="inlineStr">
        <is>
          <t>Föryngringsavverkning</t>
        </is>
      </c>
      <c r="D395" s="1" t="n">
        <v>44763</v>
      </c>
      <c r="E395" s="1" t="n">
        <v>46292</v>
      </c>
      <c r="F395" t="inlineStr">
        <is>
          <t>GÄVLEBORGS LÄN</t>
        </is>
      </c>
      <c r="G395" t="inlineStr">
        <is>
          <t>LJUSDAL</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52842-2022</t>
        </is>
      </c>
      <c r="B396" t="inlineStr">
        <is>
          <t>avverkningsanmälan</t>
        </is>
      </c>
      <c r="C396" t="inlineStr">
        <is>
          <t>Avverkning för annat ändamål</t>
        </is>
      </c>
      <c r="D396" s="1" t="n">
        <v>44875</v>
      </c>
      <c r="E396" s="1" t="n">
        <v>46292</v>
      </c>
      <c r="F396" t="inlineStr">
        <is>
          <t>GÄVLEBORGS LÄN</t>
        </is>
      </c>
      <c r="G396" t="inlineStr">
        <is>
          <t>LJUSDAL</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63149-2021</t>
        </is>
      </c>
      <c r="B397" t="inlineStr">
        <is>
          <t>avverkningsanmälan</t>
        </is>
      </c>
      <c r="C397" t="inlineStr">
        <is>
          <t>Föryngringsavverkning</t>
        </is>
      </c>
      <c r="D397" s="1" t="n">
        <v>44505</v>
      </c>
      <c r="E397" s="1" t="n">
        <v>46292</v>
      </c>
      <c r="F397" t="inlineStr">
        <is>
          <t>GÄVLEBORGS LÄN</t>
        </is>
      </c>
      <c r="G397" t="inlineStr">
        <is>
          <t>LJUSDAL</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30869-2022</t>
        </is>
      </c>
      <c r="B398" t="inlineStr">
        <is>
          <t>avverkningsanmälan</t>
        </is>
      </c>
      <c r="C398" t="inlineStr">
        <is>
          <t>Föryngringsavverkning</t>
        </is>
      </c>
      <c r="D398" s="1" t="n">
        <v>44767</v>
      </c>
      <c r="E398" s="1" t="n">
        <v>46292</v>
      </c>
      <c r="F398" t="inlineStr">
        <is>
          <t>GÄVLEBORGS LÄN</t>
        </is>
      </c>
      <c r="G398" t="inlineStr">
        <is>
          <t>LJUSDAL</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24342-2022</t>
        </is>
      </c>
      <c r="B399" t="inlineStr">
        <is>
          <t>avverkningsanmälan</t>
        </is>
      </c>
      <c r="C399" t="inlineStr">
        <is>
          <t>Föryngringsavverkning</t>
        </is>
      </c>
      <c r="D399" s="1" t="n">
        <v>44726</v>
      </c>
      <c r="E399" s="1" t="n">
        <v>46292</v>
      </c>
      <c r="F399" t="inlineStr">
        <is>
          <t>GÄVLEBORGS LÄN</t>
        </is>
      </c>
      <c r="G399" t="inlineStr">
        <is>
          <t>LJUSDAL</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42972-2022</t>
        </is>
      </c>
      <c r="B400" t="inlineStr">
        <is>
          <t>avverkningsanmälan</t>
        </is>
      </c>
      <c r="C400" t="inlineStr">
        <is>
          <t>Föryngringsavverkning</t>
        </is>
      </c>
      <c r="D400" s="1" t="n">
        <v>44833</v>
      </c>
      <c r="E400" s="1" t="n">
        <v>46292</v>
      </c>
      <c r="F400" t="inlineStr">
        <is>
          <t>GÄVLEBORGS LÄN</t>
        </is>
      </c>
      <c r="G400" t="inlineStr">
        <is>
          <t>LJUSDAL</t>
        </is>
      </c>
      <c r="H400" t="inlineStr">
        <is>
          <t>Bergvik skog väst AB</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22851-2022</t>
        </is>
      </c>
      <c r="B401" t="inlineStr">
        <is>
          <t>avverkningsanmälan</t>
        </is>
      </c>
      <c r="C401" t="inlineStr">
        <is>
          <t>Föryngringsavverkning</t>
        </is>
      </c>
      <c r="D401" s="1" t="n">
        <v>44715</v>
      </c>
      <c r="E401" s="1" t="n">
        <v>46292</v>
      </c>
      <c r="F401" t="inlineStr">
        <is>
          <t>GÄVLEBORGS LÄN</t>
        </is>
      </c>
      <c r="G401" t="inlineStr">
        <is>
          <t>LJUSDAL</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55534-2021</t>
        </is>
      </c>
      <c r="B402" t="inlineStr">
        <is>
          <t>avverkningsanmälan</t>
        </is>
      </c>
      <c r="C402" t="inlineStr">
        <is>
          <t>Föryngringsavverkning</t>
        </is>
      </c>
      <c r="D402" s="1" t="n">
        <v>44475</v>
      </c>
      <c r="E402" s="1" t="n">
        <v>46292</v>
      </c>
      <c r="F402" t="inlineStr">
        <is>
          <t>GÄVLEBORGS LÄN</t>
        </is>
      </c>
      <c r="G402" t="inlineStr">
        <is>
          <t>LJUSDAL</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46292</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46292</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52222-2022</t>
        </is>
      </c>
      <c r="B405" t="inlineStr">
        <is>
          <t>avverkningsanmälan</t>
        </is>
      </c>
      <c r="C405" t="inlineStr">
        <is>
          <t>Föryngringsavverkning</t>
        </is>
      </c>
      <c r="D405" s="1" t="n">
        <v>44873</v>
      </c>
      <c r="E405" s="1" t="n">
        <v>46292</v>
      </c>
      <c r="F405" t="inlineStr">
        <is>
          <t>GÄVLEBORGS LÄN</t>
        </is>
      </c>
      <c r="G405" t="inlineStr">
        <is>
          <t>LJUSDAL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46292</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52121-2022</t>
        </is>
      </c>
      <c r="B407" t="inlineStr">
        <is>
          <t>avverkningsanmälan</t>
        </is>
      </c>
      <c r="C407" t="inlineStr">
        <is>
          <t>Föryngringsavverkning</t>
        </is>
      </c>
      <c r="D407" s="1" t="n">
        <v>44873</v>
      </c>
      <c r="E407" s="1" t="n">
        <v>46292</v>
      </c>
      <c r="F407" t="inlineStr">
        <is>
          <t>GÄVLEBORGS LÄN</t>
        </is>
      </c>
      <c r="G407" t="inlineStr">
        <is>
          <t>LJUSDAL</t>
        </is>
      </c>
      <c r="H407" t="inlineStr">
        <is>
          <t>Bergvik skog väst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50743-2022</t>
        </is>
      </c>
      <c r="B408" t="inlineStr">
        <is>
          <t>avverkningsanmälan</t>
        </is>
      </c>
      <c r="C408" t="inlineStr">
        <is>
          <t>Föryngringsavverkning</t>
        </is>
      </c>
      <c r="D408" s="1" t="n">
        <v>44867</v>
      </c>
      <c r="E408" s="1" t="n">
        <v>46292</v>
      </c>
      <c r="F408" t="inlineStr">
        <is>
          <t>GÄVLEBORGS LÄN</t>
        </is>
      </c>
      <c r="G408" t="inlineStr">
        <is>
          <t>LJUSDAL</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73750-2021</t>
        </is>
      </c>
      <c r="B409" t="inlineStr">
        <is>
          <t>avverkningsanmälan</t>
        </is>
      </c>
      <c r="C409" t="inlineStr">
        <is>
          <t>Avverkning för annat ändamål</t>
        </is>
      </c>
      <c r="D409" s="1" t="n">
        <v>44552</v>
      </c>
      <c r="E409" s="1" t="n">
        <v>46292</v>
      </c>
      <c r="F409" t="inlineStr">
        <is>
          <t>GÄVLEBORGS LÄN</t>
        </is>
      </c>
      <c r="G409" t="inlineStr">
        <is>
          <t>LJUSDAL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60689-2021</t>
        </is>
      </c>
      <c r="B410" t="inlineStr">
        <is>
          <t>avverkningsanmälan</t>
        </is>
      </c>
      <c r="C410" t="inlineStr">
        <is>
          <t>Föryngringsavverkning</t>
        </is>
      </c>
      <c r="D410" s="1" t="n">
        <v>44496</v>
      </c>
      <c r="E410" s="1" t="n">
        <v>46292</v>
      </c>
      <c r="F410" t="inlineStr">
        <is>
          <t>GÄVLEBORGS LÄN</t>
        </is>
      </c>
      <c r="G410" t="inlineStr">
        <is>
          <t>LJUSDAL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52839-2021</t>
        </is>
      </c>
      <c r="B411" t="inlineStr">
        <is>
          <t>avverkningsanmälan</t>
        </is>
      </c>
      <c r="C411" t="inlineStr">
        <is>
          <t>Föryngringsavverkning</t>
        </is>
      </c>
      <c r="D411" s="1" t="n">
        <v>44467</v>
      </c>
      <c r="E411" s="1" t="n">
        <v>46292</v>
      </c>
      <c r="F411" t="inlineStr">
        <is>
          <t>GÄVLEBORGS LÄN</t>
        </is>
      </c>
      <c r="G411" t="inlineStr">
        <is>
          <t>LJUSDAL</t>
        </is>
      </c>
      <c r="H411" t="inlineStr">
        <is>
          <t>Holmen skog AB</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46292</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3868-2022</t>
        </is>
      </c>
      <c r="B413" t="inlineStr">
        <is>
          <t>avverkningsanmälan</t>
        </is>
      </c>
      <c r="C413" t="inlineStr">
        <is>
          <t>Avverkning för annat ändamål</t>
        </is>
      </c>
      <c r="D413" s="1" t="n">
        <v>44587</v>
      </c>
      <c r="E413" s="1" t="n">
        <v>46292</v>
      </c>
      <c r="F413" t="inlineStr">
        <is>
          <t>GÄVLEBORGS LÄN</t>
        </is>
      </c>
      <c r="G413" t="inlineStr">
        <is>
          <t>LJUSDAL</t>
        </is>
      </c>
      <c r="H413" t="inlineStr">
        <is>
          <t>Sveaskog</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55055-2022</t>
        </is>
      </c>
      <c r="B414" t="inlineStr">
        <is>
          <t>avverkningsanmälan</t>
        </is>
      </c>
      <c r="C414" t="inlineStr">
        <is>
          <t>Föryngringsavverkning</t>
        </is>
      </c>
      <c r="D414" s="1" t="n">
        <v>44886</v>
      </c>
      <c r="E414" s="1" t="n">
        <v>46292</v>
      </c>
      <c r="F414" t="inlineStr">
        <is>
          <t>GÄVLEBORGS LÄN</t>
        </is>
      </c>
      <c r="G414" t="inlineStr">
        <is>
          <t>LJUSDAL</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50579-2022</t>
        </is>
      </c>
      <c r="B415" t="inlineStr">
        <is>
          <t>avverkningsanmälan</t>
        </is>
      </c>
      <c r="C415" t="inlineStr">
        <is>
          <t>Avverkning för annat ändamål</t>
        </is>
      </c>
      <c r="D415" s="1" t="n">
        <v>44866</v>
      </c>
      <c r="E415" s="1" t="n">
        <v>46292</v>
      </c>
      <c r="F415" t="inlineStr">
        <is>
          <t>GÄVLEBORGS LÄN</t>
        </is>
      </c>
      <c r="G415" t="inlineStr">
        <is>
          <t>LJUSDAL</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24340-2022</t>
        </is>
      </c>
      <c r="B416" t="inlineStr">
        <is>
          <t>avverkningsanmälan</t>
        </is>
      </c>
      <c r="C416" t="inlineStr">
        <is>
          <t>Föryngringsavverkning</t>
        </is>
      </c>
      <c r="D416" s="1" t="n">
        <v>44726</v>
      </c>
      <c r="E416" s="1" t="n">
        <v>46292</v>
      </c>
      <c r="F416" t="inlineStr">
        <is>
          <t>GÄVLEBORGS LÄN</t>
        </is>
      </c>
      <c r="G416" t="inlineStr">
        <is>
          <t>LJUSDAL</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19892-2022</t>
        </is>
      </c>
      <c r="B417" t="inlineStr">
        <is>
          <t>avverkningsanmälan</t>
        </is>
      </c>
      <c r="C417" t="inlineStr">
        <is>
          <t>Föryngringsavverkning</t>
        </is>
      </c>
      <c r="D417" s="1" t="n">
        <v>44697</v>
      </c>
      <c r="E417" s="1" t="n">
        <v>46292</v>
      </c>
      <c r="F417" t="inlineStr">
        <is>
          <t>GÄVLEBORGS LÄN</t>
        </is>
      </c>
      <c r="G417" t="inlineStr">
        <is>
          <t>LJUSDAL</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49726-2022</t>
        </is>
      </c>
      <c r="B418" t="inlineStr">
        <is>
          <t>avverkningsanmälan</t>
        </is>
      </c>
      <c r="C418" t="inlineStr">
        <is>
          <t>Föryngringsavverkning</t>
        </is>
      </c>
      <c r="D418" s="1" t="n">
        <v>44862</v>
      </c>
      <c r="E418" s="1" t="n">
        <v>46292</v>
      </c>
      <c r="F418" t="inlineStr">
        <is>
          <t>GÄVLEBORGS LÄN</t>
        </is>
      </c>
      <c r="G418" t="inlineStr">
        <is>
          <t>LJUSDAL</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31336-2022</t>
        </is>
      </c>
      <c r="B419" t="inlineStr">
        <is>
          <t>avverkningsanmälan</t>
        </is>
      </c>
      <c r="C419" t="inlineStr">
        <is>
          <t>Föryngringsavverkning</t>
        </is>
      </c>
      <c r="D419" s="1" t="n">
        <v>44774</v>
      </c>
      <c r="E419" s="1" t="n">
        <v>46292</v>
      </c>
      <c r="F419" t="inlineStr">
        <is>
          <t>GÄVLEBORGS LÄN</t>
        </is>
      </c>
      <c r="G419" t="inlineStr">
        <is>
          <t>LJUSDAL</t>
        </is>
      </c>
      <c r="H419" t="inlineStr">
        <is>
          <t>Holmen skog AB</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31378-2022</t>
        </is>
      </c>
      <c r="B420" t="inlineStr">
        <is>
          <t>avverkningsanmälan</t>
        </is>
      </c>
      <c r="C420" t="inlineStr">
        <is>
          <t>Föryngringsavverkning</t>
        </is>
      </c>
      <c r="D420" s="1" t="n">
        <v>44774</v>
      </c>
      <c r="E420" s="1" t="n">
        <v>46292</v>
      </c>
      <c r="F420" t="inlineStr">
        <is>
          <t>GÄVLEBORGS LÄN</t>
        </is>
      </c>
      <c r="G420" t="inlineStr">
        <is>
          <t>LJUSDAL</t>
        </is>
      </c>
      <c r="H420" t="inlineStr">
        <is>
          <t>Holmen skog AB</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49716-2022</t>
        </is>
      </c>
      <c r="B421" t="inlineStr">
        <is>
          <t>avverkningsanmälan</t>
        </is>
      </c>
      <c r="C421" t="inlineStr">
        <is>
          <t>Föryngringsavverkning</t>
        </is>
      </c>
      <c r="D421" s="1" t="n">
        <v>44862</v>
      </c>
      <c r="E421" s="1" t="n">
        <v>46292</v>
      </c>
      <c r="F421" t="inlineStr">
        <is>
          <t>GÄVLEBORGS LÄN</t>
        </is>
      </c>
      <c r="G421" t="inlineStr">
        <is>
          <t>LJUSDAL</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24208-2022</t>
        </is>
      </c>
      <c r="B422" t="inlineStr">
        <is>
          <t>avverkningsanmälan</t>
        </is>
      </c>
      <c r="C422" t="inlineStr">
        <is>
          <t>Föryngringsavverkning</t>
        </is>
      </c>
      <c r="D422" s="1" t="n">
        <v>44725</v>
      </c>
      <c r="E422" s="1" t="n">
        <v>46292</v>
      </c>
      <c r="F422" t="inlineStr">
        <is>
          <t>GÄVLEBORGS LÄN</t>
        </is>
      </c>
      <c r="G422" t="inlineStr">
        <is>
          <t>LJUSDAL</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33568-2022</t>
        </is>
      </c>
      <c r="B423" t="inlineStr">
        <is>
          <t>avverkningsanmälan</t>
        </is>
      </c>
      <c r="C423" t="inlineStr">
        <is>
          <t>Föryngringsavverkning</t>
        </is>
      </c>
      <c r="D423" s="1" t="n">
        <v>44789</v>
      </c>
      <c r="E423" s="1" t="n">
        <v>46292</v>
      </c>
      <c r="F423" t="inlineStr">
        <is>
          <t>GÄVLEBORGS LÄN</t>
        </is>
      </c>
      <c r="G423" t="inlineStr">
        <is>
          <t>LJUSDAL</t>
        </is>
      </c>
      <c r="H423" t="inlineStr">
        <is>
          <t>Bergvik skog väst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24347-2022</t>
        </is>
      </c>
      <c r="B424" t="inlineStr">
        <is>
          <t>avverkningsanmälan</t>
        </is>
      </c>
      <c r="C424" t="inlineStr">
        <is>
          <t>Föryngringsavverkning</t>
        </is>
      </c>
      <c r="D424" s="1" t="n">
        <v>44726</v>
      </c>
      <c r="E424" s="1" t="n">
        <v>46292</v>
      </c>
      <c r="F424" t="inlineStr">
        <is>
          <t>GÄVLEBORGS LÄN</t>
        </is>
      </c>
      <c r="G424" t="inlineStr">
        <is>
          <t>LJUSDAL</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17487-2022</t>
        </is>
      </c>
      <c r="B425" t="inlineStr">
        <is>
          <t>avverkningsanmälan</t>
        </is>
      </c>
      <c r="C425" t="inlineStr">
        <is>
          <t>Föryngringsavverkning</t>
        </is>
      </c>
      <c r="D425" s="1" t="n">
        <v>44679</v>
      </c>
      <c r="E425" s="1" t="n">
        <v>46292</v>
      </c>
      <c r="F425" t="inlineStr">
        <is>
          <t>GÄVLEBORGS LÄN</t>
        </is>
      </c>
      <c r="G425" t="inlineStr">
        <is>
          <t>LJUSDAL</t>
        </is>
      </c>
      <c r="H425" t="inlineStr">
        <is>
          <t>Holmen skog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46256-2022</t>
        </is>
      </c>
      <c r="B426" t="inlineStr">
        <is>
          <t>avverkningsanmälan</t>
        </is>
      </c>
      <c r="C426" t="inlineStr">
        <is>
          <t>Föryngringsavverkning</t>
        </is>
      </c>
      <c r="D426" s="1" t="n">
        <v>44847</v>
      </c>
      <c r="E426" s="1" t="n">
        <v>46292</v>
      </c>
      <c r="F426" t="inlineStr">
        <is>
          <t>GÄVLEBORGS LÄN</t>
        </is>
      </c>
      <c r="G426" t="inlineStr">
        <is>
          <t>LJUSDAL</t>
        </is>
      </c>
      <c r="H426" t="inlineStr">
        <is>
          <t>Holmen skog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52780-2021</t>
        </is>
      </c>
      <c r="B427" t="inlineStr">
        <is>
          <t>avverkningsanmälan</t>
        </is>
      </c>
      <c r="C427" t="inlineStr">
        <is>
          <t>Föryngringsavverkning</t>
        </is>
      </c>
      <c r="D427" s="1" t="n">
        <v>44467</v>
      </c>
      <c r="E427" s="1" t="n">
        <v>46292</v>
      </c>
      <c r="F427" t="inlineStr">
        <is>
          <t>GÄVLEBORGS LÄN</t>
        </is>
      </c>
      <c r="G427" t="inlineStr">
        <is>
          <t>LJUSDAL</t>
        </is>
      </c>
      <c r="H427" t="inlineStr">
        <is>
          <t>Sveaskog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52226-2022</t>
        </is>
      </c>
      <c r="B428" t="inlineStr">
        <is>
          <t>avverkningsanmälan</t>
        </is>
      </c>
      <c r="C428" t="inlineStr">
        <is>
          <t>Avverkning för annat ändamål</t>
        </is>
      </c>
      <c r="D428" s="1" t="n">
        <v>44873</v>
      </c>
      <c r="E428" s="1" t="n">
        <v>46292</v>
      </c>
      <c r="F428" t="inlineStr">
        <is>
          <t>GÄVLEBORGS LÄN</t>
        </is>
      </c>
      <c r="G428" t="inlineStr">
        <is>
          <t>LJUSDAL</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7592-2022</t>
        </is>
      </c>
      <c r="B429" t="inlineStr">
        <is>
          <t>avverkningsanmälan</t>
        </is>
      </c>
      <c r="C429" t="inlineStr">
        <is>
          <t>Föryngringsavverkning</t>
        </is>
      </c>
      <c r="D429" s="1" t="n">
        <v>44607</v>
      </c>
      <c r="E429" s="1" t="n">
        <v>46292</v>
      </c>
      <c r="F429" t="inlineStr">
        <is>
          <t>GÄVLEBORGS LÄN</t>
        </is>
      </c>
      <c r="G429" t="inlineStr">
        <is>
          <t>LJUSDAL</t>
        </is>
      </c>
      <c r="H429" t="inlineStr">
        <is>
          <t>Holmen skog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64120-2021</t>
        </is>
      </c>
      <c r="B430" t="inlineStr">
        <is>
          <t>avverkningsanmälan</t>
        </is>
      </c>
      <c r="C430" t="inlineStr">
        <is>
          <t>Föryngringsavverkning</t>
        </is>
      </c>
      <c r="D430" s="1" t="n">
        <v>44510</v>
      </c>
      <c r="E430" s="1" t="n">
        <v>46292</v>
      </c>
      <c r="F430" t="inlineStr">
        <is>
          <t>GÄVLEBORGS LÄN</t>
        </is>
      </c>
      <c r="G430" t="inlineStr">
        <is>
          <t>LJUSDAL</t>
        </is>
      </c>
      <c r="H430" t="inlineStr">
        <is>
          <t>Kommuner</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40787-2022</t>
        </is>
      </c>
      <c r="B431" t="inlineStr">
        <is>
          <t>avverkningsanmälan</t>
        </is>
      </c>
      <c r="C431" t="inlineStr">
        <is>
          <t>Föryngringsavverkning</t>
        </is>
      </c>
      <c r="D431" s="1" t="n">
        <v>44824</v>
      </c>
      <c r="E431" s="1" t="n">
        <v>46292</v>
      </c>
      <c r="F431" t="inlineStr">
        <is>
          <t>GÄVLEBORGS LÄN</t>
        </is>
      </c>
      <c r="G431" t="inlineStr">
        <is>
          <t>LJUSDAL</t>
        </is>
      </c>
      <c r="H431" t="inlineStr">
        <is>
          <t>Holmen skog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43077-2022</t>
        </is>
      </c>
      <c r="B432" t="inlineStr">
        <is>
          <t>avverkningsanmälan</t>
        </is>
      </c>
      <c r="C432" t="inlineStr">
        <is>
          <t>Föryngringsavverkning</t>
        </is>
      </c>
      <c r="D432" s="1" t="n">
        <v>44833</v>
      </c>
      <c r="E432" s="1" t="n">
        <v>46292</v>
      </c>
      <c r="F432" t="inlineStr">
        <is>
          <t>GÄVLEBORGS LÄN</t>
        </is>
      </c>
      <c r="G432" t="inlineStr">
        <is>
          <t>LJUSDAL</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29263-2022</t>
        </is>
      </c>
      <c r="B433" t="inlineStr">
        <is>
          <t>avverkningsanmälan</t>
        </is>
      </c>
      <c r="C433" t="inlineStr">
        <is>
          <t>Föryngringsavverkning</t>
        </is>
      </c>
      <c r="D433" s="1" t="n">
        <v>44750</v>
      </c>
      <c r="E433" s="1" t="n">
        <v>46292</v>
      </c>
      <c r="F433" t="inlineStr">
        <is>
          <t>GÄVLEBORGS LÄN</t>
        </is>
      </c>
      <c r="G433" t="inlineStr">
        <is>
          <t>LJUSDAL</t>
        </is>
      </c>
      <c r="H433" t="inlineStr">
        <is>
          <t>Holmen skog AB</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52948-2021</t>
        </is>
      </c>
      <c r="B434" t="inlineStr">
        <is>
          <t>avverkningsanmälan</t>
        </is>
      </c>
      <c r="C434" t="inlineStr">
        <is>
          <t>Föryngringsavverkning</t>
        </is>
      </c>
      <c r="D434" s="1" t="n">
        <v>44467</v>
      </c>
      <c r="E434" s="1" t="n">
        <v>46292</v>
      </c>
      <c r="F434" t="inlineStr">
        <is>
          <t>GÄVLEBORGS LÄN</t>
        </is>
      </c>
      <c r="G434" t="inlineStr">
        <is>
          <t>LJUSDAL</t>
        </is>
      </c>
      <c r="H434" t="inlineStr">
        <is>
          <t>Holmen skog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64556-2021</t>
        </is>
      </c>
      <c r="B435" t="inlineStr">
        <is>
          <t>avverkningsanmälan</t>
        </is>
      </c>
      <c r="C435" t="inlineStr">
        <is>
          <t>Föryngringsavverkning</t>
        </is>
      </c>
      <c r="D435" s="1" t="n">
        <v>44511</v>
      </c>
      <c r="E435" s="1" t="n">
        <v>46292</v>
      </c>
      <c r="F435" t="inlineStr">
        <is>
          <t>GÄVLEBORGS LÄN</t>
        </is>
      </c>
      <c r="G435" t="inlineStr">
        <is>
          <t>LJUSDAL</t>
        </is>
      </c>
      <c r="H435" t="inlineStr">
        <is>
          <t>Holmen skog AB</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59129-2021</t>
        </is>
      </c>
      <c r="B436" t="inlineStr">
        <is>
          <t>avverkningsanmälan</t>
        </is>
      </c>
      <c r="C436" t="inlineStr">
        <is>
          <t>Föryngringsavverkning</t>
        </is>
      </c>
      <c r="D436" s="1" t="n">
        <v>44490</v>
      </c>
      <c r="E436" s="1" t="n">
        <v>46292</v>
      </c>
      <c r="F436" t="inlineStr">
        <is>
          <t>GÄVLEBORGS LÄN</t>
        </is>
      </c>
      <c r="G436" t="inlineStr">
        <is>
          <t>LJUSDAL</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3098-2022</t>
        </is>
      </c>
      <c r="B437" t="inlineStr">
        <is>
          <t>avverkningsanmälan</t>
        </is>
      </c>
      <c r="C437" t="inlineStr">
        <is>
          <t>Avverkning för annat ändamål</t>
        </is>
      </c>
      <c r="D437" s="1" t="n">
        <v>44582</v>
      </c>
      <c r="E437" s="1" t="n">
        <v>46292</v>
      </c>
      <c r="F437" t="inlineStr">
        <is>
          <t>GÄVLEBORGS LÄN</t>
        </is>
      </c>
      <c r="G437" t="inlineStr">
        <is>
          <t>LJUSDAL</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35467-2022</t>
        </is>
      </c>
      <c r="B438" t="inlineStr">
        <is>
          <t>avverkningsanmälan</t>
        </is>
      </c>
      <c r="C438" t="inlineStr">
        <is>
          <t>Föryngringsavverkning</t>
        </is>
      </c>
      <c r="D438" s="1" t="n">
        <v>44798</v>
      </c>
      <c r="E438" s="1" t="n">
        <v>46292</v>
      </c>
      <c r="F438" t="inlineStr">
        <is>
          <t>GÄVLEBORGS LÄN</t>
        </is>
      </c>
      <c r="G438" t="inlineStr">
        <is>
          <t>LJUSDAL</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27539-2022</t>
        </is>
      </c>
      <c r="B439" t="inlineStr">
        <is>
          <t>avverkningsanmälan</t>
        </is>
      </c>
      <c r="C439" t="inlineStr">
        <is>
          <t>Föryngringsavverkning</t>
        </is>
      </c>
      <c r="D439" s="1" t="n">
        <v>44742</v>
      </c>
      <c r="E439" s="1" t="n">
        <v>46292</v>
      </c>
      <c r="F439" t="inlineStr">
        <is>
          <t>GÄVLEBORGS LÄN</t>
        </is>
      </c>
      <c r="G439" t="inlineStr">
        <is>
          <t>LJUSDAL</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54158-2021</t>
        </is>
      </c>
      <c r="B440" t="inlineStr">
        <is>
          <t>avverkningsanmälan</t>
        </is>
      </c>
      <c r="C440" t="inlineStr">
        <is>
          <t>Föryngringsavverkning</t>
        </is>
      </c>
      <c r="D440" s="1" t="n">
        <v>44470</v>
      </c>
      <c r="E440" s="1" t="n">
        <v>46292</v>
      </c>
      <c r="F440" t="inlineStr">
        <is>
          <t>GÄVLEBORGS LÄN</t>
        </is>
      </c>
      <c r="G440" t="inlineStr">
        <is>
          <t>LJUSDAL</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51519-2022</t>
        </is>
      </c>
      <c r="B441" t="inlineStr">
        <is>
          <t>avverkningsanmälan</t>
        </is>
      </c>
      <c r="C441" t="inlineStr">
        <is>
          <t>Föryngringsavverkning</t>
        </is>
      </c>
      <c r="D441" s="1" t="n">
        <v>44869</v>
      </c>
      <c r="E441" s="1" t="n">
        <v>46292</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35890-2022</t>
        </is>
      </c>
      <c r="B442" t="inlineStr">
        <is>
          <t>avverkningsanmälan</t>
        </is>
      </c>
      <c r="C442" t="inlineStr">
        <is>
          <t>Föryngringsavverkning</t>
        </is>
      </c>
      <c r="D442" s="1" t="n">
        <v>44802</v>
      </c>
      <c r="E442" s="1" t="n">
        <v>46292</v>
      </c>
      <c r="F442" t="inlineStr">
        <is>
          <t>GÄVLEBORGS LÄN</t>
        </is>
      </c>
      <c r="G442" t="inlineStr">
        <is>
          <t>LJUSDAL</t>
        </is>
      </c>
      <c r="H442" t="inlineStr">
        <is>
          <t>Bergvik skog väst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331-2022</t>
        </is>
      </c>
      <c r="B443" t="inlineStr">
        <is>
          <t>avverkningsanmälan</t>
        </is>
      </c>
      <c r="C443" t="inlineStr">
        <is>
          <t>Föryngringsavverkning</t>
        </is>
      </c>
      <c r="D443" s="1" t="n">
        <v>44565</v>
      </c>
      <c r="E443" s="1" t="n">
        <v>46292</v>
      </c>
      <c r="F443" t="inlineStr">
        <is>
          <t>GÄVLEBORGS LÄN</t>
        </is>
      </c>
      <c r="G443" t="inlineStr">
        <is>
          <t>LJUSDAL</t>
        </is>
      </c>
      <c r="H443" t="inlineStr">
        <is>
          <t>Holmen skog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72711-2021</t>
        </is>
      </c>
      <c r="B444" t="inlineStr">
        <is>
          <t>avverkningsanmälan</t>
        </is>
      </c>
      <c r="C444" t="inlineStr">
        <is>
          <t>Föryngringsavverkning</t>
        </is>
      </c>
      <c r="D444" s="1" t="n">
        <v>44546</v>
      </c>
      <c r="E444" s="1" t="n">
        <v>46292</v>
      </c>
      <c r="F444" t="inlineStr">
        <is>
          <t>GÄVLEBORGS LÄN</t>
        </is>
      </c>
      <c r="G444" t="inlineStr">
        <is>
          <t>LJUSDAL</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50567-2022</t>
        </is>
      </c>
      <c r="B445" t="inlineStr">
        <is>
          <t>avverkningsanmälan</t>
        </is>
      </c>
      <c r="C445" t="inlineStr">
        <is>
          <t>Föryngringsavverkning</t>
        </is>
      </c>
      <c r="D445" s="1" t="n">
        <v>44866</v>
      </c>
      <c r="E445" s="1" t="n">
        <v>46292</v>
      </c>
      <c r="F445" t="inlineStr">
        <is>
          <t>GÄVLEBORGS LÄN</t>
        </is>
      </c>
      <c r="G445" t="inlineStr">
        <is>
          <t>LJUSDAL</t>
        </is>
      </c>
      <c r="H445" t="inlineStr">
        <is>
          <t>Holmen skog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58397-2021</t>
        </is>
      </c>
      <c r="B446" t="inlineStr">
        <is>
          <t>avverkningsanmälan</t>
        </is>
      </c>
      <c r="C446" t="inlineStr">
        <is>
          <t>Föryngringsavverkning</t>
        </is>
      </c>
      <c r="D446" s="1" t="n">
        <v>44488</v>
      </c>
      <c r="E446" s="1" t="n">
        <v>46292</v>
      </c>
      <c r="F446" t="inlineStr">
        <is>
          <t>GÄVLEBORGS LÄN</t>
        </is>
      </c>
      <c r="G446" t="inlineStr">
        <is>
          <t>LJUSDAL</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17246-2022</t>
        </is>
      </c>
      <c r="B447" t="inlineStr">
        <is>
          <t>avverkningsanmälan</t>
        </is>
      </c>
      <c r="C447" t="inlineStr">
        <is>
          <t>Föryngringsavverkning</t>
        </is>
      </c>
      <c r="D447" s="1" t="n">
        <v>44678</v>
      </c>
      <c r="E447" s="1" t="n">
        <v>46292</v>
      </c>
      <c r="F447" t="inlineStr">
        <is>
          <t>GÄVLEBORGS LÄN</t>
        </is>
      </c>
      <c r="G447" t="inlineStr">
        <is>
          <t>LJUSDAL</t>
        </is>
      </c>
      <c r="H447" t="inlineStr">
        <is>
          <t>Holmen skog AB</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50347-2022</t>
        </is>
      </c>
      <c r="B448" t="inlineStr">
        <is>
          <t>avverkningsanmälan</t>
        </is>
      </c>
      <c r="C448" t="inlineStr">
        <is>
          <t>Föryngringsavverkning</t>
        </is>
      </c>
      <c r="D448" s="1" t="n">
        <v>44866</v>
      </c>
      <c r="E448" s="1" t="n">
        <v>46292</v>
      </c>
      <c r="F448" t="inlineStr">
        <is>
          <t>GÄVLEBORGS LÄN</t>
        </is>
      </c>
      <c r="G448" t="inlineStr">
        <is>
          <t>LJUSDAL</t>
        </is>
      </c>
      <c r="H448" t="inlineStr">
        <is>
          <t>Holmen skog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20916-2022</t>
        </is>
      </c>
      <c r="B449" t="inlineStr">
        <is>
          <t>avverkningsanmälan</t>
        </is>
      </c>
      <c r="C449" t="inlineStr">
        <is>
          <t>Föryngringsavverkning</t>
        </is>
      </c>
      <c r="D449" s="1" t="n">
        <v>44701</v>
      </c>
      <c r="E449" s="1" t="n">
        <v>46292</v>
      </c>
      <c r="F449" t="inlineStr">
        <is>
          <t>GÄVLEBORGS LÄN</t>
        </is>
      </c>
      <c r="G449" t="inlineStr">
        <is>
          <t>LJUSDAL</t>
        </is>
      </c>
      <c r="H449" t="inlineStr">
        <is>
          <t>Sveaskog</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57561-2021</t>
        </is>
      </c>
      <c r="B450" t="inlineStr">
        <is>
          <t>avverkningsanmälan</t>
        </is>
      </c>
      <c r="C450" t="inlineStr">
        <is>
          <t>Avverkning för att bevara och utveckla /försöksver</t>
        </is>
      </c>
      <c r="D450" s="1" t="n">
        <v>44483</v>
      </c>
      <c r="E450" s="1" t="n">
        <v>46292</v>
      </c>
      <c r="F450" t="inlineStr">
        <is>
          <t>GÄVLEBORGS LÄN</t>
        </is>
      </c>
      <c r="G450" t="inlineStr">
        <is>
          <t>LJUSDAL</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36470-2022</t>
        </is>
      </c>
      <c r="B451" t="inlineStr">
        <is>
          <t>avverkningsanmälan</t>
        </is>
      </c>
      <c r="C451" t="inlineStr">
        <is>
          <t>Föryngringsavverkning</t>
        </is>
      </c>
      <c r="D451" s="1" t="n">
        <v>44804</v>
      </c>
      <c r="E451" s="1" t="n">
        <v>46292</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18691-2022</t>
        </is>
      </c>
      <c r="B452" t="inlineStr">
        <is>
          <t>avverkningsanmälan</t>
        </is>
      </c>
      <c r="C452" t="inlineStr">
        <is>
          <t>Föryngringsavverkning</t>
        </is>
      </c>
      <c r="D452" s="1" t="n">
        <v>44687</v>
      </c>
      <c r="E452" s="1" t="n">
        <v>46292</v>
      </c>
      <c r="F452" t="inlineStr">
        <is>
          <t>GÄVLEBORGS LÄN</t>
        </is>
      </c>
      <c r="G452" t="inlineStr">
        <is>
          <t>LJUSDAL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58385-2021</t>
        </is>
      </c>
      <c r="B453" t="inlineStr">
        <is>
          <t>avverkningsanmälan</t>
        </is>
      </c>
      <c r="C453" t="inlineStr">
        <is>
          <t>Föryngringsavverkning</t>
        </is>
      </c>
      <c r="D453" s="1" t="n">
        <v>44488</v>
      </c>
      <c r="E453" s="1" t="n">
        <v>46292</v>
      </c>
      <c r="F453" t="inlineStr">
        <is>
          <t>GÄVLEBORGS LÄN</t>
        </is>
      </c>
      <c r="G453" t="inlineStr">
        <is>
          <t>LJUSDAL</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23957-2022</t>
        </is>
      </c>
      <c r="B454" t="inlineStr">
        <is>
          <t>avverkningsanmälan</t>
        </is>
      </c>
      <c r="C454" t="inlineStr">
        <is>
          <t>Föryngringsavverkning</t>
        </is>
      </c>
      <c r="D454" s="1" t="n">
        <v>44722</v>
      </c>
      <c r="E454" s="1" t="n">
        <v>46292</v>
      </c>
      <c r="F454" t="inlineStr">
        <is>
          <t>GÄVLEBORGS LÄN</t>
        </is>
      </c>
      <c r="G454" t="inlineStr">
        <is>
          <t>LJUSDAL</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29267-2022</t>
        </is>
      </c>
      <c r="B455" t="inlineStr">
        <is>
          <t>avverkningsanmälan</t>
        </is>
      </c>
      <c r="C455" t="inlineStr">
        <is>
          <t>Föryngringsavverkning</t>
        </is>
      </c>
      <c r="D455" s="1" t="n">
        <v>44750</v>
      </c>
      <c r="E455" s="1" t="n">
        <v>46292</v>
      </c>
      <c r="F455" t="inlineStr">
        <is>
          <t>GÄVLEBORGS LÄN</t>
        </is>
      </c>
      <c r="G455" t="inlineStr">
        <is>
          <t>LJUSDAL</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33626-2022</t>
        </is>
      </c>
      <c r="B456" t="inlineStr">
        <is>
          <t>avverkningsanmälan</t>
        </is>
      </c>
      <c r="C456" t="inlineStr">
        <is>
          <t>Avverkning för annat ändamål</t>
        </is>
      </c>
      <c r="D456" s="1" t="n">
        <v>44789</v>
      </c>
      <c r="E456" s="1" t="n">
        <v>46292</v>
      </c>
      <c r="F456" t="inlineStr">
        <is>
          <t>GÄVLEBORGS LÄN</t>
        </is>
      </c>
      <c r="G456" t="inlineStr">
        <is>
          <t>LJUSDAL</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55409-2021</t>
        </is>
      </c>
      <c r="B457" t="inlineStr">
        <is>
          <t>avverkningsanmälan</t>
        </is>
      </c>
      <c r="C457" t="inlineStr">
        <is>
          <t>Föryngringsavverkning</t>
        </is>
      </c>
      <c r="D457" s="1" t="n">
        <v>44475</v>
      </c>
      <c r="E457" s="1" t="n">
        <v>46292</v>
      </c>
      <c r="F457" t="inlineStr">
        <is>
          <t>GÄVLEBORGS LÄN</t>
        </is>
      </c>
      <c r="G457" t="inlineStr">
        <is>
          <t>LJUSDAL</t>
        </is>
      </c>
      <c r="H457" t="inlineStr">
        <is>
          <t>Holmen skog AB</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4813-2022</t>
        </is>
      </c>
      <c r="B458" t="inlineStr">
        <is>
          <t>avverkningsanmälan</t>
        </is>
      </c>
      <c r="C458" t="inlineStr">
        <is>
          <t>Avverkning för annat ändamål</t>
        </is>
      </c>
      <c r="D458" s="1" t="n">
        <v>44592</v>
      </c>
      <c r="E458" s="1" t="n">
        <v>46292</v>
      </c>
      <c r="F458" t="inlineStr">
        <is>
          <t>GÄVLEBORGS LÄN</t>
        </is>
      </c>
      <c r="G458" t="inlineStr">
        <is>
          <t>LJUSDAL</t>
        </is>
      </c>
      <c r="H458" t="inlineStr">
        <is>
          <t>Sveaskog</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30556-2022</t>
        </is>
      </c>
      <c r="B459" t="inlineStr">
        <is>
          <t>avverkningsanmälan</t>
        </is>
      </c>
      <c r="C459" t="inlineStr">
        <is>
          <t>Föryngringsavverkning</t>
        </is>
      </c>
      <c r="D459" s="1" t="n">
        <v>44762</v>
      </c>
      <c r="E459" s="1" t="n">
        <v>46292</v>
      </c>
      <c r="F459" t="inlineStr">
        <is>
          <t>GÄVLEBORGS LÄN</t>
        </is>
      </c>
      <c r="G459" t="inlineStr">
        <is>
          <t>LJUSDAL</t>
        </is>
      </c>
      <c r="H459" t="inlineStr">
        <is>
          <t>Bergvik skog väst AB</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24217-2022</t>
        </is>
      </c>
      <c r="B460" t="inlineStr">
        <is>
          <t>avverkningsanmälan</t>
        </is>
      </c>
      <c r="C460" t="inlineStr">
        <is>
          <t>Föryngringsavverkning</t>
        </is>
      </c>
      <c r="D460" s="1" t="n">
        <v>44725</v>
      </c>
      <c r="E460" s="1" t="n">
        <v>46292</v>
      </c>
      <c r="F460" t="inlineStr">
        <is>
          <t>GÄVLEBORGS LÄN</t>
        </is>
      </c>
      <c r="G460" t="inlineStr">
        <is>
          <t>LJUSDAL</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42959-2022</t>
        </is>
      </c>
      <c r="B461" t="inlineStr">
        <is>
          <t>avverkningsanmälan</t>
        </is>
      </c>
      <c r="C461" t="inlineStr">
        <is>
          <t>Föryngringsavverkning</t>
        </is>
      </c>
      <c r="D461" s="1" t="n">
        <v>44833</v>
      </c>
      <c r="E461" s="1" t="n">
        <v>46292</v>
      </c>
      <c r="F461" t="inlineStr">
        <is>
          <t>GÄVLEBORGS LÄN</t>
        </is>
      </c>
      <c r="G461" t="inlineStr">
        <is>
          <t>LJUSDAL</t>
        </is>
      </c>
      <c r="H461" t="inlineStr">
        <is>
          <t>Bergvik skog väst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56589-2021</t>
        </is>
      </c>
      <c r="B462" t="inlineStr">
        <is>
          <t>avverkningsanmälan</t>
        </is>
      </c>
      <c r="C462" t="inlineStr">
        <is>
          <t>Föryngringsavverkning</t>
        </is>
      </c>
      <c r="D462" s="1" t="n">
        <v>44480</v>
      </c>
      <c r="E462" s="1" t="n">
        <v>46292</v>
      </c>
      <c r="F462" t="inlineStr">
        <is>
          <t>GÄVLEBORGS LÄN</t>
        </is>
      </c>
      <c r="G462" t="inlineStr">
        <is>
          <t>LJUSDAL</t>
        </is>
      </c>
      <c r="I462" t="n">
        <v>11.4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57458-2021</t>
        </is>
      </c>
      <c r="B463" t="inlineStr">
        <is>
          <t>avverkningsanmälan</t>
        </is>
      </c>
      <c r="C463" t="inlineStr">
        <is>
          <t>Föryngringsavverkning</t>
        </is>
      </c>
      <c r="D463" s="1" t="n">
        <v>44483</v>
      </c>
      <c r="E463" s="1" t="n">
        <v>46292</v>
      </c>
      <c r="F463" t="inlineStr">
        <is>
          <t>GÄVLEBORGS LÄN</t>
        </is>
      </c>
      <c r="G463" t="inlineStr">
        <is>
          <t>LJUSDAL</t>
        </is>
      </c>
      <c r="H463" t="inlineStr">
        <is>
          <t>Holmen skog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66208-2021</t>
        </is>
      </c>
      <c r="B464" t="inlineStr">
        <is>
          <t>avverkningsanmälan</t>
        </is>
      </c>
      <c r="C464" t="inlineStr">
        <is>
          <t>Föryngringsavverkning</t>
        </is>
      </c>
      <c r="D464" s="1" t="n">
        <v>44518</v>
      </c>
      <c r="E464" s="1" t="n">
        <v>46292</v>
      </c>
      <c r="F464" t="inlineStr">
        <is>
          <t>GÄVLEBORGS LÄN</t>
        </is>
      </c>
      <c r="G464" t="inlineStr">
        <is>
          <t>LJUSDAL</t>
        </is>
      </c>
      <c r="H464" t="inlineStr">
        <is>
          <t>Sveaskog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71698-2021</t>
        </is>
      </c>
      <c r="B465" t="inlineStr">
        <is>
          <t>avverkningsanmälan</t>
        </is>
      </c>
      <c r="C465" t="inlineStr">
        <is>
          <t>Föryngringsavverkning</t>
        </is>
      </c>
      <c r="D465" s="1" t="n">
        <v>44543</v>
      </c>
      <c r="E465" s="1" t="n">
        <v>46292</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62146-2021</t>
        </is>
      </c>
      <c r="B466" t="inlineStr">
        <is>
          <t>avverkningsanmälan</t>
        </is>
      </c>
      <c r="C466" t="inlineStr">
        <is>
          <t>Föryngringsavverkning</t>
        </is>
      </c>
      <c r="D466" s="1" t="n">
        <v>44502</v>
      </c>
      <c r="E466" s="1" t="n">
        <v>46292</v>
      </c>
      <c r="F466" t="inlineStr">
        <is>
          <t>GÄVLEBORGS LÄN</t>
        </is>
      </c>
      <c r="G466" t="inlineStr">
        <is>
          <t>LJUSDAL</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34457-2022</t>
        </is>
      </c>
      <c r="B467" t="inlineStr">
        <is>
          <t>avverkningsanmälan</t>
        </is>
      </c>
      <c r="C467" t="inlineStr">
        <is>
          <t>Föryngringsavverkning</t>
        </is>
      </c>
      <c r="D467" s="1" t="n">
        <v>44792</v>
      </c>
      <c r="E467" s="1" t="n">
        <v>46292</v>
      </c>
      <c r="F467" t="inlineStr">
        <is>
          <t>GÄVLEBORGS LÄN</t>
        </is>
      </c>
      <c r="G467" t="inlineStr">
        <is>
          <t>LJUSDAL</t>
        </is>
      </c>
      <c r="H467" t="inlineStr">
        <is>
          <t>Sveaskog</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72464-2021</t>
        </is>
      </c>
      <c r="B468" t="inlineStr">
        <is>
          <t>avverkningsanmälan</t>
        </is>
      </c>
      <c r="C468" t="inlineStr">
        <is>
          <t>Föryngringsavverkning</t>
        </is>
      </c>
      <c r="D468" s="1" t="n">
        <v>44545</v>
      </c>
      <c r="E468" s="1" t="n">
        <v>46292</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39228-2022</t>
        </is>
      </c>
      <c r="B469" t="inlineStr">
        <is>
          <t>avverkningsanmälan</t>
        </is>
      </c>
      <c r="C469" t="inlineStr">
        <is>
          <t>Föryngringsavverkning</t>
        </is>
      </c>
      <c r="D469" s="1" t="n">
        <v>44817</v>
      </c>
      <c r="E469" s="1" t="n">
        <v>46292</v>
      </c>
      <c r="F469" t="inlineStr">
        <is>
          <t>GÄVLEBORGS LÄN</t>
        </is>
      </c>
      <c r="G469" t="inlineStr">
        <is>
          <t>LJUSDAL</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55209-2021</t>
        </is>
      </c>
      <c r="B470" t="inlineStr">
        <is>
          <t>avverkningsanmälan</t>
        </is>
      </c>
      <c r="C470" t="inlineStr">
        <is>
          <t>Föryngringsavverkning</t>
        </is>
      </c>
      <c r="D470" s="1" t="n">
        <v>44475</v>
      </c>
      <c r="E470" s="1" t="n">
        <v>46292</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46292</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28527-2022</t>
        </is>
      </c>
      <c r="B472" t="inlineStr">
        <is>
          <t>avverkningsanmälan</t>
        </is>
      </c>
      <c r="C472" t="inlineStr">
        <is>
          <t>Avverkning för annat ändamål</t>
        </is>
      </c>
      <c r="D472" s="1" t="n">
        <v>44748</v>
      </c>
      <c r="E472" s="1" t="n">
        <v>46292</v>
      </c>
      <c r="F472" t="inlineStr">
        <is>
          <t>GÄVLEBORGS LÄN</t>
        </is>
      </c>
      <c r="G472" t="inlineStr">
        <is>
          <t>LJUSDAL</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28454-2022</t>
        </is>
      </c>
      <c r="B473" t="inlineStr">
        <is>
          <t>avverkningsanmälan</t>
        </is>
      </c>
      <c r="C473" t="inlineStr">
        <is>
          <t>Föryngringsavverkning</t>
        </is>
      </c>
      <c r="D473" s="1" t="n">
        <v>44747</v>
      </c>
      <c r="E473" s="1" t="n">
        <v>46292</v>
      </c>
      <c r="F473" t="inlineStr">
        <is>
          <t>GÄVLEBORGS LÄN</t>
        </is>
      </c>
      <c r="G473" t="inlineStr">
        <is>
          <t>LJUSDAL</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19288-2022</t>
        </is>
      </c>
      <c r="B474" t="inlineStr">
        <is>
          <t>avverkningsanmälan</t>
        </is>
      </c>
      <c r="C474" t="inlineStr">
        <is>
          <t>Föryngringsavverkning</t>
        </is>
      </c>
      <c r="D474" s="1" t="n">
        <v>44692</v>
      </c>
      <c r="E474" s="1" t="n">
        <v>46292</v>
      </c>
      <c r="F474" t="inlineStr">
        <is>
          <t>GÄVLEBORGS LÄN</t>
        </is>
      </c>
      <c r="G474" t="inlineStr">
        <is>
          <t>LJUSDAL</t>
        </is>
      </c>
      <c r="H474" t="inlineStr">
        <is>
          <t>Holmen skog AB</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32238-2022</t>
        </is>
      </c>
      <c r="B475" t="inlineStr">
        <is>
          <t>avverkningsanmälan</t>
        </is>
      </c>
      <c r="C475" t="inlineStr">
        <is>
          <t>Föryngringsavverkning</t>
        </is>
      </c>
      <c r="D475" s="1" t="n">
        <v>44781</v>
      </c>
      <c r="E475" s="1" t="n">
        <v>46292</v>
      </c>
      <c r="F475" t="inlineStr">
        <is>
          <t>GÄVLEBORGS LÄN</t>
        </is>
      </c>
      <c r="G475" t="inlineStr">
        <is>
          <t>LJUSDAL</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5614-2022</t>
        </is>
      </c>
      <c r="B476" t="inlineStr">
        <is>
          <t>avverkningsanmälan</t>
        </is>
      </c>
      <c r="C476" t="inlineStr">
        <is>
          <t>Föryngringsavverkning</t>
        </is>
      </c>
      <c r="D476" s="1" t="n">
        <v>44595</v>
      </c>
      <c r="E476" s="1" t="n">
        <v>46292</v>
      </c>
      <c r="F476" t="inlineStr">
        <is>
          <t>GÄVLEBORGS LÄN</t>
        </is>
      </c>
      <c r="G476" t="inlineStr">
        <is>
          <t>LJUSDAL</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36563-2022</t>
        </is>
      </c>
      <c r="B477" t="inlineStr">
        <is>
          <t>avverkningsanmälan</t>
        </is>
      </c>
      <c r="C477" t="inlineStr">
        <is>
          <t>Föryngringsavverkning</t>
        </is>
      </c>
      <c r="D477" s="1" t="n">
        <v>44804</v>
      </c>
      <c r="E477" s="1" t="n">
        <v>46292</v>
      </c>
      <c r="F477" t="inlineStr">
        <is>
          <t>GÄVLEBORGS LÄN</t>
        </is>
      </c>
      <c r="G477" t="inlineStr">
        <is>
          <t>LJUSDAL</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64423-2021</t>
        </is>
      </c>
      <c r="B478" t="inlineStr">
        <is>
          <t>avverkningsanmälan</t>
        </is>
      </c>
      <c r="C478" t="inlineStr">
        <is>
          <t>Föryngringsavverkning</t>
        </is>
      </c>
      <c r="D478" s="1" t="n">
        <v>44511</v>
      </c>
      <c r="E478" s="1" t="n">
        <v>46292</v>
      </c>
      <c r="F478" t="inlineStr">
        <is>
          <t>GÄVLEBORGS LÄN</t>
        </is>
      </c>
      <c r="G478" t="inlineStr">
        <is>
          <t>LJUSDAL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63528-2021</t>
        </is>
      </c>
      <c r="B479" t="inlineStr">
        <is>
          <t>avverkningsanmälan</t>
        </is>
      </c>
      <c r="C479" t="inlineStr">
        <is>
          <t>Föryngringsavverkning</t>
        </is>
      </c>
      <c r="D479" s="1" t="n">
        <v>44508</v>
      </c>
      <c r="E479" s="1" t="n">
        <v>46292</v>
      </c>
      <c r="F479" t="inlineStr">
        <is>
          <t>GÄVLEBORGS LÄN</t>
        </is>
      </c>
      <c r="G479" t="inlineStr">
        <is>
          <t>LJUSDAL</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31348-2022</t>
        </is>
      </c>
      <c r="B480" t="inlineStr">
        <is>
          <t>avverkningsanmälan</t>
        </is>
      </c>
      <c r="C480" t="inlineStr">
        <is>
          <t>Föryngringsavverkning</t>
        </is>
      </c>
      <c r="D480" s="1" t="n">
        <v>44774</v>
      </c>
      <c r="E480" s="1" t="n">
        <v>46292</v>
      </c>
      <c r="F480" t="inlineStr">
        <is>
          <t>GÄVLEBORGS LÄN</t>
        </is>
      </c>
      <c r="G480" t="inlineStr">
        <is>
          <t>LJUSDAL</t>
        </is>
      </c>
      <c r="H480" t="inlineStr">
        <is>
          <t>Holmen skog AB</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51798-2023</t>
        </is>
      </c>
      <c r="B481" t="inlineStr">
        <is>
          <t>avverkningsanmälan</t>
        </is>
      </c>
      <c r="C481" t="inlineStr">
        <is>
          <t>Föryngringsavverkning</t>
        </is>
      </c>
      <c r="D481" s="1" t="n">
        <v>45222</v>
      </c>
      <c r="E481" s="1" t="n">
        <v>46292</v>
      </c>
      <c r="F481" t="inlineStr">
        <is>
          <t>GÄVLEBORGS LÄN</t>
        </is>
      </c>
      <c r="G481" t="inlineStr">
        <is>
          <t>LJUSDAL</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41285-2022</t>
        </is>
      </c>
      <c r="B482" t="inlineStr">
        <is>
          <t>avverkningsanmälan</t>
        </is>
      </c>
      <c r="C482" t="inlineStr">
        <is>
          <t>Föryngringsavverkning</t>
        </is>
      </c>
      <c r="D482" s="1" t="n">
        <v>44826</v>
      </c>
      <c r="E482" s="1" t="n">
        <v>46292</v>
      </c>
      <c r="F482" t="inlineStr">
        <is>
          <t>GÄVLEBORGS LÄN</t>
        </is>
      </c>
      <c r="G482" t="inlineStr">
        <is>
          <t>LJUSDAL</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4580-2024</t>
        </is>
      </c>
      <c r="B483" t="inlineStr">
        <is>
          <t>avverkningsanmälan</t>
        </is>
      </c>
      <c r="C483" t="inlineStr">
        <is>
          <t>Föryngringsavverkning</t>
        </is>
      </c>
      <c r="D483" s="1" t="n">
        <v>45327</v>
      </c>
      <c r="E483" s="1" t="n">
        <v>46292</v>
      </c>
      <c r="F483" t="inlineStr">
        <is>
          <t>GÄVLEBORGS LÄN</t>
        </is>
      </c>
      <c r="G483" t="inlineStr">
        <is>
          <t>LJUSDAL</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22558-2023</t>
        </is>
      </c>
      <c r="B484" t="inlineStr">
        <is>
          <t>avverkningsanmälan</t>
        </is>
      </c>
      <c r="C484" t="inlineStr">
        <is>
          <t>Föryngringsavverkning</t>
        </is>
      </c>
      <c r="D484" s="1" t="n">
        <v>45071</v>
      </c>
      <c r="E484" s="1" t="n">
        <v>46292</v>
      </c>
      <c r="F484" t="inlineStr">
        <is>
          <t>GÄVLEBORGS LÄN</t>
        </is>
      </c>
      <c r="G484" t="inlineStr">
        <is>
          <t>LJUSDAL</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25564-2023</t>
        </is>
      </c>
      <c r="B485" t="inlineStr">
        <is>
          <t>avverkningsanmälan</t>
        </is>
      </c>
      <c r="C485" t="inlineStr">
        <is>
          <t>Föryngringsavverkning</t>
        </is>
      </c>
      <c r="D485" s="1" t="n">
        <v>45089</v>
      </c>
      <c r="E485" s="1" t="n">
        <v>46292</v>
      </c>
      <c r="F485" t="inlineStr">
        <is>
          <t>GÄVLEBORGS LÄN</t>
        </is>
      </c>
      <c r="G485" t="inlineStr">
        <is>
          <t>LJUSDAL</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43016-2022</t>
        </is>
      </c>
      <c r="B486" t="inlineStr">
        <is>
          <t>avverkningsanmälan</t>
        </is>
      </c>
      <c r="C486" t="inlineStr">
        <is>
          <t>Föryngringsavverkning</t>
        </is>
      </c>
      <c r="D486" s="1" t="n">
        <v>44833</v>
      </c>
      <c r="E486" s="1" t="n">
        <v>46292</v>
      </c>
      <c r="F486" t="inlineStr">
        <is>
          <t>GÄVLEBORGS LÄN</t>
        </is>
      </c>
      <c r="G486" t="inlineStr">
        <is>
          <t>LJUSDAL</t>
        </is>
      </c>
      <c r="H486" t="inlineStr">
        <is>
          <t>Naturvårdsverket</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49855-2023</t>
        </is>
      </c>
      <c r="B487" t="inlineStr">
        <is>
          <t>avverkningsanmälan</t>
        </is>
      </c>
      <c r="C487" t="inlineStr">
        <is>
          <t>Föryngringsavverkning</t>
        </is>
      </c>
      <c r="D487" s="1" t="n">
        <v>45212</v>
      </c>
      <c r="E487" s="1" t="n">
        <v>46292</v>
      </c>
      <c r="F487" t="inlineStr">
        <is>
          <t>GÄVLEBORGS LÄN</t>
        </is>
      </c>
      <c r="G487" t="inlineStr">
        <is>
          <t>LJUSDAL</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26611-2023</t>
        </is>
      </c>
      <c r="B488" t="inlineStr">
        <is>
          <t>avverkningsanmälan</t>
        </is>
      </c>
      <c r="C488" t="inlineStr">
        <is>
          <t>Föryngringsavverkning</t>
        </is>
      </c>
      <c r="D488" s="1" t="n">
        <v>45092</v>
      </c>
      <c r="E488" s="1" t="n">
        <v>46292</v>
      </c>
      <c r="F488" t="inlineStr">
        <is>
          <t>GÄVLEBORGS LÄN</t>
        </is>
      </c>
      <c r="G488" t="inlineStr">
        <is>
          <t>LJUSDAL</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57949-2022</t>
        </is>
      </c>
      <c r="B489" t="inlineStr">
        <is>
          <t>avverkningsanmälan</t>
        </is>
      </c>
      <c r="C489" t="inlineStr">
        <is>
          <t>Föryngringsavverkning</t>
        </is>
      </c>
      <c r="D489" s="1" t="n">
        <v>44900</v>
      </c>
      <c r="E489" s="1" t="n">
        <v>46292</v>
      </c>
      <c r="F489" t="inlineStr">
        <is>
          <t>GÄVLEBORGS LÄN</t>
        </is>
      </c>
      <c r="G489" t="inlineStr">
        <is>
          <t>LJUSDAL</t>
        </is>
      </c>
      <c r="H489" t="inlineStr">
        <is>
          <t>Holmen skog AB</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27512-2023</t>
        </is>
      </c>
      <c r="B490" t="inlineStr">
        <is>
          <t>avverkningsanmälan</t>
        </is>
      </c>
      <c r="C490" t="inlineStr">
        <is>
          <t>Föryngringsavverkning</t>
        </is>
      </c>
      <c r="D490" s="1" t="n">
        <v>45097</v>
      </c>
      <c r="E490" s="1" t="n">
        <v>46292</v>
      </c>
      <c r="F490" t="inlineStr">
        <is>
          <t>GÄVLEBORGS LÄN</t>
        </is>
      </c>
      <c r="G490" t="inlineStr">
        <is>
          <t>LJUSDAL</t>
        </is>
      </c>
      <c r="H490" t="inlineStr">
        <is>
          <t>Holmen skog AB</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26180-2023</t>
        </is>
      </c>
      <c r="B491" t="inlineStr">
        <is>
          <t>avverkningsanmälan</t>
        </is>
      </c>
      <c r="C491" t="inlineStr">
        <is>
          <t>Föryngringsavverkning</t>
        </is>
      </c>
      <c r="D491" s="1" t="n">
        <v>45091</v>
      </c>
      <c r="E491" s="1" t="n">
        <v>46292</v>
      </c>
      <c r="F491" t="inlineStr">
        <is>
          <t>GÄVLEBORGS LÄN</t>
        </is>
      </c>
      <c r="G491" t="inlineStr">
        <is>
          <t>LJUSDAL</t>
        </is>
      </c>
      <c r="H491" t="inlineStr">
        <is>
          <t>Sveaskog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15168-2024</t>
        </is>
      </c>
      <c r="B492" t="inlineStr">
        <is>
          <t>avverkningsanmälan</t>
        </is>
      </c>
      <c r="C492" t="inlineStr">
        <is>
          <t>Föryngringsavverkning</t>
        </is>
      </c>
      <c r="D492" s="1" t="n">
        <v>45400</v>
      </c>
      <c r="E492" s="1" t="n">
        <v>46292</v>
      </c>
      <c r="F492" t="inlineStr">
        <is>
          <t>GÄVLEBORGS LÄN</t>
        </is>
      </c>
      <c r="G492" t="inlineStr">
        <is>
          <t>LJUSDAL</t>
        </is>
      </c>
      <c r="H492" t="inlineStr">
        <is>
          <t>Holmen skog AB</t>
        </is>
      </c>
      <c r="I492" t="n">
        <v>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18971-2025</t>
        </is>
      </c>
      <c r="B493" t="inlineStr">
        <is>
          <t>avverkningsanmälan</t>
        </is>
      </c>
      <c r="C493" t="inlineStr">
        <is>
          <t>Föryngringsavverkning</t>
        </is>
      </c>
      <c r="D493" s="1" t="n">
        <v>45764</v>
      </c>
      <c r="E493" s="1" t="n">
        <v>46292</v>
      </c>
      <c r="F493" t="inlineStr">
        <is>
          <t>GÄVLEBORGS LÄN</t>
        </is>
      </c>
      <c r="G493" t="inlineStr">
        <is>
          <t>LJUSDAL</t>
        </is>
      </c>
      <c r="H493" t="inlineStr">
        <is>
          <t>Sveaskog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58783-2022</t>
        </is>
      </c>
      <c r="B494" t="inlineStr">
        <is>
          <t>avverkningsanmälan</t>
        </is>
      </c>
      <c r="C494" t="inlineStr">
        <is>
          <t>Föryngringsavverkning</t>
        </is>
      </c>
      <c r="D494" s="1" t="n">
        <v>44903</v>
      </c>
      <c r="E494" s="1" t="n">
        <v>46292</v>
      </c>
      <c r="F494" t="inlineStr">
        <is>
          <t>GÄVLEBORGS LÄN</t>
        </is>
      </c>
      <c r="G494" t="inlineStr">
        <is>
          <t>LJUSDAL</t>
        </is>
      </c>
      <c r="H494" t="inlineStr">
        <is>
          <t>Kyrkan</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43423-2022</t>
        </is>
      </c>
      <c r="B495" t="inlineStr">
        <is>
          <t>avverkningsanmälan</t>
        </is>
      </c>
      <c r="C495" t="inlineStr">
        <is>
          <t>Avverkning för att bevara och utveckla /försöksver</t>
        </is>
      </c>
      <c r="D495" s="1" t="n">
        <v>44834</v>
      </c>
      <c r="E495" s="1" t="n">
        <v>46292</v>
      </c>
      <c r="F495" t="inlineStr">
        <is>
          <t>GÄVLEBORGS LÄN</t>
        </is>
      </c>
      <c r="G495" t="inlineStr">
        <is>
          <t>LJUSDAL</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52391-2023</t>
        </is>
      </c>
      <c r="B496" t="inlineStr">
        <is>
          <t>avverkningsanmälan</t>
        </is>
      </c>
      <c r="C496" t="inlineStr">
        <is>
          <t>Föryngringsavverkning</t>
        </is>
      </c>
      <c r="D496" s="1" t="n">
        <v>45224</v>
      </c>
      <c r="E496" s="1" t="n">
        <v>46292</v>
      </c>
      <c r="F496" t="inlineStr">
        <is>
          <t>GÄVLEBORGS LÄN</t>
        </is>
      </c>
      <c r="G496" t="inlineStr">
        <is>
          <t>LJUSDAL</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28272-2023</t>
        </is>
      </c>
      <c r="B497" t="inlineStr">
        <is>
          <t>avverkningsanmälan</t>
        </is>
      </c>
      <c r="C497" t="inlineStr">
        <is>
          <t>Föryngringsavverkning</t>
        </is>
      </c>
      <c r="D497" s="1" t="n">
        <v>45099</v>
      </c>
      <c r="E497" s="1" t="n">
        <v>46292</v>
      </c>
      <c r="F497" t="inlineStr">
        <is>
          <t>GÄVLEBORGS LÄN</t>
        </is>
      </c>
      <c r="G497" t="inlineStr">
        <is>
          <t>LJUSDAL</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23162-2024</t>
        </is>
      </c>
      <c r="B498" t="inlineStr">
        <is>
          <t>avverkningsanmälan</t>
        </is>
      </c>
      <c r="C498" t="inlineStr">
        <is>
          <t>Föryngringsavverkning</t>
        </is>
      </c>
      <c r="D498" s="1" t="n">
        <v>45450</v>
      </c>
      <c r="E498" s="1" t="n">
        <v>46292</v>
      </c>
      <c r="F498" t="inlineStr">
        <is>
          <t>GÄVLEBORGS LÄN</t>
        </is>
      </c>
      <c r="G498" t="inlineStr">
        <is>
          <t>LJUSDAL</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18576-2024</t>
        </is>
      </c>
      <c r="B499" t="inlineStr">
        <is>
          <t>avverkningsanmälan</t>
        </is>
      </c>
      <c r="C499" t="inlineStr">
        <is>
          <t>Föryngringsavverkning</t>
        </is>
      </c>
      <c r="D499" s="1" t="n">
        <v>45425</v>
      </c>
      <c r="E499" s="1" t="n">
        <v>46292</v>
      </c>
      <c r="F499" t="inlineStr">
        <is>
          <t>GÄVLEBORGS LÄN</t>
        </is>
      </c>
      <c r="G499" t="inlineStr">
        <is>
          <t>LJUSDAL</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43668-2024</t>
        </is>
      </c>
      <c r="B500" t="inlineStr">
        <is>
          <t>avverkningsanmälan</t>
        </is>
      </c>
      <c r="C500" t="inlineStr">
        <is>
          <t>Föryngringsavverkning</t>
        </is>
      </c>
      <c r="D500" s="1" t="n">
        <v>45569</v>
      </c>
      <c r="E500" s="1" t="n">
        <v>46292</v>
      </c>
      <c r="F500" t="inlineStr">
        <is>
          <t>GÄVLEBORGS LÄN</t>
        </is>
      </c>
      <c r="G500" t="inlineStr">
        <is>
          <t>LJUSDAL</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21633-2024</t>
        </is>
      </c>
      <c r="B501" t="inlineStr">
        <is>
          <t>avverkningsanmälan</t>
        </is>
      </c>
      <c r="C501" t="inlineStr">
        <is>
          <t>Föryngringsavverkning</t>
        </is>
      </c>
      <c r="D501" s="1" t="n">
        <v>45442</v>
      </c>
      <c r="E501" s="1" t="n">
        <v>46292</v>
      </c>
      <c r="F501" t="inlineStr">
        <is>
          <t>GÄVLEBORGS LÄN</t>
        </is>
      </c>
      <c r="G501" t="inlineStr">
        <is>
          <t>LJUSDAL</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835-2023</t>
        </is>
      </c>
      <c r="B502" t="inlineStr">
        <is>
          <t>avverkningsanmälan</t>
        </is>
      </c>
      <c r="C502" t="inlineStr">
        <is>
          <t>Avverkning för annat ändamål</t>
        </is>
      </c>
      <c r="D502" s="1" t="n">
        <v>44931</v>
      </c>
      <c r="E502" s="1" t="n">
        <v>46292</v>
      </c>
      <c r="F502" t="inlineStr">
        <is>
          <t>GÄVLEBORGS LÄN</t>
        </is>
      </c>
      <c r="G502" t="inlineStr">
        <is>
          <t>LJUSDAL</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21347-2024</t>
        </is>
      </c>
      <c r="B503" t="inlineStr">
        <is>
          <t>avverkningsanmälan</t>
        </is>
      </c>
      <c r="C503" t="inlineStr">
        <is>
          <t>Föryngringsavverkning</t>
        </is>
      </c>
      <c r="D503" s="1" t="n">
        <v>45440</v>
      </c>
      <c r="E503" s="1" t="n">
        <v>46292</v>
      </c>
      <c r="F503" t="inlineStr">
        <is>
          <t>GÄVLEBORGS LÄN</t>
        </is>
      </c>
      <c r="G503" t="inlineStr">
        <is>
          <t>LJUSDAL</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13829-2024</t>
        </is>
      </c>
      <c r="B504" t="inlineStr">
        <is>
          <t>avverkningsanmälan</t>
        </is>
      </c>
      <c r="C504" t="inlineStr">
        <is>
          <t>Föryngringsavverkning</t>
        </is>
      </c>
      <c r="D504" s="1" t="n">
        <v>45391</v>
      </c>
      <c r="E504" s="1" t="n">
        <v>46292</v>
      </c>
      <c r="F504" t="inlineStr">
        <is>
          <t>GÄVLEBORGS LÄN</t>
        </is>
      </c>
      <c r="G504" t="inlineStr">
        <is>
          <t>LJUSDAL</t>
        </is>
      </c>
      <c r="H504" t="inlineStr">
        <is>
          <t>Kommuner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45912-2024</t>
        </is>
      </c>
      <c r="B505" t="inlineStr">
        <is>
          <t>avverkningsanmälan</t>
        </is>
      </c>
      <c r="C505" t="inlineStr">
        <is>
          <t>Föryngringsavverkning</t>
        </is>
      </c>
      <c r="D505" s="1" t="n">
        <v>45580</v>
      </c>
      <c r="E505" s="1" t="n">
        <v>46292</v>
      </c>
      <c r="F505" t="inlineStr">
        <is>
          <t>GÄVLEBORGS LÄN</t>
        </is>
      </c>
      <c r="G505" t="inlineStr">
        <is>
          <t>LJUSDAL</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20787-2024</t>
        </is>
      </c>
      <c r="B506" t="inlineStr">
        <is>
          <t>avverkningsanmälan</t>
        </is>
      </c>
      <c r="C506" t="inlineStr">
        <is>
          <t>Föryngringsavverkning</t>
        </is>
      </c>
      <c r="D506" s="1" t="n">
        <v>45438</v>
      </c>
      <c r="E506" s="1" t="n">
        <v>46292</v>
      </c>
      <c r="F506" t="inlineStr">
        <is>
          <t>GÄVLEBORGS LÄN</t>
        </is>
      </c>
      <c r="G506" t="inlineStr">
        <is>
          <t>LJUSDAL</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42964-2022</t>
        </is>
      </c>
      <c r="B507" t="inlineStr">
        <is>
          <t>avverkningsanmälan</t>
        </is>
      </c>
      <c r="C507" t="inlineStr">
        <is>
          <t>Föryngringsavverkning</t>
        </is>
      </c>
      <c r="D507" s="1" t="n">
        <v>44833</v>
      </c>
      <c r="E507" s="1" t="n">
        <v>46292</v>
      </c>
      <c r="F507" t="inlineStr">
        <is>
          <t>GÄVLEBORGS LÄN</t>
        </is>
      </c>
      <c r="G507" t="inlineStr">
        <is>
          <t>LJUSDAL</t>
        </is>
      </c>
      <c r="H507" t="inlineStr">
        <is>
          <t>Bergvik skog väst AB</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23284-2024</t>
        </is>
      </c>
      <c r="B508" t="inlineStr">
        <is>
          <t>avverkningsanmälan</t>
        </is>
      </c>
      <c r="C508" t="inlineStr">
        <is>
          <t>Föryngringsavverkning</t>
        </is>
      </c>
      <c r="D508" s="1" t="n">
        <v>45453</v>
      </c>
      <c r="E508" s="1" t="n">
        <v>46292</v>
      </c>
      <c r="F508" t="inlineStr">
        <is>
          <t>GÄVLEBORGS LÄN</t>
        </is>
      </c>
      <c r="G508" t="inlineStr">
        <is>
          <t>LJUSDAL</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64019-2023</t>
        </is>
      </c>
      <c r="B509" t="inlineStr">
        <is>
          <t>avverkningsanmälan</t>
        </is>
      </c>
      <c r="C509" t="inlineStr">
        <is>
          <t>Föryngringsavverkning</t>
        </is>
      </c>
      <c r="D509" s="1" t="n">
        <v>45278</v>
      </c>
      <c r="E509" s="1" t="n">
        <v>46292</v>
      </c>
      <c r="F509" t="inlineStr">
        <is>
          <t>GÄVLEBORGS LÄN</t>
        </is>
      </c>
      <c r="G509" t="inlineStr">
        <is>
          <t>LJUSDAL</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53852-2023</t>
        </is>
      </c>
      <c r="B510" t="inlineStr">
        <is>
          <t>avverkningsanmälan</t>
        </is>
      </c>
      <c r="C510" t="inlineStr">
        <is>
          <t>Föryngringsavverkning</t>
        </is>
      </c>
      <c r="D510" s="1" t="n">
        <v>45231</v>
      </c>
      <c r="E510" s="1" t="n">
        <v>46292</v>
      </c>
      <c r="F510" t="inlineStr">
        <is>
          <t>GÄVLEBORGS LÄN</t>
        </is>
      </c>
      <c r="G510" t="inlineStr">
        <is>
          <t>LJUSDAL</t>
        </is>
      </c>
      <c r="I510" t="n">
        <v>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3434-2024</t>
        </is>
      </c>
      <c r="B511" t="inlineStr">
        <is>
          <t>avverkningsanmälan</t>
        </is>
      </c>
      <c r="C511" t="inlineStr">
        <is>
          <t>Föryngringsavverkning</t>
        </is>
      </c>
      <c r="D511" s="1" t="n">
        <v>45320</v>
      </c>
      <c r="E511" s="1" t="n">
        <v>46292</v>
      </c>
      <c r="F511" t="inlineStr">
        <is>
          <t>GÄVLEBORGS LÄN</t>
        </is>
      </c>
      <c r="G511" t="inlineStr">
        <is>
          <t>LJUSDAL</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60197-2023</t>
        </is>
      </c>
      <c r="B512" t="inlineStr">
        <is>
          <t>avverkningsanmälan</t>
        </is>
      </c>
      <c r="C512" t="inlineStr">
        <is>
          <t>Föryngringsavverkning</t>
        </is>
      </c>
      <c r="D512" s="1" t="n">
        <v>45258</v>
      </c>
      <c r="E512" s="1" t="n">
        <v>46292</v>
      </c>
      <c r="F512" t="inlineStr">
        <is>
          <t>GÄVLEBORGS LÄN</t>
        </is>
      </c>
      <c r="G512" t="inlineStr">
        <is>
          <t>LJUSDAL</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29439-2023</t>
        </is>
      </c>
      <c r="B513" t="inlineStr">
        <is>
          <t>avverkningsanmälan</t>
        </is>
      </c>
      <c r="C513" t="inlineStr">
        <is>
          <t>Avverkning för annat ändamål</t>
        </is>
      </c>
      <c r="D513" s="1" t="n">
        <v>45106</v>
      </c>
      <c r="E513" s="1" t="n">
        <v>46292</v>
      </c>
      <c r="F513" t="inlineStr">
        <is>
          <t>GÄVLEBORGS LÄN</t>
        </is>
      </c>
      <c r="G513" t="inlineStr">
        <is>
          <t>LJUSDAL</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4095-2024</t>
        </is>
      </c>
      <c r="B514" t="inlineStr">
        <is>
          <t>avverkningsanmälan</t>
        </is>
      </c>
      <c r="C514" t="inlineStr">
        <is>
          <t>Föryngringsavverkning</t>
        </is>
      </c>
      <c r="D514" s="1" t="n">
        <v>45323</v>
      </c>
      <c r="E514" s="1" t="n">
        <v>46292</v>
      </c>
      <c r="F514" t="inlineStr">
        <is>
          <t>GÄVLEBORGS LÄN</t>
        </is>
      </c>
      <c r="G514" t="inlineStr">
        <is>
          <t>LJUSDAL</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38573-2025</t>
        </is>
      </c>
      <c r="B515" t="inlineStr">
        <is>
          <t>avverkningsanmälan</t>
        </is>
      </c>
      <c r="C515" t="inlineStr">
        <is>
          <t>Föryngringsavverkning</t>
        </is>
      </c>
      <c r="D515" s="1" t="n">
        <v>45884</v>
      </c>
      <c r="E515" s="1" t="n">
        <v>46292</v>
      </c>
      <c r="F515" t="inlineStr">
        <is>
          <t>GÄVLEBORGS LÄN</t>
        </is>
      </c>
      <c r="G515" t="inlineStr">
        <is>
          <t>LJUSDAL</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26631-2024</t>
        </is>
      </c>
      <c r="B516" t="inlineStr">
        <is>
          <t>avverkningsanmälan</t>
        </is>
      </c>
      <c r="C516" t="inlineStr">
        <is>
          <t>Föryngringsavverkning</t>
        </is>
      </c>
      <c r="D516" s="1" t="n">
        <v>45469</v>
      </c>
      <c r="E516" s="1" t="n">
        <v>46292</v>
      </c>
      <c r="F516" t="inlineStr">
        <is>
          <t>GÄVLEBORGS LÄN</t>
        </is>
      </c>
      <c r="G516" t="inlineStr">
        <is>
          <t>LJUSDAL</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63583-2025</t>
        </is>
      </c>
      <c r="B517" t="inlineStr">
        <is>
          <t>avverkningsanmälan</t>
        </is>
      </c>
      <c r="C517" t="inlineStr">
        <is>
          <t>Avverkning för annat ändamål</t>
        </is>
      </c>
      <c r="D517" s="1" t="n">
        <v>46013</v>
      </c>
      <c r="E517" s="1" t="n">
        <v>46292</v>
      </c>
      <c r="F517" t="inlineStr">
        <is>
          <t>GÄVLEBORGS LÄN</t>
        </is>
      </c>
      <c r="G517" t="inlineStr">
        <is>
          <t>LJUSDAL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63653-2025</t>
        </is>
      </c>
      <c r="B518" t="inlineStr">
        <is>
          <t>avverkningsanmälan</t>
        </is>
      </c>
      <c r="C518" t="inlineStr">
        <is>
          <t>Föryngringsavverkning</t>
        </is>
      </c>
      <c r="D518" s="1" t="n">
        <v>46014</v>
      </c>
      <c r="E518" s="1" t="n">
        <v>46292</v>
      </c>
      <c r="F518" t="inlineStr">
        <is>
          <t>GÄVLEBORGS LÄN</t>
        </is>
      </c>
      <c r="G518" t="inlineStr">
        <is>
          <t>LJUSDAL</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48580-2024</t>
        </is>
      </c>
      <c r="B519" t="inlineStr">
        <is>
          <t>avverkningsanmälan</t>
        </is>
      </c>
      <c r="C519" t="inlineStr">
        <is>
          <t>Föryngringsavverkning</t>
        </is>
      </c>
      <c r="D519" s="1" t="n">
        <v>45593</v>
      </c>
      <c r="E519" s="1" t="n">
        <v>46292</v>
      </c>
      <c r="F519" t="inlineStr">
        <is>
          <t>GÄVLEBORGS LÄN</t>
        </is>
      </c>
      <c r="G519" t="inlineStr">
        <is>
          <t>LJUSDAL</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32360-2024</t>
        </is>
      </c>
      <c r="B520" t="inlineStr">
        <is>
          <t>avverkningsanmälan</t>
        </is>
      </c>
      <c r="C520" t="inlineStr">
        <is>
          <t>Föryngringsavverkning</t>
        </is>
      </c>
      <c r="D520" s="1" t="n">
        <v>45512</v>
      </c>
      <c r="E520" s="1" t="n">
        <v>46292</v>
      </c>
      <c r="F520" t="inlineStr">
        <is>
          <t>GÄVLEBORGS LÄN</t>
        </is>
      </c>
      <c r="G520" t="inlineStr">
        <is>
          <t>LJUSDAL</t>
        </is>
      </c>
      <c r="H520" t="inlineStr">
        <is>
          <t>Sveaskog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26073-2024</t>
        </is>
      </c>
      <c r="B521" t="inlineStr">
        <is>
          <t>avverkningsanmälan</t>
        </is>
      </c>
      <c r="C521" t="inlineStr">
        <is>
          <t>Föryngringsavverkning</t>
        </is>
      </c>
      <c r="D521" s="1" t="n">
        <v>45468</v>
      </c>
      <c r="E521" s="1" t="n">
        <v>46292</v>
      </c>
      <c r="F521" t="inlineStr">
        <is>
          <t>GÄVLEBORGS LÄN</t>
        </is>
      </c>
      <c r="G521" t="inlineStr">
        <is>
          <t>LJUSDAL</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26078-2024</t>
        </is>
      </c>
      <c r="B522" t="inlineStr">
        <is>
          <t>avverkningsanmälan</t>
        </is>
      </c>
      <c r="C522" t="inlineStr">
        <is>
          <t>Föryngringsavverkning</t>
        </is>
      </c>
      <c r="D522" s="1" t="n">
        <v>45468</v>
      </c>
      <c r="E522" s="1" t="n">
        <v>46292</v>
      </c>
      <c r="F522" t="inlineStr">
        <is>
          <t>GÄVLEBORGS LÄN</t>
        </is>
      </c>
      <c r="G522" t="inlineStr">
        <is>
          <t>LJUSDAL</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4420-2024</t>
        </is>
      </c>
      <c r="B523" t="inlineStr">
        <is>
          <t>avverkningsanmälan</t>
        </is>
      </c>
      <c r="C523" t="inlineStr">
        <is>
          <t>Avverkning för annat ändamål</t>
        </is>
      </c>
      <c r="D523" s="1" t="n">
        <v>45327</v>
      </c>
      <c r="E523" s="1" t="n">
        <v>46292</v>
      </c>
      <c r="F523" t="inlineStr">
        <is>
          <t>GÄVLEBORGS LÄN</t>
        </is>
      </c>
      <c r="G523" t="inlineStr">
        <is>
          <t>LJUSDAL</t>
        </is>
      </c>
      <c r="H523" t="inlineStr">
        <is>
          <t>Holmen skog AB</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38359-2025</t>
        </is>
      </c>
      <c r="B524" t="inlineStr">
        <is>
          <t>avverkningsanmälan</t>
        </is>
      </c>
      <c r="C524" t="inlineStr">
        <is>
          <t>Föryngringsavverkning</t>
        </is>
      </c>
      <c r="D524" s="1" t="n">
        <v>45883</v>
      </c>
      <c r="E524" s="1" t="n">
        <v>46292</v>
      </c>
      <c r="F524" t="inlineStr">
        <is>
          <t>GÄVLEBORGS LÄN</t>
        </is>
      </c>
      <c r="G524" t="inlineStr">
        <is>
          <t>LJUSDAL</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62361-2025</t>
        </is>
      </c>
      <c r="B525" t="inlineStr">
        <is>
          <t>avverkningsanmälan</t>
        </is>
      </c>
      <c r="C525" t="inlineStr">
        <is>
          <t>Föryngringsavverkning</t>
        </is>
      </c>
      <c r="D525" s="1" t="n">
        <v>46007</v>
      </c>
      <c r="E525" s="1" t="n">
        <v>46292</v>
      </c>
      <c r="F525" t="inlineStr">
        <is>
          <t>GÄVLEBORGS LÄN</t>
        </is>
      </c>
      <c r="G525" t="inlineStr">
        <is>
          <t>LJUSDAL</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63979-2025</t>
        </is>
      </c>
      <c r="B526" t="inlineStr">
        <is>
          <t>avverkningsanmälan</t>
        </is>
      </c>
      <c r="C526" t="inlineStr">
        <is>
          <t>Föryngringsavverkning</t>
        </is>
      </c>
      <c r="D526" s="1" t="n">
        <v>46021</v>
      </c>
      <c r="E526" s="1" t="n">
        <v>46292</v>
      </c>
      <c r="F526" t="inlineStr">
        <is>
          <t>GÄVLEBORGS LÄN</t>
        </is>
      </c>
      <c r="G526" t="inlineStr">
        <is>
          <t>LJUSDAL</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119-2026</t>
        </is>
      </c>
      <c r="B527" t="inlineStr">
        <is>
          <t>avverkningsanmälan</t>
        </is>
      </c>
      <c r="C527" t="inlineStr">
        <is>
          <t>Föryngringsavverkning</t>
        </is>
      </c>
      <c r="D527" s="1" t="n">
        <v>46024</v>
      </c>
      <c r="E527" s="1" t="n">
        <v>46292</v>
      </c>
      <c r="F527" t="inlineStr">
        <is>
          <t>GÄVLEBORGS LÄN</t>
        </is>
      </c>
      <c r="G527" t="inlineStr">
        <is>
          <t>LJUSDAL</t>
        </is>
      </c>
      <c r="H527" t="inlineStr">
        <is>
          <t>Övriga Aktiebolag</t>
        </is>
      </c>
      <c r="I527" t="n">
        <v>8.300000000000001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38642-2025</t>
        </is>
      </c>
      <c r="B528" t="inlineStr">
        <is>
          <t>avverkningsanmälan</t>
        </is>
      </c>
      <c r="C528" t="inlineStr">
        <is>
          <t>Föryngringsavverkning</t>
        </is>
      </c>
      <c r="D528" s="1" t="n">
        <v>45884</v>
      </c>
      <c r="E528" s="1" t="n">
        <v>46292</v>
      </c>
      <c r="F528" t="inlineStr">
        <is>
          <t>GÄVLEBORGS LÄN</t>
        </is>
      </c>
      <c r="G528" t="inlineStr">
        <is>
          <t>LJUSDAL</t>
        </is>
      </c>
      <c r="H528" t="inlineStr">
        <is>
          <t>Allmännings- och besparingsskogar</t>
        </is>
      </c>
      <c r="I528" t="n">
        <v>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113-2026</t>
        </is>
      </c>
      <c r="B529" t="inlineStr">
        <is>
          <t>avverkningsanmälan</t>
        </is>
      </c>
      <c r="C529" t="inlineStr">
        <is>
          <t>Föryngringsavverkning</t>
        </is>
      </c>
      <c r="D529" s="1" t="n">
        <v>46024</v>
      </c>
      <c r="E529" s="1" t="n">
        <v>46292</v>
      </c>
      <c r="F529" t="inlineStr">
        <is>
          <t>GÄVLEBORGS LÄN</t>
        </is>
      </c>
      <c r="G529" t="inlineStr">
        <is>
          <t>LJUSDAL</t>
        </is>
      </c>
      <c r="H529" t="inlineStr">
        <is>
          <t>Övriga Aktiebolag</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110-2026</t>
        </is>
      </c>
      <c r="B530" t="inlineStr">
        <is>
          <t>avverkningsanmälan</t>
        </is>
      </c>
      <c r="C530" t="inlineStr">
        <is>
          <t>Föryngringsavverkning</t>
        </is>
      </c>
      <c r="D530" s="1" t="n">
        <v>46024</v>
      </c>
      <c r="E530" s="1" t="n">
        <v>46292</v>
      </c>
      <c r="F530" t="inlineStr">
        <is>
          <t>GÄVLEBORGS LÄN</t>
        </is>
      </c>
      <c r="G530" t="inlineStr">
        <is>
          <t>LJUSDAL</t>
        </is>
      </c>
      <c r="H530" t="inlineStr">
        <is>
          <t>Övriga Aktiebolag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48-2026</t>
        </is>
      </c>
      <c r="B531" t="inlineStr">
        <is>
          <t>avverkningsanmälan</t>
        </is>
      </c>
      <c r="C531" t="inlineStr">
        <is>
          <t>Föryngringsavverkning</t>
        </is>
      </c>
      <c r="D531" s="1" t="n">
        <v>46024</v>
      </c>
      <c r="E531" s="1" t="n">
        <v>46292</v>
      </c>
      <c r="F531" t="inlineStr">
        <is>
          <t>GÄVLEBORGS LÄN</t>
        </is>
      </c>
      <c r="G531" t="inlineStr">
        <is>
          <t>LJUSDAL</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48870-2023</t>
        </is>
      </c>
      <c r="B532" t="inlineStr">
        <is>
          <t>avverkningsanmälan</t>
        </is>
      </c>
      <c r="C532" t="inlineStr">
        <is>
          <t>Föryngringsavverkning</t>
        </is>
      </c>
      <c r="D532" s="1" t="n">
        <v>45209</v>
      </c>
      <c r="E532" s="1" t="n">
        <v>46292</v>
      </c>
      <c r="F532" t="inlineStr">
        <is>
          <t>GÄVLEBORGS LÄN</t>
        </is>
      </c>
      <c r="G532" t="inlineStr">
        <is>
          <t>LJUSDAL</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28024-2024</t>
        </is>
      </c>
      <c r="B533" t="inlineStr">
        <is>
          <t>avverkningsanmälan</t>
        </is>
      </c>
      <c r="C533" t="inlineStr">
        <is>
          <t>Föryngringsavverkning</t>
        </is>
      </c>
      <c r="D533" s="1" t="n">
        <v>45476</v>
      </c>
      <c r="E533" s="1" t="n">
        <v>46292</v>
      </c>
      <c r="F533" t="inlineStr">
        <is>
          <t>GÄVLEBORGS LÄN</t>
        </is>
      </c>
      <c r="G533" t="inlineStr">
        <is>
          <t>LJUSDAL</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60957-2023</t>
        </is>
      </c>
      <c r="B534" t="inlineStr">
        <is>
          <t>avverkningsanmälan</t>
        </is>
      </c>
      <c r="C534" t="inlineStr">
        <is>
          <t>Föryngringsavverkning</t>
        </is>
      </c>
      <c r="D534" s="1" t="n">
        <v>45261</v>
      </c>
      <c r="E534" s="1" t="n">
        <v>46292</v>
      </c>
      <c r="F534" t="inlineStr">
        <is>
          <t>GÄVLEBORGS LÄN</t>
        </is>
      </c>
      <c r="G534" t="inlineStr">
        <is>
          <t>LJUSDAL</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714-2026</t>
        </is>
      </c>
      <c r="B535" t="inlineStr">
        <is>
          <t>avverkningsanmälan</t>
        </is>
      </c>
      <c r="C535" t="inlineStr">
        <is>
          <t>Föryngringsavverkning</t>
        </is>
      </c>
      <c r="D535" s="1" t="n">
        <v>46029</v>
      </c>
      <c r="E535" s="1" t="n">
        <v>46292</v>
      </c>
      <c r="F535" t="inlineStr">
        <is>
          <t>GÄVLEBORGS LÄN</t>
        </is>
      </c>
      <c r="G535" t="inlineStr">
        <is>
          <t>LJUSDAL</t>
        </is>
      </c>
      <c r="I535" t="n">
        <v>23.3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471-2026</t>
        </is>
      </c>
      <c r="B536" t="inlineStr">
        <is>
          <t>avverkningsanmälan</t>
        </is>
      </c>
      <c r="C536" t="inlineStr">
        <is>
          <t>Föryngringsavverkning</t>
        </is>
      </c>
      <c r="D536" s="1" t="n">
        <v>46029</v>
      </c>
      <c r="E536" s="1" t="n">
        <v>46292</v>
      </c>
      <c r="F536" t="inlineStr">
        <is>
          <t>GÄVLEBORGS LÄN</t>
        </is>
      </c>
      <c r="G536" t="inlineStr">
        <is>
          <t>LJUSDAL</t>
        </is>
      </c>
      <c r="I536" t="n">
        <v>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57-2024</t>
        </is>
      </c>
      <c r="B537" t="inlineStr">
        <is>
          <t>avverkningsanmälan</t>
        </is>
      </c>
      <c r="C537" t="inlineStr">
        <is>
          <t>Föryngringsavverkning</t>
        </is>
      </c>
      <c r="D537" s="1" t="n">
        <v>45293</v>
      </c>
      <c r="E537" s="1" t="n">
        <v>46292</v>
      </c>
      <c r="F537" t="inlineStr">
        <is>
          <t>GÄVLEBORGS LÄN</t>
        </is>
      </c>
      <c r="G537" t="inlineStr">
        <is>
          <t>LJUSDAL</t>
        </is>
      </c>
      <c r="H537" t="inlineStr">
        <is>
          <t>Holmen skog AB</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54349-2022</t>
        </is>
      </c>
      <c r="B538" t="inlineStr">
        <is>
          <t>avverkningsanmälan</t>
        </is>
      </c>
      <c r="C538" t="inlineStr">
        <is>
          <t>Föryngringsavverkning</t>
        </is>
      </c>
      <c r="D538" s="1" t="n">
        <v>44882</v>
      </c>
      <c r="E538" s="1" t="n">
        <v>46292</v>
      </c>
      <c r="F538" t="inlineStr">
        <is>
          <t>GÄVLEBORGS LÄN</t>
        </is>
      </c>
      <c r="G538" t="inlineStr">
        <is>
          <t>LJUSDAL</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727-2026</t>
        </is>
      </c>
      <c r="B539" t="inlineStr">
        <is>
          <t>avverkningsanmälan</t>
        </is>
      </c>
      <c r="C539" t="inlineStr">
        <is>
          <t>Föryngringsavverkning</t>
        </is>
      </c>
      <c r="D539" s="1" t="n">
        <v>46029</v>
      </c>
      <c r="E539" s="1" t="n">
        <v>46292</v>
      </c>
      <c r="F539" t="inlineStr">
        <is>
          <t>GÄVLEBORGS LÄN</t>
        </is>
      </c>
      <c r="G539" t="inlineStr">
        <is>
          <t>LJUSDAL</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52722-2024</t>
        </is>
      </c>
      <c r="B540" t="inlineStr">
        <is>
          <t>avverkningsanmälan</t>
        </is>
      </c>
      <c r="C540" t="inlineStr">
        <is>
          <t>Föryngringsavverkning</t>
        </is>
      </c>
      <c r="D540" s="1" t="n">
        <v>45610</v>
      </c>
      <c r="E540" s="1" t="n">
        <v>46292</v>
      </c>
      <c r="F540" t="inlineStr">
        <is>
          <t>GÄVLEBORGS LÄN</t>
        </is>
      </c>
      <c r="G540" t="inlineStr">
        <is>
          <t>LJUSDAL</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3289-2023</t>
        </is>
      </c>
      <c r="B541" t="inlineStr">
        <is>
          <t>avverkningsanmälan</t>
        </is>
      </c>
      <c r="C541" t="inlineStr">
        <is>
          <t>Föryngringsavverkning</t>
        </is>
      </c>
      <c r="D541" s="1" t="n">
        <v>44949</v>
      </c>
      <c r="E541" s="1" t="n">
        <v>46292</v>
      </c>
      <c r="F541" t="inlineStr">
        <is>
          <t>GÄVLEBORGS LÄN</t>
        </is>
      </c>
      <c r="G541" t="inlineStr">
        <is>
          <t>LJUSDAL</t>
        </is>
      </c>
      <c r="H541" t="inlineStr">
        <is>
          <t>Holmen skog AB</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40695-2023</t>
        </is>
      </c>
      <c r="B542" t="inlineStr">
        <is>
          <t>avverkningsanmälan</t>
        </is>
      </c>
      <c r="C542" t="inlineStr">
        <is>
          <t>Föryngringsavverkning</t>
        </is>
      </c>
      <c r="D542" s="1" t="n">
        <v>45170</v>
      </c>
      <c r="E542" s="1" t="n">
        <v>46292</v>
      </c>
      <c r="F542" t="inlineStr">
        <is>
          <t>GÄVLEBORGS LÄN</t>
        </is>
      </c>
      <c r="G542" t="inlineStr">
        <is>
          <t>LJUSDAL</t>
        </is>
      </c>
      <c r="H542" t="inlineStr">
        <is>
          <t>Holmen skog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24405-2025</t>
        </is>
      </c>
      <c r="B543" t="inlineStr">
        <is>
          <t>avverkningsanmälan</t>
        </is>
      </c>
      <c r="C543" t="inlineStr">
        <is>
          <t>Föryngringsavverkning</t>
        </is>
      </c>
      <c r="D543" s="1" t="n">
        <v>45797</v>
      </c>
      <c r="E543" s="1" t="n">
        <v>46292</v>
      </c>
      <c r="F543" t="inlineStr">
        <is>
          <t>GÄVLEBORGS LÄN</t>
        </is>
      </c>
      <c r="G543" t="inlineStr">
        <is>
          <t>LJUSDAL</t>
        </is>
      </c>
      <c r="I543" t="n">
        <v>9.1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52626-2022</t>
        </is>
      </c>
      <c r="B544" t="inlineStr">
        <is>
          <t>avverkningsanmälan</t>
        </is>
      </c>
      <c r="C544" t="inlineStr">
        <is>
          <t>Föryngringsavverkning</t>
        </is>
      </c>
      <c r="D544" s="1" t="n">
        <v>44874</v>
      </c>
      <c r="E544" s="1" t="n">
        <v>46292</v>
      </c>
      <c r="F544" t="inlineStr">
        <is>
          <t>GÄVLEBORGS LÄN</t>
        </is>
      </c>
      <c r="G544" t="inlineStr">
        <is>
          <t>LJUSDAL</t>
        </is>
      </c>
      <c r="H544" t="inlineStr">
        <is>
          <t>Kyrkan</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67380-2021</t>
        </is>
      </c>
      <c r="B545" t="inlineStr">
        <is>
          <t>avverkningsanmälan</t>
        </is>
      </c>
      <c r="C545" t="inlineStr">
        <is>
          <t>Avverkning för annat ändamål</t>
        </is>
      </c>
      <c r="D545" s="1" t="n">
        <v>44523</v>
      </c>
      <c r="E545" s="1" t="n">
        <v>46292</v>
      </c>
      <c r="F545" t="inlineStr">
        <is>
          <t>GÄVLEBORGS LÄN</t>
        </is>
      </c>
      <c r="G545" t="inlineStr">
        <is>
          <t>LJUSDAL</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32287-2023</t>
        </is>
      </c>
      <c r="B546" t="inlineStr">
        <is>
          <t>avverkningsanmälan</t>
        </is>
      </c>
      <c r="C546" t="inlineStr">
        <is>
          <t>Föryngringsavverkning</t>
        </is>
      </c>
      <c r="D546" s="1" t="n">
        <v>45107</v>
      </c>
      <c r="E546" s="1" t="n">
        <v>46292</v>
      </c>
      <c r="F546" t="inlineStr">
        <is>
          <t>GÄVLEBORGS LÄN</t>
        </is>
      </c>
      <c r="G546" t="inlineStr">
        <is>
          <t>LJUSDAL</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24452-2025</t>
        </is>
      </c>
      <c r="B547" t="inlineStr">
        <is>
          <t>avverkningsanmälan</t>
        </is>
      </c>
      <c r="C547" t="inlineStr">
        <is>
          <t>Föryngringsavverkning</t>
        </is>
      </c>
      <c r="D547" s="1" t="n">
        <v>45798</v>
      </c>
      <c r="E547" s="1" t="n">
        <v>46292</v>
      </c>
      <c r="F547" t="inlineStr">
        <is>
          <t>GÄVLEBORGS LÄN</t>
        </is>
      </c>
      <c r="G547" t="inlineStr">
        <is>
          <t>LJUSDAL</t>
        </is>
      </c>
      <c r="H547" t="inlineStr">
        <is>
          <t>Holmen skog AB</t>
        </is>
      </c>
      <c r="I547" t="n">
        <v>19.7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24398-2025</t>
        </is>
      </c>
      <c r="B548" t="inlineStr">
        <is>
          <t>avverkningsanmälan</t>
        </is>
      </c>
      <c r="C548" t="inlineStr">
        <is>
          <t>Föryngringsavverkning</t>
        </is>
      </c>
      <c r="D548" s="1" t="n">
        <v>45797</v>
      </c>
      <c r="E548" s="1" t="n">
        <v>46292</v>
      </c>
      <c r="F548" t="inlineStr">
        <is>
          <t>GÄVLEBORGS LÄN</t>
        </is>
      </c>
      <c r="G548" t="inlineStr">
        <is>
          <t>LJUSDAL</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881-2026</t>
        </is>
      </c>
      <c r="B549" t="inlineStr">
        <is>
          <t>avverkningsanmälan</t>
        </is>
      </c>
      <c r="C549" t="inlineStr">
        <is>
          <t>Föryngringsavverkning</t>
        </is>
      </c>
      <c r="D549" s="1" t="n">
        <v>46030</v>
      </c>
      <c r="E549" s="1" t="n">
        <v>46292</v>
      </c>
      <c r="F549" t="inlineStr">
        <is>
          <t>GÄVLEBORGS LÄN</t>
        </is>
      </c>
      <c r="G549" t="inlineStr">
        <is>
          <t>LJUSDAL</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24286-2025</t>
        </is>
      </c>
      <c r="B550" t="inlineStr">
        <is>
          <t>avverkningsanmälan</t>
        </is>
      </c>
      <c r="C550" t="inlineStr">
        <is>
          <t>Föryngringsavverkning</t>
        </is>
      </c>
      <c r="D550" s="1" t="n">
        <v>45797</v>
      </c>
      <c r="E550" s="1" t="n">
        <v>46292</v>
      </c>
      <c r="F550" t="inlineStr">
        <is>
          <t>GÄVLEBORGS LÄN</t>
        </is>
      </c>
      <c r="G550" t="inlineStr">
        <is>
          <t>LJUSDAL</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1245-2026</t>
        </is>
      </c>
      <c r="B551" t="inlineStr">
        <is>
          <t>avverkningsanmälan</t>
        </is>
      </c>
      <c r="C551" t="inlineStr">
        <is>
          <t>Föryngringsavverkning</t>
        </is>
      </c>
      <c r="D551" s="1" t="n">
        <v>46031</v>
      </c>
      <c r="E551" s="1" t="n">
        <v>46292</v>
      </c>
      <c r="F551" t="inlineStr">
        <is>
          <t>GÄVLEBORGS LÄN</t>
        </is>
      </c>
      <c r="G551" t="inlineStr">
        <is>
          <t>LJUSDAL</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1396-2026</t>
        </is>
      </c>
      <c r="B552" t="inlineStr">
        <is>
          <t>avverkningsanmälan</t>
        </is>
      </c>
      <c r="C552" t="inlineStr">
        <is>
          <t>Föryngringsavverkning</t>
        </is>
      </c>
      <c r="D552" s="1" t="n">
        <v>46031</v>
      </c>
      <c r="E552" s="1" t="n">
        <v>46292</v>
      </c>
      <c r="F552" t="inlineStr">
        <is>
          <t>GÄVLEBORGS LÄN</t>
        </is>
      </c>
      <c r="G552" t="inlineStr">
        <is>
          <t>LJUSDAL</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1251-2026</t>
        </is>
      </c>
      <c r="B553" t="inlineStr">
        <is>
          <t>avverkningsanmälan</t>
        </is>
      </c>
      <c r="C553" t="inlineStr">
        <is>
          <t>Föryngringsavverkning</t>
        </is>
      </c>
      <c r="D553" s="1" t="n">
        <v>46031</v>
      </c>
      <c r="E553" s="1" t="n">
        <v>46292</v>
      </c>
      <c r="F553" t="inlineStr">
        <is>
          <t>GÄVLEBORGS LÄN</t>
        </is>
      </c>
      <c r="G553" t="inlineStr">
        <is>
          <t>LJUSDAL</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67380-2021</t>
        </is>
      </c>
      <c r="B554" t="inlineStr">
        <is>
          <t>avverkningsanmälan</t>
        </is>
      </c>
      <c r="C554" t="inlineStr">
        <is>
          <t>Avverkning för annat ändamål</t>
        </is>
      </c>
      <c r="D554" s="1" t="n">
        <v>44523</v>
      </c>
      <c r="E554" s="1" t="n">
        <v>46292</v>
      </c>
      <c r="F554" t="inlineStr">
        <is>
          <t>GÄVLEBORGS LÄN</t>
        </is>
      </c>
      <c r="G554" t="inlineStr">
        <is>
          <t>LJUSDAL</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39108-2025</t>
        </is>
      </c>
      <c r="B555" t="inlineStr">
        <is>
          <t>avverkningsanmälan</t>
        </is>
      </c>
      <c r="C555" t="inlineStr">
        <is>
          <t>Föryngringsavverkning</t>
        </is>
      </c>
      <c r="D555" s="1" t="n">
        <v>45888</v>
      </c>
      <c r="E555" s="1" t="n">
        <v>46292</v>
      </c>
      <c r="F555" t="inlineStr">
        <is>
          <t>GÄVLEBORGS LÄN</t>
        </is>
      </c>
      <c r="G555" t="inlineStr">
        <is>
          <t>LJUSDAL</t>
        </is>
      </c>
      <c r="H555" t="inlineStr">
        <is>
          <t>Allmännings- och besparingsskogar</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1239-2026</t>
        </is>
      </c>
      <c r="B556" t="inlineStr">
        <is>
          <t>avverkningsanmälan</t>
        </is>
      </c>
      <c r="C556" t="inlineStr">
        <is>
          <t>Föryngringsavverkning</t>
        </is>
      </c>
      <c r="D556" s="1" t="n">
        <v>46031</v>
      </c>
      <c r="E556" s="1" t="n">
        <v>46292</v>
      </c>
      <c r="F556" t="inlineStr">
        <is>
          <t>GÄVLEBORGS LÄN</t>
        </is>
      </c>
      <c r="G556" t="inlineStr">
        <is>
          <t>LJUSDAL</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39012-2025</t>
        </is>
      </c>
      <c r="B557" t="inlineStr">
        <is>
          <t>avverkningsanmälan</t>
        </is>
      </c>
      <c r="C557" t="inlineStr">
        <is>
          <t>Föryngringsavverkning</t>
        </is>
      </c>
      <c r="D557" s="1" t="n">
        <v>45888</v>
      </c>
      <c r="E557" s="1" t="n">
        <v>46292</v>
      </c>
      <c r="F557" t="inlineStr">
        <is>
          <t>GÄVLEBORGS LÄN</t>
        </is>
      </c>
      <c r="G557" t="inlineStr">
        <is>
          <t>LJUSDAL</t>
        </is>
      </c>
      <c r="H557" t="inlineStr">
        <is>
          <t>Allmännings- och besparingsskogar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1240-2026</t>
        </is>
      </c>
      <c r="B558" t="inlineStr">
        <is>
          <t>avverkningsanmälan</t>
        </is>
      </c>
      <c r="C558" t="inlineStr">
        <is>
          <t>Föryngringsavverkning</t>
        </is>
      </c>
      <c r="D558" s="1" t="n">
        <v>46031</v>
      </c>
      <c r="E558" s="1" t="n">
        <v>46292</v>
      </c>
      <c r="F558" t="inlineStr">
        <is>
          <t>GÄVLEBORGS LÄN</t>
        </is>
      </c>
      <c r="G558" t="inlineStr">
        <is>
          <t>LJUSDAL</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39051-2025</t>
        </is>
      </c>
      <c r="B559" t="inlineStr">
        <is>
          <t>avverkningsanmälan</t>
        </is>
      </c>
      <c r="C559" t="inlineStr">
        <is>
          <t>Föryngringsavverkning</t>
        </is>
      </c>
      <c r="D559" s="1" t="n">
        <v>45888</v>
      </c>
      <c r="E559" s="1" t="n">
        <v>46292</v>
      </c>
      <c r="F559" t="inlineStr">
        <is>
          <t>GÄVLEBORGS LÄN</t>
        </is>
      </c>
      <c r="G559" t="inlineStr">
        <is>
          <t>LJUSDAL</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1409-2026</t>
        </is>
      </c>
      <c r="B560" t="inlineStr">
        <is>
          <t>avverkningsanmälan</t>
        </is>
      </c>
      <c r="C560" t="inlineStr">
        <is>
          <t>Föryngringsavverkning</t>
        </is>
      </c>
      <c r="D560" s="1" t="n">
        <v>46031</v>
      </c>
      <c r="E560" s="1" t="n">
        <v>46292</v>
      </c>
      <c r="F560" t="inlineStr">
        <is>
          <t>GÄVLEBORGS LÄN</t>
        </is>
      </c>
      <c r="G560" t="inlineStr">
        <is>
          <t>LJUSDAL</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1670-2026</t>
        </is>
      </c>
      <c r="B561" t="inlineStr">
        <is>
          <t>avverkningsanmälan</t>
        </is>
      </c>
      <c r="C561" t="inlineStr">
        <is>
          <t>Föryngringsavverkning</t>
        </is>
      </c>
      <c r="D561" s="1" t="n">
        <v>46034</v>
      </c>
      <c r="E561" s="1" t="n">
        <v>46292</v>
      </c>
      <c r="F561" t="inlineStr">
        <is>
          <t>GÄVLEBORGS LÄN</t>
        </is>
      </c>
      <c r="G561" t="inlineStr">
        <is>
          <t>LJUSDAL</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33802-2023</t>
        </is>
      </c>
      <c r="B562" t="inlineStr">
        <is>
          <t>avverkningsanmälan</t>
        </is>
      </c>
      <c r="C562" t="inlineStr">
        <is>
          <t>Föryngringsavverkning</t>
        </is>
      </c>
      <c r="D562" s="1" t="n">
        <v>45133</v>
      </c>
      <c r="E562" s="1" t="n">
        <v>46292</v>
      </c>
      <c r="F562" t="inlineStr">
        <is>
          <t>GÄVLEBORGS LÄN</t>
        </is>
      </c>
      <c r="G562" t="inlineStr">
        <is>
          <t>LJUSDAL</t>
        </is>
      </c>
      <c r="H562" t="inlineStr">
        <is>
          <t>Bergvik skog väst AB</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24943-2025</t>
        </is>
      </c>
      <c r="B563" t="inlineStr">
        <is>
          <t>avverkningsanmälan</t>
        </is>
      </c>
      <c r="C563" t="inlineStr">
        <is>
          <t>Föryngringsavverkning</t>
        </is>
      </c>
      <c r="D563" s="1" t="n">
        <v>45799</v>
      </c>
      <c r="E563" s="1" t="n">
        <v>46292</v>
      </c>
      <c r="F563" t="inlineStr">
        <is>
          <t>GÄVLEBORGS LÄN</t>
        </is>
      </c>
      <c r="G563" t="inlineStr">
        <is>
          <t>LJUSDAL</t>
        </is>
      </c>
      <c r="H563" t="inlineStr">
        <is>
          <t>Sveaskog</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36446-2024</t>
        </is>
      </c>
      <c r="B564" t="inlineStr">
        <is>
          <t>avverkningsanmälan</t>
        </is>
      </c>
      <c r="C564" t="inlineStr">
        <is>
          <t>Föryngringsavverkning</t>
        </is>
      </c>
      <c r="D564" s="1" t="n">
        <v>45537</v>
      </c>
      <c r="E564" s="1" t="n">
        <v>46292</v>
      </c>
      <c r="F564" t="inlineStr">
        <is>
          <t>GÄVLEBORGS LÄN</t>
        </is>
      </c>
      <c r="G564" t="inlineStr">
        <is>
          <t>LJUSDAL</t>
        </is>
      </c>
      <c r="H564" t="inlineStr">
        <is>
          <t>Sveaskog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1820-2026</t>
        </is>
      </c>
      <c r="B565" t="inlineStr">
        <is>
          <t>avverkningsanmälan</t>
        </is>
      </c>
      <c r="C565" t="inlineStr">
        <is>
          <t>Föryngringsavverkning</t>
        </is>
      </c>
      <c r="D565" s="1" t="n">
        <v>46035</v>
      </c>
      <c r="E565" s="1" t="n">
        <v>46292</v>
      </c>
      <c r="F565" t="inlineStr">
        <is>
          <t>GÄVLEBORGS LÄN</t>
        </is>
      </c>
      <c r="G565" t="inlineStr">
        <is>
          <t>LJUSDAL</t>
        </is>
      </c>
      <c r="I565" t="n">
        <v>8.699999999999999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1823-2026</t>
        </is>
      </c>
      <c r="B566" t="inlineStr">
        <is>
          <t>avverkningsanmälan</t>
        </is>
      </c>
      <c r="C566" t="inlineStr">
        <is>
          <t>Föryngringsavverkning</t>
        </is>
      </c>
      <c r="D566" s="1" t="n">
        <v>46035</v>
      </c>
      <c r="E566" s="1" t="n">
        <v>46292</v>
      </c>
      <c r="F566" t="inlineStr">
        <is>
          <t>GÄVLEBORGS LÄN</t>
        </is>
      </c>
      <c r="G566" t="inlineStr">
        <is>
          <t>LJUSDAL</t>
        </is>
      </c>
      <c r="I566" t="n">
        <v>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39551-2025</t>
        </is>
      </c>
      <c r="B567" t="inlineStr">
        <is>
          <t>avverkningsanmälan</t>
        </is>
      </c>
      <c r="C567" t="inlineStr">
        <is>
          <t>Föryngringsavverkning</t>
        </is>
      </c>
      <c r="D567" s="1" t="n">
        <v>45890</v>
      </c>
      <c r="E567" s="1" t="n">
        <v>46292</v>
      </c>
      <c r="F567" t="inlineStr">
        <is>
          <t>GÄVLEBORGS LÄN</t>
        </is>
      </c>
      <c r="G567" t="inlineStr">
        <is>
          <t>LJUSDAL</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57649-2023</t>
        </is>
      </c>
      <c r="B568" t="inlineStr">
        <is>
          <t>avverkningsanmälan</t>
        </is>
      </c>
      <c r="C568" t="inlineStr">
        <is>
          <t>Föryngringsavverkning</t>
        </is>
      </c>
      <c r="D568" s="1" t="n">
        <v>45246</v>
      </c>
      <c r="E568" s="1" t="n">
        <v>46292</v>
      </c>
      <c r="F568" t="inlineStr">
        <is>
          <t>GÄVLEBORGS LÄN</t>
        </is>
      </c>
      <c r="G568" t="inlineStr">
        <is>
          <t>LJUSDAL</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57269-2022</t>
        </is>
      </c>
      <c r="B569" t="inlineStr">
        <is>
          <t>avverkningsanmälan</t>
        </is>
      </c>
      <c r="C569" t="inlineStr">
        <is>
          <t>Avverkning för annat ändamål</t>
        </is>
      </c>
      <c r="D569" s="1" t="n">
        <v>44895</v>
      </c>
      <c r="E569" s="1" t="n">
        <v>46292</v>
      </c>
      <c r="F569" t="inlineStr">
        <is>
          <t>GÄVLEBORGS LÄN</t>
        </is>
      </c>
      <c r="G569" t="inlineStr">
        <is>
          <t>LJUSDAL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3020-2026</t>
        </is>
      </c>
      <c r="B570" t="inlineStr">
        <is>
          <t>avverkningsanmälan</t>
        </is>
      </c>
      <c r="C570" t="inlineStr">
        <is>
          <t>Föryngringsavverkning</t>
        </is>
      </c>
      <c r="D570" s="1" t="n">
        <v>46038</v>
      </c>
      <c r="E570" s="1" t="n">
        <v>46292</v>
      </c>
      <c r="F570" t="inlineStr">
        <is>
          <t>GÄVLEBORGS LÄN</t>
        </is>
      </c>
      <c r="G570" t="inlineStr">
        <is>
          <t>LJUSDAL</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18130-2024</t>
        </is>
      </c>
      <c r="B571" t="inlineStr">
        <is>
          <t>avverkningsanmälan</t>
        </is>
      </c>
      <c r="C571" t="inlineStr">
        <is>
          <t>Föryngringsavverkning</t>
        </is>
      </c>
      <c r="D571" s="1" t="n">
        <v>45420</v>
      </c>
      <c r="E571" s="1" t="n">
        <v>46292</v>
      </c>
      <c r="F571" t="inlineStr">
        <is>
          <t>GÄVLEBORGS LÄN</t>
        </is>
      </c>
      <c r="G571" t="inlineStr">
        <is>
          <t>LJUSDAL</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32121-2025</t>
        </is>
      </c>
      <c r="B572" t="inlineStr">
        <is>
          <t>avverkningsanmälan</t>
        </is>
      </c>
      <c r="C572" t="inlineStr">
        <is>
          <t>Avverkning för att bevara och utveckla /försöksver</t>
        </is>
      </c>
      <c r="D572" s="1" t="n">
        <v>45835</v>
      </c>
      <c r="E572" s="1" t="n">
        <v>46292</v>
      </c>
      <c r="F572" t="inlineStr">
        <is>
          <t>GÄVLEBORGS LÄN</t>
        </is>
      </c>
      <c r="G572" t="inlineStr">
        <is>
          <t>LJUSDAL</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24778-2025</t>
        </is>
      </c>
      <c r="B573" t="inlineStr">
        <is>
          <t>avverkningsanmälan</t>
        </is>
      </c>
      <c r="C573" t="inlineStr">
        <is>
          <t>Föryngringsavverkning</t>
        </is>
      </c>
      <c r="D573" s="1" t="n">
        <v>45799</v>
      </c>
      <c r="E573" s="1" t="n">
        <v>46292</v>
      </c>
      <c r="F573" t="inlineStr">
        <is>
          <t>GÄVLEBORGS LÄN</t>
        </is>
      </c>
      <c r="G573" t="inlineStr">
        <is>
          <t>LJUSDAL</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58602-2024</t>
        </is>
      </c>
      <c r="B574" t="inlineStr">
        <is>
          <t>avverkningsanmälan</t>
        </is>
      </c>
      <c r="C574" t="inlineStr">
        <is>
          <t>Föryngringsavverkning</t>
        </is>
      </c>
      <c r="D574" s="1" t="n">
        <v>45635</v>
      </c>
      <c r="E574" s="1" t="n">
        <v>46292</v>
      </c>
      <c r="F574" t="inlineStr">
        <is>
          <t>GÄVLEBORGS LÄN</t>
        </is>
      </c>
      <c r="G574" t="inlineStr">
        <is>
          <t>LJUSDAL</t>
        </is>
      </c>
      <c r="H574" t="inlineStr">
        <is>
          <t>Allmännings- och besparingsskogar</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39554-2025</t>
        </is>
      </c>
      <c r="B575" t="inlineStr">
        <is>
          <t>avverkningsanmälan</t>
        </is>
      </c>
      <c r="C575" t="inlineStr">
        <is>
          <t>Föryngringsavverkning</t>
        </is>
      </c>
      <c r="D575" s="1" t="n">
        <v>45890</v>
      </c>
      <c r="E575" s="1" t="n">
        <v>46292</v>
      </c>
      <c r="F575" t="inlineStr">
        <is>
          <t>GÄVLEBORGS LÄN</t>
        </is>
      </c>
      <c r="G575" t="inlineStr">
        <is>
          <t>LJUSDAL</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9935-2022</t>
        </is>
      </c>
      <c r="B576" t="inlineStr">
        <is>
          <t>avverkningsanmälan</t>
        </is>
      </c>
      <c r="C576" t="inlineStr">
        <is>
          <t>Föryngringsavverkning</t>
        </is>
      </c>
      <c r="D576" s="1" t="n">
        <v>44620</v>
      </c>
      <c r="E576" s="1" t="n">
        <v>46292</v>
      </c>
      <c r="F576" t="inlineStr">
        <is>
          <t>GÄVLEBORGS LÄN</t>
        </is>
      </c>
      <c r="G576" t="inlineStr">
        <is>
          <t>LJUSDAL</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39215-2025</t>
        </is>
      </c>
      <c r="B577" t="inlineStr">
        <is>
          <t>avverkningsanmälan</t>
        </is>
      </c>
      <c r="C577" t="inlineStr">
        <is>
          <t>Föryngringsavverkning</t>
        </is>
      </c>
      <c r="D577" s="1" t="n">
        <v>45888</v>
      </c>
      <c r="E577" s="1" t="n">
        <v>46292</v>
      </c>
      <c r="F577" t="inlineStr">
        <is>
          <t>GÄVLEBORGS LÄN</t>
        </is>
      </c>
      <c r="G577" t="inlineStr">
        <is>
          <t>LJUSDAL</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24881-2025</t>
        </is>
      </c>
      <c r="B578" t="inlineStr">
        <is>
          <t>avverkningsanmälan</t>
        </is>
      </c>
      <c r="C578" t="inlineStr">
        <is>
          <t>Föryngringsavverkning</t>
        </is>
      </c>
      <c r="D578" s="1" t="n">
        <v>45799</v>
      </c>
      <c r="E578" s="1" t="n">
        <v>46292</v>
      </c>
      <c r="F578" t="inlineStr">
        <is>
          <t>GÄVLEBORGS LÄN</t>
        </is>
      </c>
      <c r="G578" t="inlineStr">
        <is>
          <t>LJUSDAL</t>
        </is>
      </c>
      <c r="H578" t="inlineStr">
        <is>
          <t>Holmen skog AB</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41293-2023</t>
        </is>
      </c>
      <c r="B579" t="inlineStr">
        <is>
          <t>avverkningsanmälan</t>
        </is>
      </c>
      <c r="C579" t="inlineStr">
        <is>
          <t>Föryngringsavverkning</t>
        </is>
      </c>
      <c r="D579" s="1" t="n">
        <v>45174</v>
      </c>
      <c r="E579" s="1" t="n">
        <v>46292</v>
      </c>
      <c r="F579" t="inlineStr">
        <is>
          <t>GÄVLEBORGS LÄN</t>
        </is>
      </c>
      <c r="G579" t="inlineStr">
        <is>
          <t>LJUSDAL</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2787-2026</t>
        </is>
      </c>
      <c r="B580" t="inlineStr">
        <is>
          <t>avverkningsanmälan</t>
        </is>
      </c>
      <c r="C580" t="inlineStr">
        <is>
          <t>Föryngringsavverkning</t>
        </is>
      </c>
      <c r="D580" s="1" t="n">
        <v>46038</v>
      </c>
      <c r="E580" s="1" t="n">
        <v>46292</v>
      </c>
      <c r="F580" t="inlineStr">
        <is>
          <t>GÄVLEBORGS LÄN</t>
        </is>
      </c>
      <c r="G580" t="inlineStr">
        <is>
          <t>LJUSDAL</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18008-2025</t>
        </is>
      </c>
      <c r="B581" t="inlineStr">
        <is>
          <t>avverkningsanmälan</t>
        </is>
      </c>
      <c r="C581" t="inlineStr">
        <is>
          <t>Föryngringsavverkning</t>
        </is>
      </c>
      <c r="D581" s="1" t="n">
        <v>45761</v>
      </c>
      <c r="E581" s="1" t="n">
        <v>46292</v>
      </c>
      <c r="F581" t="inlineStr">
        <is>
          <t>GÄVLEBORGS LÄN</t>
        </is>
      </c>
      <c r="G581" t="inlineStr">
        <is>
          <t>LJUSDAL</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28348-2023</t>
        </is>
      </c>
      <c r="B582" t="inlineStr">
        <is>
          <t>avverkningsanmälan</t>
        </is>
      </c>
      <c r="C582" t="inlineStr">
        <is>
          <t>Föryngringsavverkning</t>
        </is>
      </c>
      <c r="D582" s="1" t="n">
        <v>45099</v>
      </c>
      <c r="E582" s="1" t="n">
        <v>46292</v>
      </c>
      <c r="F582" t="inlineStr">
        <is>
          <t>GÄVLEBORGS LÄN</t>
        </is>
      </c>
      <c r="G582" t="inlineStr">
        <is>
          <t>LJUSDAL</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39708-2025</t>
        </is>
      </c>
      <c r="B583" t="inlineStr">
        <is>
          <t>avverkningsanmälan</t>
        </is>
      </c>
      <c r="C583" t="inlineStr">
        <is>
          <t>Föryngringsavverkning</t>
        </is>
      </c>
      <c r="D583" s="1" t="n">
        <v>45890</v>
      </c>
      <c r="E583" s="1" t="n">
        <v>46292</v>
      </c>
      <c r="F583" t="inlineStr">
        <is>
          <t>GÄVLEBORGS LÄN</t>
        </is>
      </c>
      <c r="G583" t="inlineStr">
        <is>
          <t>LJUSDAL</t>
        </is>
      </c>
      <c r="H583" t="inlineStr">
        <is>
          <t>Holmen skog AB</t>
        </is>
      </c>
      <c r="I583" t="n">
        <v>10.4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30-2022</t>
        </is>
      </c>
      <c r="B584" t="inlineStr">
        <is>
          <t>avverkningsanmälan</t>
        </is>
      </c>
      <c r="C584" t="inlineStr">
        <is>
          <t>Föryngringsavverkning</t>
        </is>
      </c>
      <c r="D584" s="1" t="n">
        <v>44564</v>
      </c>
      <c r="E584" s="1" t="n">
        <v>46292</v>
      </c>
      <c r="F584" t="inlineStr">
        <is>
          <t>GÄVLEBORGS LÄN</t>
        </is>
      </c>
      <c r="G584" t="inlineStr">
        <is>
          <t>LJUSDAL</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51634-2022</t>
        </is>
      </c>
      <c r="B585" t="inlineStr">
        <is>
          <t>avverkningsanmälan</t>
        </is>
      </c>
      <c r="C585" t="inlineStr">
        <is>
          <t>Föryngringsavverkning</t>
        </is>
      </c>
      <c r="D585" s="1" t="n">
        <v>44872</v>
      </c>
      <c r="E585" s="1" t="n">
        <v>46292</v>
      </c>
      <c r="F585" t="inlineStr">
        <is>
          <t>GÄVLEBORGS LÄN</t>
        </is>
      </c>
      <c r="G585" t="inlineStr">
        <is>
          <t>LJUSDAL</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3352-2026</t>
        </is>
      </c>
      <c r="B586" t="inlineStr">
        <is>
          <t>avverkningsanmälan</t>
        </is>
      </c>
      <c r="C586" t="inlineStr">
        <is>
          <t>Föryngringsavverkning</t>
        </is>
      </c>
      <c r="D586" s="1" t="n">
        <v>46041</v>
      </c>
      <c r="E586" s="1" t="n">
        <v>46292</v>
      </c>
      <c r="F586" t="inlineStr">
        <is>
          <t>GÄVLEBORGS LÄN</t>
        </is>
      </c>
      <c r="G586" t="inlineStr">
        <is>
          <t>LJUSDAL</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40503-2025</t>
        </is>
      </c>
      <c r="B587" t="inlineStr">
        <is>
          <t>avverkningsanmälan</t>
        </is>
      </c>
      <c r="C587" t="inlineStr">
        <is>
          <t>Föryngringsavverkning</t>
        </is>
      </c>
      <c r="D587" s="1" t="n">
        <v>45896</v>
      </c>
      <c r="E587" s="1" t="n">
        <v>46292</v>
      </c>
      <c r="F587" t="inlineStr">
        <is>
          <t>GÄVLEBORGS LÄN</t>
        </is>
      </c>
      <c r="G587" t="inlineStr">
        <is>
          <t>LJUSDAL</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40510-2025</t>
        </is>
      </c>
      <c r="B588" t="inlineStr">
        <is>
          <t>avverkningsanmälan</t>
        </is>
      </c>
      <c r="C588" t="inlineStr">
        <is>
          <t>Föryngringsavverkning</t>
        </is>
      </c>
      <c r="D588" s="1" t="n">
        <v>45896</v>
      </c>
      <c r="E588" s="1" t="n">
        <v>46292</v>
      </c>
      <c r="F588" t="inlineStr">
        <is>
          <t>GÄVLEBORGS LÄN</t>
        </is>
      </c>
      <c r="G588" t="inlineStr">
        <is>
          <t>LJUSDAL</t>
        </is>
      </c>
      <c r="H588" t="inlineStr">
        <is>
          <t>SCA</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40512-2025</t>
        </is>
      </c>
      <c r="B589" t="inlineStr">
        <is>
          <t>avverkningsanmälan</t>
        </is>
      </c>
      <c r="C589" t="inlineStr">
        <is>
          <t>Föryngringsavverkning</t>
        </is>
      </c>
      <c r="D589" s="1" t="n">
        <v>45896</v>
      </c>
      <c r="E589" s="1" t="n">
        <v>46292</v>
      </c>
      <c r="F589" t="inlineStr">
        <is>
          <t>GÄVLEBORGS LÄN</t>
        </is>
      </c>
      <c r="G589" t="inlineStr">
        <is>
          <t>LJUSDAL</t>
        </is>
      </c>
      <c r="I589" t="n">
        <v>26.4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25048-2025</t>
        </is>
      </c>
      <c r="B590" t="inlineStr">
        <is>
          <t>avverkningsanmälan</t>
        </is>
      </c>
      <c r="C590" t="inlineStr">
        <is>
          <t>Föryngringsavverkning</t>
        </is>
      </c>
      <c r="D590" s="1" t="n">
        <v>45799</v>
      </c>
      <c r="E590" s="1" t="n">
        <v>46292</v>
      </c>
      <c r="F590" t="inlineStr">
        <is>
          <t>GÄVLEBORGS LÄN</t>
        </is>
      </c>
      <c r="G590" t="inlineStr">
        <is>
          <t>LJUSDAL</t>
        </is>
      </c>
      <c r="H590" t="inlineStr">
        <is>
          <t>Holmen skog AB</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40790-2025</t>
        </is>
      </c>
      <c r="B591" t="inlineStr">
        <is>
          <t>avverkningsanmälan</t>
        </is>
      </c>
      <c r="C591" t="inlineStr">
        <is>
          <t>Föryngringsavverkning</t>
        </is>
      </c>
      <c r="D591" s="1" t="n">
        <v>45897</v>
      </c>
      <c r="E591" s="1" t="n">
        <v>46292</v>
      </c>
      <c r="F591" t="inlineStr">
        <is>
          <t>GÄVLEBORGS LÄN</t>
        </is>
      </c>
      <c r="G591" t="inlineStr">
        <is>
          <t>LJUSDAL</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3618-2026</t>
        </is>
      </c>
      <c r="B592" t="inlineStr">
        <is>
          <t>avverkningsanmälan</t>
        </is>
      </c>
      <c r="C592" t="inlineStr">
        <is>
          <t>Föryngringsavverkning</t>
        </is>
      </c>
      <c r="D592" s="1" t="n">
        <v>46042</v>
      </c>
      <c r="E592" s="1" t="n">
        <v>46292</v>
      </c>
      <c r="F592" t="inlineStr">
        <is>
          <t>GÄVLEBORGS LÄN</t>
        </is>
      </c>
      <c r="G592" t="inlineStr">
        <is>
          <t>LJUSDAL</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41205-2025</t>
        </is>
      </c>
      <c r="B593" t="inlineStr">
        <is>
          <t>avverkningsanmälan</t>
        </is>
      </c>
      <c r="C593" t="inlineStr">
        <is>
          <t>Föryngringsavverkning</t>
        </is>
      </c>
      <c r="D593" s="1" t="n">
        <v>45898</v>
      </c>
      <c r="E593" s="1" t="n">
        <v>46292</v>
      </c>
      <c r="F593" t="inlineStr">
        <is>
          <t>GÄVLEBORGS LÄN</t>
        </is>
      </c>
      <c r="G593" t="inlineStr">
        <is>
          <t>LJUSDAL</t>
        </is>
      </c>
      <c r="H593" t="inlineStr">
        <is>
          <t>Sveaskog</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3961-2026</t>
        </is>
      </c>
      <c r="B594" t="inlineStr">
        <is>
          <t>avverkningsanmälan</t>
        </is>
      </c>
      <c r="C594" t="inlineStr">
        <is>
          <t>Föryngringsavverkning</t>
        </is>
      </c>
      <c r="D594" s="1" t="n">
        <v>46044</v>
      </c>
      <c r="E594" s="1" t="n">
        <v>46292</v>
      </c>
      <c r="F594" t="inlineStr">
        <is>
          <t>GÄVLEBORGS LÄN</t>
        </is>
      </c>
      <c r="G594" t="inlineStr">
        <is>
          <t>LJUSDAL</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3620-2026</t>
        </is>
      </c>
      <c r="B595" t="inlineStr">
        <is>
          <t>avverkningsanmälan</t>
        </is>
      </c>
      <c r="C595" t="inlineStr">
        <is>
          <t>Föryngringsavverkning</t>
        </is>
      </c>
      <c r="D595" s="1" t="n">
        <v>46043</v>
      </c>
      <c r="E595" s="1" t="n">
        <v>46292</v>
      </c>
      <c r="F595" t="inlineStr">
        <is>
          <t>GÄVLEBORGS LÄN</t>
        </is>
      </c>
      <c r="G595" t="inlineStr">
        <is>
          <t>LJUSDAL</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62420-2022</t>
        </is>
      </c>
      <c r="B596" t="inlineStr">
        <is>
          <t>avverkningsanmälan</t>
        </is>
      </c>
      <c r="C596" t="inlineStr">
        <is>
          <t>Föryngringsavverkning</t>
        </is>
      </c>
      <c r="D596" s="1" t="n">
        <v>44924</v>
      </c>
      <c r="E596" s="1" t="n">
        <v>46292</v>
      </c>
      <c r="F596" t="inlineStr">
        <is>
          <t>GÄVLEBORGS LÄN</t>
        </is>
      </c>
      <c r="G596" t="inlineStr">
        <is>
          <t>LJUSDAL</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40747-2025</t>
        </is>
      </c>
      <c r="B597" t="inlineStr">
        <is>
          <t>avverkningsanmälan</t>
        </is>
      </c>
      <c r="C597" t="inlineStr">
        <is>
          <t>Föryngringsavverkning</t>
        </is>
      </c>
      <c r="D597" s="1" t="n">
        <v>45897</v>
      </c>
      <c r="E597" s="1" t="n">
        <v>46292</v>
      </c>
      <c r="F597" t="inlineStr">
        <is>
          <t>GÄVLEBORGS LÄN</t>
        </is>
      </c>
      <c r="G597" t="inlineStr">
        <is>
          <t>LJUSDAL</t>
        </is>
      </c>
      <c r="H597" t="inlineStr">
        <is>
          <t>Kommuner</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41208-2025</t>
        </is>
      </c>
      <c r="B598" t="inlineStr">
        <is>
          <t>avverkningsanmälan</t>
        </is>
      </c>
      <c r="C598" t="inlineStr">
        <is>
          <t>Föryngringsavverkning</t>
        </is>
      </c>
      <c r="D598" s="1" t="n">
        <v>45898</v>
      </c>
      <c r="E598" s="1" t="n">
        <v>46292</v>
      </c>
      <c r="F598" t="inlineStr">
        <is>
          <t>GÄVLEBORGS LÄN</t>
        </is>
      </c>
      <c r="G598" t="inlineStr">
        <is>
          <t>LJUSDAL</t>
        </is>
      </c>
      <c r="H598" t="inlineStr">
        <is>
          <t>Sveaskog</t>
        </is>
      </c>
      <c r="I598" t="n">
        <v>10.3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4803-2026</t>
        </is>
      </c>
      <c r="B599" t="inlineStr">
        <is>
          <t>avverkningsanmälan</t>
        </is>
      </c>
      <c r="C599" t="inlineStr">
        <is>
          <t>Föryngringsavverkning</t>
        </is>
      </c>
      <c r="D599" s="1" t="n">
        <v>46048</v>
      </c>
      <c r="E599" s="1" t="n">
        <v>46292</v>
      </c>
      <c r="F599" t="inlineStr">
        <is>
          <t>GÄVLEBORGS LÄN</t>
        </is>
      </c>
      <c r="G599" t="inlineStr">
        <is>
          <t>LJUSDAL</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4807-2026</t>
        </is>
      </c>
      <c r="B600" t="inlineStr">
        <is>
          <t>avverkningsanmälan</t>
        </is>
      </c>
      <c r="C600" t="inlineStr">
        <is>
          <t>Föryngringsavverkning</t>
        </is>
      </c>
      <c r="D600" s="1" t="n">
        <v>46048</v>
      </c>
      <c r="E600" s="1" t="n">
        <v>46292</v>
      </c>
      <c r="F600" t="inlineStr">
        <is>
          <t>GÄVLEBORGS LÄN</t>
        </is>
      </c>
      <c r="G600" t="inlineStr">
        <is>
          <t>LJUSDAL</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41745-2025</t>
        </is>
      </c>
      <c r="B601" t="inlineStr">
        <is>
          <t>avverkningsanmälan</t>
        </is>
      </c>
      <c r="C601" t="inlineStr">
        <is>
          <t>Föryngringsavverkning</t>
        </is>
      </c>
      <c r="D601" s="1" t="n">
        <v>45902</v>
      </c>
      <c r="E601" s="1" t="n">
        <v>46292</v>
      </c>
      <c r="F601" t="inlineStr">
        <is>
          <t>GÄVLEBORGS LÄN</t>
        </is>
      </c>
      <c r="G601" t="inlineStr">
        <is>
          <t>LJUSDAL</t>
        </is>
      </c>
      <c r="I601" t="n">
        <v>7.8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4403-2026</t>
        </is>
      </c>
      <c r="B602" t="inlineStr">
        <is>
          <t>avverkningsanmälan</t>
        </is>
      </c>
      <c r="C602" t="inlineStr">
        <is>
          <t>Föryngringsavverkning</t>
        </is>
      </c>
      <c r="D602" s="1" t="n">
        <v>46045</v>
      </c>
      <c r="E602" s="1" t="n">
        <v>46292</v>
      </c>
      <c r="F602" t="inlineStr">
        <is>
          <t>GÄVLEBORGS LÄN</t>
        </is>
      </c>
      <c r="G602" t="inlineStr">
        <is>
          <t>LJUSDAL</t>
        </is>
      </c>
      <c r="H602" t="inlineStr">
        <is>
          <t>Holmen skog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4595-2026</t>
        </is>
      </c>
      <c r="B603" t="inlineStr">
        <is>
          <t>avverkningsanmälan</t>
        </is>
      </c>
      <c r="C603" t="inlineStr">
        <is>
          <t>Föryngringsavverkning</t>
        </is>
      </c>
      <c r="D603" s="1" t="n">
        <v>46048</v>
      </c>
      <c r="E603" s="1" t="n">
        <v>46292</v>
      </c>
      <c r="F603" t="inlineStr">
        <is>
          <t>GÄVLEBORGS LÄN</t>
        </is>
      </c>
      <c r="G603" t="inlineStr">
        <is>
          <t>LJUSDAL</t>
        </is>
      </c>
      <c r="H603" t="inlineStr">
        <is>
          <t>SCA</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41786-2025</t>
        </is>
      </c>
      <c r="B604" t="inlineStr">
        <is>
          <t>avverkningsanmälan</t>
        </is>
      </c>
      <c r="C604" t="inlineStr">
        <is>
          <t>Föryngringsavverkning</t>
        </is>
      </c>
      <c r="D604" s="1" t="n">
        <v>45902</v>
      </c>
      <c r="E604" s="1" t="n">
        <v>46292</v>
      </c>
      <c r="F604" t="inlineStr">
        <is>
          <t>GÄVLEBORGS LÄN</t>
        </is>
      </c>
      <c r="G604" t="inlineStr">
        <is>
          <t>LJUSDAL</t>
        </is>
      </c>
      <c r="H604" t="inlineStr">
        <is>
          <t>Kommuner</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4610-2026</t>
        </is>
      </c>
      <c r="B605" t="inlineStr">
        <is>
          <t>avverkningsanmälan</t>
        </is>
      </c>
      <c r="C605" t="inlineStr">
        <is>
          <t>Föryngringsavverkning</t>
        </is>
      </c>
      <c r="D605" s="1" t="n">
        <v>46048</v>
      </c>
      <c r="E605" s="1" t="n">
        <v>46292</v>
      </c>
      <c r="F605" t="inlineStr">
        <is>
          <t>GÄVLEBORGS LÄN</t>
        </is>
      </c>
      <c r="G605" t="inlineStr">
        <is>
          <t>LJUSDAL</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41878-2025</t>
        </is>
      </c>
      <c r="B606" t="inlineStr">
        <is>
          <t>avverkningsanmälan</t>
        </is>
      </c>
      <c r="C606" t="inlineStr">
        <is>
          <t>Föryngringsavverkning</t>
        </is>
      </c>
      <c r="D606" s="1" t="n">
        <v>45903</v>
      </c>
      <c r="E606" s="1" t="n">
        <v>46292</v>
      </c>
      <c r="F606" t="inlineStr">
        <is>
          <t>GÄVLEBORGS LÄN</t>
        </is>
      </c>
      <c r="G606" t="inlineStr">
        <is>
          <t>LJUSDAL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5400-2026</t>
        </is>
      </c>
      <c r="B607" t="inlineStr">
        <is>
          <t>avverkningsanmälan</t>
        </is>
      </c>
      <c r="C607" t="inlineStr">
        <is>
          <t>Föryngringsavverkning</t>
        </is>
      </c>
      <c r="D607" s="1" t="n">
        <v>46050</v>
      </c>
      <c r="E607" s="1" t="n">
        <v>46292</v>
      </c>
      <c r="F607" t="inlineStr">
        <is>
          <t>GÄVLEBORGS LÄN</t>
        </is>
      </c>
      <c r="G607" t="inlineStr">
        <is>
          <t>LJUSDAL</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41865-2025</t>
        </is>
      </c>
      <c r="B608" t="inlineStr">
        <is>
          <t>avverkningsanmälan</t>
        </is>
      </c>
      <c r="C608" t="inlineStr">
        <is>
          <t>Föryngringsavverkning</t>
        </is>
      </c>
      <c r="D608" s="1" t="n">
        <v>45903</v>
      </c>
      <c r="E608" s="1" t="n">
        <v>46292</v>
      </c>
      <c r="F608" t="inlineStr">
        <is>
          <t>GÄVLEBORGS LÄN</t>
        </is>
      </c>
      <c r="G608" t="inlineStr">
        <is>
          <t>LJUSDAL</t>
        </is>
      </c>
      <c r="H608" t="inlineStr">
        <is>
          <t>Bergvik skog väst AB</t>
        </is>
      </c>
      <c r="I608" t="n">
        <v>16.6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41918-2025</t>
        </is>
      </c>
      <c r="B609" t="inlineStr">
        <is>
          <t>avverkningsanmälan</t>
        </is>
      </c>
      <c r="C609" t="inlineStr">
        <is>
          <t>Föryngringsavverkning</t>
        </is>
      </c>
      <c r="D609" s="1" t="n">
        <v>45903</v>
      </c>
      <c r="E609" s="1" t="n">
        <v>46292</v>
      </c>
      <c r="F609" t="inlineStr">
        <is>
          <t>GÄVLEBORGS LÄN</t>
        </is>
      </c>
      <c r="G609" t="inlineStr">
        <is>
          <t>LJUSDAL</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41935-2025</t>
        </is>
      </c>
      <c r="B610" t="inlineStr">
        <is>
          <t>avverkningsanmälan</t>
        </is>
      </c>
      <c r="C610" t="inlineStr">
        <is>
          <t>Föryngringsavverkning</t>
        </is>
      </c>
      <c r="D610" s="1" t="n">
        <v>45903</v>
      </c>
      <c r="E610" s="1" t="n">
        <v>46292</v>
      </c>
      <c r="F610" t="inlineStr">
        <is>
          <t>GÄVLEBORGS LÄN</t>
        </is>
      </c>
      <c r="G610" t="inlineStr">
        <is>
          <t>LJUSDAL</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41938-2025</t>
        </is>
      </c>
      <c r="B611" t="inlineStr">
        <is>
          <t>avverkningsanmälan</t>
        </is>
      </c>
      <c r="C611" t="inlineStr">
        <is>
          <t>Föryngringsavverkning</t>
        </is>
      </c>
      <c r="D611" s="1" t="n">
        <v>45903</v>
      </c>
      <c r="E611" s="1" t="n">
        <v>46292</v>
      </c>
      <c r="F611" t="inlineStr">
        <is>
          <t>GÄVLEBORGS LÄN</t>
        </is>
      </c>
      <c r="G611" t="inlineStr">
        <is>
          <t>LJUSDAL</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41942-2025</t>
        </is>
      </c>
      <c r="B612" t="inlineStr">
        <is>
          <t>avverkningsanmälan</t>
        </is>
      </c>
      <c r="C612" t="inlineStr">
        <is>
          <t>Föryngringsavverkning</t>
        </is>
      </c>
      <c r="D612" s="1" t="n">
        <v>45903</v>
      </c>
      <c r="E612" s="1" t="n">
        <v>46292</v>
      </c>
      <c r="F612" t="inlineStr">
        <is>
          <t>GÄVLEBORGS LÄN</t>
        </is>
      </c>
      <c r="G612" t="inlineStr">
        <is>
          <t>LJUSDAL</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41936-2025</t>
        </is>
      </c>
      <c r="B613" t="inlineStr">
        <is>
          <t>avverkningsanmälan</t>
        </is>
      </c>
      <c r="C613" t="inlineStr">
        <is>
          <t>Föryngringsavverkning</t>
        </is>
      </c>
      <c r="D613" s="1" t="n">
        <v>45903</v>
      </c>
      <c r="E613" s="1" t="n">
        <v>46292</v>
      </c>
      <c r="F613" t="inlineStr">
        <is>
          <t>GÄVLEBORGS LÄN</t>
        </is>
      </c>
      <c r="G613" t="inlineStr">
        <is>
          <t>LJUSDAL</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42297-2025</t>
        </is>
      </c>
      <c r="B614" t="inlineStr">
        <is>
          <t>avverkningsanmälan</t>
        </is>
      </c>
      <c r="C614" t="inlineStr">
        <is>
          <t>Avverkning för annat ändamål</t>
        </is>
      </c>
      <c r="D614" s="1" t="n">
        <v>45904</v>
      </c>
      <c r="E614" s="1" t="n">
        <v>46292</v>
      </c>
      <c r="F614" t="inlineStr">
        <is>
          <t>GÄVLEBORGS LÄN</t>
        </is>
      </c>
      <c r="G614" t="inlineStr">
        <is>
          <t>LJUSDAL</t>
        </is>
      </c>
      <c r="H614" t="inlineStr">
        <is>
          <t>Allmännings- och besparingsskogar</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41928-2025</t>
        </is>
      </c>
      <c r="B615" t="inlineStr">
        <is>
          <t>avverkningsanmälan</t>
        </is>
      </c>
      <c r="C615" t="inlineStr">
        <is>
          <t>Föryngringsavverkning</t>
        </is>
      </c>
      <c r="D615" s="1" t="n">
        <v>45903</v>
      </c>
      <c r="E615" s="1" t="n">
        <v>46292</v>
      </c>
      <c r="F615" t="inlineStr">
        <is>
          <t>GÄVLEBORGS LÄN</t>
        </is>
      </c>
      <c r="G615" t="inlineStr">
        <is>
          <t>LJUSDAL</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41923-2025</t>
        </is>
      </c>
      <c r="B616" t="inlineStr">
        <is>
          <t>avverkningsanmälan</t>
        </is>
      </c>
      <c r="C616" t="inlineStr">
        <is>
          <t>Föryngringsavverkning</t>
        </is>
      </c>
      <c r="D616" s="1" t="n">
        <v>45903</v>
      </c>
      <c r="E616" s="1" t="n">
        <v>46292</v>
      </c>
      <c r="F616" t="inlineStr">
        <is>
          <t>GÄVLEBORGS LÄN</t>
        </is>
      </c>
      <c r="G616" t="inlineStr">
        <is>
          <t>LJUSDAL</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5010-2026</t>
        </is>
      </c>
      <c r="B617" t="inlineStr">
        <is>
          <t>avverkningsanmälan</t>
        </is>
      </c>
      <c r="C617" t="inlineStr">
        <is>
          <t>Föryngringsavverkning</t>
        </is>
      </c>
      <c r="D617" s="1" t="n">
        <v>46049</v>
      </c>
      <c r="E617" s="1" t="n">
        <v>46292</v>
      </c>
      <c r="F617" t="inlineStr">
        <is>
          <t>GÄVLEBORGS LÄN</t>
        </is>
      </c>
      <c r="G617" t="inlineStr">
        <is>
          <t>LJUSDAL</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42398-2025</t>
        </is>
      </c>
      <c r="B618" t="inlineStr">
        <is>
          <t>avverkningsanmälan</t>
        </is>
      </c>
      <c r="C618" t="inlineStr">
        <is>
          <t>Föryngringsavverkning</t>
        </is>
      </c>
      <c r="D618" s="1" t="n">
        <v>45905</v>
      </c>
      <c r="E618" s="1" t="n">
        <v>46292</v>
      </c>
      <c r="F618" t="inlineStr">
        <is>
          <t>GÄVLEBORGS LÄN</t>
        </is>
      </c>
      <c r="G618" t="inlineStr">
        <is>
          <t>LJUSDAL</t>
        </is>
      </c>
      <c r="H618" t="inlineStr">
        <is>
          <t>Holmen skog AB</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42603-2025</t>
        </is>
      </c>
      <c r="B619" t="inlineStr">
        <is>
          <t>avverkningsanmälan</t>
        </is>
      </c>
      <c r="C619" t="inlineStr">
        <is>
          <t>Föryngringsavverkning</t>
        </is>
      </c>
      <c r="D619" s="1" t="n">
        <v>45905</v>
      </c>
      <c r="E619" s="1" t="n">
        <v>46292</v>
      </c>
      <c r="F619" t="inlineStr">
        <is>
          <t>GÄVLEBORGS LÄN</t>
        </is>
      </c>
      <c r="G619" t="inlineStr">
        <is>
          <t>LJUSDAL</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6010-2026</t>
        </is>
      </c>
      <c r="B620" t="inlineStr">
        <is>
          <t>avverkningsanmälan</t>
        </is>
      </c>
      <c r="C620" t="inlineStr">
        <is>
          <t>Föryngringsavverkning</t>
        </is>
      </c>
      <c r="D620" s="1" t="n">
        <v>46052</v>
      </c>
      <c r="E620" s="1" t="n">
        <v>46292</v>
      </c>
      <c r="F620" t="inlineStr">
        <is>
          <t>GÄVLEBORGS LÄN</t>
        </is>
      </c>
      <c r="G620" t="inlineStr">
        <is>
          <t>LJUSDAL</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35364-2024</t>
        </is>
      </c>
      <c r="B621" t="inlineStr">
        <is>
          <t>avverkningsanmälan</t>
        </is>
      </c>
      <c r="C621" t="inlineStr">
        <is>
          <t>Föryngringsavverkning</t>
        </is>
      </c>
      <c r="D621" s="1" t="n">
        <v>45531</v>
      </c>
      <c r="E621" s="1" t="n">
        <v>46292</v>
      </c>
      <c r="F621" t="inlineStr">
        <is>
          <t>GÄVLEBORGS LÄN</t>
        </is>
      </c>
      <c r="G621" t="inlineStr">
        <is>
          <t>LJUSDAL</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42601-2025</t>
        </is>
      </c>
      <c r="B622" t="inlineStr">
        <is>
          <t>avverkningsanmälan</t>
        </is>
      </c>
      <c r="C622" t="inlineStr">
        <is>
          <t>Föryngringsavverkning</t>
        </is>
      </c>
      <c r="D622" s="1" t="n">
        <v>45905</v>
      </c>
      <c r="E622" s="1" t="n">
        <v>46292</v>
      </c>
      <c r="F622" t="inlineStr">
        <is>
          <t>GÄVLEBORGS LÄN</t>
        </is>
      </c>
      <c r="G622" t="inlineStr">
        <is>
          <t>LJUSDAL</t>
        </is>
      </c>
      <c r="H622" t="inlineStr">
        <is>
          <t>Sveaskog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42701-2025</t>
        </is>
      </c>
      <c r="B623" t="inlineStr">
        <is>
          <t>avverkningsanmälan</t>
        </is>
      </c>
      <c r="C623" t="inlineStr">
        <is>
          <t>Föryngringsavverkning</t>
        </is>
      </c>
      <c r="D623" s="1" t="n">
        <v>45908</v>
      </c>
      <c r="E623" s="1" t="n">
        <v>46292</v>
      </c>
      <c r="F623" t="inlineStr">
        <is>
          <t>GÄVLEBORGS LÄN</t>
        </is>
      </c>
      <c r="G623" t="inlineStr">
        <is>
          <t>LJUSDAL</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42463-2025</t>
        </is>
      </c>
      <c r="B624" t="inlineStr">
        <is>
          <t>avverkningsanmälan</t>
        </is>
      </c>
      <c r="C624" t="inlineStr">
        <is>
          <t>Föryngringsavverkning</t>
        </is>
      </c>
      <c r="D624" s="1" t="n">
        <v>45905</v>
      </c>
      <c r="E624" s="1" t="n">
        <v>46292</v>
      </c>
      <c r="F624" t="inlineStr">
        <is>
          <t>GÄVLEBORGS LÄN</t>
        </is>
      </c>
      <c r="G624" t="inlineStr">
        <is>
          <t>LJUSDAL</t>
        </is>
      </c>
      <c r="H624" t="inlineStr">
        <is>
          <t>Holmen skog AB</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42878-2025</t>
        </is>
      </c>
      <c r="B625" t="inlineStr">
        <is>
          <t>avverkningsanmälan</t>
        </is>
      </c>
      <c r="C625" t="inlineStr">
        <is>
          <t>Föryngringsavverkning</t>
        </is>
      </c>
      <c r="D625" s="1" t="n">
        <v>45908</v>
      </c>
      <c r="E625" s="1" t="n">
        <v>46292</v>
      </c>
      <c r="F625" t="inlineStr">
        <is>
          <t>GÄVLEBORGS LÄN</t>
        </is>
      </c>
      <c r="G625" t="inlineStr">
        <is>
          <t>LJUSDAL</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1570-2025</t>
        </is>
      </c>
      <c r="B626" t="inlineStr">
        <is>
          <t>avverkningsanmälan</t>
        </is>
      </c>
      <c r="C626" t="inlineStr">
        <is>
          <t>Föryngringsavverkning</t>
        </is>
      </c>
      <c r="D626" s="1" t="n">
        <v>45670</v>
      </c>
      <c r="E626" s="1" t="n">
        <v>46292</v>
      </c>
      <c r="F626" t="inlineStr">
        <is>
          <t>GÄVLEBORGS LÄN</t>
        </is>
      </c>
      <c r="G626" t="inlineStr">
        <is>
          <t>LJUSDAL</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2056-2025</t>
        </is>
      </c>
      <c r="B627" t="inlineStr">
        <is>
          <t>avverkningsanmälan</t>
        </is>
      </c>
      <c r="C627" t="inlineStr">
        <is>
          <t>Föryngringsavverkning</t>
        </is>
      </c>
      <c r="D627" s="1" t="n">
        <v>45672</v>
      </c>
      <c r="E627" s="1" t="n">
        <v>46292</v>
      </c>
      <c r="F627" t="inlineStr">
        <is>
          <t>GÄVLEBORGS LÄN</t>
        </is>
      </c>
      <c r="G627" t="inlineStr">
        <is>
          <t>LJUSDAL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6374-2026</t>
        </is>
      </c>
      <c r="B628" t="inlineStr">
        <is>
          <t>avverkningsanmälan</t>
        </is>
      </c>
      <c r="C628" t="inlineStr">
        <is>
          <t>Föryngringsavverkning</t>
        </is>
      </c>
      <c r="D628" s="1" t="n">
        <v>46055</v>
      </c>
      <c r="E628" s="1" t="n">
        <v>46292</v>
      </c>
      <c r="F628" t="inlineStr">
        <is>
          <t>GÄVLEBORGS LÄN</t>
        </is>
      </c>
      <c r="G628" t="inlineStr">
        <is>
          <t>LJUSDAL</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43277-2025</t>
        </is>
      </c>
      <c r="B629" t="inlineStr">
        <is>
          <t>avverkningsanmälan</t>
        </is>
      </c>
      <c r="C629" t="inlineStr">
        <is>
          <t>Föryngringsavverkning</t>
        </is>
      </c>
      <c r="D629" s="1" t="n">
        <v>45910</v>
      </c>
      <c r="E629" s="1" t="n">
        <v>46292</v>
      </c>
      <c r="F629" t="inlineStr">
        <is>
          <t>GÄVLEBORGS LÄN</t>
        </is>
      </c>
      <c r="G629" t="inlineStr">
        <is>
          <t>LJUSDAL</t>
        </is>
      </c>
      <c r="H629" t="inlineStr">
        <is>
          <t>Allmännings- och besparingsskogar</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7731-2024</t>
        </is>
      </c>
      <c r="B630" t="inlineStr">
        <is>
          <t>avverkningsanmälan</t>
        </is>
      </c>
      <c r="C630" t="inlineStr">
        <is>
          <t>Föryngringsavverkning</t>
        </is>
      </c>
      <c r="D630" s="1" t="n">
        <v>45349</v>
      </c>
      <c r="E630" s="1" t="n">
        <v>46292</v>
      </c>
      <c r="F630" t="inlineStr">
        <is>
          <t>GÄVLEBORGS LÄN</t>
        </is>
      </c>
      <c r="G630" t="inlineStr">
        <is>
          <t>LJUSDAL</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43733-2025</t>
        </is>
      </c>
      <c r="B631" t="inlineStr">
        <is>
          <t>avverkningsanmälan</t>
        </is>
      </c>
      <c r="C631" t="inlineStr">
        <is>
          <t>Föryngringsavverkning</t>
        </is>
      </c>
      <c r="D631" s="1" t="n">
        <v>45912</v>
      </c>
      <c r="E631" s="1" t="n">
        <v>46292</v>
      </c>
      <c r="F631" t="inlineStr">
        <is>
          <t>GÄVLEBORGS LÄN</t>
        </is>
      </c>
      <c r="G631" t="inlineStr">
        <is>
          <t>LJUSDAL</t>
        </is>
      </c>
      <c r="H631" t="inlineStr">
        <is>
          <t>Sveaskog</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6699-2026</t>
        </is>
      </c>
      <c r="B632" t="inlineStr">
        <is>
          <t>avverkningsanmälan</t>
        </is>
      </c>
      <c r="C632" t="inlineStr">
        <is>
          <t>Föryngringsavverkning</t>
        </is>
      </c>
      <c r="D632" s="1" t="n">
        <v>46056</v>
      </c>
      <c r="E632" s="1" t="n">
        <v>46292</v>
      </c>
      <c r="F632" t="inlineStr">
        <is>
          <t>GÄVLEBORGS LÄN</t>
        </is>
      </c>
      <c r="G632" t="inlineStr">
        <is>
          <t>LJUSDAL</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13498-2024</t>
        </is>
      </c>
      <c r="B633" t="inlineStr">
        <is>
          <t>avverkningsanmälan</t>
        </is>
      </c>
      <c r="C633" t="inlineStr">
        <is>
          <t>Föryngringsavverkning</t>
        </is>
      </c>
      <c r="D633" s="1" t="n">
        <v>45387</v>
      </c>
      <c r="E633" s="1" t="n">
        <v>46292</v>
      </c>
      <c r="F633" t="inlineStr">
        <is>
          <t>GÄVLEBORGS LÄN</t>
        </is>
      </c>
      <c r="G633" t="inlineStr">
        <is>
          <t>LJUSDAL</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43848-2025</t>
        </is>
      </c>
      <c r="B634" t="inlineStr">
        <is>
          <t>avverkningsanmälan</t>
        </is>
      </c>
      <c r="C634" t="inlineStr">
        <is>
          <t>Föryngringsavverkning</t>
        </is>
      </c>
      <c r="D634" s="1" t="n">
        <v>45912</v>
      </c>
      <c r="E634" s="1" t="n">
        <v>46292</v>
      </c>
      <c r="F634" t="inlineStr">
        <is>
          <t>GÄVLEBORGS LÄN</t>
        </is>
      </c>
      <c r="G634" t="inlineStr">
        <is>
          <t>LJUSDAL</t>
        </is>
      </c>
      <c r="H634" t="inlineStr">
        <is>
          <t>Sveaskog</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6907-2026</t>
        </is>
      </c>
      <c r="B635" t="inlineStr">
        <is>
          <t>avverkningsanmälan</t>
        </is>
      </c>
      <c r="C635" t="inlineStr">
        <is>
          <t>Föryngringsavverkning</t>
        </is>
      </c>
      <c r="D635" s="1" t="n">
        <v>46057</v>
      </c>
      <c r="E635" s="1" t="n">
        <v>46292</v>
      </c>
      <c r="F635" t="inlineStr">
        <is>
          <t>GÄVLEBORGS LÄN</t>
        </is>
      </c>
      <c r="G635" t="inlineStr">
        <is>
          <t>LJUSDAL</t>
        </is>
      </c>
      <c r="H635" t="inlineStr">
        <is>
          <t>Sveaskog</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21709-2024</t>
        </is>
      </c>
      <c r="B636" t="inlineStr">
        <is>
          <t>avverkningsanmälan</t>
        </is>
      </c>
      <c r="C636" t="inlineStr">
        <is>
          <t>Föryngringsavverkning</t>
        </is>
      </c>
      <c r="D636" s="1" t="n">
        <v>45442</v>
      </c>
      <c r="E636" s="1" t="n">
        <v>46292</v>
      </c>
      <c r="F636" t="inlineStr">
        <is>
          <t>GÄVLEBORGS LÄN</t>
        </is>
      </c>
      <c r="G636" t="inlineStr">
        <is>
          <t>LJUSDAL</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6927-2026</t>
        </is>
      </c>
      <c r="B637" t="inlineStr">
        <is>
          <t>avverkningsanmälan</t>
        </is>
      </c>
      <c r="C637" t="inlineStr">
        <is>
          <t>Föryngringsavverkning</t>
        </is>
      </c>
      <c r="D637" s="1" t="n">
        <v>46057</v>
      </c>
      <c r="E637" s="1" t="n">
        <v>46292</v>
      </c>
      <c r="F637" t="inlineStr">
        <is>
          <t>GÄVLEBORGS LÄN</t>
        </is>
      </c>
      <c r="G637" t="inlineStr">
        <is>
          <t>LJUSDAL</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6807-2026</t>
        </is>
      </c>
      <c r="B638" t="inlineStr">
        <is>
          <t>avverkningsanmälan</t>
        </is>
      </c>
      <c r="C638" t="inlineStr">
        <is>
          <t>Föryngringsavverkning</t>
        </is>
      </c>
      <c r="D638" s="1" t="n">
        <v>46057</v>
      </c>
      <c r="E638" s="1" t="n">
        <v>46292</v>
      </c>
      <c r="F638" t="inlineStr">
        <is>
          <t>GÄVLEBORGS LÄN</t>
        </is>
      </c>
      <c r="G638" t="inlineStr">
        <is>
          <t>LJUSDAL</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34617-2024</t>
        </is>
      </c>
      <c r="B639" t="inlineStr">
        <is>
          <t>avverkningsanmälan</t>
        </is>
      </c>
      <c r="C639" t="inlineStr">
        <is>
          <t>Föryngringsavverkning</t>
        </is>
      </c>
      <c r="D639" s="1" t="n">
        <v>45526</v>
      </c>
      <c r="E639" s="1" t="n">
        <v>46292</v>
      </c>
      <c r="F639" t="inlineStr">
        <is>
          <t>GÄVLEBORGS LÄN</t>
        </is>
      </c>
      <c r="G639" t="inlineStr">
        <is>
          <t>LJUSDAL</t>
        </is>
      </c>
      <c r="H639" t="inlineStr">
        <is>
          <t>Sveaskog</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43853-2025</t>
        </is>
      </c>
      <c r="B640" t="inlineStr">
        <is>
          <t>avverkningsanmälan</t>
        </is>
      </c>
      <c r="C640" t="inlineStr">
        <is>
          <t>Föryngringsavverkning</t>
        </is>
      </c>
      <c r="D640" s="1" t="n">
        <v>45912</v>
      </c>
      <c r="E640" s="1" t="n">
        <v>46292</v>
      </c>
      <c r="F640" t="inlineStr">
        <is>
          <t>GÄVLEBORGS LÄN</t>
        </is>
      </c>
      <c r="G640" t="inlineStr">
        <is>
          <t>LJUSDAL</t>
        </is>
      </c>
      <c r="H640" t="inlineStr">
        <is>
          <t>Sveaskog</t>
        </is>
      </c>
      <c r="I640" t="n">
        <v>10.3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7282-2026</t>
        </is>
      </c>
      <c r="B641" t="inlineStr">
        <is>
          <t>avverkningsanmälan</t>
        </is>
      </c>
      <c r="C641" t="inlineStr">
        <is>
          <t>Föryngringsavverkning</t>
        </is>
      </c>
      <c r="D641" s="1" t="n">
        <v>46058</v>
      </c>
      <c r="E641" s="1" t="n">
        <v>46292</v>
      </c>
      <c r="F641" t="inlineStr">
        <is>
          <t>GÄVLEBORGS LÄN</t>
        </is>
      </c>
      <c r="G641" t="inlineStr">
        <is>
          <t>LJUSDAL</t>
        </is>
      </c>
      <c r="H641" t="inlineStr">
        <is>
          <t>SCA</t>
        </is>
      </c>
      <c r="I641" t="n">
        <v>7.7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7164-2026</t>
        </is>
      </c>
      <c r="B642" t="inlineStr">
        <is>
          <t>avverkningsanmälan</t>
        </is>
      </c>
      <c r="C642" t="inlineStr">
        <is>
          <t>Föryngringsavverkning</t>
        </is>
      </c>
      <c r="D642" s="1" t="n">
        <v>46058</v>
      </c>
      <c r="E642" s="1" t="n">
        <v>46292</v>
      </c>
      <c r="F642" t="inlineStr">
        <is>
          <t>GÄVLEBORGS LÄN</t>
        </is>
      </c>
      <c r="G642" t="inlineStr">
        <is>
          <t>LJUSDAL</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25993-2025</t>
        </is>
      </c>
      <c r="B643" t="inlineStr">
        <is>
          <t>avverkningsanmälan</t>
        </is>
      </c>
      <c r="C643" t="inlineStr">
        <is>
          <t>Föryngringsavverkning</t>
        </is>
      </c>
      <c r="D643" s="1" t="n">
        <v>45804</v>
      </c>
      <c r="E643" s="1" t="n">
        <v>46292</v>
      </c>
      <c r="F643" t="inlineStr">
        <is>
          <t>GÄVLEBORGS LÄN</t>
        </is>
      </c>
      <c r="G643" t="inlineStr">
        <is>
          <t>LJUSDAL</t>
        </is>
      </c>
      <c r="H643" t="inlineStr">
        <is>
          <t>Holmen skog AB</t>
        </is>
      </c>
      <c r="I643" t="n">
        <v>26.6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25614-2025</t>
        </is>
      </c>
      <c r="B644" t="inlineStr">
        <is>
          <t>avverkningsanmälan</t>
        </is>
      </c>
      <c r="C644" t="inlineStr">
        <is>
          <t>Föryngringsavverkning</t>
        </is>
      </c>
      <c r="D644" s="1" t="n">
        <v>45803</v>
      </c>
      <c r="E644" s="1" t="n">
        <v>46292</v>
      </c>
      <c r="F644" t="inlineStr">
        <is>
          <t>GÄVLEBORGS LÄN</t>
        </is>
      </c>
      <c r="G644" t="inlineStr">
        <is>
          <t>LJUSDAL</t>
        </is>
      </c>
      <c r="H644" t="inlineStr">
        <is>
          <t>Holmen skog AB</t>
        </is>
      </c>
      <c r="I644" t="n">
        <v>16.3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7717-2026</t>
        </is>
      </c>
      <c r="B645" t="inlineStr">
        <is>
          <t>avverkningsanmälan</t>
        </is>
      </c>
      <c r="C645" t="inlineStr">
        <is>
          <t>Föryngringsavverkning</t>
        </is>
      </c>
      <c r="D645" s="1" t="n">
        <v>46062</v>
      </c>
      <c r="E645" s="1" t="n">
        <v>46292</v>
      </c>
      <c r="F645" t="inlineStr">
        <is>
          <t>GÄVLEBORGS LÄN</t>
        </is>
      </c>
      <c r="G645" t="inlineStr">
        <is>
          <t>LJUSDAL</t>
        </is>
      </c>
      <c r="H645" t="inlineStr">
        <is>
          <t>Sveaskog</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7526-2026</t>
        </is>
      </c>
      <c r="B646" t="inlineStr">
        <is>
          <t>avverkningsanmälan</t>
        </is>
      </c>
      <c r="C646" t="inlineStr">
        <is>
          <t>Föryngringsavverkning</t>
        </is>
      </c>
      <c r="D646" s="1" t="n">
        <v>46059</v>
      </c>
      <c r="E646" s="1" t="n">
        <v>46292</v>
      </c>
      <c r="F646" t="inlineStr">
        <is>
          <t>GÄVLEBORGS LÄN</t>
        </is>
      </c>
      <c r="G646" t="inlineStr">
        <is>
          <t>LJUSDAL</t>
        </is>
      </c>
      <c r="H646" t="inlineStr">
        <is>
          <t>Holmen skog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44460-2025</t>
        </is>
      </c>
      <c r="B647" t="inlineStr">
        <is>
          <t>avverkningsanmälan</t>
        </is>
      </c>
      <c r="C647" t="inlineStr">
        <is>
          <t>Föryngringsavverkning</t>
        </is>
      </c>
      <c r="D647" s="1" t="n">
        <v>45916</v>
      </c>
      <c r="E647" s="1" t="n">
        <v>46292</v>
      </c>
      <c r="F647" t="inlineStr">
        <is>
          <t>GÄVLEBORGS LÄN</t>
        </is>
      </c>
      <c r="G647" t="inlineStr">
        <is>
          <t>LJUSDAL</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7724-2026</t>
        </is>
      </c>
      <c r="B648" t="inlineStr">
        <is>
          <t>avverkningsanmälan</t>
        </is>
      </c>
      <c r="C648" t="inlineStr">
        <is>
          <t>Föryngringsavverkning</t>
        </is>
      </c>
      <c r="D648" s="1" t="n">
        <v>46062</v>
      </c>
      <c r="E648" s="1" t="n">
        <v>46292</v>
      </c>
      <c r="F648" t="inlineStr">
        <is>
          <t>GÄVLEBORGS LÄN</t>
        </is>
      </c>
      <c r="G648" t="inlineStr">
        <is>
          <t>LJUSDAL</t>
        </is>
      </c>
      <c r="H648" t="inlineStr">
        <is>
          <t>Sveaskog</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13844-2025</t>
        </is>
      </c>
      <c r="B649" t="inlineStr">
        <is>
          <t>avverkningsanmälan</t>
        </is>
      </c>
      <c r="C649" t="inlineStr">
        <is>
          <t>Föryngringsavverkning</t>
        </is>
      </c>
      <c r="D649" s="1" t="n">
        <v>45737</v>
      </c>
      <c r="E649" s="1" t="n">
        <v>46292</v>
      </c>
      <c r="F649" t="inlineStr">
        <is>
          <t>GÄVLEBORGS LÄN</t>
        </is>
      </c>
      <c r="G649" t="inlineStr">
        <is>
          <t>LJUSDAL</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7690-2026</t>
        </is>
      </c>
      <c r="B650" t="inlineStr">
        <is>
          <t>avverkningsanmälan</t>
        </is>
      </c>
      <c r="C650" t="inlineStr">
        <is>
          <t>Föryngringsavverkning</t>
        </is>
      </c>
      <c r="D650" s="1" t="n">
        <v>46062</v>
      </c>
      <c r="E650" s="1" t="n">
        <v>46292</v>
      </c>
      <c r="F650" t="inlineStr">
        <is>
          <t>GÄVLEBORGS LÄN</t>
        </is>
      </c>
      <c r="G650" t="inlineStr">
        <is>
          <t>LJUSDAL</t>
        </is>
      </c>
      <c r="H650" t="inlineStr">
        <is>
          <t>Holmen skog AB</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7537-2026</t>
        </is>
      </c>
      <c r="B651" t="inlineStr">
        <is>
          <t>avverkningsanmälan</t>
        </is>
      </c>
      <c r="C651" t="inlineStr">
        <is>
          <t>Föryngringsavverkning</t>
        </is>
      </c>
      <c r="D651" s="1" t="n">
        <v>46059</v>
      </c>
      <c r="E651" s="1" t="n">
        <v>46292</v>
      </c>
      <c r="F651" t="inlineStr">
        <is>
          <t>GÄVLEBORGS LÄN</t>
        </is>
      </c>
      <c r="G651" t="inlineStr">
        <is>
          <t>LJUSDAL</t>
        </is>
      </c>
      <c r="H651" t="inlineStr">
        <is>
          <t>Holmen skog AB</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44559-2025</t>
        </is>
      </c>
      <c r="B652" t="inlineStr">
        <is>
          <t>avverkningsanmälan</t>
        </is>
      </c>
      <c r="C652" t="inlineStr">
        <is>
          <t>Föryngringsavverkning</t>
        </is>
      </c>
      <c r="D652" s="1" t="n">
        <v>45917</v>
      </c>
      <c r="E652" s="1" t="n">
        <v>46292</v>
      </c>
      <c r="F652" t="inlineStr">
        <is>
          <t>GÄVLEBORGS LÄN</t>
        </is>
      </c>
      <c r="G652" t="inlineStr">
        <is>
          <t>LJUSDAL</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44737-2025</t>
        </is>
      </c>
      <c r="B653" t="inlineStr">
        <is>
          <t>avverkningsanmälan</t>
        </is>
      </c>
      <c r="C653" t="inlineStr">
        <is>
          <t>Föryngringsavverkning</t>
        </is>
      </c>
      <c r="D653" s="1" t="n">
        <v>45917</v>
      </c>
      <c r="E653" s="1" t="n">
        <v>46292</v>
      </c>
      <c r="F653" t="inlineStr">
        <is>
          <t>GÄVLEBORGS LÄN</t>
        </is>
      </c>
      <c r="G653" t="inlineStr">
        <is>
          <t>LJUSDAL</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7445-2026</t>
        </is>
      </c>
      <c r="B654" t="inlineStr">
        <is>
          <t>avverkningsanmälan</t>
        </is>
      </c>
      <c r="C654" t="inlineStr">
        <is>
          <t>Föryngringsavverkning</t>
        </is>
      </c>
      <c r="D654" s="1" t="n">
        <v>46059</v>
      </c>
      <c r="E654" s="1" t="n">
        <v>46292</v>
      </c>
      <c r="F654" t="inlineStr">
        <is>
          <t>GÄVLEBORGS LÄN</t>
        </is>
      </c>
      <c r="G654" t="inlineStr">
        <is>
          <t>LJUSDAL</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7451-2026</t>
        </is>
      </c>
      <c r="B655" t="inlineStr">
        <is>
          <t>avverkningsanmälan</t>
        </is>
      </c>
      <c r="C655" t="inlineStr">
        <is>
          <t>Föryngringsavverkning</t>
        </is>
      </c>
      <c r="D655" s="1" t="n">
        <v>46059</v>
      </c>
      <c r="E655" s="1" t="n">
        <v>46292</v>
      </c>
      <c r="F655" t="inlineStr">
        <is>
          <t>GÄVLEBORGS LÄN</t>
        </is>
      </c>
      <c r="G655" t="inlineStr">
        <is>
          <t>LJUSDAL</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44557-2025</t>
        </is>
      </c>
      <c r="B656" t="inlineStr">
        <is>
          <t>avverkningsanmälan</t>
        </is>
      </c>
      <c r="C656" t="inlineStr">
        <is>
          <t>Föryngringsavverkning</t>
        </is>
      </c>
      <c r="D656" s="1" t="n">
        <v>45917</v>
      </c>
      <c r="E656" s="1" t="n">
        <v>46292</v>
      </c>
      <c r="F656" t="inlineStr">
        <is>
          <t>GÄVLEBORGS LÄN</t>
        </is>
      </c>
      <c r="G656" t="inlineStr">
        <is>
          <t>LJUSDAL</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44550-2025</t>
        </is>
      </c>
      <c r="B657" t="inlineStr">
        <is>
          <t>avverkningsanmälan</t>
        </is>
      </c>
      <c r="C657" t="inlineStr">
        <is>
          <t>Föryngringsavverkning</t>
        </is>
      </c>
      <c r="D657" s="1" t="n">
        <v>45917</v>
      </c>
      <c r="E657" s="1" t="n">
        <v>46292</v>
      </c>
      <c r="F657" t="inlineStr">
        <is>
          <t>GÄVLEBORGS LÄN</t>
        </is>
      </c>
      <c r="G657" t="inlineStr">
        <is>
          <t>LJUSDAL</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57673-2024</t>
        </is>
      </c>
      <c r="B658" t="inlineStr">
        <is>
          <t>avverkningsanmälan</t>
        </is>
      </c>
      <c r="C658" t="inlineStr">
        <is>
          <t>Föryngringsavverkning</t>
        </is>
      </c>
      <c r="D658" s="1" t="n">
        <v>45630</v>
      </c>
      <c r="E658" s="1" t="n">
        <v>46292</v>
      </c>
      <c r="F658" t="inlineStr">
        <is>
          <t>GÄVLEBORGS LÄN</t>
        </is>
      </c>
      <c r="G658" t="inlineStr">
        <is>
          <t>LJUSDAL</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8346-2026</t>
        </is>
      </c>
      <c r="B659" t="inlineStr">
        <is>
          <t>avverkningsanmälan</t>
        </is>
      </c>
      <c r="C659" t="inlineStr">
        <is>
          <t>Föryngringsavverkning</t>
        </is>
      </c>
      <c r="D659" s="1" t="n">
        <v>46064</v>
      </c>
      <c r="E659" s="1" t="n">
        <v>46292</v>
      </c>
      <c r="F659" t="inlineStr">
        <is>
          <t>GÄVLEBORGS LÄN</t>
        </is>
      </c>
      <c r="G659" t="inlineStr">
        <is>
          <t>LJUSDAL</t>
        </is>
      </c>
      <c r="H659" t="inlineStr">
        <is>
          <t>Bergvik skog väst AB</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25832-2025</t>
        </is>
      </c>
      <c r="B660" t="inlineStr">
        <is>
          <t>avverkningsanmälan</t>
        </is>
      </c>
      <c r="C660" t="inlineStr">
        <is>
          <t>Föryngringsavverkning</t>
        </is>
      </c>
      <c r="D660" s="1" t="n">
        <v>45804</v>
      </c>
      <c r="E660" s="1" t="n">
        <v>46292</v>
      </c>
      <c r="F660" t="inlineStr">
        <is>
          <t>GÄVLEBORGS LÄN</t>
        </is>
      </c>
      <c r="G660" t="inlineStr">
        <is>
          <t>LJUSDAL</t>
        </is>
      </c>
      <c r="H660" t="inlineStr">
        <is>
          <t>Holmen skog AB</t>
        </is>
      </c>
      <c r="I660" t="n">
        <v>23.1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8686-2026</t>
        </is>
      </c>
      <c r="B661" t="inlineStr">
        <is>
          <t>avverkningsanmälan</t>
        </is>
      </c>
      <c r="C661" t="inlineStr">
        <is>
          <t>Föryngringsavverkning</t>
        </is>
      </c>
      <c r="D661" s="1" t="n">
        <v>46066</v>
      </c>
      <c r="E661" s="1" t="n">
        <v>46292</v>
      </c>
      <c r="F661" t="inlineStr">
        <is>
          <t>GÄVLEBORGS LÄN</t>
        </is>
      </c>
      <c r="G661" t="inlineStr">
        <is>
          <t>LJUSDAL</t>
        </is>
      </c>
      <c r="H661" t="inlineStr">
        <is>
          <t>Holmen skog AB</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8708-2026</t>
        </is>
      </c>
      <c r="B662" t="inlineStr">
        <is>
          <t>avverkningsanmälan</t>
        </is>
      </c>
      <c r="C662" t="inlineStr">
        <is>
          <t>Föryngringsavverkning</t>
        </is>
      </c>
      <c r="D662" s="1" t="n">
        <v>46066</v>
      </c>
      <c r="E662" s="1" t="n">
        <v>46292</v>
      </c>
      <c r="F662" t="inlineStr">
        <is>
          <t>GÄVLEBORGS LÄN</t>
        </is>
      </c>
      <c r="G662" t="inlineStr">
        <is>
          <t>LJUSDAL</t>
        </is>
      </c>
      <c r="H662" t="inlineStr">
        <is>
          <t>Holmen skog AB</t>
        </is>
      </c>
      <c r="I662" t="n">
        <v>17.9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25756-2025</t>
        </is>
      </c>
      <c r="B663" t="inlineStr">
        <is>
          <t>avverkningsanmälan</t>
        </is>
      </c>
      <c r="C663" t="inlineStr">
        <is>
          <t>Föryngringsavverkning</t>
        </is>
      </c>
      <c r="D663" s="1" t="n">
        <v>45804</v>
      </c>
      <c r="E663" s="1" t="n">
        <v>46292</v>
      </c>
      <c r="F663" t="inlineStr">
        <is>
          <t>GÄVLEBORGS LÄN</t>
        </is>
      </c>
      <c r="G663" t="inlineStr">
        <is>
          <t>LJUSDAL</t>
        </is>
      </c>
      <c r="H663" t="inlineStr">
        <is>
          <t>Holmen skog AB</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8848-2026</t>
        </is>
      </c>
      <c r="B664" t="inlineStr">
        <is>
          <t>avverkningsanmälan</t>
        </is>
      </c>
      <c r="C664" t="inlineStr">
        <is>
          <t>Föryngringsavverkning</t>
        </is>
      </c>
      <c r="D664" s="1" t="n">
        <v>46066</v>
      </c>
      <c r="E664" s="1" t="n">
        <v>46292</v>
      </c>
      <c r="F664" t="inlineStr">
        <is>
          <t>GÄVLEBORGS LÄN</t>
        </is>
      </c>
      <c r="G664" t="inlineStr">
        <is>
          <t>LJUSDAL</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8556-2026</t>
        </is>
      </c>
      <c r="B665" t="inlineStr">
        <is>
          <t>avverkningsanmälan</t>
        </is>
      </c>
      <c r="C665" t="inlineStr">
        <is>
          <t>Föryngringsavverkning</t>
        </is>
      </c>
      <c r="D665" s="1" t="n">
        <v>46065</v>
      </c>
      <c r="E665" s="1" t="n">
        <v>46292</v>
      </c>
      <c r="F665" t="inlineStr">
        <is>
          <t>GÄVLEBORGS LÄN</t>
        </is>
      </c>
      <c r="G665" t="inlineStr">
        <is>
          <t>LJUSDAL</t>
        </is>
      </c>
      <c r="H665" t="inlineStr">
        <is>
          <t>Holmen skog AB</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15372-2024</t>
        </is>
      </c>
      <c r="B666" t="inlineStr">
        <is>
          <t>avverkningsanmälan</t>
        </is>
      </c>
      <c r="C666" t="inlineStr">
        <is>
          <t>Föryngringsavverkning</t>
        </is>
      </c>
      <c r="D666" s="1" t="n">
        <v>45400</v>
      </c>
      <c r="E666" s="1" t="n">
        <v>46292</v>
      </c>
      <c r="F666" t="inlineStr">
        <is>
          <t>GÄVLEBORGS LÄN</t>
        </is>
      </c>
      <c r="G666" t="inlineStr">
        <is>
          <t>LJUSDAL</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45189-2025</t>
        </is>
      </c>
      <c r="B667" t="inlineStr">
        <is>
          <t>avverkningsanmälan</t>
        </is>
      </c>
      <c r="C667" t="inlineStr">
        <is>
          <t>Föryngringsavverkning</t>
        </is>
      </c>
      <c r="D667" s="1" t="n">
        <v>45919</v>
      </c>
      <c r="E667" s="1" t="n">
        <v>46292</v>
      </c>
      <c r="F667" t="inlineStr">
        <is>
          <t>GÄVLEBORGS LÄN</t>
        </is>
      </c>
      <c r="G667" t="inlineStr">
        <is>
          <t>LJUSDAL</t>
        </is>
      </c>
      <c r="H667" t="inlineStr">
        <is>
          <t>Sveaskog</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25684-2025</t>
        </is>
      </c>
      <c r="B668" t="inlineStr">
        <is>
          <t>avverkningsanmälan</t>
        </is>
      </c>
      <c r="C668" t="inlineStr">
        <is>
          <t>Föryngringsavverkning</t>
        </is>
      </c>
      <c r="D668" s="1" t="n">
        <v>45803</v>
      </c>
      <c r="E668" s="1" t="n">
        <v>46292</v>
      </c>
      <c r="F668" t="inlineStr">
        <is>
          <t>GÄVLEBORGS LÄN</t>
        </is>
      </c>
      <c r="G668" t="inlineStr">
        <is>
          <t>LJUSDAL</t>
        </is>
      </c>
      <c r="H668" t="inlineStr">
        <is>
          <t>Holmen skog AB</t>
        </is>
      </c>
      <c r="I668" t="n">
        <v>22.6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43121-2023</t>
        </is>
      </c>
      <c r="B669" t="inlineStr">
        <is>
          <t>avverkningsanmälan</t>
        </is>
      </c>
      <c r="C669" t="inlineStr">
        <is>
          <t>Föryngringsavverkning</t>
        </is>
      </c>
      <c r="D669" s="1" t="n">
        <v>45182</v>
      </c>
      <c r="E669" s="1" t="n">
        <v>46292</v>
      </c>
      <c r="F669" t="inlineStr">
        <is>
          <t>GÄVLEBORGS LÄN</t>
        </is>
      </c>
      <c r="G669" t="inlineStr">
        <is>
          <t>LJUSDAL</t>
        </is>
      </c>
      <c r="H669" t="inlineStr">
        <is>
          <t>SCA</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8925-2026</t>
        </is>
      </c>
      <c r="B670" t="inlineStr">
        <is>
          <t>avverkningsanmälan</t>
        </is>
      </c>
      <c r="C670" t="inlineStr">
        <is>
          <t>Föryngringsavverkning</t>
        </is>
      </c>
      <c r="D670" s="1" t="n">
        <v>46069</v>
      </c>
      <c r="E670" s="1" t="n">
        <v>46292</v>
      </c>
      <c r="F670" t="inlineStr">
        <is>
          <t>GÄVLEBORGS LÄN</t>
        </is>
      </c>
      <c r="G670" t="inlineStr">
        <is>
          <t>LJUSDAL</t>
        </is>
      </c>
      <c r="H670" t="inlineStr">
        <is>
          <t>Övriga Aktiebolag</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49527-2025</t>
        </is>
      </c>
      <c r="B671" t="inlineStr">
        <is>
          <t>avverkningsanmälan</t>
        </is>
      </c>
      <c r="C671" t="inlineStr">
        <is>
          <t>Föryngringsavverkning</t>
        </is>
      </c>
      <c r="D671" s="1" t="n">
        <v>45939</v>
      </c>
      <c r="E671" s="1" t="n">
        <v>46292</v>
      </c>
      <c r="F671" t="inlineStr">
        <is>
          <t>GÄVLEBORGS LÄN</t>
        </is>
      </c>
      <c r="G671" t="inlineStr">
        <is>
          <t>LJUSDAL</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8931-2026</t>
        </is>
      </c>
      <c r="B672" t="inlineStr">
        <is>
          <t>avverkningsanmälan</t>
        </is>
      </c>
      <c r="C672" t="inlineStr">
        <is>
          <t>Föryngringsavverkning</t>
        </is>
      </c>
      <c r="D672" s="1" t="n">
        <v>46069</v>
      </c>
      <c r="E672" s="1" t="n">
        <v>46292</v>
      </c>
      <c r="F672" t="inlineStr">
        <is>
          <t>GÄVLEBORGS LÄN</t>
        </is>
      </c>
      <c r="G672" t="inlineStr">
        <is>
          <t>LJUSDAL</t>
        </is>
      </c>
      <c r="H672" t="inlineStr">
        <is>
          <t>Holmen skog AB</t>
        </is>
      </c>
      <c r="I672" t="n">
        <v>9.699999999999999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9047-2026</t>
        </is>
      </c>
      <c r="B673" t="inlineStr">
        <is>
          <t>avverkningsanmälan</t>
        </is>
      </c>
      <c r="C673" t="inlineStr">
        <is>
          <t>Föryngringsavverkning</t>
        </is>
      </c>
      <c r="D673" s="1" t="n">
        <v>46069</v>
      </c>
      <c r="E673" s="1" t="n">
        <v>46292</v>
      </c>
      <c r="F673" t="inlineStr">
        <is>
          <t>GÄVLEBORGS LÄN</t>
        </is>
      </c>
      <c r="G673" t="inlineStr">
        <is>
          <t>LJUSDAL</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20016-2023</t>
        </is>
      </c>
      <c r="B674" t="inlineStr">
        <is>
          <t>avverkningsanmälan</t>
        </is>
      </c>
      <c r="C674" t="inlineStr">
        <is>
          <t>Föryngringsavverkning</t>
        </is>
      </c>
      <c r="D674" s="1" t="n">
        <v>45054</v>
      </c>
      <c r="E674" s="1" t="n">
        <v>46292</v>
      </c>
      <c r="F674" t="inlineStr">
        <is>
          <t>GÄVLEBORGS LÄN</t>
        </is>
      </c>
      <c r="G674" t="inlineStr">
        <is>
          <t>LJUSDAL</t>
        </is>
      </c>
      <c r="H674" t="inlineStr">
        <is>
          <t>Kommuner</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25504-2025</t>
        </is>
      </c>
      <c r="B675" t="inlineStr">
        <is>
          <t>avverkningsanmälan</t>
        </is>
      </c>
      <c r="C675" t="inlineStr">
        <is>
          <t>Föryngringsavverkning</t>
        </is>
      </c>
      <c r="D675" s="1" t="n">
        <v>45803</v>
      </c>
      <c r="E675" s="1" t="n">
        <v>46292</v>
      </c>
      <c r="F675" t="inlineStr">
        <is>
          <t>GÄVLEBORGS LÄN</t>
        </is>
      </c>
      <c r="G675" t="inlineStr">
        <is>
          <t>LJUSDAL</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42720-2024</t>
        </is>
      </c>
      <c r="B676" t="inlineStr">
        <is>
          <t>avverkningsanmälan</t>
        </is>
      </c>
      <c r="C676" t="inlineStr">
        <is>
          <t>Föryngringsavverkning</t>
        </is>
      </c>
      <c r="D676" s="1" t="n">
        <v>45566</v>
      </c>
      <c r="E676" s="1" t="n">
        <v>46292</v>
      </c>
      <c r="F676" t="inlineStr">
        <is>
          <t>GÄVLEBORGS LÄN</t>
        </is>
      </c>
      <c r="G676" t="inlineStr">
        <is>
          <t>LJUSDAL</t>
        </is>
      </c>
      <c r="H676" t="inlineStr">
        <is>
          <t>Kommuner</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4864-2023</t>
        </is>
      </c>
      <c r="B677" t="inlineStr">
        <is>
          <t>avverkningsanmälan</t>
        </is>
      </c>
      <c r="C677" t="inlineStr">
        <is>
          <t>Föryngringsavverkning</t>
        </is>
      </c>
      <c r="D677" s="1" t="n">
        <v>44957</v>
      </c>
      <c r="E677" s="1" t="n">
        <v>46292</v>
      </c>
      <c r="F677" t="inlineStr">
        <is>
          <t>GÄVLEBORGS LÄN</t>
        </is>
      </c>
      <c r="G677" t="inlineStr">
        <is>
          <t>LJUSDAL</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3635-2023</t>
        </is>
      </c>
      <c r="B678" t="inlineStr">
        <is>
          <t>avverkningsanmälan</t>
        </is>
      </c>
      <c r="C678" t="inlineStr">
        <is>
          <t>Föryngringsavverkning</t>
        </is>
      </c>
      <c r="D678" s="1" t="n">
        <v>44950</v>
      </c>
      <c r="E678" s="1" t="n">
        <v>46292</v>
      </c>
      <c r="F678" t="inlineStr">
        <is>
          <t>GÄVLEBORGS LÄN</t>
        </is>
      </c>
      <c r="G678" t="inlineStr">
        <is>
          <t>LJUSDAL</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9610-2026</t>
        </is>
      </c>
      <c r="B679" t="inlineStr">
        <is>
          <t>avverkningsanmälan</t>
        </is>
      </c>
      <c r="C679" t="inlineStr">
        <is>
          <t>Föryngringsavverkning</t>
        </is>
      </c>
      <c r="D679" s="1" t="n">
        <v>46072</v>
      </c>
      <c r="E679" s="1" t="n">
        <v>46292</v>
      </c>
      <c r="F679" t="inlineStr">
        <is>
          <t>GÄVLEBORGS LÄN</t>
        </is>
      </c>
      <c r="G679" t="inlineStr">
        <is>
          <t>LJUSDAL</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26268-2025</t>
        </is>
      </c>
      <c r="B680" t="inlineStr">
        <is>
          <t>avverkningsanmälan</t>
        </is>
      </c>
      <c r="C680" t="inlineStr">
        <is>
          <t>Föryngringsavverkning</t>
        </is>
      </c>
      <c r="D680" s="1" t="n">
        <v>45805</v>
      </c>
      <c r="E680" s="1" t="n">
        <v>46292</v>
      </c>
      <c r="F680" t="inlineStr">
        <is>
          <t>GÄVLEBORGS LÄN</t>
        </is>
      </c>
      <c r="G680" t="inlineStr">
        <is>
          <t>LJUSDAL</t>
        </is>
      </c>
      <c r="H680" t="inlineStr">
        <is>
          <t>Kommuner</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46715-2025</t>
        </is>
      </c>
      <c r="B681" t="inlineStr">
        <is>
          <t>avverkningsanmälan</t>
        </is>
      </c>
      <c r="C681" t="inlineStr">
        <is>
          <t>Föryngringsavverkning</t>
        </is>
      </c>
      <c r="D681" s="1" t="n">
        <v>45926</v>
      </c>
      <c r="E681" s="1" t="n">
        <v>46292</v>
      </c>
      <c r="F681" t="inlineStr">
        <is>
          <t>GÄVLEBORGS LÄN</t>
        </is>
      </c>
      <c r="G681" t="inlineStr">
        <is>
          <t>LJUSDAL</t>
        </is>
      </c>
      <c r="H681" t="inlineStr">
        <is>
          <t>Sveaskog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10076-2026</t>
        </is>
      </c>
      <c r="B682" t="inlineStr">
        <is>
          <t>avverkningsanmälan</t>
        </is>
      </c>
      <c r="C682" t="inlineStr">
        <is>
          <t>Föryngringsavverkning</t>
        </is>
      </c>
      <c r="D682" s="1" t="n">
        <v>46073</v>
      </c>
      <c r="E682" s="1" t="n">
        <v>46292</v>
      </c>
      <c r="F682" t="inlineStr">
        <is>
          <t>GÄVLEBORGS LÄN</t>
        </is>
      </c>
      <c r="G682" t="inlineStr">
        <is>
          <t>LJUSDAL</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46466-2025</t>
        </is>
      </c>
      <c r="B683" t="inlineStr">
        <is>
          <t>avverkningsanmälan</t>
        </is>
      </c>
      <c r="C683" t="inlineStr">
        <is>
          <t>Föryngringsavverkning</t>
        </is>
      </c>
      <c r="D683" s="1" t="n">
        <v>45925</v>
      </c>
      <c r="E683" s="1" t="n">
        <v>46292</v>
      </c>
      <c r="F683" t="inlineStr">
        <is>
          <t>GÄVLEBORGS LÄN</t>
        </is>
      </c>
      <c r="G683" t="inlineStr">
        <is>
          <t>LJUSDAL</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26103-2025</t>
        </is>
      </c>
      <c r="B684" t="inlineStr">
        <is>
          <t>avverkningsanmälan</t>
        </is>
      </c>
      <c r="C684" t="inlineStr">
        <is>
          <t>Föryngringsavverkning</t>
        </is>
      </c>
      <c r="D684" s="1" t="n">
        <v>45805</v>
      </c>
      <c r="E684" s="1" t="n">
        <v>46292</v>
      </c>
      <c r="F684" t="inlineStr">
        <is>
          <t>GÄVLEBORGS LÄN</t>
        </is>
      </c>
      <c r="G684" t="inlineStr">
        <is>
          <t>LJUSDAL</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42537-2024</t>
        </is>
      </c>
      <c r="B685" t="inlineStr">
        <is>
          <t>avverkningsanmälan</t>
        </is>
      </c>
      <c r="C685" t="inlineStr">
        <is>
          <t>Föryngringsavverkning</t>
        </is>
      </c>
      <c r="D685" s="1" t="n">
        <v>45565</v>
      </c>
      <c r="E685" s="1" t="n">
        <v>46292</v>
      </c>
      <c r="F685" t="inlineStr">
        <is>
          <t>GÄVLEBORGS LÄN</t>
        </is>
      </c>
      <c r="G685" t="inlineStr">
        <is>
          <t>LJUSDAL</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46342-2025</t>
        </is>
      </c>
      <c r="B686" t="inlineStr">
        <is>
          <t>avverkningsanmälan</t>
        </is>
      </c>
      <c r="C686" t="inlineStr">
        <is>
          <t>Föryngringsavverkning</t>
        </is>
      </c>
      <c r="D686" s="1" t="n">
        <v>45925</v>
      </c>
      <c r="E686" s="1" t="n">
        <v>46292</v>
      </c>
      <c r="F686" t="inlineStr">
        <is>
          <t>GÄVLEBORGS LÄN</t>
        </is>
      </c>
      <c r="G686" t="inlineStr">
        <is>
          <t>LJUSDAL</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46323-2025</t>
        </is>
      </c>
      <c r="B687" t="inlineStr">
        <is>
          <t>avverkningsanmälan</t>
        </is>
      </c>
      <c r="C687" t="inlineStr">
        <is>
          <t>Föryngringsavverkning</t>
        </is>
      </c>
      <c r="D687" s="1" t="n">
        <v>45925</v>
      </c>
      <c r="E687" s="1" t="n">
        <v>46292</v>
      </c>
      <c r="F687" t="inlineStr">
        <is>
          <t>GÄVLEBORGS LÄN</t>
        </is>
      </c>
      <c r="G687" t="inlineStr">
        <is>
          <t>LJUSDAL</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46328-2025</t>
        </is>
      </c>
      <c r="B688" t="inlineStr">
        <is>
          <t>avverkningsanmälan</t>
        </is>
      </c>
      <c r="C688" t="inlineStr">
        <is>
          <t>Föryngringsavverkning</t>
        </is>
      </c>
      <c r="D688" s="1" t="n">
        <v>45925</v>
      </c>
      <c r="E688" s="1" t="n">
        <v>46292</v>
      </c>
      <c r="F688" t="inlineStr">
        <is>
          <t>GÄVLEBORGS LÄN</t>
        </is>
      </c>
      <c r="G688" t="inlineStr">
        <is>
          <t>LJUSDAL</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7606-2022</t>
        </is>
      </c>
      <c r="B689" t="inlineStr">
        <is>
          <t>avverkningsanmälan</t>
        </is>
      </c>
      <c r="C689" t="inlineStr">
        <is>
          <t>Föryngringsavverkning</t>
        </is>
      </c>
      <c r="D689" s="1" t="n">
        <v>44607</v>
      </c>
      <c r="E689" s="1" t="n">
        <v>46292</v>
      </c>
      <c r="F689" t="inlineStr">
        <is>
          <t>GÄVLEBORGS LÄN</t>
        </is>
      </c>
      <c r="G689" t="inlineStr">
        <is>
          <t>LJUSDAL</t>
        </is>
      </c>
      <c r="H689" t="inlineStr">
        <is>
          <t>Holmen skog AB</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46719-2025</t>
        </is>
      </c>
      <c r="B690" t="inlineStr">
        <is>
          <t>avverkningsanmälan</t>
        </is>
      </c>
      <c r="C690" t="inlineStr">
        <is>
          <t>Föryngringsavverkning</t>
        </is>
      </c>
      <c r="D690" s="1" t="n">
        <v>45926</v>
      </c>
      <c r="E690" s="1" t="n">
        <v>46292</v>
      </c>
      <c r="F690" t="inlineStr">
        <is>
          <t>GÄVLEBORGS LÄN</t>
        </is>
      </c>
      <c r="G690" t="inlineStr">
        <is>
          <t>LJUSDAL</t>
        </is>
      </c>
      <c r="H690" t="inlineStr">
        <is>
          <t>Sveaskog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10663-2026</t>
        </is>
      </c>
      <c r="B691" t="inlineStr">
        <is>
          <t>avverkningsanmälan</t>
        </is>
      </c>
      <c r="C691" t="inlineStr">
        <is>
          <t>Föryngringsavverkning</t>
        </is>
      </c>
      <c r="D691" s="1" t="n">
        <v>46078</v>
      </c>
      <c r="E691" s="1" t="n">
        <v>46292</v>
      </c>
      <c r="F691" t="inlineStr">
        <is>
          <t>GÄVLEBORGS LÄN</t>
        </is>
      </c>
      <c r="G691" t="inlineStr">
        <is>
          <t>LJUSDAL</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47324-2025</t>
        </is>
      </c>
      <c r="B692" t="inlineStr">
        <is>
          <t>avverkningsanmälan</t>
        </is>
      </c>
      <c r="C692" t="inlineStr">
        <is>
          <t>Föryngringsavverkning</t>
        </is>
      </c>
      <c r="D692" s="1" t="n">
        <v>45930</v>
      </c>
      <c r="E692" s="1" t="n">
        <v>46292</v>
      </c>
      <c r="F692" t="inlineStr">
        <is>
          <t>GÄVLEBORGS LÄN</t>
        </is>
      </c>
      <c r="G692" t="inlineStr">
        <is>
          <t>LJUSDAL</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19035-2023</t>
        </is>
      </c>
      <c r="B693" t="inlineStr">
        <is>
          <t>avverkningsanmälan</t>
        </is>
      </c>
      <c r="C693" t="inlineStr">
        <is>
          <t>Föryngringsavverkning</t>
        </is>
      </c>
      <c r="D693" s="1" t="n">
        <v>45047</v>
      </c>
      <c r="E693" s="1" t="n">
        <v>46292</v>
      </c>
      <c r="F693" t="inlineStr">
        <is>
          <t>GÄVLEBORGS LÄN</t>
        </is>
      </c>
      <c r="G693" t="inlineStr">
        <is>
          <t>LJUSDAL</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43180-2024</t>
        </is>
      </c>
      <c r="B694" t="inlineStr">
        <is>
          <t>avverkningsanmälan</t>
        </is>
      </c>
      <c r="C694" t="inlineStr">
        <is>
          <t>Föryngringsavverkning</t>
        </is>
      </c>
      <c r="D694" s="1" t="n">
        <v>45567</v>
      </c>
      <c r="E694" s="1" t="n">
        <v>46292</v>
      </c>
      <c r="F694" t="inlineStr">
        <is>
          <t>GÄVLEBORGS LÄN</t>
        </is>
      </c>
      <c r="G694" t="inlineStr">
        <is>
          <t>LJUSDAL</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10664-2026</t>
        </is>
      </c>
      <c r="B695" t="inlineStr">
        <is>
          <t>avverkningsanmälan</t>
        </is>
      </c>
      <c r="C695" t="inlineStr">
        <is>
          <t>Föryngringsavverkning</t>
        </is>
      </c>
      <c r="D695" s="1" t="n">
        <v>46078</v>
      </c>
      <c r="E695" s="1" t="n">
        <v>46292</v>
      </c>
      <c r="F695" t="inlineStr">
        <is>
          <t>GÄVLEBORGS LÄN</t>
        </is>
      </c>
      <c r="G695" t="inlineStr">
        <is>
          <t>LJUSDAL</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30818-2024</t>
        </is>
      </c>
      <c r="B696" t="inlineStr">
        <is>
          <t>avverkningsanmälan</t>
        </is>
      </c>
      <c r="C696" t="inlineStr">
        <is>
          <t>Föryngringsavverkning</t>
        </is>
      </c>
      <c r="D696" s="1" t="n">
        <v>45497</v>
      </c>
      <c r="E696" s="1" t="n">
        <v>46292</v>
      </c>
      <c r="F696" t="inlineStr">
        <is>
          <t>GÄVLEBORGS LÄN</t>
        </is>
      </c>
      <c r="G696" t="inlineStr">
        <is>
          <t>LJUSDAL</t>
        </is>
      </c>
      <c r="H696" t="inlineStr">
        <is>
          <t>Bergvik skog väst AB</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15042-2022</t>
        </is>
      </c>
      <c r="B697" t="inlineStr">
        <is>
          <t>avverkningsanmälan</t>
        </is>
      </c>
      <c r="C697" t="inlineStr">
        <is>
          <t>Föryngringsavverkning</t>
        </is>
      </c>
      <c r="D697" s="1" t="n">
        <v>44657</v>
      </c>
      <c r="E697" s="1" t="n">
        <v>46292</v>
      </c>
      <c r="F697" t="inlineStr">
        <is>
          <t>GÄVLEBORGS LÄN</t>
        </is>
      </c>
      <c r="G697" t="inlineStr">
        <is>
          <t>LJUSDAL</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29807-2023</t>
        </is>
      </c>
      <c r="B698" t="inlineStr">
        <is>
          <t>avverkningsanmälan</t>
        </is>
      </c>
      <c r="C698" t="inlineStr">
        <is>
          <t>Föryngringsavverkning</t>
        </is>
      </c>
      <c r="D698" s="1" t="n">
        <v>45099</v>
      </c>
      <c r="E698" s="1" t="n">
        <v>46292</v>
      </c>
      <c r="F698" t="inlineStr">
        <is>
          <t>GÄVLEBORGS LÄN</t>
        </is>
      </c>
      <c r="G698" t="inlineStr">
        <is>
          <t>LJUSDAL</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47925-2025</t>
        </is>
      </c>
      <c r="B699" t="inlineStr">
        <is>
          <t>avverkningsanmälan</t>
        </is>
      </c>
      <c r="C699" t="inlineStr">
        <is>
          <t>Föryngringsavverkning</t>
        </is>
      </c>
      <c r="D699" s="1" t="n">
        <v>45932</v>
      </c>
      <c r="E699" s="1" t="n">
        <v>46292</v>
      </c>
      <c r="F699" t="inlineStr">
        <is>
          <t>GÄVLEBORGS LÄN</t>
        </is>
      </c>
      <c r="G699" t="inlineStr">
        <is>
          <t>LJUSDAL</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47643-2025</t>
        </is>
      </c>
      <c r="B700" t="inlineStr">
        <is>
          <t>avverkningsanmälan</t>
        </is>
      </c>
      <c r="C700" t="inlineStr">
        <is>
          <t>Föryngringsavverkning</t>
        </is>
      </c>
      <c r="D700" s="1" t="n">
        <v>45931</v>
      </c>
      <c r="E700" s="1" t="n">
        <v>46292</v>
      </c>
      <c r="F700" t="inlineStr">
        <is>
          <t>GÄVLEBORGS LÄN</t>
        </is>
      </c>
      <c r="G700" t="inlineStr">
        <is>
          <t>LJUSDAL</t>
        </is>
      </c>
      <c r="H700" t="inlineStr">
        <is>
          <t>Sveaskog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33297-2024</t>
        </is>
      </c>
      <c r="B701" t="inlineStr">
        <is>
          <t>avverkningsanmälan</t>
        </is>
      </c>
      <c r="C701" t="inlineStr">
        <is>
          <t>Föryngringsavverkning</t>
        </is>
      </c>
      <c r="D701" s="1" t="n">
        <v>45518</v>
      </c>
      <c r="E701" s="1" t="n">
        <v>46292</v>
      </c>
      <c r="F701" t="inlineStr">
        <is>
          <t>GÄVLEBORGS LÄN</t>
        </is>
      </c>
      <c r="G701" t="inlineStr">
        <is>
          <t>LJUSDAL</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21194-2024</t>
        </is>
      </c>
      <c r="B702" t="inlineStr">
        <is>
          <t>avverkningsanmälan</t>
        </is>
      </c>
      <c r="C702" t="inlineStr">
        <is>
          <t>Avverkning för annat ändamål</t>
        </is>
      </c>
      <c r="D702" s="1" t="n">
        <v>45440</v>
      </c>
      <c r="E702" s="1" t="n">
        <v>46292</v>
      </c>
      <c r="F702" t="inlineStr">
        <is>
          <t>GÄVLEBORGS LÄN</t>
        </is>
      </c>
      <c r="G702" t="inlineStr">
        <is>
          <t>LJUSDAL</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26816-2025</t>
        </is>
      </c>
      <c r="B703" t="inlineStr">
        <is>
          <t>avverkningsanmälan</t>
        </is>
      </c>
      <c r="C703" t="inlineStr">
        <is>
          <t>Föryngringsavverkning</t>
        </is>
      </c>
      <c r="D703" s="1" t="n">
        <v>45810</v>
      </c>
      <c r="E703" s="1" t="n">
        <v>46292</v>
      </c>
      <c r="F703" t="inlineStr">
        <is>
          <t>GÄVLEBORGS LÄN</t>
        </is>
      </c>
      <c r="G703" t="inlineStr">
        <is>
          <t>LJUSDAL</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56355-2024</t>
        </is>
      </c>
      <c r="B704" t="inlineStr">
        <is>
          <t>avverkningsanmälan</t>
        </is>
      </c>
      <c r="C704" t="inlineStr">
        <is>
          <t>Föryngringsavverkning</t>
        </is>
      </c>
      <c r="D704" s="1" t="n">
        <v>45624</v>
      </c>
      <c r="E704" s="1" t="n">
        <v>46292</v>
      </c>
      <c r="F704" t="inlineStr">
        <is>
          <t>GÄVLEBORGS LÄN</t>
        </is>
      </c>
      <c r="G704" t="inlineStr">
        <is>
          <t>LJUSDAL</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7472-2022</t>
        </is>
      </c>
      <c r="B705" t="inlineStr">
        <is>
          <t>avverkningsanmälan</t>
        </is>
      </c>
      <c r="C705" t="inlineStr">
        <is>
          <t>Föryngringsavverkning</t>
        </is>
      </c>
      <c r="D705" s="1" t="n">
        <v>44607</v>
      </c>
      <c r="E705" s="1" t="n">
        <v>46292</v>
      </c>
      <c r="F705" t="inlineStr">
        <is>
          <t>GÄVLEBORGS LÄN</t>
        </is>
      </c>
      <c r="G705" t="inlineStr">
        <is>
          <t>LJUSDAL</t>
        </is>
      </c>
      <c r="H705" t="inlineStr">
        <is>
          <t>Holmen skog AB</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29812-2024</t>
        </is>
      </c>
      <c r="B706" t="inlineStr">
        <is>
          <t>avverkningsanmälan</t>
        </is>
      </c>
      <c r="C706" t="inlineStr">
        <is>
          <t>Föryngringsavverkning</t>
        </is>
      </c>
      <c r="D706" s="1" t="n">
        <v>45485</v>
      </c>
      <c r="E706" s="1" t="n">
        <v>46292</v>
      </c>
      <c r="F706" t="inlineStr">
        <is>
          <t>GÄVLEBORGS LÄN</t>
        </is>
      </c>
      <c r="G706" t="inlineStr">
        <is>
          <t>LJUSDAL</t>
        </is>
      </c>
      <c r="H706" t="inlineStr">
        <is>
          <t>Allmännings- och besparingsskogar</t>
        </is>
      </c>
      <c r="I706" t="n">
        <v>10.3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10074-2022</t>
        </is>
      </c>
      <c r="B707" t="inlineStr">
        <is>
          <t>avverkningsanmälan</t>
        </is>
      </c>
      <c r="C707" t="inlineStr">
        <is>
          <t>Föryngringsavverkning</t>
        </is>
      </c>
      <c r="D707" s="1" t="n">
        <v>44621</v>
      </c>
      <c r="E707" s="1" t="n">
        <v>46292</v>
      </c>
      <c r="F707" t="inlineStr">
        <is>
          <t>GÄVLEBORGS LÄN</t>
        </is>
      </c>
      <c r="G707" t="inlineStr">
        <is>
          <t>LJUSDAL</t>
        </is>
      </c>
      <c r="H707" t="inlineStr">
        <is>
          <t>Kommuner</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26819-2025</t>
        </is>
      </c>
      <c r="B708" t="inlineStr">
        <is>
          <t>avverkningsanmälan</t>
        </is>
      </c>
      <c r="C708" t="inlineStr">
        <is>
          <t>Föryngringsavverkning</t>
        </is>
      </c>
      <c r="D708" s="1" t="n">
        <v>45810</v>
      </c>
      <c r="E708" s="1" t="n">
        <v>46292</v>
      </c>
      <c r="F708" t="inlineStr">
        <is>
          <t>GÄVLEBORGS LÄN</t>
        </is>
      </c>
      <c r="G708" t="inlineStr">
        <is>
          <t>LJUSDAL</t>
        </is>
      </c>
      <c r="H708" t="inlineStr">
        <is>
          <t>SCA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39665-2024</t>
        </is>
      </c>
      <c r="B709" t="inlineStr">
        <is>
          <t>avverkningsanmälan</t>
        </is>
      </c>
      <c r="C709" t="inlineStr">
        <is>
          <t>Föryngringsavverkning</t>
        </is>
      </c>
      <c r="D709" s="1" t="n">
        <v>45552</v>
      </c>
      <c r="E709" s="1" t="n">
        <v>46292</v>
      </c>
      <c r="F709" t="inlineStr">
        <is>
          <t>GÄVLEBORGS LÄN</t>
        </is>
      </c>
      <c r="G709" t="inlineStr">
        <is>
          <t>LJUSDAL</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47923-2025</t>
        </is>
      </c>
      <c r="B710" t="inlineStr">
        <is>
          <t>avverkningsanmälan</t>
        </is>
      </c>
      <c r="C710" t="inlineStr">
        <is>
          <t>Föryngringsavverkning</t>
        </is>
      </c>
      <c r="D710" s="1" t="n">
        <v>45932</v>
      </c>
      <c r="E710" s="1" t="n">
        <v>46292</v>
      </c>
      <c r="F710" t="inlineStr">
        <is>
          <t>GÄVLEBORGS LÄN</t>
        </is>
      </c>
      <c r="G710" t="inlineStr">
        <is>
          <t>LJUSDAL</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47747-2025</t>
        </is>
      </c>
      <c r="B711" t="inlineStr">
        <is>
          <t>avverkningsanmälan</t>
        </is>
      </c>
      <c r="C711" t="inlineStr">
        <is>
          <t>Föryngringsavverkning</t>
        </is>
      </c>
      <c r="D711" s="1" t="n">
        <v>45931</v>
      </c>
      <c r="E711" s="1" t="n">
        <v>46292</v>
      </c>
      <c r="F711" t="inlineStr">
        <is>
          <t>GÄVLEBORGS LÄN</t>
        </is>
      </c>
      <c r="G711" t="inlineStr">
        <is>
          <t>LJUSDAL</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10026-2023</t>
        </is>
      </c>
      <c r="B712" t="inlineStr">
        <is>
          <t>avverkningsanmälan</t>
        </is>
      </c>
      <c r="C712" t="inlineStr">
        <is>
          <t>Föryngringsavverkning</t>
        </is>
      </c>
      <c r="D712" s="1" t="n">
        <v>44985</v>
      </c>
      <c r="E712" s="1" t="n">
        <v>46292</v>
      </c>
      <c r="F712" t="inlineStr">
        <is>
          <t>GÄVLEBORGS LÄN</t>
        </is>
      </c>
      <c r="G712" t="inlineStr">
        <is>
          <t>LJUSDAL</t>
        </is>
      </c>
      <c r="H712" t="inlineStr">
        <is>
          <t>Holmen skog AB</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9613-2026</t>
        </is>
      </c>
      <c r="B713" t="inlineStr">
        <is>
          <t>avverkningsanmälan</t>
        </is>
      </c>
      <c r="C713" t="inlineStr">
        <is>
          <t>Föryngringsavverkning</t>
        </is>
      </c>
      <c r="D713" s="1" t="n">
        <v>46072</v>
      </c>
      <c r="E713" s="1" t="n">
        <v>46292</v>
      </c>
      <c r="F713" t="inlineStr">
        <is>
          <t>GÄVLEBORGS LÄN</t>
        </is>
      </c>
      <c r="G713" t="inlineStr">
        <is>
          <t>LJUSDAL</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35024-2024</t>
        </is>
      </c>
      <c r="B714" t="inlineStr">
        <is>
          <t>avverkningsanmälan</t>
        </is>
      </c>
      <c r="C714" t="inlineStr">
        <is>
          <t>Föryngringsavverkning</t>
        </is>
      </c>
      <c r="D714" s="1" t="n">
        <v>45527</v>
      </c>
      <c r="E714" s="1" t="n">
        <v>46292</v>
      </c>
      <c r="F714" t="inlineStr">
        <is>
          <t>GÄVLEBORGS LÄN</t>
        </is>
      </c>
      <c r="G714" t="inlineStr">
        <is>
          <t>LJUSDAL</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48635-2025</t>
        </is>
      </c>
      <c r="B715" t="inlineStr">
        <is>
          <t>avverkningsanmälan</t>
        </is>
      </c>
      <c r="C715" t="inlineStr">
        <is>
          <t>Föryngringsavverkning</t>
        </is>
      </c>
      <c r="D715" s="1" t="n">
        <v>45936</v>
      </c>
      <c r="E715" s="1" t="n">
        <v>46292</v>
      </c>
      <c r="F715" t="inlineStr">
        <is>
          <t>GÄVLEBORGS LÄN</t>
        </is>
      </c>
      <c r="G715" t="inlineStr">
        <is>
          <t>LJUSDAL</t>
        </is>
      </c>
      <c r="H715" t="inlineStr">
        <is>
          <t>Holmen skog AB</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48285-2025</t>
        </is>
      </c>
      <c r="B716" t="inlineStr">
        <is>
          <t>avverkningsanmälan</t>
        </is>
      </c>
      <c r="C716" t="inlineStr">
        <is>
          <t>Föryngringsavverkning</t>
        </is>
      </c>
      <c r="D716" s="1" t="n">
        <v>45933</v>
      </c>
      <c r="E716" s="1" t="n">
        <v>46292</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48318-2025</t>
        </is>
      </c>
      <c r="B717" t="inlineStr">
        <is>
          <t>avverkningsanmälan</t>
        </is>
      </c>
      <c r="C717" t="inlineStr">
        <is>
          <t>Föryngringsavverkning</t>
        </is>
      </c>
      <c r="D717" s="1" t="n">
        <v>45933</v>
      </c>
      <c r="E717" s="1" t="n">
        <v>46292</v>
      </c>
      <c r="F717" t="inlineStr">
        <is>
          <t>GÄVLEBORGS LÄN</t>
        </is>
      </c>
      <c r="G717" t="inlineStr">
        <is>
          <t>LJUSDAL</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1445-2023</t>
        </is>
      </c>
      <c r="B718" t="inlineStr">
        <is>
          <t>avverkningsanmälan</t>
        </is>
      </c>
      <c r="C718" t="inlineStr">
        <is>
          <t>Föryngringsavverkning</t>
        </is>
      </c>
      <c r="D718" s="1" t="n">
        <v>44937</v>
      </c>
      <c r="E718" s="1" t="n">
        <v>46292</v>
      </c>
      <c r="F718" t="inlineStr">
        <is>
          <t>GÄVLEBORGS LÄN</t>
        </is>
      </c>
      <c r="G718" t="inlineStr">
        <is>
          <t>LJUSDAL</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48631-2025</t>
        </is>
      </c>
      <c r="B719" t="inlineStr">
        <is>
          <t>avverkningsanmälan</t>
        </is>
      </c>
      <c r="C719" t="inlineStr">
        <is>
          <t>Föryngringsavverkning</t>
        </is>
      </c>
      <c r="D719" s="1" t="n">
        <v>45936</v>
      </c>
      <c r="E719" s="1" t="n">
        <v>46292</v>
      </c>
      <c r="F719" t="inlineStr">
        <is>
          <t>GÄVLEBORGS LÄN</t>
        </is>
      </c>
      <c r="G719" t="inlineStr">
        <is>
          <t>LJUSDAL</t>
        </is>
      </c>
      <c r="H719" t="inlineStr">
        <is>
          <t>Holmen skog AB</t>
        </is>
      </c>
      <c r="I719" t="n">
        <v>13.7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48694-2025</t>
        </is>
      </c>
      <c r="B720" t="inlineStr">
        <is>
          <t>avverkningsanmälan</t>
        </is>
      </c>
      <c r="C720" t="inlineStr">
        <is>
          <t>Föryngringsavverkning</t>
        </is>
      </c>
      <c r="D720" s="1" t="n">
        <v>45936</v>
      </c>
      <c r="E720" s="1" t="n">
        <v>46292</v>
      </c>
      <c r="F720" t="inlineStr">
        <is>
          <t>GÄVLEBORGS LÄN</t>
        </is>
      </c>
      <c r="G720" t="inlineStr">
        <is>
          <t>LJUSDAL</t>
        </is>
      </c>
      <c r="I720" t="n">
        <v>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42732-2023</t>
        </is>
      </c>
      <c r="B721" t="inlineStr">
        <is>
          <t>avverkningsanmälan</t>
        </is>
      </c>
      <c r="C721" t="inlineStr">
        <is>
          <t>Avverkning för annat ändamål</t>
        </is>
      </c>
      <c r="D721" s="1" t="n">
        <v>45181</v>
      </c>
      <c r="E721" s="1" t="n">
        <v>46292</v>
      </c>
      <c r="F721" t="inlineStr">
        <is>
          <t>GÄVLEBORGS LÄN</t>
        </is>
      </c>
      <c r="G721" t="inlineStr">
        <is>
          <t>LJUSDAL</t>
        </is>
      </c>
      <c r="H721" t="inlineStr">
        <is>
          <t>Kommuner</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35122-2024</t>
        </is>
      </c>
      <c r="B722" t="inlineStr">
        <is>
          <t>avverkningsanmälan</t>
        </is>
      </c>
      <c r="C722" t="inlineStr">
        <is>
          <t>Avverkning för annat ändamål</t>
        </is>
      </c>
      <c r="D722" s="1" t="n">
        <v>45530</v>
      </c>
      <c r="E722" s="1" t="n">
        <v>46292</v>
      </c>
      <c r="F722" t="inlineStr">
        <is>
          <t>GÄVLEBORGS LÄN</t>
        </is>
      </c>
      <c r="G722" t="inlineStr">
        <is>
          <t>LJUSDAL</t>
        </is>
      </c>
      <c r="H722" t="inlineStr">
        <is>
          <t>Sveaskog</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48634-2025</t>
        </is>
      </c>
      <c r="B723" t="inlineStr">
        <is>
          <t>avverkningsanmälan</t>
        </is>
      </c>
      <c r="C723" t="inlineStr">
        <is>
          <t>Föryngringsavverkning</t>
        </is>
      </c>
      <c r="D723" s="1" t="n">
        <v>45936</v>
      </c>
      <c r="E723" s="1" t="n">
        <v>46292</v>
      </c>
      <c r="F723" t="inlineStr">
        <is>
          <t>GÄVLEBORGS LÄN</t>
        </is>
      </c>
      <c r="G723" t="inlineStr">
        <is>
          <t>LJUSDAL</t>
        </is>
      </c>
      <c r="H723" t="inlineStr">
        <is>
          <t>Holmen skog AB</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48333-2025</t>
        </is>
      </c>
      <c r="B724" t="inlineStr">
        <is>
          <t>avverkningsanmälan</t>
        </is>
      </c>
      <c r="C724" t="inlineStr">
        <is>
          <t>Föryngringsavverkning</t>
        </is>
      </c>
      <c r="D724" s="1" t="n">
        <v>45933</v>
      </c>
      <c r="E724" s="1" t="n">
        <v>46292</v>
      </c>
      <c r="F724" t="inlineStr">
        <is>
          <t>GÄVLEBORGS LÄN</t>
        </is>
      </c>
      <c r="G724" t="inlineStr">
        <is>
          <t>LJUSDAL</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46445-2025</t>
        </is>
      </c>
      <c r="B725" t="inlineStr">
        <is>
          <t>avverkningsanmälan</t>
        </is>
      </c>
      <c r="C725" t="inlineStr">
        <is>
          <t>Föryngringsavverkning</t>
        </is>
      </c>
      <c r="D725" s="1" t="n">
        <v>45925</v>
      </c>
      <c r="E725" s="1" t="n">
        <v>46292</v>
      </c>
      <c r="F725" t="inlineStr">
        <is>
          <t>GÄVLEBORGS LÄN</t>
        </is>
      </c>
      <c r="G725" t="inlineStr">
        <is>
          <t>LJUSDAL</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48825-2025</t>
        </is>
      </c>
      <c r="B726" t="inlineStr">
        <is>
          <t>avverkningsanmälan</t>
        </is>
      </c>
      <c r="C726" t="inlineStr">
        <is>
          <t>Föryngringsavverkning</t>
        </is>
      </c>
      <c r="D726" s="1" t="n">
        <v>45937</v>
      </c>
      <c r="E726" s="1" t="n">
        <v>46292</v>
      </c>
      <c r="F726" t="inlineStr">
        <is>
          <t>GÄVLEBORGS LÄN</t>
        </is>
      </c>
      <c r="G726" t="inlineStr">
        <is>
          <t>LJUSDAL</t>
        </is>
      </c>
      <c r="H726" t="inlineStr">
        <is>
          <t>Sveaskog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49035-2025</t>
        </is>
      </c>
      <c r="B727" t="inlineStr">
        <is>
          <t>avverkningsanmälan</t>
        </is>
      </c>
      <c r="C727" t="inlineStr">
        <is>
          <t>Föryngringsavverkning</t>
        </is>
      </c>
      <c r="D727" s="1" t="n">
        <v>45937</v>
      </c>
      <c r="E727" s="1" t="n">
        <v>46292</v>
      </c>
      <c r="F727" t="inlineStr">
        <is>
          <t>GÄVLEBORGS LÄN</t>
        </is>
      </c>
      <c r="G727" t="inlineStr">
        <is>
          <t>LJUSDAL</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23191-2022</t>
        </is>
      </c>
      <c r="B728" t="inlineStr">
        <is>
          <t>avverkningsanmälan</t>
        </is>
      </c>
      <c r="C728" t="inlineStr">
        <is>
          <t>Föryngringsavverkning</t>
        </is>
      </c>
      <c r="D728" s="1" t="n">
        <v>44719</v>
      </c>
      <c r="E728" s="1" t="n">
        <v>46292</v>
      </c>
      <c r="F728" t="inlineStr">
        <is>
          <t>GÄVLEBORGS LÄN</t>
        </is>
      </c>
      <c r="G728" t="inlineStr">
        <is>
          <t>LJUSDAL</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23192-2022</t>
        </is>
      </c>
      <c r="B729" t="inlineStr">
        <is>
          <t>avverkningsanmälan</t>
        </is>
      </c>
      <c r="C729" t="inlineStr">
        <is>
          <t>Föryngringsavverkning</t>
        </is>
      </c>
      <c r="D729" s="1" t="n">
        <v>44719</v>
      </c>
      <c r="E729" s="1" t="n">
        <v>46292</v>
      </c>
      <c r="F729" t="inlineStr">
        <is>
          <t>GÄVLEBORGS LÄN</t>
        </is>
      </c>
      <c r="G729" t="inlineStr">
        <is>
          <t>LJUSDAL</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15197-2025</t>
        </is>
      </c>
      <c r="B730" t="inlineStr">
        <is>
          <t>avverkningsanmälan</t>
        </is>
      </c>
      <c r="C730" t="inlineStr">
        <is>
          <t>Föryngringsavverkning</t>
        </is>
      </c>
      <c r="D730" s="1" t="n">
        <v>45744</v>
      </c>
      <c r="E730" s="1" t="n">
        <v>46292</v>
      </c>
      <c r="F730" t="inlineStr">
        <is>
          <t>GÄVLEBORGS LÄN</t>
        </is>
      </c>
      <c r="G730" t="inlineStr">
        <is>
          <t>LJUSDAL</t>
        </is>
      </c>
      <c r="H730" t="inlineStr">
        <is>
          <t>Bergvik skog väst AB</t>
        </is>
      </c>
      <c r="I730" t="n">
        <v>31.3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26557-2025</t>
        </is>
      </c>
      <c r="B731" t="inlineStr">
        <is>
          <t>avverkningsanmälan</t>
        </is>
      </c>
      <c r="C731" t="inlineStr">
        <is>
          <t>Föryngringsavverkning</t>
        </is>
      </c>
      <c r="D731" s="1" t="n">
        <v>45807</v>
      </c>
      <c r="E731" s="1" t="n">
        <v>46292</v>
      </c>
      <c r="F731" t="inlineStr">
        <is>
          <t>GÄVLEBORGS LÄN</t>
        </is>
      </c>
      <c r="G731" t="inlineStr">
        <is>
          <t>LJUSDAL</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49297-2025</t>
        </is>
      </c>
      <c r="B732" t="inlineStr">
        <is>
          <t>avverkningsanmälan</t>
        </is>
      </c>
      <c r="C732" t="inlineStr">
        <is>
          <t>Föryngringsavverkning</t>
        </is>
      </c>
      <c r="D732" s="1" t="n">
        <v>45938</v>
      </c>
      <c r="E732" s="1" t="n">
        <v>46292</v>
      </c>
      <c r="F732" t="inlineStr">
        <is>
          <t>GÄVLEBORGS LÄN</t>
        </is>
      </c>
      <c r="G732" t="inlineStr">
        <is>
          <t>LJUSDAL</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12856-2026</t>
        </is>
      </c>
      <c r="B733" t="inlineStr">
        <is>
          <t>avverkningsanmälan</t>
        </is>
      </c>
      <c r="C733" t="inlineStr">
        <is>
          <t>Föryngringsavverkning</t>
        </is>
      </c>
      <c r="D733" s="1" t="n">
        <v>46092</v>
      </c>
      <c r="E733" s="1" t="n">
        <v>46292</v>
      </c>
      <c r="F733" t="inlineStr">
        <is>
          <t>GÄVLEBORGS LÄN</t>
        </is>
      </c>
      <c r="G733" t="inlineStr">
        <is>
          <t>LJUSDAL</t>
        </is>
      </c>
      <c r="H733" t="inlineStr">
        <is>
          <t>Holmen skog AB</t>
        </is>
      </c>
      <c r="I733" t="n">
        <v>16.3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12864-2026</t>
        </is>
      </c>
      <c r="B734" t="inlineStr">
        <is>
          <t>avverkningsanmälan</t>
        </is>
      </c>
      <c r="C734" t="inlineStr">
        <is>
          <t>Föryngringsavverkning</t>
        </is>
      </c>
      <c r="D734" s="1" t="n">
        <v>46092</v>
      </c>
      <c r="E734" s="1" t="n">
        <v>46292</v>
      </c>
      <c r="F734" t="inlineStr">
        <is>
          <t>GÄVLEBORGS LÄN</t>
        </is>
      </c>
      <c r="G734" t="inlineStr">
        <is>
          <t>LJUSDAL</t>
        </is>
      </c>
      <c r="H734" t="inlineStr">
        <is>
          <t>Holmen skog AB</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47580-2024</t>
        </is>
      </c>
      <c r="B735" t="inlineStr">
        <is>
          <t>avverkningsanmälan</t>
        </is>
      </c>
      <c r="C735" t="inlineStr">
        <is>
          <t>Föryngringsavverkning</t>
        </is>
      </c>
      <c r="D735" s="1" t="n">
        <v>45587</v>
      </c>
      <c r="E735" s="1" t="n">
        <v>46292</v>
      </c>
      <c r="F735" t="inlineStr">
        <is>
          <t>GÄVLEBORGS LÄN</t>
        </is>
      </c>
      <c r="G735" t="inlineStr">
        <is>
          <t>LJUSDAL</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49736-2025</t>
        </is>
      </c>
      <c r="B736" t="inlineStr">
        <is>
          <t>avverkningsanmälan</t>
        </is>
      </c>
      <c r="C736" t="inlineStr">
        <is>
          <t>Föryngringsavverkning</t>
        </is>
      </c>
      <c r="D736" s="1" t="n">
        <v>45940</v>
      </c>
      <c r="E736" s="1" t="n">
        <v>46292</v>
      </c>
      <c r="F736" t="inlineStr">
        <is>
          <t>GÄVLEBORGS LÄN</t>
        </is>
      </c>
      <c r="G736" t="inlineStr">
        <is>
          <t>LJUSDAL</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49457-2025</t>
        </is>
      </c>
      <c r="B737" t="inlineStr">
        <is>
          <t>avverkningsanmälan</t>
        </is>
      </c>
      <c r="C737" t="inlineStr">
        <is>
          <t>Föryngringsavverkning</t>
        </is>
      </c>
      <c r="D737" s="1" t="n">
        <v>45939</v>
      </c>
      <c r="E737" s="1" t="n">
        <v>46292</v>
      </c>
      <c r="F737" t="inlineStr">
        <is>
          <t>GÄVLEBORGS LÄN</t>
        </is>
      </c>
      <c r="G737" t="inlineStr">
        <is>
          <t>LJUSDAL</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48879-2023</t>
        </is>
      </c>
      <c r="B738" t="inlineStr">
        <is>
          <t>avverkningsanmälan</t>
        </is>
      </c>
      <c r="C738" t="inlineStr">
        <is>
          <t>Föryngringsavverkning</t>
        </is>
      </c>
      <c r="D738" s="1" t="n">
        <v>45209</v>
      </c>
      <c r="E738" s="1" t="n">
        <v>46292</v>
      </c>
      <c r="F738" t="inlineStr">
        <is>
          <t>GÄVLEBORGS LÄN</t>
        </is>
      </c>
      <c r="G738" t="inlineStr">
        <is>
          <t>LJUSDAL</t>
        </is>
      </c>
      <c r="H738" t="inlineStr">
        <is>
          <t>Bergvik skog väst AB</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13401-2026</t>
        </is>
      </c>
      <c r="B739" t="inlineStr">
        <is>
          <t>avverkningsanmälan</t>
        </is>
      </c>
      <c r="C739" t="inlineStr">
        <is>
          <t>Föryngringsavverkning</t>
        </is>
      </c>
      <c r="D739" s="1" t="n">
        <v>46094</v>
      </c>
      <c r="E739" s="1" t="n">
        <v>46292</v>
      </c>
      <c r="F739" t="inlineStr">
        <is>
          <t>GÄVLEBORGS LÄN</t>
        </is>
      </c>
      <c r="G739" t="inlineStr">
        <is>
          <t>LJUSDAL</t>
        </is>
      </c>
      <c r="I739" t="n">
        <v>5.7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36061-2024</t>
        </is>
      </c>
      <c r="B740" t="inlineStr">
        <is>
          <t>avverkningsanmälan</t>
        </is>
      </c>
      <c r="C740" t="inlineStr">
        <is>
          <t>Föryngringsavverkning</t>
        </is>
      </c>
      <c r="D740" s="1" t="n">
        <v>45533</v>
      </c>
      <c r="E740" s="1" t="n">
        <v>46292</v>
      </c>
      <c r="F740" t="inlineStr">
        <is>
          <t>GÄVLEBORGS LÄN</t>
        </is>
      </c>
      <c r="G740" t="inlineStr">
        <is>
          <t>LJUSDAL</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18763-2025</t>
        </is>
      </c>
      <c r="B741" t="inlineStr">
        <is>
          <t>avverkningsanmälan</t>
        </is>
      </c>
      <c r="C741" t="inlineStr">
        <is>
          <t>Föryngringsavverkning</t>
        </is>
      </c>
      <c r="D741" s="1" t="n">
        <v>45764</v>
      </c>
      <c r="E741" s="1" t="n">
        <v>46292</v>
      </c>
      <c r="F741" t="inlineStr">
        <is>
          <t>GÄVLEBORGS LÄN</t>
        </is>
      </c>
      <c r="G741" t="inlineStr">
        <is>
          <t>LJUSDAL</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50310-2025</t>
        </is>
      </c>
      <c r="B742" t="inlineStr">
        <is>
          <t>avverkningsanmälan</t>
        </is>
      </c>
      <c r="C742" t="inlineStr">
        <is>
          <t>Föryngringsavverkning</t>
        </is>
      </c>
      <c r="D742" s="1" t="n">
        <v>45944</v>
      </c>
      <c r="E742" s="1" t="n">
        <v>46292</v>
      </c>
      <c r="F742" t="inlineStr">
        <is>
          <t>GÄVLEBORGS LÄN</t>
        </is>
      </c>
      <c r="G742" t="inlineStr">
        <is>
          <t>LJUSDAL</t>
        </is>
      </c>
      <c r="H742" t="inlineStr">
        <is>
          <t>Bergvik skog väst AB</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32879-2022</t>
        </is>
      </c>
      <c r="B743" t="inlineStr">
        <is>
          <t>avverkningsanmälan</t>
        </is>
      </c>
      <c r="C743" t="inlineStr">
        <is>
          <t>Föryngringsavverkning</t>
        </is>
      </c>
      <c r="D743" s="1" t="n">
        <v>44784</v>
      </c>
      <c r="E743" s="1" t="n">
        <v>46292</v>
      </c>
      <c r="F743" t="inlineStr">
        <is>
          <t>GÄVLEBORGS LÄN</t>
        </is>
      </c>
      <c r="G743" t="inlineStr">
        <is>
          <t>LJUSDAL</t>
        </is>
      </c>
      <c r="H743" t="inlineStr">
        <is>
          <t>Bergvik skog väst AB</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57784-2024</t>
        </is>
      </c>
      <c r="B744" t="inlineStr">
        <is>
          <t>avverkningsanmälan</t>
        </is>
      </c>
      <c r="C744" t="inlineStr">
        <is>
          <t>Föryngringsavverkning</t>
        </is>
      </c>
      <c r="D744" s="1" t="n">
        <v>45631</v>
      </c>
      <c r="E744" s="1" t="n">
        <v>46292</v>
      </c>
      <c r="F744" t="inlineStr">
        <is>
          <t>GÄVLEBORGS LÄN</t>
        </is>
      </c>
      <c r="G744" t="inlineStr">
        <is>
          <t>LJUSDAL</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5833-2023</t>
        </is>
      </c>
      <c r="B745" t="inlineStr">
        <is>
          <t>avverkningsanmälan</t>
        </is>
      </c>
      <c r="C745" t="inlineStr">
        <is>
          <t>Föryngringsavverkning</t>
        </is>
      </c>
      <c r="D745" s="1" t="n">
        <v>44963</v>
      </c>
      <c r="E745" s="1" t="n">
        <v>46292</v>
      </c>
      <c r="F745" t="inlineStr">
        <is>
          <t>GÄVLEBORGS LÄN</t>
        </is>
      </c>
      <c r="G745" t="inlineStr">
        <is>
          <t>LJUSDAL</t>
        </is>
      </c>
      <c r="I745" t="n">
        <v>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12555-2023</t>
        </is>
      </c>
      <c r="B746" t="inlineStr">
        <is>
          <t>avverkningsanmälan</t>
        </is>
      </c>
      <c r="C746" t="inlineStr">
        <is>
          <t>Föryngringsavverkning</t>
        </is>
      </c>
      <c r="D746" s="1" t="n">
        <v>45000</v>
      </c>
      <c r="E746" s="1" t="n">
        <v>46292</v>
      </c>
      <c r="F746" t="inlineStr">
        <is>
          <t>GÄVLEBORGS LÄN</t>
        </is>
      </c>
      <c r="G746" t="inlineStr">
        <is>
          <t>LJUSDAL</t>
        </is>
      </c>
      <c r="I746" t="n">
        <v>8.4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1259-2023</t>
        </is>
      </c>
      <c r="B747" t="inlineStr">
        <is>
          <t>avverkningsanmälan</t>
        </is>
      </c>
      <c r="C747" t="inlineStr">
        <is>
          <t>Föryngringsavverkning</t>
        </is>
      </c>
      <c r="D747" s="1" t="n">
        <v>44936</v>
      </c>
      <c r="E747" s="1" t="n">
        <v>46292</v>
      </c>
      <c r="F747" t="inlineStr">
        <is>
          <t>GÄVLEBORGS LÄN</t>
        </is>
      </c>
      <c r="G747" t="inlineStr">
        <is>
          <t>LJUSDAL</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26185-2023</t>
        </is>
      </c>
      <c r="B748" t="inlineStr">
        <is>
          <t>avverkningsanmälan</t>
        </is>
      </c>
      <c r="C748" t="inlineStr">
        <is>
          <t>Föryngringsavverkning</t>
        </is>
      </c>
      <c r="D748" s="1" t="n">
        <v>45091</v>
      </c>
      <c r="E748" s="1" t="n">
        <v>46292</v>
      </c>
      <c r="F748" t="inlineStr">
        <is>
          <t>GÄVLEBORGS LÄN</t>
        </is>
      </c>
      <c r="G748" t="inlineStr">
        <is>
          <t>LJUSDAL</t>
        </is>
      </c>
      <c r="H748" t="inlineStr">
        <is>
          <t>Sveaskog</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26186-2023</t>
        </is>
      </c>
      <c r="B749" t="inlineStr">
        <is>
          <t>avverkningsanmälan</t>
        </is>
      </c>
      <c r="C749" t="inlineStr">
        <is>
          <t>Föryngringsavverkning</t>
        </is>
      </c>
      <c r="D749" s="1" t="n">
        <v>45091</v>
      </c>
      <c r="E749" s="1" t="n">
        <v>46292</v>
      </c>
      <c r="F749" t="inlineStr">
        <is>
          <t>GÄVLEBORGS LÄN</t>
        </is>
      </c>
      <c r="G749" t="inlineStr">
        <is>
          <t>LJUSDAL</t>
        </is>
      </c>
      <c r="H749" t="inlineStr">
        <is>
          <t>Sveaskog</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2370-2023</t>
        </is>
      </c>
      <c r="B750" t="inlineStr">
        <is>
          <t>avverkningsanmälan</t>
        </is>
      </c>
      <c r="C750" t="inlineStr">
        <is>
          <t>Föryngringsavverkning</t>
        </is>
      </c>
      <c r="D750" s="1" t="n">
        <v>44942</v>
      </c>
      <c r="E750" s="1" t="n">
        <v>46292</v>
      </c>
      <c r="F750" t="inlineStr">
        <is>
          <t>GÄVLEBORGS LÄN</t>
        </is>
      </c>
      <c r="G750" t="inlineStr">
        <is>
          <t>LJUSDAL</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50549-2025</t>
        </is>
      </c>
      <c r="B751" t="inlineStr">
        <is>
          <t>avverkningsanmälan</t>
        </is>
      </c>
      <c r="C751" t="inlineStr">
        <is>
          <t>Föryngringsavverkning</t>
        </is>
      </c>
      <c r="D751" s="1" t="n">
        <v>45945</v>
      </c>
      <c r="E751" s="1" t="n">
        <v>46292</v>
      </c>
      <c r="F751" t="inlineStr">
        <is>
          <t>GÄVLEBORGS LÄN</t>
        </is>
      </c>
      <c r="G751" t="inlineStr">
        <is>
          <t>LJUSDAL</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51267-2025</t>
        </is>
      </c>
      <c r="B752" t="inlineStr">
        <is>
          <t>avverkningsanmälan</t>
        </is>
      </c>
      <c r="C752" t="inlineStr">
        <is>
          <t>Föryngringsavverkning</t>
        </is>
      </c>
      <c r="D752" s="1" t="n">
        <v>45949</v>
      </c>
      <c r="E752" s="1" t="n">
        <v>46292</v>
      </c>
      <c r="F752" t="inlineStr">
        <is>
          <t>GÄVLEBORGS LÄN</t>
        </is>
      </c>
      <c r="G752" t="inlineStr">
        <is>
          <t>LJUSDAL</t>
        </is>
      </c>
      <c r="I752" t="n">
        <v>12.2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56464-2023</t>
        </is>
      </c>
      <c r="B753" t="inlineStr">
        <is>
          <t>avverkningsanmälan</t>
        </is>
      </c>
      <c r="C753" t="inlineStr">
        <is>
          <t>Föryngringsavverkning</t>
        </is>
      </c>
      <c r="D753" s="1" t="n">
        <v>45243</v>
      </c>
      <c r="E753" s="1" t="n">
        <v>46292</v>
      </c>
      <c r="F753" t="inlineStr">
        <is>
          <t>GÄVLEBORGS LÄN</t>
        </is>
      </c>
      <c r="G753" t="inlineStr">
        <is>
          <t>LJUSDAL</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50972-2025</t>
        </is>
      </c>
      <c r="B754" t="inlineStr">
        <is>
          <t>avverkningsanmälan</t>
        </is>
      </c>
      <c r="C754" t="inlineStr">
        <is>
          <t>Föryngringsavverkning</t>
        </is>
      </c>
      <c r="D754" s="1" t="n">
        <v>45947</v>
      </c>
      <c r="E754" s="1" t="n">
        <v>46292</v>
      </c>
      <c r="F754" t="inlineStr">
        <is>
          <t>GÄVLEBORGS LÄN</t>
        </is>
      </c>
      <c r="G754" t="inlineStr">
        <is>
          <t>LJUSDAL</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51230-2025</t>
        </is>
      </c>
      <c r="B755" t="inlineStr">
        <is>
          <t>avverkningsanmälan</t>
        </is>
      </c>
      <c r="C755" t="inlineStr">
        <is>
          <t>Föryngringsavverkning</t>
        </is>
      </c>
      <c r="D755" s="1" t="n">
        <v>45947</v>
      </c>
      <c r="E755" s="1" t="n">
        <v>46292</v>
      </c>
      <c r="F755" t="inlineStr">
        <is>
          <t>GÄVLEBORGS LÄN</t>
        </is>
      </c>
      <c r="G755" t="inlineStr">
        <is>
          <t>LJUSDAL</t>
        </is>
      </c>
      <c r="H755" t="inlineStr">
        <is>
          <t>Sveaskog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52842-2023</t>
        </is>
      </c>
      <c r="B756" t="inlineStr">
        <is>
          <t>avverkningsanmälan</t>
        </is>
      </c>
      <c r="C756" t="inlineStr">
        <is>
          <t>Föryngringsavverkning</t>
        </is>
      </c>
      <c r="D756" s="1" t="n">
        <v>45226</v>
      </c>
      <c r="E756" s="1" t="n">
        <v>46292</v>
      </c>
      <c r="F756" t="inlineStr">
        <is>
          <t>GÄVLEBORGS LÄN</t>
        </is>
      </c>
      <c r="G756" t="inlineStr">
        <is>
          <t>LJUSDAL</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13884-2025</t>
        </is>
      </c>
      <c r="B757" t="inlineStr">
        <is>
          <t>avverkningsanmälan</t>
        </is>
      </c>
      <c r="C757" t="inlineStr">
        <is>
          <t>Föryngringsavverkning</t>
        </is>
      </c>
      <c r="D757" s="1" t="n">
        <v>45737</v>
      </c>
      <c r="E757" s="1" t="n">
        <v>46292</v>
      </c>
      <c r="F757" t="inlineStr">
        <is>
          <t>GÄVLEBORGS LÄN</t>
        </is>
      </c>
      <c r="G757" t="inlineStr">
        <is>
          <t>LJUSDAL</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4110-2025</t>
        </is>
      </c>
      <c r="B758" t="inlineStr">
        <is>
          <t>avverkningsanmälan</t>
        </is>
      </c>
      <c r="C758" t="inlineStr">
        <is>
          <t>Föryngringsavverkning</t>
        </is>
      </c>
      <c r="D758" s="1" t="n">
        <v>45684</v>
      </c>
      <c r="E758" s="1" t="n">
        <v>46292</v>
      </c>
      <c r="F758" t="inlineStr">
        <is>
          <t>GÄVLEBORGS LÄN</t>
        </is>
      </c>
      <c r="G758" t="inlineStr">
        <is>
          <t>LJUSDAL</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27305-2025</t>
        </is>
      </c>
      <c r="B759" t="inlineStr">
        <is>
          <t>avverkningsanmälan</t>
        </is>
      </c>
      <c r="C759" t="inlineStr">
        <is>
          <t>Föryngringsavverkning</t>
        </is>
      </c>
      <c r="D759" s="1" t="n">
        <v>45812</v>
      </c>
      <c r="E759" s="1" t="n">
        <v>46292</v>
      </c>
      <c r="F759" t="inlineStr">
        <is>
          <t>GÄVLEBORGS LÄN</t>
        </is>
      </c>
      <c r="G759" t="inlineStr">
        <is>
          <t>LJUSDAL</t>
        </is>
      </c>
      <c r="H759" t="inlineStr">
        <is>
          <t>Allmännings- och besparingsskogar</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50976-2025</t>
        </is>
      </c>
      <c r="B760" t="inlineStr">
        <is>
          <t>avverkningsanmälan</t>
        </is>
      </c>
      <c r="C760" t="inlineStr">
        <is>
          <t>Föryngringsavverkning</t>
        </is>
      </c>
      <c r="D760" s="1" t="n">
        <v>45947</v>
      </c>
      <c r="E760" s="1" t="n">
        <v>46292</v>
      </c>
      <c r="F760" t="inlineStr">
        <is>
          <t>GÄVLEBORGS LÄN</t>
        </is>
      </c>
      <c r="G760" t="inlineStr">
        <is>
          <t>LJUSDAL</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14976-2026</t>
        </is>
      </c>
      <c r="B761" t="inlineStr">
        <is>
          <t>avverkningsanmälan</t>
        </is>
      </c>
      <c r="C761" t="inlineStr">
        <is>
          <t>Föryngringsavverkning</t>
        </is>
      </c>
      <c r="D761" s="1" t="n">
        <v>46104</v>
      </c>
      <c r="E761" s="1" t="n">
        <v>46292</v>
      </c>
      <c r="F761" t="inlineStr">
        <is>
          <t>GÄVLEBORGS LÄN</t>
        </is>
      </c>
      <c r="G761" t="inlineStr">
        <is>
          <t>LJUSDAL</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51913-2025</t>
        </is>
      </c>
      <c r="B762" t="inlineStr">
        <is>
          <t>avverkningsanmälan</t>
        </is>
      </c>
      <c r="C762" t="inlineStr">
        <is>
          <t>Föryngringsavverkning</t>
        </is>
      </c>
      <c r="D762" s="1" t="n">
        <v>45952</v>
      </c>
      <c r="E762" s="1" t="n">
        <v>46292</v>
      </c>
      <c r="F762" t="inlineStr">
        <is>
          <t>GÄVLEBORGS LÄN</t>
        </is>
      </c>
      <c r="G762" t="inlineStr">
        <is>
          <t>LJUSDAL</t>
        </is>
      </c>
      <c r="H762" t="inlineStr">
        <is>
          <t>Holmen skog AB</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31890-2022</t>
        </is>
      </c>
      <c r="B763" t="inlineStr">
        <is>
          <t>avverkningsanmälan</t>
        </is>
      </c>
      <c r="C763" t="inlineStr">
        <is>
          <t>Föryngringsavverkning</t>
        </is>
      </c>
      <c r="D763" s="1" t="n">
        <v>44777</v>
      </c>
      <c r="E763" s="1" t="n">
        <v>46292</v>
      </c>
      <c r="F763" t="inlineStr">
        <is>
          <t>GÄVLEBORGS LÄN</t>
        </is>
      </c>
      <c r="G763" t="inlineStr">
        <is>
          <t>LJUSDAL</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58626-2023</t>
        </is>
      </c>
      <c r="B764" t="inlineStr">
        <is>
          <t>avverkningsanmälan</t>
        </is>
      </c>
      <c r="C764" t="inlineStr">
        <is>
          <t>Föryngringsavverkning</t>
        </is>
      </c>
      <c r="D764" s="1" t="n">
        <v>45251</v>
      </c>
      <c r="E764" s="1" t="n">
        <v>46292</v>
      </c>
      <c r="F764" t="inlineStr">
        <is>
          <t>GÄVLEBORGS LÄN</t>
        </is>
      </c>
      <c r="G764" t="inlineStr">
        <is>
          <t>LJUSDAL</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18914-2024</t>
        </is>
      </c>
      <c r="B765" t="inlineStr">
        <is>
          <t>avverkningsanmälan</t>
        </is>
      </c>
      <c r="C765" t="inlineStr">
        <is>
          <t>Föryngringsavverkning</t>
        </is>
      </c>
      <c r="D765" s="1" t="n">
        <v>45427</v>
      </c>
      <c r="E765" s="1" t="n">
        <v>46292</v>
      </c>
      <c r="F765" t="inlineStr">
        <is>
          <t>GÄVLEBORGS LÄN</t>
        </is>
      </c>
      <c r="G765" t="inlineStr">
        <is>
          <t>LJUSDAL</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50712-2024</t>
        </is>
      </c>
      <c r="B766" t="inlineStr">
        <is>
          <t>avverkningsanmälan</t>
        </is>
      </c>
      <c r="C766" t="inlineStr">
        <is>
          <t>Föryngringsavverkning</t>
        </is>
      </c>
      <c r="D766" s="1" t="n">
        <v>45602</v>
      </c>
      <c r="E766" s="1" t="n">
        <v>46292</v>
      </c>
      <c r="F766" t="inlineStr">
        <is>
          <t>GÄVLEBORGS LÄN</t>
        </is>
      </c>
      <c r="G766" t="inlineStr">
        <is>
          <t>LJUSDAL</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15717-2026</t>
        </is>
      </c>
      <c r="B767" t="inlineStr">
        <is>
          <t>avverkningsanmälan</t>
        </is>
      </c>
      <c r="C767" t="inlineStr">
        <is>
          <t>Föryngringsavverkning</t>
        </is>
      </c>
      <c r="D767" s="1" t="n">
        <v>46107</v>
      </c>
      <c r="E767" s="1" t="n">
        <v>46292</v>
      </c>
      <c r="F767" t="inlineStr">
        <is>
          <t>GÄVLEBORGS LÄN</t>
        </is>
      </c>
      <c r="G767" t="inlineStr">
        <is>
          <t>LJUSDAL</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15811-2026</t>
        </is>
      </c>
      <c r="B768" t="inlineStr">
        <is>
          <t>avverkningsanmälan</t>
        </is>
      </c>
      <c r="C768" t="inlineStr">
        <is>
          <t>Föryngringsavverkning</t>
        </is>
      </c>
      <c r="D768" s="1" t="n">
        <v>46107</v>
      </c>
      <c r="E768" s="1" t="n">
        <v>46292</v>
      </c>
      <c r="F768" t="inlineStr">
        <is>
          <t>GÄVLEBORGS LÄN</t>
        </is>
      </c>
      <c r="G768" t="inlineStr">
        <is>
          <t>LJUSDAL</t>
        </is>
      </c>
      <c r="H768" t="inlineStr">
        <is>
          <t>Holmen skog AB</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29686-2023</t>
        </is>
      </c>
      <c r="B769" t="inlineStr">
        <is>
          <t>avverkningsanmälan</t>
        </is>
      </c>
      <c r="C769" t="inlineStr">
        <is>
          <t>Föryngringsavverkning</t>
        </is>
      </c>
      <c r="D769" s="1" t="n">
        <v>45107</v>
      </c>
      <c r="E769" s="1" t="n">
        <v>46292</v>
      </c>
      <c r="F769" t="inlineStr">
        <is>
          <t>GÄVLEBORGS LÄN</t>
        </is>
      </c>
      <c r="G769" t="inlineStr">
        <is>
          <t>LJUSDAL</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52487-2025</t>
        </is>
      </c>
      <c r="B770" t="inlineStr">
        <is>
          <t>avverkningsanmälan</t>
        </is>
      </c>
      <c r="C770" t="inlineStr">
        <is>
          <t>Föryngringsavverkning</t>
        </is>
      </c>
      <c r="D770" s="1" t="n">
        <v>45954</v>
      </c>
      <c r="E770" s="1" t="n">
        <v>46292</v>
      </c>
      <c r="F770" t="inlineStr">
        <is>
          <t>GÄVLEBORGS LÄN</t>
        </is>
      </c>
      <c r="G770" t="inlineStr">
        <is>
          <t>LJUSDAL</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15675-2026</t>
        </is>
      </c>
      <c r="B771" t="inlineStr">
        <is>
          <t>avverkningsanmälan</t>
        </is>
      </c>
      <c r="C771" t="inlineStr">
        <is>
          <t>Föryngringsavverkning</t>
        </is>
      </c>
      <c r="D771" s="1" t="n">
        <v>46106</v>
      </c>
      <c r="E771" s="1" t="n">
        <v>46292</v>
      </c>
      <c r="F771" t="inlineStr">
        <is>
          <t>GÄVLEBORGS LÄN</t>
        </is>
      </c>
      <c r="G771" t="inlineStr">
        <is>
          <t>LJUSDAL</t>
        </is>
      </c>
      <c r="H771" t="inlineStr">
        <is>
          <t>Bergvik skog väst AB</t>
        </is>
      </c>
      <c r="I771" t="n">
        <v>5.7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52482-2025</t>
        </is>
      </c>
      <c r="B772" t="inlineStr">
        <is>
          <t>avverkningsanmälan</t>
        </is>
      </c>
      <c r="C772" t="inlineStr">
        <is>
          <t>Föryngringsavverkning</t>
        </is>
      </c>
      <c r="D772" s="1" t="n">
        <v>45954</v>
      </c>
      <c r="E772" s="1" t="n">
        <v>46292</v>
      </c>
      <c r="F772" t="inlineStr">
        <is>
          <t>GÄVLEBORGS LÄN</t>
        </is>
      </c>
      <c r="G772" t="inlineStr">
        <is>
          <t>LJUSDAL</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27241-2025</t>
        </is>
      </c>
      <c r="B773" t="inlineStr">
        <is>
          <t>avverkningsanmälan</t>
        </is>
      </c>
      <c r="C773" t="inlineStr">
        <is>
          <t>Föryngringsavverkning</t>
        </is>
      </c>
      <c r="D773" s="1" t="n">
        <v>45812</v>
      </c>
      <c r="E773" s="1" t="n">
        <v>46292</v>
      </c>
      <c r="F773" t="inlineStr">
        <is>
          <t>GÄVLEBORGS LÄN</t>
        </is>
      </c>
      <c r="G773" t="inlineStr">
        <is>
          <t>LJUSDAL</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16806-2026</t>
        </is>
      </c>
      <c r="B774" t="inlineStr">
        <is>
          <t>avverkningsanmälan</t>
        </is>
      </c>
      <c r="C774" t="inlineStr">
        <is>
          <t>Föryngringsavverkning</t>
        </is>
      </c>
      <c r="D774" s="1" t="n">
        <v>46113</v>
      </c>
      <c r="E774" s="1" t="n">
        <v>46292</v>
      </c>
      <c r="F774" t="inlineStr">
        <is>
          <t>GÄVLEBORGS LÄN</t>
        </is>
      </c>
      <c r="G774" t="inlineStr">
        <is>
          <t>LJUSDAL</t>
        </is>
      </c>
      <c r="H774" t="inlineStr">
        <is>
          <t>SCA</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21941-2022</t>
        </is>
      </c>
      <c r="B775" t="inlineStr">
        <is>
          <t>avverkningsanmälan</t>
        </is>
      </c>
      <c r="C775" t="inlineStr">
        <is>
          <t>Föryngringsavverkning</t>
        </is>
      </c>
      <c r="D775" s="1" t="n">
        <v>44711</v>
      </c>
      <c r="E775" s="1" t="n">
        <v>46292</v>
      </c>
      <c r="F775" t="inlineStr">
        <is>
          <t>GÄVLEBORGS LÄN</t>
        </is>
      </c>
      <c r="G775" t="inlineStr">
        <is>
          <t>LJUSDAL</t>
        </is>
      </c>
      <c r="H775" t="inlineStr">
        <is>
          <t>Bergvik skog väst AB</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328-2024</t>
        </is>
      </c>
      <c r="B776" t="inlineStr">
        <is>
          <t>avverkningsanmälan</t>
        </is>
      </c>
      <c r="C776" t="inlineStr">
        <is>
          <t>Föryngringsavverkning</t>
        </is>
      </c>
      <c r="D776" s="1" t="n">
        <v>45295</v>
      </c>
      <c r="E776" s="1" t="n">
        <v>46292</v>
      </c>
      <c r="F776" t="inlineStr">
        <is>
          <t>GÄVLEBORGS LÄN</t>
        </is>
      </c>
      <c r="G776" t="inlineStr">
        <is>
          <t>LJUSDAL</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16538-2026</t>
        </is>
      </c>
      <c r="B777" t="inlineStr">
        <is>
          <t>avverkningsanmälan</t>
        </is>
      </c>
      <c r="C777" t="inlineStr">
        <is>
          <t>Föryngringsavverkning</t>
        </is>
      </c>
      <c r="D777" s="1" t="n">
        <v>46112</v>
      </c>
      <c r="E777" s="1" t="n">
        <v>46292</v>
      </c>
      <c r="F777" t="inlineStr">
        <is>
          <t>GÄVLEBORGS LÄN</t>
        </is>
      </c>
      <c r="G777" t="inlineStr">
        <is>
          <t>LJUSDAL</t>
        </is>
      </c>
      <c r="H777" t="inlineStr">
        <is>
          <t>Holmen skog AB</t>
        </is>
      </c>
      <c r="I777" t="n">
        <v>6.5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25415-2022</t>
        </is>
      </c>
      <c r="B778" t="inlineStr">
        <is>
          <t>avverkningsanmälan</t>
        </is>
      </c>
      <c r="C778" t="inlineStr">
        <is>
          <t>Föryngringsavverkning</t>
        </is>
      </c>
      <c r="D778" s="1" t="n">
        <v>44732</v>
      </c>
      <c r="E778" s="1" t="n">
        <v>46292</v>
      </c>
      <c r="F778" t="inlineStr">
        <is>
          <t>GÄVLEBORGS LÄN</t>
        </is>
      </c>
      <c r="G778" t="inlineStr">
        <is>
          <t>LJUSDAL</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27027-2025</t>
        </is>
      </c>
      <c r="B779" t="inlineStr">
        <is>
          <t>avverkningsanmälan</t>
        </is>
      </c>
      <c r="C779" t="inlineStr">
        <is>
          <t>Föryngringsavverkning</t>
        </is>
      </c>
      <c r="D779" s="1" t="n">
        <v>45811</v>
      </c>
      <c r="E779" s="1" t="n">
        <v>46292</v>
      </c>
      <c r="F779" t="inlineStr">
        <is>
          <t>GÄVLEBORGS LÄN</t>
        </is>
      </c>
      <c r="G779" t="inlineStr">
        <is>
          <t>LJUSDAL</t>
        </is>
      </c>
      <c r="H779" t="inlineStr">
        <is>
          <t>Holmen skog AB</t>
        </is>
      </c>
      <c r="I779" t="n">
        <v>27.2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52890-2025</t>
        </is>
      </c>
      <c r="B780" t="inlineStr">
        <is>
          <t>avverkningsanmälan</t>
        </is>
      </c>
      <c r="C780" t="inlineStr">
        <is>
          <t>Föryngringsavverkning</t>
        </is>
      </c>
      <c r="D780" s="1" t="n">
        <v>45957</v>
      </c>
      <c r="E780" s="1" t="n">
        <v>46292</v>
      </c>
      <c r="F780" t="inlineStr">
        <is>
          <t>GÄVLEBORGS LÄN</t>
        </is>
      </c>
      <c r="G780" t="inlineStr">
        <is>
          <t>LJUSDAL</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46075-2024</t>
        </is>
      </c>
      <c r="B781" t="inlineStr">
        <is>
          <t>avverkningsanmälan</t>
        </is>
      </c>
      <c r="C781" t="inlineStr">
        <is>
          <t>Föryngringsavverkning</t>
        </is>
      </c>
      <c r="D781" s="1" t="n">
        <v>45581</v>
      </c>
      <c r="E781" s="1" t="n">
        <v>46292</v>
      </c>
      <c r="F781" t="inlineStr">
        <is>
          <t>GÄVLEBORGS LÄN</t>
        </is>
      </c>
      <c r="G781" t="inlineStr">
        <is>
          <t>LJUSDAL</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16516-2026</t>
        </is>
      </c>
      <c r="B782" t="inlineStr">
        <is>
          <t>avverkningsanmälan</t>
        </is>
      </c>
      <c r="C782" t="inlineStr">
        <is>
          <t>Föryngringsavverkning</t>
        </is>
      </c>
      <c r="D782" s="1" t="n">
        <v>46112</v>
      </c>
      <c r="E782" s="1" t="n">
        <v>46292</v>
      </c>
      <c r="F782" t="inlineStr">
        <is>
          <t>GÄVLEBORGS LÄN</t>
        </is>
      </c>
      <c r="G782" t="inlineStr">
        <is>
          <t>LJUSDAL</t>
        </is>
      </c>
      <c r="H782" t="inlineStr">
        <is>
          <t>Holmen skog AB</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147-2024</t>
        </is>
      </c>
      <c r="B783" t="inlineStr">
        <is>
          <t>avverkningsanmälan</t>
        </is>
      </c>
      <c r="C783" t="inlineStr">
        <is>
          <t>Föryngringsavverkning</t>
        </is>
      </c>
      <c r="D783" s="1" t="n">
        <v>45294</v>
      </c>
      <c r="E783" s="1" t="n">
        <v>46292</v>
      </c>
      <c r="F783" t="inlineStr">
        <is>
          <t>GÄVLEBORGS LÄN</t>
        </is>
      </c>
      <c r="G783" t="inlineStr">
        <is>
          <t>LJUSDAL</t>
        </is>
      </c>
      <c r="I783" t="n">
        <v>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53277-2025</t>
        </is>
      </c>
      <c r="B784" t="inlineStr">
        <is>
          <t>avverkningsanmälan</t>
        </is>
      </c>
      <c r="C784" t="inlineStr">
        <is>
          <t>Föryngringsavverkning</t>
        </is>
      </c>
      <c r="D784" s="1" t="n">
        <v>45958</v>
      </c>
      <c r="E784" s="1" t="n">
        <v>46292</v>
      </c>
      <c r="F784" t="inlineStr">
        <is>
          <t>GÄVLEBORGS LÄN</t>
        </is>
      </c>
      <c r="G784" t="inlineStr">
        <is>
          <t>LJUSDAL</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53380-2025</t>
        </is>
      </c>
      <c r="B785" t="inlineStr">
        <is>
          <t>avverkningsanmälan</t>
        </is>
      </c>
      <c r="C785" t="inlineStr">
        <is>
          <t>Föryngringsavverkning</t>
        </is>
      </c>
      <c r="D785" s="1" t="n">
        <v>45959</v>
      </c>
      <c r="E785" s="1" t="n">
        <v>46292</v>
      </c>
      <c r="F785" t="inlineStr">
        <is>
          <t>GÄVLEBORGS LÄN</t>
        </is>
      </c>
      <c r="G785" t="inlineStr">
        <is>
          <t>LJUSDAL</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26506-2023</t>
        </is>
      </c>
      <c r="B786" t="inlineStr">
        <is>
          <t>avverkningsanmälan</t>
        </is>
      </c>
      <c r="C786" t="inlineStr">
        <is>
          <t>Föryngringsavverkning</t>
        </is>
      </c>
      <c r="D786" s="1" t="n">
        <v>45092</v>
      </c>
      <c r="E786" s="1" t="n">
        <v>46292</v>
      </c>
      <c r="F786" t="inlineStr">
        <is>
          <t>GÄVLEBORGS LÄN</t>
        </is>
      </c>
      <c r="G786" t="inlineStr">
        <is>
          <t>LJUSDAL</t>
        </is>
      </c>
      <c r="H786" t="inlineStr">
        <is>
          <t>Sveaskog</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53517-2025</t>
        </is>
      </c>
      <c r="B787" t="inlineStr">
        <is>
          <t>avverkningsanmälan</t>
        </is>
      </c>
      <c r="C787" t="inlineStr">
        <is>
          <t>Föryngringsavverkning</t>
        </is>
      </c>
      <c r="D787" s="1" t="n">
        <v>45960</v>
      </c>
      <c r="E787" s="1" t="n">
        <v>46292</v>
      </c>
      <c r="F787" t="inlineStr">
        <is>
          <t>GÄVLEBORGS LÄN</t>
        </is>
      </c>
      <c r="G787" t="inlineStr">
        <is>
          <t>LJUSDAL</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27408-2025</t>
        </is>
      </c>
      <c r="B788" t="inlineStr">
        <is>
          <t>avverkningsanmälan</t>
        </is>
      </c>
      <c r="C788" t="inlineStr">
        <is>
          <t>Avverkning för annat ändamål</t>
        </is>
      </c>
      <c r="D788" s="1" t="n">
        <v>45812</v>
      </c>
      <c r="E788" s="1" t="n">
        <v>46292</v>
      </c>
      <c r="F788" t="inlineStr">
        <is>
          <t>GÄVLEBORGS LÄN</t>
        </is>
      </c>
      <c r="G788" t="inlineStr">
        <is>
          <t>LJUSDAL</t>
        </is>
      </c>
      <c r="H788" t="inlineStr">
        <is>
          <t>Sveaskog</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27410-2025</t>
        </is>
      </c>
      <c r="B789" t="inlineStr">
        <is>
          <t>avverkningsanmälan</t>
        </is>
      </c>
      <c r="C789" t="inlineStr">
        <is>
          <t>Avverkning för annat ändamål</t>
        </is>
      </c>
      <c r="D789" s="1" t="n">
        <v>45812</v>
      </c>
      <c r="E789" s="1" t="n">
        <v>46292</v>
      </c>
      <c r="F789" t="inlineStr">
        <is>
          <t>GÄVLEBORGS LÄN</t>
        </is>
      </c>
      <c r="G789" t="inlineStr">
        <is>
          <t>LJUSDAL</t>
        </is>
      </c>
      <c r="H789" t="inlineStr">
        <is>
          <t>Sveaskog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33052-2024</t>
        </is>
      </c>
      <c r="B790" t="inlineStr">
        <is>
          <t>avverkningsanmälan</t>
        </is>
      </c>
      <c r="C790" t="inlineStr">
        <is>
          <t>Föryngringsavverkning</t>
        </is>
      </c>
      <c r="D790" s="1" t="n">
        <v>45517</v>
      </c>
      <c r="E790" s="1" t="n">
        <v>46292</v>
      </c>
      <c r="F790" t="inlineStr">
        <is>
          <t>GÄVLEBORGS LÄN</t>
        </is>
      </c>
      <c r="G790" t="inlineStr">
        <is>
          <t>LJUSDAL</t>
        </is>
      </c>
      <c r="H790" t="inlineStr">
        <is>
          <t>Allmännings- och besparingsskogar</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53496-2025</t>
        </is>
      </c>
      <c r="B791" t="inlineStr">
        <is>
          <t>avverkningsanmälan</t>
        </is>
      </c>
      <c r="C791" t="inlineStr">
        <is>
          <t>Föryngringsavverkning</t>
        </is>
      </c>
      <c r="D791" s="1" t="n">
        <v>45960</v>
      </c>
      <c r="E791" s="1" t="n">
        <v>46292</v>
      </c>
      <c r="F791" t="inlineStr">
        <is>
          <t>GÄVLEBORGS LÄN</t>
        </is>
      </c>
      <c r="G791" t="inlineStr">
        <is>
          <t>LJUSDAL</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28114-2023</t>
        </is>
      </c>
      <c r="B792" t="inlineStr">
        <is>
          <t>avverkningsanmälan</t>
        </is>
      </c>
      <c r="C792" t="inlineStr">
        <is>
          <t>Föryngringsavverkning</t>
        </is>
      </c>
      <c r="D792" s="1" t="n">
        <v>45099</v>
      </c>
      <c r="E792" s="1" t="n">
        <v>46292</v>
      </c>
      <c r="F792" t="inlineStr">
        <is>
          <t>GÄVLEBORGS LÄN</t>
        </is>
      </c>
      <c r="G792" t="inlineStr">
        <is>
          <t>LJUSDAL</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53693-2025</t>
        </is>
      </c>
      <c r="B793" t="inlineStr">
        <is>
          <t>avverkningsanmälan</t>
        </is>
      </c>
      <c r="C793" t="inlineStr">
        <is>
          <t>Föryngringsavverkning</t>
        </is>
      </c>
      <c r="D793" s="1" t="n">
        <v>45960</v>
      </c>
      <c r="E793" s="1" t="n">
        <v>46292</v>
      </c>
      <c r="F793" t="inlineStr">
        <is>
          <t>GÄVLEBORGS LÄN</t>
        </is>
      </c>
      <c r="G793" t="inlineStr">
        <is>
          <t>LJUSDAL</t>
        </is>
      </c>
      <c r="H793" t="inlineStr">
        <is>
          <t>Bergvik skog väst AB</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53965-2025</t>
        </is>
      </c>
      <c r="B794" t="inlineStr">
        <is>
          <t>avverkningsanmälan</t>
        </is>
      </c>
      <c r="C794" t="inlineStr">
        <is>
          <t>Föryngringsavverkning</t>
        </is>
      </c>
      <c r="D794" s="1" t="n">
        <v>45961</v>
      </c>
      <c r="E794" s="1" t="n">
        <v>46292</v>
      </c>
      <c r="F794" t="inlineStr">
        <is>
          <t>GÄVLEBORGS LÄN</t>
        </is>
      </c>
      <c r="G794" t="inlineStr">
        <is>
          <t>LJUSDAL</t>
        </is>
      </c>
      <c r="I794" t="n">
        <v>9.6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17399-2026</t>
        </is>
      </c>
      <c r="B795" t="inlineStr">
        <is>
          <t>avverkningsanmälan</t>
        </is>
      </c>
      <c r="C795" t="inlineStr">
        <is>
          <t>Föryngringsavverkning</t>
        </is>
      </c>
      <c r="D795" s="1" t="n">
        <v>46120</v>
      </c>
      <c r="E795" s="1" t="n">
        <v>46292</v>
      </c>
      <c r="F795" t="inlineStr">
        <is>
          <t>GÄVLEBORGS LÄN</t>
        </is>
      </c>
      <c r="G795" t="inlineStr">
        <is>
          <t>LJUSDAL</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17411-2026</t>
        </is>
      </c>
      <c r="B796" t="inlineStr">
        <is>
          <t>avverkningsanmälan</t>
        </is>
      </c>
      <c r="C796" t="inlineStr">
        <is>
          <t>Föryngringsavverkning</t>
        </is>
      </c>
      <c r="D796" s="1" t="n">
        <v>46120</v>
      </c>
      <c r="E796" s="1" t="n">
        <v>46292</v>
      </c>
      <c r="F796" t="inlineStr">
        <is>
          <t>GÄVLEBORGS LÄN</t>
        </is>
      </c>
      <c r="G796" t="inlineStr">
        <is>
          <t>LJUSDAL</t>
        </is>
      </c>
      <c r="H796" t="inlineStr">
        <is>
          <t>SCA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846-2023</t>
        </is>
      </c>
      <c r="B797" t="inlineStr">
        <is>
          <t>avverkningsanmälan</t>
        </is>
      </c>
      <c r="C797" t="inlineStr">
        <is>
          <t>Föryngringsavverkning</t>
        </is>
      </c>
      <c r="D797" s="1" t="n">
        <v>44931</v>
      </c>
      <c r="E797" s="1" t="n">
        <v>46292</v>
      </c>
      <c r="F797" t="inlineStr">
        <is>
          <t>GÄVLEBORGS LÄN</t>
        </is>
      </c>
      <c r="G797" t="inlineStr">
        <is>
          <t>LJUSDAL</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57164-2024</t>
        </is>
      </c>
      <c r="B798" t="inlineStr">
        <is>
          <t>avverkningsanmälan</t>
        </is>
      </c>
      <c r="C798" t="inlineStr">
        <is>
          <t>Föryngringsavverkning</t>
        </is>
      </c>
      <c r="D798" s="1" t="n">
        <v>45629</v>
      </c>
      <c r="E798" s="1" t="n">
        <v>46292</v>
      </c>
      <c r="F798" t="inlineStr">
        <is>
          <t>GÄVLEBORGS LÄN</t>
        </is>
      </c>
      <c r="G798" t="inlineStr">
        <is>
          <t>LJUSDAL</t>
        </is>
      </c>
      <c r="H798" t="inlineStr">
        <is>
          <t>Naturvårdsverket</t>
        </is>
      </c>
      <c r="I798" t="n">
        <v>18.5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14871-2025</t>
        </is>
      </c>
      <c r="B799" t="inlineStr">
        <is>
          <t>avverkningsanmälan</t>
        </is>
      </c>
      <c r="C799" t="inlineStr">
        <is>
          <t>Föryngringsavverkning</t>
        </is>
      </c>
      <c r="D799" s="1" t="n">
        <v>45743</v>
      </c>
      <c r="E799" s="1" t="n">
        <v>46292</v>
      </c>
      <c r="F799" t="inlineStr">
        <is>
          <t>GÄVLEBORGS LÄN</t>
        </is>
      </c>
      <c r="G799" t="inlineStr">
        <is>
          <t>LJUSDAL</t>
        </is>
      </c>
      <c r="I799" t="n">
        <v>10.9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42540-2024</t>
        </is>
      </c>
      <c r="B800" t="inlineStr">
        <is>
          <t>avverkningsanmälan</t>
        </is>
      </c>
      <c r="C800" t="inlineStr">
        <is>
          <t>Föryngringsavverkning</t>
        </is>
      </c>
      <c r="D800" s="1" t="n">
        <v>45565</v>
      </c>
      <c r="E800" s="1" t="n">
        <v>46292</v>
      </c>
      <c r="F800" t="inlineStr">
        <is>
          <t>GÄVLEBORGS LÄN</t>
        </is>
      </c>
      <c r="G800" t="inlineStr">
        <is>
          <t>LJUSDAL</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17841-2026</t>
        </is>
      </c>
      <c r="B801" t="inlineStr">
        <is>
          <t>avverkningsanmälan</t>
        </is>
      </c>
      <c r="C801" t="inlineStr">
        <is>
          <t>Föryngringsavverkning</t>
        </is>
      </c>
      <c r="D801" s="1" t="n">
        <v>46122</v>
      </c>
      <c r="E801" s="1" t="n">
        <v>46292</v>
      </c>
      <c r="F801" t="inlineStr">
        <is>
          <t>GÄVLEBORGS LÄN</t>
        </is>
      </c>
      <c r="G801" t="inlineStr">
        <is>
          <t>LJUSDAL</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18008-2026</t>
        </is>
      </c>
      <c r="B802" t="inlineStr">
        <is>
          <t>avverkningsanmälan</t>
        </is>
      </c>
      <c r="C802" t="inlineStr">
        <is>
          <t>Föryngringsavverkning</t>
        </is>
      </c>
      <c r="D802" s="1" t="n">
        <v>46125</v>
      </c>
      <c r="E802" s="1" t="n">
        <v>46292</v>
      </c>
      <c r="F802" t="inlineStr">
        <is>
          <t>GÄVLEBORGS LÄN</t>
        </is>
      </c>
      <c r="G802" t="inlineStr">
        <is>
          <t>LJUSDAL</t>
        </is>
      </c>
      <c r="H802" t="inlineStr">
        <is>
          <t>Bergvik skog väst AB</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18179-2026</t>
        </is>
      </c>
      <c r="B803" t="inlineStr">
        <is>
          <t>avverkningsanmälan</t>
        </is>
      </c>
      <c r="C803" t="inlineStr">
        <is>
          <t>Föryngringsavverkning</t>
        </is>
      </c>
      <c r="D803" s="1" t="n">
        <v>46125</v>
      </c>
      <c r="E803" s="1" t="n">
        <v>46292</v>
      </c>
      <c r="F803" t="inlineStr">
        <is>
          <t>GÄVLEBORGS LÄN</t>
        </is>
      </c>
      <c r="G803" t="inlineStr">
        <is>
          <t>LJUSDAL</t>
        </is>
      </c>
      <c r="H803" t="inlineStr">
        <is>
          <t>Bergvik skog väst AB</t>
        </is>
      </c>
      <c r="I803" t="n">
        <v>10.8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17755-2026</t>
        </is>
      </c>
      <c r="B804" t="inlineStr">
        <is>
          <t>avverkningsanmälan</t>
        </is>
      </c>
      <c r="C804" t="inlineStr">
        <is>
          <t>Föryngringsavverkning</t>
        </is>
      </c>
      <c r="D804" s="1" t="n">
        <v>46122</v>
      </c>
      <c r="E804" s="1" t="n">
        <v>46292</v>
      </c>
      <c r="F804" t="inlineStr">
        <is>
          <t>GÄVLEBORGS LÄN</t>
        </is>
      </c>
      <c r="G804" t="inlineStr">
        <is>
          <t>LJUSDAL</t>
        </is>
      </c>
      <c r="H804" t="inlineStr">
        <is>
          <t>SCA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54289-2025</t>
        </is>
      </c>
      <c r="B805" t="inlineStr">
        <is>
          <t>avverkningsanmälan</t>
        </is>
      </c>
      <c r="C805" t="inlineStr">
        <is>
          <t>Föryngringsavverkning</t>
        </is>
      </c>
      <c r="D805" s="1" t="n">
        <v>45964</v>
      </c>
      <c r="E805" s="1" t="n">
        <v>46292</v>
      </c>
      <c r="F805" t="inlineStr">
        <is>
          <t>GÄVLEBORGS LÄN</t>
        </is>
      </c>
      <c r="G805" t="inlineStr">
        <is>
          <t>LJUSDAL</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52339-2024</t>
        </is>
      </c>
      <c r="B806" t="inlineStr">
        <is>
          <t>avverkningsanmälan</t>
        </is>
      </c>
      <c r="C806" t="inlineStr">
        <is>
          <t>Föryngringsavverkning</t>
        </is>
      </c>
      <c r="D806" s="1" t="n">
        <v>45609</v>
      </c>
      <c r="E806" s="1" t="n">
        <v>46292</v>
      </c>
      <c r="F806" t="inlineStr">
        <is>
          <t>GÄVLEBORGS LÄN</t>
        </is>
      </c>
      <c r="G806" t="inlineStr">
        <is>
          <t>LJUSDAL</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17860-2026</t>
        </is>
      </c>
      <c r="B807" t="inlineStr">
        <is>
          <t>avverkningsanmälan</t>
        </is>
      </c>
      <c r="C807" t="inlineStr">
        <is>
          <t>Föryngringsavverkning</t>
        </is>
      </c>
      <c r="D807" s="1" t="n">
        <v>46122</v>
      </c>
      <c r="E807" s="1" t="n">
        <v>46292</v>
      </c>
      <c r="F807" t="inlineStr">
        <is>
          <t>GÄVLEBORGS LÄN</t>
        </is>
      </c>
      <c r="G807" t="inlineStr">
        <is>
          <t>LJUSDAL</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54299-2025</t>
        </is>
      </c>
      <c r="B808" t="inlineStr">
        <is>
          <t>avverkningsanmälan</t>
        </is>
      </c>
      <c r="C808" t="inlineStr">
        <is>
          <t>Föryngringsavverkning</t>
        </is>
      </c>
      <c r="D808" s="1" t="n">
        <v>45965</v>
      </c>
      <c r="E808" s="1" t="n">
        <v>46292</v>
      </c>
      <c r="F808" t="inlineStr">
        <is>
          <t>GÄVLEBORGS LÄN</t>
        </is>
      </c>
      <c r="G808" t="inlineStr">
        <is>
          <t>LJUSDAL</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54402-2025</t>
        </is>
      </c>
      <c r="B809" t="inlineStr">
        <is>
          <t>avverkningsanmälan</t>
        </is>
      </c>
      <c r="C809" t="inlineStr">
        <is>
          <t>Föryngringsavverkning</t>
        </is>
      </c>
      <c r="D809" s="1" t="n">
        <v>45965</v>
      </c>
      <c r="E809" s="1" t="n">
        <v>46292</v>
      </c>
      <c r="F809" t="inlineStr">
        <is>
          <t>GÄVLEBORGS LÄN</t>
        </is>
      </c>
      <c r="G809" t="inlineStr">
        <is>
          <t>LJUSDAL</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55174-2025</t>
        </is>
      </c>
      <c r="B810" t="inlineStr">
        <is>
          <t>avverkningsanmälan</t>
        </is>
      </c>
      <c r="C810" t="inlineStr">
        <is>
          <t>Föryngringsavverkning</t>
        </is>
      </c>
      <c r="D810" s="1" t="n">
        <v>45968</v>
      </c>
      <c r="E810" s="1" t="n">
        <v>46292</v>
      </c>
      <c r="F810" t="inlineStr">
        <is>
          <t>GÄVLEBORGS LÄN</t>
        </is>
      </c>
      <c r="G810" t="inlineStr">
        <is>
          <t>LJUSDAL</t>
        </is>
      </c>
      <c r="H810" t="inlineStr">
        <is>
          <t>Holmen skog AB</t>
        </is>
      </c>
      <c r="I810" t="n">
        <v>5.8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55180-2025</t>
        </is>
      </c>
      <c r="B811" t="inlineStr">
        <is>
          <t>avverkningsanmälan</t>
        </is>
      </c>
      <c r="C811" t="inlineStr">
        <is>
          <t>Föryngringsavverkning</t>
        </is>
      </c>
      <c r="D811" s="1" t="n">
        <v>45968</v>
      </c>
      <c r="E811" s="1" t="n">
        <v>46292</v>
      </c>
      <c r="F811" t="inlineStr">
        <is>
          <t>GÄVLEBORGS LÄN</t>
        </is>
      </c>
      <c r="G811" t="inlineStr">
        <is>
          <t>LJUSDAL</t>
        </is>
      </c>
      <c r="H811" t="inlineStr">
        <is>
          <t>Holmen skog AB</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27086-2025</t>
        </is>
      </c>
      <c r="B812" t="inlineStr">
        <is>
          <t>avverkningsanmälan</t>
        </is>
      </c>
      <c r="C812" t="inlineStr">
        <is>
          <t>Föryngringsavverkning</t>
        </is>
      </c>
      <c r="D812" s="1" t="n">
        <v>45811</v>
      </c>
      <c r="E812" s="1" t="n">
        <v>46292</v>
      </c>
      <c r="F812" t="inlineStr">
        <is>
          <t>GÄVLEBORGS LÄN</t>
        </is>
      </c>
      <c r="G812" t="inlineStr">
        <is>
          <t>LJUSDAL</t>
        </is>
      </c>
      <c r="H812" t="inlineStr">
        <is>
          <t>Holmen skog AB</t>
        </is>
      </c>
      <c r="I812" t="n">
        <v>8.9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55089-2025</t>
        </is>
      </c>
      <c r="B813" t="inlineStr">
        <is>
          <t>avverkningsanmälan</t>
        </is>
      </c>
      <c r="C813" t="inlineStr">
        <is>
          <t>Föryngringsavverkning</t>
        </is>
      </c>
      <c r="D813" s="1" t="n">
        <v>45968</v>
      </c>
      <c r="E813" s="1" t="n">
        <v>46292</v>
      </c>
      <c r="F813" t="inlineStr">
        <is>
          <t>GÄVLEBORGS LÄN</t>
        </is>
      </c>
      <c r="G813" t="inlineStr">
        <is>
          <t>LJUSDAL</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55085-2025</t>
        </is>
      </c>
      <c r="B814" t="inlineStr">
        <is>
          <t>avverkningsanmälan</t>
        </is>
      </c>
      <c r="C814" t="inlineStr">
        <is>
          <t>Föryngringsavverkning</t>
        </is>
      </c>
      <c r="D814" s="1" t="n">
        <v>45968</v>
      </c>
      <c r="E814" s="1" t="n">
        <v>46292</v>
      </c>
      <c r="F814" t="inlineStr">
        <is>
          <t>GÄVLEBORGS LÄN</t>
        </is>
      </c>
      <c r="G814" t="inlineStr">
        <is>
          <t>LJUSDAL</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55373-2025</t>
        </is>
      </c>
      <c r="B815" t="inlineStr">
        <is>
          <t>avverkningsanmälan</t>
        </is>
      </c>
      <c r="C815" t="inlineStr">
        <is>
          <t>Föryngringsavverkning</t>
        </is>
      </c>
      <c r="D815" s="1" t="n">
        <v>45971</v>
      </c>
      <c r="E815" s="1" t="n">
        <v>46292</v>
      </c>
      <c r="F815" t="inlineStr">
        <is>
          <t>GÄVLEBORGS LÄN</t>
        </is>
      </c>
      <c r="G815" t="inlineStr">
        <is>
          <t>LJUSDAL</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33354-2024</t>
        </is>
      </c>
      <c r="B816" t="inlineStr">
        <is>
          <t>avverkningsanmälan</t>
        </is>
      </c>
      <c r="C816" t="inlineStr">
        <is>
          <t>Föryngringsavverkning</t>
        </is>
      </c>
      <c r="D816" s="1" t="n">
        <v>45519</v>
      </c>
      <c r="E816" s="1" t="n">
        <v>46292</v>
      </c>
      <c r="F816" t="inlineStr">
        <is>
          <t>GÄVLEBORGS LÄN</t>
        </is>
      </c>
      <c r="G816" t="inlineStr">
        <is>
          <t>LJUSDAL</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22251-2023</t>
        </is>
      </c>
      <c r="B817" t="inlineStr">
        <is>
          <t>avverkningsanmälan</t>
        </is>
      </c>
      <c r="C817" t="inlineStr">
        <is>
          <t>Föryngringsavverkning</t>
        </is>
      </c>
      <c r="D817" s="1" t="n">
        <v>45070</v>
      </c>
      <c r="E817" s="1" t="n">
        <v>46292</v>
      </c>
      <c r="F817" t="inlineStr">
        <is>
          <t>GÄVLEBORGS LÄN</t>
        </is>
      </c>
      <c r="G817" t="inlineStr">
        <is>
          <t>LJUSDAL</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55501-2025</t>
        </is>
      </c>
      <c r="B818" t="inlineStr">
        <is>
          <t>avverkningsanmälan</t>
        </is>
      </c>
      <c r="C818" t="inlineStr">
        <is>
          <t>Föryngringsavverkning</t>
        </is>
      </c>
      <c r="D818" s="1" t="n">
        <v>45971</v>
      </c>
      <c r="E818" s="1" t="n">
        <v>46292</v>
      </c>
      <c r="F818" t="inlineStr">
        <is>
          <t>GÄVLEBORGS LÄN</t>
        </is>
      </c>
      <c r="G818" t="inlineStr">
        <is>
          <t>LJUSDAL</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53007-2024</t>
        </is>
      </c>
      <c r="B819" t="inlineStr">
        <is>
          <t>avverkningsanmälan</t>
        </is>
      </c>
      <c r="C819" t="inlineStr">
        <is>
          <t>Föryngringsavverkning</t>
        </is>
      </c>
      <c r="D819" s="1" t="n">
        <v>45611</v>
      </c>
      <c r="E819" s="1" t="n">
        <v>46292</v>
      </c>
      <c r="F819" t="inlineStr">
        <is>
          <t>GÄVLEBORGS LÄN</t>
        </is>
      </c>
      <c r="G819" t="inlineStr">
        <is>
          <t>LJUSDAL</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55374-2025</t>
        </is>
      </c>
      <c r="B820" t="inlineStr">
        <is>
          <t>avverkningsanmälan</t>
        </is>
      </c>
      <c r="C820" t="inlineStr">
        <is>
          <t>Föryngringsavverkning</t>
        </is>
      </c>
      <c r="D820" s="1" t="n">
        <v>45971</v>
      </c>
      <c r="E820" s="1" t="n">
        <v>46292</v>
      </c>
      <c r="F820" t="inlineStr">
        <is>
          <t>GÄVLEBORGS LÄN</t>
        </is>
      </c>
      <c r="G820" t="inlineStr">
        <is>
          <t>LJUSDAL</t>
        </is>
      </c>
      <c r="I820" t="n">
        <v>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47292-2023</t>
        </is>
      </c>
      <c r="B821" t="inlineStr">
        <is>
          <t>avverkningsanmälan</t>
        </is>
      </c>
      <c r="C821" t="inlineStr">
        <is>
          <t>Föryngringsavverkning</t>
        </is>
      </c>
      <c r="D821" s="1" t="n">
        <v>45202</v>
      </c>
      <c r="E821" s="1" t="n">
        <v>46292</v>
      </c>
      <c r="F821" t="inlineStr">
        <is>
          <t>GÄVLEBORGS LÄN</t>
        </is>
      </c>
      <c r="G821" t="inlineStr">
        <is>
          <t>LJUSDAL</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59251-2024</t>
        </is>
      </c>
      <c r="B822" t="inlineStr">
        <is>
          <t>avverkningsanmälan</t>
        </is>
      </c>
      <c r="C822" t="inlineStr">
        <is>
          <t>Föryngringsavverkning</t>
        </is>
      </c>
      <c r="D822" s="1" t="n">
        <v>45637</v>
      </c>
      <c r="E822" s="1" t="n">
        <v>46292</v>
      </c>
      <c r="F822" t="inlineStr">
        <is>
          <t>GÄVLEBORGS LÄN</t>
        </is>
      </c>
      <c r="G822" t="inlineStr">
        <is>
          <t>LJUSDAL</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50830-2024</t>
        </is>
      </c>
      <c r="B823" t="inlineStr">
        <is>
          <t>avverkningsanmälan</t>
        </is>
      </c>
      <c r="C823" t="inlineStr">
        <is>
          <t>Föryngringsavverkning</t>
        </is>
      </c>
      <c r="D823" s="1" t="n">
        <v>45602</v>
      </c>
      <c r="E823" s="1" t="n">
        <v>46292</v>
      </c>
      <c r="F823" t="inlineStr">
        <is>
          <t>GÄVLEBORGS LÄN</t>
        </is>
      </c>
      <c r="G823" t="inlineStr">
        <is>
          <t>LJUSDAL</t>
        </is>
      </c>
      <c r="H823" t="inlineStr">
        <is>
          <t>Holmen skog AB</t>
        </is>
      </c>
      <c r="I823" t="n">
        <v>16.9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45289-2023</t>
        </is>
      </c>
      <c r="B824" t="inlineStr">
        <is>
          <t>avverkningsanmälan</t>
        </is>
      </c>
      <c r="C824" t="inlineStr">
        <is>
          <t>Föryngringsavverkning</t>
        </is>
      </c>
      <c r="D824" s="1" t="n">
        <v>45191</v>
      </c>
      <c r="E824" s="1" t="n">
        <v>46292</v>
      </c>
      <c r="F824" t="inlineStr">
        <is>
          <t>GÄVLEBORGS LÄN</t>
        </is>
      </c>
      <c r="G824" t="inlineStr">
        <is>
          <t>LJUSDAL</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56143-2025</t>
        </is>
      </c>
      <c r="B825" t="inlineStr">
        <is>
          <t>avverkningsanmälan</t>
        </is>
      </c>
      <c r="C825" t="inlineStr">
        <is>
          <t>Föryngringsavverkning</t>
        </is>
      </c>
      <c r="D825" s="1" t="n">
        <v>45974</v>
      </c>
      <c r="E825" s="1" t="n">
        <v>46292</v>
      </c>
      <c r="F825" t="inlineStr">
        <is>
          <t>GÄVLEBORGS LÄN</t>
        </is>
      </c>
      <c r="G825" t="inlineStr">
        <is>
          <t>LJUSDAL</t>
        </is>
      </c>
      <c r="H825" t="inlineStr">
        <is>
          <t>SCA</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13667-2023</t>
        </is>
      </c>
      <c r="B826" t="inlineStr">
        <is>
          <t>avverkningsanmälan</t>
        </is>
      </c>
      <c r="C826" t="inlineStr">
        <is>
          <t>Föryngringsavverkning</t>
        </is>
      </c>
      <c r="D826" s="1" t="n">
        <v>45006</v>
      </c>
      <c r="E826" s="1" t="n">
        <v>46292</v>
      </c>
      <c r="F826" t="inlineStr">
        <is>
          <t>GÄVLEBORGS LÄN</t>
        </is>
      </c>
      <c r="G826" t="inlineStr">
        <is>
          <t>LJUSDAL</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19097-2026</t>
        </is>
      </c>
      <c r="B827" t="inlineStr">
        <is>
          <t>avverkningsanmälan</t>
        </is>
      </c>
      <c r="C827" t="inlineStr">
        <is>
          <t>Föryngringsavverkning</t>
        </is>
      </c>
      <c r="D827" s="1" t="n">
        <v>46132</v>
      </c>
      <c r="E827" s="1" t="n">
        <v>46292</v>
      </c>
      <c r="F827" t="inlineStr">
        <is>
          <t>GÄVLEBORGS LÄN</t>
        </is>
      </c>
      <c r="G827" t="inlineStr">
        <is>
          <t>LJUSDAL</t>
        </is>
      </c>
      <c r="H827" t="inlineStr">
        <is>
          <t>Sveaskog</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18172-2026</t>
        </is>
      </c>
      <c r="B828" t="inlineStr">
        <is>
          <t>avverkningsanmälan</t>
        </is>
      </c>
      <c r="C828" t="inlineStr">
        <is>
          <t>Föryngringsavverkning</t>
        </is>
      </c>
      <c r="D828" s="1" t="n">
        <v>46125</v>
      </c>
      <c r="E828" s="1" t="n">
        <v>46292</v>
      </c>
      <c r="F828" t="inlineStr">
        <is>
          <t>GÄVLEBORGS LÄN</t>
        </is>
      </c>
      <c r="G828" t="inlineStr">
        <is>
          <t>LJUSDAL</t>
        </is>
      </c>
      <c r="H828" t="inlineStr">
        <is>
          <t>Bergvik skog väst AB</t>
        </is>
      </c>
      <c r="I828" t="n">
        <v>9.1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19202-2026</t>
        </is>
      </c>
      <c r="B829" t="inlineStr">
        <is>
          <t>avverkningsanmälan</t>
        </is>
      </c>
      <c r="C829" t="inlineStr">
        <is>
          <t>Föryngringsavverkning</t>
        </is>
      </c>
      <c r="D829" s="1" t="n">
        <v>46132</v>
      </c>
      <c r="E829" s="1" t="n">
        <v>46292</v>
      </c>
      <c r="F829" t="inlineStr">
        <is>
          <t>GÄVLEBORGS LÄN</t>
        </is>
      </c>
      <c r="G829" t="inlineStr">
        <is>
          <t>LJUSDAL</t>
        </is>
      </c>
      <c r="H829" t="inlineStr">
        <is>
          <t>SCA</t>
        </is>
      </c>
      <c r="I829" t="n">
        <v>36.6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56276-2025</t>
        </is>
      </c>
      <c r="B830" t="inlineStr">
        <is>
          <t>avverkningsanmälan</t>
        </is>
      </c>
      <c r="C830" t="inlineStr">
        <is>
          <t>Föryngringsavverkning</t>
        </is>
      </c>
      <c r="D830" s="1" t="n">
        <v>45974</v>
      </c>
      <c r="E830" s="1" t="n">
        <v>46292</v>
      </c>
      <c r="F830" t="inlineStr">
        <is>
          <t>GÄVLEBORGS LÄN</t>
        </is>
      </c>
      <c r="G830" t="inlineStr">
        <is>
          <t>LJUSDAL</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56395-2025</t>
        </is>
      </c>
      <c r="B831" t="inlineStr">
        <is>
          <t>avverkningsanmälan</t>
        </is>
      </c>
      <c r="C831" t="inlineStr">
        <is>
          <t>Föryngringsavverkning</t>
        </is>
      </c>
      <c r="D831" s="1" t="n">
        <v>45974</v>
      </c>
      <c r="E831" s="1" t="n">
        <v>46292</v>
      </c>
      <c r="F831" t="inlineStr">
        <is>
          <t>GÄVLEBORGS LÄN</t>
        </is>
      </c>
      <c r="G831" t="inlineStr">
        <is>
          <t>LJUSDAL</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56397-2025</t>
        </is>
      </c>
      <c r="B832" t="inlineStr">
        <is>
          <t>avverkningsanmälan</t>
        </is>
      </c>
      <c r="C832" t="inlineStr">
        <is>
          <t>Föryngringsavverkning</t>
        </is>
      </c>
      <c r="D832" s="1" t="n">
        <v>45974</v>
      </c>
      <c r="E832" s="1" t="n">
        <v>46292</v>
      </c>
      <c r="F832" t="inlineStr">
        <is>
          <t>GÄVLEBORGS LÄN</t>
        </is>
      </c>
      <c r="G832" t="inlineStr">
        <is>
          <t>LJUSDAL</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18685-2026</t>
        </is>
      </c>
      <c r="B833" t="inlineStr">
        <is>
          <t>avverkningsanmälan</t>
        </is>
      </c>
      <c r="C833" t="inlineStr">
        <is>
          <t>Föryngringsavverkning</t>
        </is>
      </c>
      <c r="D833" s="1" t="n">
        <v>46128</v>
      </c>
      <c r="E833" s="1" t="n">
        <v>46292</v>
      </c>
      <c r="F833" t="inlineStr">
        <is>
          <t>GÄVLEBORGS LÄN</t>
        </is>
      </c>
      <c r="G833" t="inlineStr">
        <is>
          <t>LJUSDAL</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18703-2026</t>
        </is>
      </c>
      <c r="B834" t="inlineStr">
        <is>
          <t>avverkningsanmälan</t>
        </is>
      </c>
      <c r="C834" t="inlineStr">
        <is>
          <t>Föryngringsavverkning</t>
        </is>
      </c>
      <c r="D834" s="1" t="n">
        <v>46128</v>
      </c>
      <c r="E834" s="1" t="n">
        <v>46292</v>
      </c>
      <c r="F834" t="inlineStr">
        <is>
          <t>GÄVLEBORGS LÄN</t>
        </is>
      </c>
      <c r="G834" t="inlineStr">
        <is>
          <t>LJUSDAL</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19034-2023</t>
        </is>
      </c>
      <c r="B835" t="inlineStr">
        <is>
          <t>avverkningsanmälan</t>
        </is>
      </c>
      <c r="C835" t="inlineStr">
        <is>
          <t>Föryngringsavverkning</t>
        </is>
      </c>
      <c r="D835" s="1" t="n">
        <v>45047</v>
      </c>
      <c r="E835" s="1" t="n">
        <v>46292</v>
      </c>
      <c r="F835" t="inlineStr">
        <is>
          <t>GÄVLEBORGS LÄN</t>
        </is>
      </c>
      <c r="G835" t="inlineStr">
        <is>
          <t>LJUSDAL</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56825-2025</t>
        </is>
      </c>
      <c r="B836" t="inlineStr">
        <is>
          <t>avverkningsanmälan</t>
        </is>
      </c>
      <c r="C836" t="inlineStr">
        <is>
          <t>Föryngringsavverkning</t>
        </is>
      </c>
      <c r="D836" s="1" t="n">
        <v>45978</v>
      </c>
      <c r="E836" s="1" t="n">
        <v>46292</v>
      </c>
      <c r="F836" t="inlineStr">
        <is>
          <t>GÄVLEBORGS LÄN</t>
        </is>
      </c>
      <c r="G836" t="inlineStr">
        <is>
          <t>LJUSDAL</t>
        </is>
      </c>
      <c r="H836" t="inlineStr">
        <is>
          <t>Allmännings- och besparingsskogar</t>
        </is>
      </c>
      <c r="I836" t="n">
        <v>7.7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56819-2025</t>
        </is>
      </c>
      <c r="B837" t="inlineStr">
        <is>
          <t>avverkningsanmälan</t>
        </is>
      </c>
      <c r="C837" t="inlineStr">
        <is>
          <t>Föryngringsavverkning</t>
        </is>
      </c>
      <c r="D837" s="1" t="n">
        <v>45978</v>
      </c>
      <c r="E837" s="1" t="n">
        <v>46292</v>
      </c>
      <c r="F837" t="inlineStr">
        <is>
          <t>GÄVLEBORGS LÄN</t>
        </is>
      </c>
      <c r="G837" t="inlineStr">
        <is>
          <t>LJUSDAL</t>
        </is>
      </c>
      <c r="H837" t="inlineStr">
        <is>
          <t>Allmännings- och besparingsskogar</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56530-2025</t>
        </is>
      </c>
      <c r="B838" t="inlineStr">
        <is>
          <t>avverkningsanmälan</t>
        </is>
      </c>
      <c r="C838" t="inlineStr">
        <is>
          <t>Föryngringsavverkning</t>
        </is>
      </c>
      <c r="D838" s="1" t="n">
        <v>45975</v>
      </c>
      <c r="E838" s="1" t="n">
        <v>46292</v>
      </c>
      <c r="F838" t="inlineStr">
        <is>
          <t>GÄVLEBORGS LÄN</t>
        </is>
      </c>
      <c r="G838" t="inlineStr">
        <is>
          <t>LJUSDAL</t>
        </is>
      </c>
      <c r="H838" t="inlineStr">
        <is>
          <t>Sveaskog</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56429-2025</t>
        </is>
      </c>
      <c r="B839" t="inlineStr">
        <is>
          <t>avverkningsanmälan</t>
        </is>
      </c>
      <c r="C839" t="inlineStr">
        <is>
          <t>Föryngringsavverkning</t>
        </is>
      </c>
      <c r="D839" s="1" t="n">
        <v>45975</v>
      </c>
      <c r="E839" s="1" t="n">
        <v>46292</v>
      </c>
      <c r="F839" t="inlineStr">
        <is>
          <t>GÄVLEBORGS LÄN</t>
        </is>
      </c>
      <c r="G839" t="inlineStr">
        <is>
          <t>LJUSDAL</t>
        </is>
      </c>
      <c r="H839" t="inlineStr">
        <is>
          <t>Bergvik skog väst AB</t>
        </is>
      </c>
      <c r="I839" t="n">
        <v>6.6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56463-2025</t>
        </is>
      </c>
      <c r="B840" t="inlineStr">
        <is>
          <t>avverkningsanmälan</t>
        </is>
      </c>
      <c r="C840" t="inlineStr">
        <is>
          <t>Föryngringsavverkning</t>
        </is>
      </c>
      <c r="D840" s="1" t="n">
        <v>45975</v>
      </c>
      <c r="E840" s="1" t="n">
        <v>46292</v>
      </c>
      <c r="F840" t="inlineStr">
        <is>
          <t>GÄVLEBORGS LÄN</t>
        </is>
      </c>
      <c r="G840" t="inlineStr">
        <is>
          <t>LJUSDAL</t>
        </is>
      </c>
      <c r="H840" t="inlineStr">
        <is>
          <t>Bergvik skog väst AB</t>
        </is>
      </c>
      <c r="I840" t="n">
        <v>18.4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56474-2025</t>
        </is>
      </c>
      <c r="B841" t="inlineStr">
        <is>
          <t>avverkningsanmälan</t>
        </is>
      </c>
      <c r="C841" t="inlineStr">
        <is>
          <t>Föryngringsavverkning</t>
        </is>
      </c>
      <c r="D841" s="1" t="n">
        <v>45975</v>
      </c>
      <c r="E841" s="1" t="n">
        <v>46292</v>
      </c>
      <c r="F841" t="inlineStr">
        <is>
          <t>GÄVLEBORGS LÄN</t>
        </is>
      </c>
      <c r="G841" t="inlineStr">
        <is>
          <t>LJUSDAL</t>
        </is>
      </c>
      <c r="H841" t="inlineStr">
        <is>
          <t>Bergvik skog väst AB</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19241-2026</t>
        </is>
      </c>
      <c r="B842" t="inlineStr">
        <is>
          <t>avverkningsanmälan</t>
        </is>
      </c>
      <c r="C842" t="inlineStr">
        <is>
          <t>Föryngringsavverkning</t>
        </is>
      </c>
      <c r="D842" s="1" t="n">
        <v>46132</v>
      </c>
      <c r="E842" s="1" t="n">
        <v>46292</v>
      </c>
      <c r="F842" t="inlineStr">
        <is>
          <t>GÄVLEBORGS LÄN</t>
        </is>
      </c>
      <c r="G842" t="inlineStr">
        <is>
          <t>LJUSDAL</t>
        </is>
      </c>
      <c r="H842" t="inlineStr">
        <is>
          <t>Sveaskog</t>
        </is>
      </c>
      <c r="I842" t="n">
        <v>16.3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25630-2022</t>
        </is>
      </c>
      <c r="B843" t="inlineStr">
        <is>
          <t>avverkningsanmälan</t>
        </is>
      </c>
      <c r="C843" t="inlineStr">
        <is>
          <t>Föryngringsavverkning</t>
        </is>
      </c>
      <c r="D843" s="1" t="n">
        <v>44732</v>
      </c>
      <c r="E843" s="1" t="n">
        <v>46292</v>
      </c>
      <c r="F843" t="inlineStr">
        <is>
          <t>GÄVLEBORGS LÄN</t>
        </is>
      </c>
      <c r="G843" t="inlineStr">
        <is>
          <t>LJUSDAL</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57472-2025</t>
        </is>
      </c>
      <c r="B844" t="inlineStr">
        <is>
          <t>avverkningsanmälan</t>
        </is>
      </c>
      <c r="C844" t="inlineStr">
        <is>
          <t>Föryngringsavverkning</t>
        </is>
      </c>
      <c r="D844" s="1" t="n">
        <v>45980</v>
      </c>
      <c r="E844" s="1" t="n">
        <v>46292</v>
      </c>
      <c r="F844" t="inlineStr">
        <is>
          <t>GÄVLEBORGS LÄN</t>
        </is>
      </c>
      <c r="G844" t="inlineStr">
        <is>
          <t>LJUSDAL</t>
        </is>
      </c>
      <c r="H844" t="inlineStr">
        <is>
          <t>Sveaskog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57098-2025</t>
        </is>
      </c>
      <c r="B845" t="inlineStr">
        <is>
          <t>avverkningsanmälan</t>
        </is>
      </c>
      <c r="C845" t="inlineStr">
        <is>
          <t>Föryngringsavverkning</t>
        </is>
      </c>
      <c r="D845" s="1" t="n">
        <v>45979</v>
      </c>
      <c r="E845" s="1" t="n">
        <v>46292</v>
      </c>
      <c r="F845" t="inlineStr">
        <is>
          <t>GÄVLEBORGS LÄN</t>
        </is>
      </c>
      <c r="G845" t="inlineStr">
        <is>
          <t>LJUSDAL</t>
        </is>
      </c>
      <c r="I845" t="n">
        <v>6.4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57265-2025</t>
        </is>
      </c>
      <c r="B846" t="inlineStr">
        <is>
          <t>avverkningsanmälan</t>
        </is>
      </c>
      <c r="C846" t="inlineStr">
        <is>
          <t>Föryngringsavverkning</t>
        </is>
      </c>
      <c r="D846" s="1" t="n">
        <v>45979</v>
      </c>
      <c r="E846" s="1" t="n">
        <v>46292</v>
      </c>
      <c r="F846" t="inlineStr">
        <is>
          <t>GÄVLEBORGS LÄN</t>
        </is>
      </c>
      <c r="G846" t="inlineStr">
        <is>
          <t>LJUSDAL</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19506-2026</t>
        </is>
      </c>
      <c r="B847" t="inlineStr">
        <is>
          <t>avverkningsanmälan</t>
        </is>
      </c>
      <c r="C847" t="inlineStr">
        <is>
          <t>Föryngringsavverkning</t>
        </is>
      </c>
      <c r="D847" s="1" t="n">
        <v>46134</v>
      </c>
      <c r="E847" s="1" t="n">
        <v>46292</v>
      </c>
      <c r="F847" t="inlineStr">
        <is>
          <t>GÄVLEBORGS LÄN</t>
        </is>
      </c>
      <c r="G847" t="inlineStr">
        <is>
          <t>LJUSDAL</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19673-2026</t>
        </is>
      </c>
      <c r="B848" t="inlineStr">
        <is>
          <t>avverkningsanmälan</t>
        </is>
      </c>
      <c r="C848" t="inlineStr">
        <is>
          <t>Föryngringsavverkning</t>
        </is>
      </c>
      <c r="D848" s="1" t="n">
        <v>46134</v>
      </c>
      <c r="E848" s="1" t="n">
        <v>46292</v>
      </c>
      <c r="F848" t="inlineStr">
        <is>
          <t>GÄVLEBORGS LÄN</t>
        </is>
      </c>
      <c r="G848" t="inlineStr">
        <is>
          <t>LJUSDAL</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19285-2026</t>
        </is>
      </c>
      <c r="B849" t="inlineStr">
        <is>
          <t>avverkningsanmälan</t>
        </is>
      </c>
      <c r="C849" t="inlineStr">
        <is>
          <t>Föryngringsavverkning</t>
        </is>
      </c>
      <c r="D849" s="1" t="n">
        <v>46133</v>
      </c>
      <c r="E849" s="1" t="n">
        <v>46292</v>
      </c>
      <c r="F849" t="inlineStr">
        <is>
          <t>GÄVLEBORGS LÄN</t>
        </is>
      </c>
      <c r="G849" t="inlineStr">
        <is>
          <t>LJUSDAL</t>
        </is>
      </c>
      <c r="H849" t="inlineStr">
        <is>
          <t>Kommuner</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57860-2025</t>
        </is>
      </c>
      <c r="B850" t="inlineStr">
        <is>
          <t>avverkningsanmälan</t>
        </is>
      </c>
      <c r="C850" t="inlineStr">
        <is>
          <t>Föryngringsavverkning</t>
        </is>
      </c>
      <c r="D850" s="1" t="n">
        <v>45981</v>
      </c>
      <c r="E850" s="1" t="n">
        <v>46292</v>
      </c>
      <c r="F850" t="inlineStr">
        <is>
          <t>GÄVLEBORGS LÄN</t>
        </is>
      </c>
      <c r="G850" t="inlineStr">
        <is>
          <t>LJUSDAL</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58598-2024</t>
        </is>
      </c>
      <c r="B851" t="inlineStr">
        <is>
          <t>avverkningsanmälan</t>
        </is>
      </c>
      <c r="C851" t="inlineStr">
        <is>
          <t>Föryngringsavverkning</t>
        </is>
      </c>
      <c r="D851" s="1" t="n">
        <v>45635</v>
      </c>
      <c r="E851" s="1" t="n">
        <v>46292</v>
      </c>
      <c r="F851" t="inlineStr">
        <is>
          <t>GÄVLEBORGS LÄN</t>
        </is>
      </c>
      <c r="G851" t="inlineStr">
        <is>
          <t>LJUSDAL</t>
        </is>
      </c>
      <c r="H851" t="inlineStr">
        <is>
          <t>Allmännings- och besparingsskogar</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19555-2026</t>
        </is>
      </c>
      <c r="B852" t="inlineStr">
        <is>
          <t>avverkningsanmälan</t>
        </is>
      </c>
      <c r="C852" t="inlineStr">
        <is>
          <t>Föryngringsavverkning</t>
        </is>
      </c>
      <c r="D852" s="1" t="n">
        <v>46134</v>
      </c>
      <c r="E852" s="1" t="n">
        <v>46292</v>
      </c>
      <c r="F852" t="inlineStr">
        <is>
          <t>GÄVLEBORGS LÄN</t>
        </is>
      </c>
      <c r="G852" t="inlineStr">
        <is>
          <t>LJUSDAL</t>
        </is>
      </c>
      <c r="H852" t="inlineStr">
        <is>
          <t>Bergvik skog väst AB</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19672-2026</t>
        </is>
      </c>
      <c r="B853" t="inlineStr">
        <is>
          <t>avverkningsanmälan</t>
        </is>
      </c>
      <c r="C853" t="inlineStr">
        <is>
          <t>Föryngringsavverkning</t>
        </is>
      </c>
      <c r="D853" s="1" t="n">
        <v>46134</v>
      </c>
      <c r="E853" s="1" t="n">
        <v>46292</v>
      </c>
      <c r="F853" t="inlineStr">
        <is>
          <t>GÄVLEBORGS LÄN</t>
        </is>
      </c>
      <c r="G853" t="inlineStr">
        <is>
          <t>LJUSDAL</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19558-2026</t>
        </is>
      </c>
      <c r="B854" t="inlineStr">
        <is>
          <t>avverkningsanmälan</t>
        </is>
      </c>
      <c r="C854" t="inlineStr">
        <is>
          <t>Föryngringsavverkning</t>
        </is>
      </c>
      <c r="D854" s="1" t="n">
        <v>46134</v>
      </c>
      <c r="E854" s="1" t="n">
        <v>46292</v>
      </c>
      <c r="F854" t="inlineStr">
        <is>
          <t>GÄVLEBORGS LÄN</t>
        </is>
      </c>
      <c r="G854" t="inlineStr">
        <is>
          <t>LJUSDAL</t>
        </is>
      </c>
      <c r="H854" t="inlineStr">
        <is>
          <t>Bergvik skog väst AB</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57927-2025</t>
        </is>
      </c>
      <c r="B855" t="inlineStr">
        <is>
          <t>avverkningsanmälan</t>
        </is>
      </c>
      <c r="C855" t="inlineStr">
        <is>
          <t>Föryngringsavverkning</t>
        </is>
      </c>
      <c r="D855" s="1" t="n">
        <v>45981</v>
      </c>
      <c r="E855" s="1" t="n">
        <v>46292</v>
      </c>
      <c r="F855" t="inlineStr">
        <is>
          <t>GÄVLEBORGS LÄN</t>
        </is>
      </c>
      <c r="G855" t="inlineStr">
        <is>
          <t>LJUSDAL</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28955-2025</t>
        </is>
      </c>
      <c r="B856" t="inlineStr">
        <is>
          <t>avverkningsanmälan</t>
        </is>
      </c>
      <c r="C856" t="inlineStr">
        <is>
          <t>Föryngringsavverkning</t>
        </is>
      </c>
      <c r="D856" s="1" t="n">
        <v>45821</v>
      </c>
      <c r="E856" s="1" t="n">
        <v>46292</v>
      </c>
      <c r="F856" t="inlineStr">
        <is>
          <t>GÄVLEBORGS LÄN</t>
        </is>
      </c>
      <c r="G856" t="inlineStr">
        <is>
          <t>LJUSDAL</t>
        </is>
      </c>
      <c r="H856" t="inlineStr">
        <is>
          <t>Bergvik skog väst AB</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29-2026</t>
        </is>
      </c>
      <c r="B857" t="inlineStr">
        <is>
          <t>avverkningsanmälan</t>
        </is>
      </c>
      <c r="C857" t="inlineStr">
        <is>
          <t>Föryngringsavverkning</t>
        </is>
      </c>
      <c r="D857" s="1" t="n">
        <v>46024</v>
      </c>
      <c r="E857" s="1" t="n">
        <v>46292</v>
      </c>
      <c r="F857" t="inlineStr">
        <is>
          <t>GÄVLEBORGS LÄN</t>
        </is>
      </c>
      <c r="G857" t="inlineStr">
        <is>
          <t>LJUSDAL</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60197-2024</t>
        </is>
      </c>
      <c r="B858" t="inlineStr">
        <is>
          <t>avverkningsanmälan</t>
        </is>
      </c>
      <c r="C858" t="inlineStr">
        <is>
          <t>Föryngringsavverkning</t>
        </is>
      </c>
      <c r="D858" s="1" t="n">
        <v>45642</v>
      </c>
      <c r="E858" s="1" t="n">
        <v>46292</v>
      </c>
      <c r="F858" t="inlineStr">
        <is>
          <t>GÄVLEBORGS LÄN</t>
        </is>
      </c>
      <c r="G858" t="inlineStr">
        <is>
          <t>LJUSDAL</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11838-2024</t>
        </is>
      </c>
      <c r="B859" t="inlineStr">
        <is>
          <t>avverkningsanmälan</t>
        </is>
      </c>
      <c r="C859" t="inlineStr">
        <is>
          <t>Föryngringsavverkning</t>
        </is>
      </c>
      <c r="D859" s="1" t="n">
        <v>45376</v>
      </c>
      <c r="E859" s="1" t="n">
        <v>46292</v>
      </c>
      <c r="F859" t="inlineStr">
        <is>
          <t>GÄVLEBORGS LÄN</t>
        </is>
      </c>
      <c r="G859" t="inlineStr">
        <is>
          <t>LJUSDAL</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44844-2025</t>
        </is>
      </c>
      <c r="B860" t="inlineStr">
        <is>
          <t>avverkningsanmälan</t>
        </is>
      </c>
      <c r="C860" t="inlineStr">
        <is>
          <t>Föryngringsavverkning</t>
        </is>
      </c>
      <c r="D860" s="1" t="n">
        <v>45918</v>
      </c>
      <c r="E860" s="1" t="n">
        <v>46292</v>
      </c>
      <c r="F860" t="inlineStr">
        <is>
          <t>GÄVLEBORGS LÄN</t>
        </is>
      </c>
      <c r="G860" t="inlineStr">
        <is>
          <t>LJUSDAL</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19808-2026</t>
        </is>
      </c>
      <c r="B861" t="inlineStr">
        <is>
          <t>avverkningsanmälan</t>
        </is>
      </c>
      <c r="C861" t="inlineStr">
        <is>
          <t>Föryngringsavverkning</t>
        </is>
      </c>
      <c r="D861" s="1" t="n">
        <v>46135</v>
      </c>
      <c r="E861" s="1" t="n">
        <v>46292</v>
      </c>
      <c r="F861" t="inlineStr">
        <is>
          <t>GÄVLEBORGS LÄN</t>
        </is>
      </c>
      <c r="G861" t="inlineStr">
        <is>
          <t>LJUSDAL</t>
        </is>
      </c>
      <c r="H861" t="inlineStr">
        <is>
          <t>Bergvik skog väst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42822-2025</t>
        </is>
      </c>
      <c r="B862" t="inlineStr">
        <is>
          <t>avverkningsanmälan</t>
        </is>
      </c>
      <c r="C862" t="inlineStr">
        <is>
          <t>Föryngringsavverkning</t>
        </is>
      </c>
      <c r="D862" s="1" t="n">
        <v>45908</v>
      </c>
      <c r="E862" s="1" t="n">
        <v>46292</v>
      </c>
      <c r="F862" t="inlineStr">
        <is>
          <t>GÄVLEBORGS LÄN</t>
        </is>
      </c>
      <c r="G862" t="inlineStr">
        <is>
          <t>LJUSDAL</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6724-2024</t>
        </is>
      </c>
      <c r="B863" t="inlineStr">
        <is>
          <t>avverkningsanmälan</t>
        </is>
      </c>
      <c r="C863" t="inlineStr">
        <is>
          <t>Föryngringsavverkning</t>
        </is>
      </c>
      <c r="D863" s="1" t="n">
        <v>45342</v>
      </c>
      <c r="E863" s="1" t="n">
        <v>46292</v>
      </c>
      <c r="F863" t="inlineStr">
        <is>
          <t>GÄVLEBORGS LÄN</t>
        </is>
      </c>
      <c r="G863" t="inlineStr">
        <is>
          <t>LJUSDAL</t>
        </is>
      </c>
      <c r="H863" t="inlineStr">
        <is>
          <t>Bergvik skog väst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8979-2024</t>
        </is>
      </c>
      <c r="B864" t="inlineStr">
        <is>
          <t>avverkningsanmälan</t>
        </is>
      </c>
      <c r="C864" t="inlineStr">
        <is>
          <t>Föryngringsavverkning</t>
        </is>
      </c>
      <c r="D864" s="1" t="n">
        <v>45357</v>
      </c>
      <c r="E864" s="1" t="n">
        <v>46292</v>
      </c>
      <c r="F864" t="inlineStr">
        <is>
          <t>GÄVLEBORGS LÄN</t>
        </is>
      </c>
      <c r="G864" t="inlineStr">
        <is>
          <t>LJUSDAL</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30286-2024</t>
        </is>
      </c>
      <c r="B865" t="inlineStr">
        <is>
          <t>avverkningsanmälan</t>
        </is>
      </c>
      <c r="C865" t="inlineStr">
        <is>
          <t>Föryngringsavverkning</t>
        </is>
      </c>
      <c r="D865" s="1" t="n">
        <v>45490</v>
      </c>
      <c r="E865" s="1" t="n">
        <v>46292</v>
      </c>
      <c r="F865" t="inlineStr">
        <is>
          <t>GÄVLEBORGS LÄN</t>
        </is>
      </c>
      <c r="G865" t="inlineStr">
        <is>
          <t>LJUSDAL</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58816-2025</t>
        </is>
      </c>
      <c r="B866" t="inlineStr">
        <is>
          <t>avverkningsanmälan</t>
        </is>
      </c>
      <c r="C866" t="inlineStr">
        <is>
          <t>Föryngringsavverkning</t>
        </is>
      </c>
      <c r="D866" s="1" t="n">
        <v>45987</v>
      </c>
      <c r="E866" s="1" t="n">
        <v>46292</v>
      </c>
      <c r="F866" t="inlineStr">
        <is>
          <t>GÄVLEBORGS LÄN</t>
        </is>
      </c>
      <c r="G866" t="inlineStr">
        <is>
          <t>LJUSDAL</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58812-2025</t>
        </is>
      </c>
      <c r="B867" t="inlineStr">
        <is>
          <t>avverkningsanmälan</t>
        </is>
      </c>
      <c r="C867" t="inlineStr">
        <is>
          <t>Föryngringsavverkning</t>
        </is>
      </c>
      <c r="D867" s="1" t="n">
        <v>45987</v>
      </c>
      <c r="E867" s="1" t="n">
        <v>46292</v>
      </c>
      <c r="F867" t="inlineStr">
        <is>
          <t>GÄVLEBORGS LÄN</t>
        </is>
      </c>
      <c r="G867" t="inlineStr">
        <is>
          <t>LJUSDAL</t>
        </is>
      </c>
      <c r="I867" t="n">
        <v>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58855-2025</t>
        </is>
      </c>
      <c r="B868" t="inlineStr">
        <is>
          <t>avverkningsanmälan</t>
        </is>
      </c>
      <c r="C868" t="inlineStr">
        <is>
          <t>Föryngringsavverkning</t>
        </is>
      </c>
      <c r="D868" s="1" t="n">
        <v>45987</v>
      </c>
      <c r="E868" s="1" t="n">
        <v>46292</v>
      </c>
      <c r="F868" t="inlineStr">
        <is>
          <t>GÄVLEBORGS LÄN</t>
        </is>
      </c>
      <c r="G868" t="inlineStr">
        <is>
          <t>LJUSDAL</t>
        </is>
      </c>
      <c r="H868" t="inlineStr">
        <is>
          <t>SCA</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17241-2023</t>
        </is>
      </c>
      <c r="B869" t="inlineStr">
        <is>
          <t>avverkningsanmälan</t>
        </is>
      </c>
      <c r="C869" t="inlineStr">
        <is>
          <t>Föryngringsavverkning</t>
        </is>
      </c>
      <c r="D869" s="1" t="n">
        <v>45035</v>
      </c>
      <c r="E869" s="1" t="n">
        <v>46292</v>
      </c>
      <c r="F869" t="inlineStr">
        <is>
          <t>GÄVLEBORGS LÄN</t>
        </is>
      </c>
      <c r="G869" t="inlineStr">
        <is>
          <t>LJUSDAL</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58898-2025</t>
        </is>
      </c>
      <c r="B870" t="inlineStr">
        <is>
          <t>avverkningsanmälan</t>
        </is>
      </c>
      <c r="C870" t="inlineStr">
        <is>
          <t>Föryngringsavverkning</t>
        </is>
      </c>
      <c r="D870" s="1" t="n">
        <v>45987</v>
      </c>
      <c r="E870" s="1" t="n">
        <v>46292</v>
      </c>
      <c r="F870" t="inlineStr">
        <is>
          <t>GÄVLEBORGS LÄN</t>
        </is>
      </c>
      <c r="G870" t="inlineStr">
        <is>
          <t>LJUSDAL</t>
        </is>
      </c>
      <c r="H870" t="inlineStr">
        <is>
          <t>Bergvik skog väst AB</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20049-2026</t>
        </is>
      </c>
      <c r="B871" t="inlineStr">
        <is>
          <t>avverkningsanmälan</t>
        </is>
      </c>
      <c r="C871" t="inlineStr">
        <is>
          <t>Föryngringsavverkning</t>
        </is>
      </c>
      <c r="D871" s="1" t="n">
        <v>46136</v>
      </c>
      <c r="E871" s="1" t="n">
        <v>46292</v>
      </c>
      <c r="F871" t="inlineStr">
        <is>
          <t>GÄVLEBORGS LÄN</t>
        </is>
      </c>
      <c r="G871" t="inlineStr">
        <is>
          <t>LJUSDAL</t>
        </is>
      </c>
      <c r="H871" t="inlineStr">
        <is>
          <t>Sveaskog</t>
        </is>
      </c>
      <c r="I871" t="n">
        <v>34.2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58968-2025</t>
        </is>
      </c>
      <c r="B872" t="inlineStr">
        <is>
          <t>avverkningsanmälan</t>
        </is>
      </c>
      <c r="C872" t="inlineStr">
        <is>
          <t>Föryngringsavverkning</t>
        </is>
      </c>
      <c r="D872" s="1" t="n">
        <v>45987</v>
      </c>
      <c r="E872" s="1" t="n">
        <v>46292</v>
      </c>
      <c r="F872" t="inlineStr">
        <is>
          <t>GÄVLEBORGS LÄN</t>
        </is>
      </c>
      <c r="G872" t="inlineStr">
        <is>
          <t>LJUSDAL</t>
        </is>
      </c>
      <c r="I872" t="n">
        <v>9.1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19793-2026</t>
        </is>
      </c>
      <c r="B873" t="inlineStr">
        <is>
          <t>avverkningsanmälan</t>
        </is>
      </c>
      <c r="C873" t="inlineStr">
        <is>
          <t>Föryngringsavverkning</t>
        </is>
      </c>
      <c r="D873" s="1" t="n">
        <v>46135</v>
      </c>
      <c r="E873" s="1" t="n">
        <v>46292</v>
      </c>
      <c r="F873" t="inlineStr">
        <is>
          <t>GÄVLEBORGS LÄN</t>
        </is>
      </c>
      <c r="G873" t="inlineStr">
        <is>
          <t>LJUSDAL</t>
        </is>
      </c>
      <c r="H873" t="inlineStr">
        <is>
          <t>Bergvik skog väst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31040-2025</t>
        </is>
      </c>
      <c r="B874" t="inlineStr">
        <is>
          <t>avverkningsanmälan</t>
        </is>
      </c>
      <c r="C874" t="inlineStr">
        <is>
          <t>Föryngringsavverkning</t>
        </is>
      </c>
      <c r="D874" s="1" t="n">
        <v>45832</v>
      </c>
      <c r="E874" s="1" t="n">
        <v>46292</v>
      </c>
      <c r="F874" t="inlineStr">
        <is>
          <t>GÄVLEBORGS LÄN</t>
        </is>
      </c>
      <c r="G874" t="inlineStr">
        <is>
          <t>LJUSDAL</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28240-2023</t>
        </is>
      </c>
      <c r="B875" t="inlineStr">
        <is>
          <t>avverkningsanmälan</t>
        </is>
      </c>
      <c r="C875" t="inlineStr">
        <is>
          <t>Föryngringsavverkning</t>
        </is>
      </c>
      <c r="D875" s="1" t="n">
        <v>45099</v>
      </c>
      <c r="E875" s="1" t="n">
        <v>46292</v>
      </c>
      <c r="F875" t="inlineStr">
        <is>
          <t>GÄVLEBORGS LÄN</t>
        </is>
      </c>
      <c r="G875" t="inlineStr">
        <is>
          <t>LJUSDAL</t>
        </is>
      </c>
      <c r="H875" t="inlineStr">
        <is>
          <t>Holmen skog AB</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28248-2023</t>
        </is>
      </c>
      <c r="B876" t="inlineStr">
        <is>
          <t>avverkningsanmälan</t>
        </is>
      </c>
      <c r="C876" t="inlineStr">
        <is>
          <t>Föryngringsavverkning</t>
        </is>
      </c>
      <c r="D876" s="1" t="n">
        <v>45099</v>
      </c>
      <c r="E876" s="1" t="n">
        <v>46292</v>
      </c>
      <c r="F876" t="inlineStr">
        <is>
          <t>GÄVLEBORGS LÄN</t>
        </is>
      </c>
      <c r="G876" t="inlineStr">
        <is>
          <t>LJUSDAL</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62650-2021</t>
        </is>
      </c>
      <c r="B877" t="inlineStr">
        <is>
          <t>avverkningsanmälan</t>
        </is>
      </c>
      <c r="C877" t="inlineStr">
        <is>
          <t>Föryngringsavverkning</t>
        </is>
      </c>
      <c r="D877" s="1" t="n">
        <v>44503</v>
      </c>
      <c r="E877" s="1" t="n">
        <v>46292</v>
      </c>
      <c r="F877" t="inlineStr">
        <is>
          <t>GÄVLEBORGS LÄN</t>
        </is>
      </c>
      <c r="G877" t="inlineStr">
        <is>
          <t>LJUSDAL</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47871-2025</t>
        </is>
      </c>
      <c r="B878" t="inlineStr">
        <is>
          <t>avverkningsanmälan</t>
        </is>
      </c>
      <c r="C878" t="inlineStr">
        <is>
          <t>Föryngringsavverkning</t>
        </is>
      </c>
      <c r="D878" s="1" t="n">
        <v>45932</v>
      </c>
      <c r="E878" s="1" t="n">
        <v>46292</v>
      </c>
      <c r="F878" t="inlineStr">
        <is>
          <t>GÄVLEBORGS LÄN</t>
        </is>
      </c>
      <c r="G878" t="inlineStr">
        <is>
          <t>LJUSDAL</t>
        </is>
      </c>
      <c r="I878" t="n">
        <v>6.5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59811-2025</t>
        </is>
      </c>
      <c r="B879" t="inlineStr">
        <is>
          <t>avverkningsanmälan</t>
        </is>
      </c>
      <c r="C879" t="inlineStr">
        <is>
          <t>Föryngringsavverkning</t>
        </is>
      </c>
      <c r="D879" s="1" t="n">
        <v>45992</v>
      </c>
      <c r="E879" s="1" t="n">
        <v>46292</v>
      </c>
      <c r="F879" t="inlineStr">
        <is>
          <t>GÄVLEBORGS LÄN</t>
        </is>
      </c>
      <c r="G879" t="inlineStr">
        <is>
          <t>LJUSDAL</t>
        </is>
      </c>
      <c r="H879" t="inlineStr">
        <is>
          <t>Allmännings- och besparingsskogar</t>
        </is>
      </c>
      <c r="I879" t="n">
        <v>9.199999999999999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7254-2026</t>
        </is>
      </c>
      <c r="B880" t="inlineStr">
        <is>
          <t>avverkningsanmälan</t>
        </is>
      </c>
      <c r="C880" t="inlineStr">
        <is>
          <t>Föryngringsavverkning</t>
        </is>
      </c>
      <c r="D880" s="1" t="n">
        <v>46058</v>
      </c>
      <c r="E880" s="1" t="n">
        <v>46292</v>
      </c>
      <c r="F880" t="inlineStr">
        <is>
          <t>GÄVLEBORGS LÄN</t>
        </is>
      </c>
      <c r="G880" t="inlineStr">
        <is>
          <t>LJUSDAL</t>
        </is>
      </c>
      <c r="I880" t="n">
        <v>9.1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8746-2026</t>
        </is>
      </c>
      <c r="B881" t="inlineStr">
        <is>
          <t>avverkningsanmälan</t>
        </is>
      </c>
      <c r="C881" t="inlineStr">
        <is>
          <t>Föryngringsavverkning</t>
        </is>
      </c>
      <c r="D881" s="1" t="n">
        <v>46066</v>
      </c>
      <c r="E881" s="1" t="n">
        <v>46292</v>
      </c>
      <c r="F881" t="inlineStr">
        <is>
          <t>GÄVLEBORGS LÄN</t>
        </is>
      </c>
      <c r="G881" t="inlineStr">
        <is>
          <t>LJUSDAL</t>
        </is>
      </c>
      <c r="H881" t="inlineStr">
        <is>
          <t>Holmen skog AB</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59785-2025</t>
        </is>
      </c>
      <c r="B882" t="inlineStr">
        <is>
          <t>avverkningsanmälan</t>
        </is>
      </c>
      <c r="C882" t="inlineStr">
        <is>
          <t>Föryngringsavverkning</t>
        </is>
      </c>
      <c r="D882" s="1" t="n">
        <v>45992</v>
      </c>
      <c r="E882" s="1" t="n">
        <v>46292</v>
      </c>
      <c r="F882" t="inlineStr">
        <is>
          <t>GÄVLEBORGS LÄN</t>
        </is>
      </c>
      <c r="G882" t="inlineStr">
        <is>
          <t>LJUSDAL</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59353-2025</t>
        </is>
      </c>
      <c r="B883" t="inlineStr">
        <is>
          <t>avverkningsanmälan</t>
        </is>
      </c>
      <c r="C883" t="inlineStr">
        <is>
          <t>Föryngringsavverkning</t>
        </is>
      </c>
      <c r="D883" s="1" t="n">
        <v>45989</v>
      </c>
      <c r="E883" s="1" t="n">
        <v>46292</v>
      </c>
      <c r="F883" t="inlineStr">
        <is>
          <t>GÄVLEBORGS LÄN</t>
        </is>
      </c>
      <c r="G883" t="inlineStr">
        <is>
          <t>LJUSDAL</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59426-2025</t>
        </is>
      </c>
      <c r="B884" t="inlineStr">
        <is>
          <t>avverkningsanmälan</t>
        </is>
      </c>
      <c r="C884" t="inlineStr">
        <is>
          <t>Föryngringsavverkning</t>
        </is>
      </c>
      <c r="D884" s="1" t="n">
        <v>45989</v>
      </c>
      <c r="E884" s="1" t="n">
        <v>46292</v>
      </c>
      <c r="F884" t="inlineStr">
        <is>
          <t>GÄVLEBORGS LÄN</t>
        </is>
      </c>
      <c r="G884" t="inlineStr">
        <is>
          <t>LJUSDAL</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59836-2025</t>
        </is>
      </c>
      <c r="B885" t="inlineStr">
        <is>
          <t>avverkningsanmälan</t>
        </is>
      </c>
      <c r="C885" t="inlineStr">
        <is>
          <t>Föryngringsavverkning</t>
        </is>
      </c>
      <c r="D885" s="1" t="n">
        <v>45992</v>
      </c>
      <c r="E885" s="1" t="n">
        <v>46292</v>
      </c>
      <c r="F885" t="inlineStr">
        <is>
          <t>GÄVLEBORGS LÄN</t>
        </is>
      </c>
      <c r="G885" t="inlineStr">
        <is>
          <t>LJUSDAL</t>
        </is>
      </c>
      <c r="H885" t="inlineStr">
        <is>
          <t>Allmännings- och besparingsskogar</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48580-2025</t>
        </is>
      </c>
      <c r="B886" t="inlineStr">
        <is>
          <t>avverkningsanmälan</t>
        </is>
      </c>
      <c r="C886" t="inlineStr">
        <is>
          <t>Föryngringsavverkning</t>
        </is>
      </c>
      <c r="D886" s="1" t="n">
        <v>45936</v>
      </c>
      <c r="E886" s="1" t="n">
        <v>46292</v>
      </c>
      <c r="F886" t="inlineStr">
        <is>
          <t>GÄVLEBORGS LÄN</t>
        </is>
      </c>
      <c r="G886" t="inlineStr">
        <is>
          <t>LJUSDAL</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27928-2025</t>
        </is>
      </c>
      <c r="B887" t="inlineStr">
        <is>
          <t>avverkningsanmälan</t>
        </is>
      </c>
      <c r="C887" t="inlineStr">
        <is>
          <t>Föryngringsavverkning</t>
        </is>
      </c>
      <c r="D887" s="1" t="n">
        <v>45817</v>
      </c>
      <c r="E887" s="1" t="n">
        <v>46292</v>
      </c>
      <c r="F887" t="inlineStr">
        <is>
          <t>GÄVLEBORGS LÄN</t>
        </is>
      </c>
      <c r="G887" t="inlineStr">
        <is>
          <t>LJUSDAL</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51599-2024</t>
        </is>
      </c>
      <c r="B888" t="inlineStr">
        <is>
          <t>avverkningsanmälan</t>
        </is>
      </c>
      <c r="C888" t="inlineStr">
        <is>
          <t>Föryngringsavverkning</t>
        </is>
      </c>
      <c r="D888" s="1" t="n">
        <v>45604</v>
      </c>
      <c r="E888" s="1" t="n">
        <v>46292</v>
      </c>
      <c r="F888" t="inlineStr">
        <is>
          <t>GÄVLEBORGS LÄN</t>
        </is>
      </c>
      <c r="G888" t="inlineStr">
        <is>
          <t>LJUSDAL</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20077-2026</t>
        </is>
      </c>
      <c r="B889" t="inlineStr">
        <is>
          <t>avverkningsanmälan</t>
        </is>
      </c>
      <c r="C889" t="inlineStr">
        <is>
          <t>Föryngringsavverkning</t>
        </is>
      </c>
      <c r="D889" s="1" t="n">
        <v>46136</v>
      </c>
      <c r="E889" s="1" t="n">
        <v>46292</v>
      </c>
      <c r="F889" t="inlineStr">
        <is>
          <t>GÄVLEBORGS LÄN</t>
        </is>
      </c>
      <c r="G889" t="inlineStr">
        <is>
          <t>LJUSDAL</t>
        </is>
      </c>
      <c r="H889" t="inlineStr">
        <is>
          <t>Sveaskog</t>
        </is>
      </c>
      <c r="I889" t="n">
        <v>38.9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19886-2026</t>
        </is>
      </c>
      <c r="B890" t="inlineStr">
        <is>
          <t>avverkningsanmälan</t>
        </is>
      </c>
      <c r="C890" t="inlineStr">
        <is>
          <t>Föryngringsavverkning</t>
        </is>
      </c>
      <c r="D890" s="1" t="n">
        <v>46135</v>
      </c>
      <c r="E890" s="1" t="n">
        <v>46292</v>
      </c>
      <c r="F890" t="inlineStr">
        <is>
          <t>GÄVLEBORGS LÄN</t>
        </is>
      </c>
      <c r="G890" t="inlineStr">
        <is>
          <t>LJUSDAL</t>
        </is>
      </c>
      <c r="H890" t="inlineStr">
        <is>
          <t>Sveaskog</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52783-2024</t>
        </is>
      </c>
      <c r="B891" t="inlineStr">
        <is>
          <t>avverkningsanmälan</t>
        </is>
      </c>
      <c r="C891" t="inlineStr">
        <is>
          <t>Föryngringsavverkning</t>
        </is>
      </c>
      <c r="D891" s="1" t="n">
        <v>45610</v>
      </c>
      <c r="E891" s="1" t="n">
        <v>46292</v>
      </c>
      <c r="F891" t="inlineStr">
        <is>
          <t>GÄVLEBORGS LÄN</t>
        </is>
      </c>
      <c r="G891" t="inlineStr">
        <is>
          <t>LJUSDAL</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60042-2025</t>
        </is>
      </c>
      <c r="B892" t="inlineStr">
        <is>
          <t>avverkningsanmälan</t>
        </is>
      </c>
      <c r="C892" t="inlineStr">
        <is>
          <t>Avverkning för annat ändamål</t>
        </is>
      </c>
      <c r="D892" s="1" t="n">
        <v>45993</v>
      </c>
      <c r="E892" s="1" t="n">
        <v>46292</v>
      </c>
      <c r="F892" t="inlineStr">
        <is>
          <t>GÄVLEBORGS LÄN</t>
        </is>
      </c>
      <c r="G892" t="inlineStr">
        <is>
          <t>LJUSDAL</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7600-2025</t>
        </is>
      </c>
      <c r="B893" t="inlineStr">
        <is>
          <t>avverkningsanmälan</t>
        </is>
      </c>
      <c r="C893" t="inlineStr">
        <is>
          <t>Föryngringsavverkning</t>
        </is>
      </c>
      <c r="D893" s="1" t="n">
        <v>45705</v>
      </c>
      <c r="E893" s="1" t="n">
        <v>46292</v>
      </c>
      <c r="F893" t="inlineStr">
        <is>
          <t>GÄVLEBORGS LÄN</t>
        </is>
      </c>
      <c r="G893" t="inlineStr">
        <is>
          <t>LJUSDAL</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13116-2023</t>
        </is>
      </c>
      <c r="B894" t="inlineStr">
        <is>
          <t>avverkningsanmälan</t>
        </is>
      </c>
      <c r="C894" t="inlineStr">
        <is>
          <t>Föryngringsavverkning</t>
        </is>
      </c>
      <c r="D894" s="1" t="n">
        <v>45002</v>
      </c>
      <c r="E894" s="1" t="n">
        <v>46292</v>
      </c>
      <c r="F894" t="inlineStr">
        <is>
          <t>GÄVLEBORGS LÄN</t>
        </is>
      </c>
      <c r="G894" t="inlineStr">
        <is>
          <t>LJUSDAL</t>
        </is>
      </c>
      <c r="H894" t="inlineStr">
        <is>
          <t>Allmännings- och besparingsskogar</t>
        </is>
      </c>
      <c r="I894" t="n">
        <v>8.800000000000001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13551-2025</t>
        </is>
      </c>
      <c r="B895" t="inlineStr">
        <is>
          <t>avverkningsanmälan</t>
        </is>
      </c>
      <c r="C895" t="inlineStr">
        <is>
          <t>Föryngringsavverkning</t>
        </is>
      </c>
      <c r="D895" s="1" t="n">
        <v>45736</v>
      </c>
      <c r="E895" s="1" t="n">
        <v>46292</v>
      </c>
      <c r="F895" t="inlineStr">
        <is>
          <t>GÄVLEBORGS LÄN</t>
        </is>
      </c>
      <c r="G895" t="inlineStr">
        <is>
          <t>LJUSDAL</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203-2025</t>
        </is>
      </c>
      <c r="B896" t="inlineStr">
        <is>
          <t>avverkningsanmälan</t>
        </is>
      </c>
      <c r="C896" t="inlineStr">
        <is>
          <t>Föryngringsavverkning</t>
        </is>
      </c>
      <c r="D896" s="1" t="n">
        <v>45660</v>
      </c>
      <c r="E896" s="1" t="n">
        <v>46292</v>
      </c>
      <c r="F896" t="inlineStr">
        <is>
          <t>GÄVLEBORGS LÄN</t>
        </is>
      </c>
      <c r="G896" t="inlineStr">
        <is>
          <t>LJUSDAL</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208-2025</t>
        </is>
      </c>
      <c r="B897" t="inlineStr">
        <is>
          <t>avverkningsanmälan</t>
        </is>
      </c>
      <c r="C897" t="inlineStr">
        <is>
          <t>Föryngringsavverkning</t>
        </is>
      </c>
      <c r="D897" s="1" t="n">
        <v>45660</v>
      </c>
      <c r="E897" s="1" t="n">
        <v>46292</v>
      </c>
      <c r="F897" t="inlineStr">
        <is>
          <t>GÄVLEBORGS LÄN</t>
        </is>
      </c>
      <c r="G897" t="inlineStr">
        <is>
          <t>LJUSDAL</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36233-2022</t>
        </is>
      </c>
      <c r="B898" t="inlineStr">
        <is>
          <t>avverkningsanmälan</t>
        </is>
      </c>
      <c r="C898" t="inlineStr">
        <is>
          <t>Föryngringsavverkning</t>
        </is>
      </c>
      <c r="D898" s="1" t="n">
        <v>44803</v>
      </c>
      <c r="E898" s="1" t="n">
        <v>46292</v>
      </c>
      <c r="F898" t="inlineStr">
        <is>
          <t>GÄVLEBORGS LÄN</t>
        </is>
      </c>
      <c r="G898" t="inlineStr">
        <is>
          <t>LJUSDAL</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60352-2025</t>
        </is>
      </c>
      <c r="B899" t="inlineStr">
        <is>
          <t>avverkningsanmälan</t>
        </is>
      </c>
      <c r="C899" t="inlineStr">
        <is>
          <t>Föryngringsavverkning</t>
        </is>
      </c>
      <c r="D899" s="1" t="n">
        <v>45995</v>
      </c>
      <c r="E899" s="1" t="n">
        <v>46292</v>
      </c>
      <c r="F899" t="inlineStr">
        <is>
          <t>GÄVLEBORGS LÄN</t>
        </is>
      </c>
      <c r="G899" t="inlineStr">
        <is>
          <t>LJUSDAL</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47502-2022</t>
        </is>
      </c>
      <c r="B900" t="inlineStr">
        <is>
          <t>avverkningsanmälan</t>
        </is>
      </c>
      <c r="C900" t="inlineStr">
        <is>
          <t>Avverkning för annat ändamål</t>
        </is>
      </c>
      <c r="D900" s="1" t="n">
        <v>44853</v>
      </c>
      <c r="E900" s="1" t="n">
        <v>46292</v>
      </c>
      <c r="F900" t="inlineStr">
        <is>
          <t>GÄVLEBORGS LÄN</t>
        </is>
      </c>
      <c r="G900" t="inlineStr">
        <is>
          <t>LJUSDAL</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60419-2025</t>
        </is>
      </c>
      <c r="B901" t="inlineStr">
        <is>
          <t>avverkningsanmälan</t>
        </is>
      </c>
      <c r="C901" t="inlineStr">
        <is>
          <t>Föryngringsavverkning</t>
        </is>
      </c>
      <c r="D901" s="1" t="n">
        <v>45995</v>
      </c>
      <c r="E901" s="1" t="n">
        <v>46292</v>
      </c>
      <c r="F901" t="inlineStr">
        <is>
          <t>GÄVLEBORGS LÄN</t>
        </is>
      </c>
      <c r="G901" t="inlineStr">
        <is>
          <t>LJUSDAL</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60415-2025</t>
        </is>
      </c>
      <c r="B902" t="inlineStr">
        <is>
          <t>avverkningsanmälan</t>
        </is>
      </c>
      <c r="C902" t="inlineStr">
        <is>
          <t>Föryngringsavverkning</t>
        </is>
      </c>
      <c r="D902" s="1" t="n">
        <v>45995</v>
      </c>
      <c r="E902" s="1" t="n">
        <v>46292</v>
      </c>
      <c r="F902" t="inlineStr">
        <is>
          <t>GÄVLEBORGS LÄN</t>
        </is>
      </c>
      <c r="G902" t="inlineStr">
        <is>
          <t>LJUSDAL</t>
        </is>
      </c>
      <c r="H902" t="inlineStr">
        <is>
          <t>Övriga Aktiebolag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13328-2026</t>
        </is>
      </c>
      <c r="B903" t="inlineStr">
        <is>
          <t>avverkningsanmälan</t>
        </is>
      </c>
      <c r="C903" t="inlineStr">
        <is>
          <t>Föryngringsavverkning</t>
        </is>
      </c>
      <c r="D903" s="1" t="n">
        <v>46094</v>
      </c>
      <c r="E903" s="1" t="n">
        <v>46292</v>
      </c>
      <c r="F903" t="inlineStr">
        <is>
          <t>GÄVLEBORGS LÄN</t>
        </is>
      </c>
      <c r="G903" t="inlineStr">
        <is>
          <t>LJUSDAL</t>
        </is>
      </c>
      <c r="H903" t="inlineStr">
        <is>
          <t>Holmen skog AB</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60679-2025</t>
        </is>
      </c>
      <c r="B904" t="inlineStr">
        <is>
          <t>avverkningsanmälan</t>
        </is>
      </c>
      <c r="C904" t="inlineStr">
        <is>
          <t>Avverkning för annat ändamål</t>
        </is>
      </c>
      <c r="D904" s="1" t="n">
        <v>45996</v>
      </c>
      <c r="E904" s="1" t="n">
        <v>46292</v>
      </c>
      <c r="F904" t="inlineStr">
        <is>
          <t>GÄVLEBORGS LÄN</t>
        </is>
      </c>
      <c r="G904" t="inlineStr">
        <is>
          <t>LJUSDAL</t>
        </is>
      </c>
      <c r="H904" t="inlineStr">
        <is>
          <t>Bergvik skog väst AB</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60682-2025</t>
        </is>
      </c>
      <c r="B905" t="inlineStr">
        <is>
          <t>avverkningsanmälan</t>
        </is>
      </c>
      <c r="C905" t="inlineStr">
        <is>
          <t>Föryngringsavverkning</t>
        </is>
      </c>
      <c r="D905" s="1" t="n">
        <v>45996</v>
      </c>
      <c r="E905" s="1" t="n">
        <v>46292</v>
      </c>
      <c r="F905" t="inlineStr">
        <is>
          <t>GÄVLEBORGS LÄN</t>
        </is>
      </c>
      <c r="G905" t="inlineStr">
        <is>
          <t>LJUSDAL</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42979-2023</t>
        </is>
      </c>
      <c r="B906" t="inlineStr">
        <is>
          <t>avverkningsanmälan</t>
        </is>
      </c>
      <c r="C906" t="inlineStr">
        <is>
          <t>Föryngringsavverkning</t>
        </is>
      </c>
      <c r="D906" s="1" t="n">
        <v>45182</v>
      </c>
      <c r="E906" s="1" t="n">
        <v>46292</v>
      </c>
      <c r="F906" t="inlineStr">
        <is>
          <t>GÄVLEBORGS LÄN</t>
        </is>
      </c>
      <c r="G906" t="inlineStr">
        <is>
          <t>LJUSDAL</t>
        </is>
      </c>
      <c r="I906" t="n">
        <v>13.2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61211-2025</t>
        </is>
      </c>
      <c r="B907" t="inlineStr">
        <is>
          <t>avverkningsanmälan</t>
        </is>
      </c>
      <c r="C907" t="inlineStr">
        <is>
          <t>Föryngringsavverkning</t>
        </is>
      </c>
      <c r="D907" s="1" t="n">
        <v>46000</v>
      </c>
      <c r="E907" s="1" t="n">
        <v>46292</v>
      </c>
      <c r="F907" t="inlineStr">
        <is>
          <t>GÄVLEBORGS LÄN</t>
        </is>
      </c>
      <c r="G907" t="inlineStr">
        <is>
          <t>LJUSDAL</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10176-2023</t>
        </is>
      </c>
      <c r="B908" t="inlineStr">
        <is>
          <t>avverkningsanmälan</t>
        </is>
      </c>
      <c r="C908" t="inlineStr">
        <is>
          <t>Föryngringsavverkning</t>
        </is>
      </c>
      <c r="D908" s="1" t="n">
        <v>44986</v>
      </c>
      <c r="E908" s="1" t="n">
        <v>46292</v>
      </c>
      <c r="F908" t="inlineStr">
        <is>
          <t>GÄVLEBORGS LÄN</t>
        </is>
      </c>
      <c r="G908" t="inlineStr">
        <is>
          <t>LJUSDAL</t>
        </is>
      </c>
      <c r="H908" t="inlineStr">
        <is>
          <t>Bergvik skog väst AB</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61234-2025</t>
        </is>
      </c>
      <c r="B909" t="inlineStr">
        <is>
          <t>avverkningsanmälan</t>
        </is>
      </c>
      <c r="C909" t="inlineStr">
        <is>
          <t>Föryngringsavverkning</t>
        </is>
      </c>
      <c r="D909" s="1" t="n">
        <v>46000</v>
      </c>
      <c r="E909" s="1" t="n">
        <v>46292</v>
      </c>
      <c r="F909" t="inlineStr">
        <is>
          <t>GÄVLEBORGS LÄN</t>
        </is>
      </c>
      <c r="G909" t="inlineStr">
        <is>
          <t>LJUSDAL</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61184-2025</t>
        </is>
      </c>
      <c r="B910" t="inlineStr">
        <is>
          <t>avverkningsanmälan</t>
        </is>
      </c>
      <c r="C910" t="inlineStr">
        <is>
          <t>Föryngringsavverkning</t>
        </is>
      </c>
      <c r="D910" s="1" t="n">
        <v>46000</v>
      </c>
      <c r="E910" s="1" t="n">
        <v>46292</v>
      </c>
      <c r="F910" t="inlineStr">
        <is>
          <t>GÄVLEBORGS LÄN</t>
        </is>
      </c>
      <c r="G910" t="inlineStr">
        <is>
          <t>LJUSDAL</t>
        </is>
      </c>
      <c r="H910" t="inlineStr">
        <is>
          <t>Allmännings- och besparingsskogar</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17230-2023</t>
        </is>
      </c>
      <c r="B911" t="inlineStr">
        <is>
          <t>avverkningsanmälan</t>
        </is>
      </c>
      <c r="C911" t="inlineStr">
        <is>
          <t>Föryngringsavverkning</t>
        </is>
      </c>
      <c r="D911" s="1" t="n">
        <v>45035</v>
      </c>
      <c r="E911" s="1" t="n">
        <v>46292</v>
      </c>
      <c r="F911" t="inlineStr">
        <is>
          <t>GÄVLEBORGS LÄN</t>
        </is>
      </c>
      <c r="G911" t="inlineStr">
        <is>
          <t>LJUSDAL</t>
        </is>
      </c>
      <c r="H911" t="inlineStr">
        <is>
          <t>Holmen skog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60885-2025</t>
        </is>
      </c>
      <c r="B912" t="inlineStr">
        <is>
          <t>avverkningsanmälan</t>
        </is>
      </c>
      <c r="C912" t="inlineStr">
        <is>
          <t>Föryngringsavverkning</t>
        </is>
      </c>
      <c r="D912" s="1" t="n">
        <v>45999</v>
      </c>
      <c r="E912" s="1" t="n">
        <v>46292</v>
      </c>
      <c r="F912" t="inlineStr">
        <is>
          <t>GÄVLEBORGS LÄN</t>
        </is>
      </c>
      <c r="G912" t="inlineStr">
        <is>
          <t>LJUSDAL</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47591-2025</t>
        </is>
      </c>
      <c r="B913" t="inlineStr">
        <is>
          <t>avverkningsanmälan</t>
        </is>
      </c>
      <c r="C913" t="inlineStr">
        <is>
          <t>Föryngringsavverkning</t>
        </is>
      </c>
      <c r="D913" s="1" t="n">
        <v>45931</v>
      </c>
      <c r="E913" s="1" t="n">
        <v>46292</v>
      </c>
      <c r="F913" t="inlineStr">
        <is>
          <t>GÄVLEBORGS LÄN</t>
        </is>
      </c>
      <c r="G913" t="inlineStr">
        <is>
          <t>LJUSDAL</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27839-2025</t>
        </is>
      </c>
      <c r="B914" t="inlineStr">
        <is>
          <t>avverkningsanmälan</t>
        </is>
      </c>
      <c r="C914" t="inlineStr">
        <is>
          <t>Föryngringsavverkning</t>
        </is>
      </c>
      <c r="D914" s="1" t="n">
        <v>45817</v>
      </c>
      <c r="E914" s="1" t="n">
        <v>46292</v>
      </c>
      <c r="F914" t="inlineStr">
        <is>
          <t>GÄVLEBORGS LÄN</t>
        </is>
      </c>
      <c r="G914" t="inlineStr">
        <is>
          <t>LJUSDAL</t>
        </is>
      </c>
      <c r="H914" t="inlineStr">
        <is>
          <t>Holmen skog AB</t>
        </is>
      </c>
      <c r="I914" t="n">
        <v>20.9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61077-2025</t>
        </is>
      </c>
      <c r="B915" t="inlineStr">
        <is>
          <t>avverkningsanmälan</t>
        </is>
      </c>
      <c r="C915" t="inlineStr">
        <is>
          <t>Föryngringsavverkning</t>
        </is>
      </c>
      <c r="D915" s="1" t="n">
        <v>46000</v>
      </c>
      <c r="E915" s="1" t="n">
        <v>46292</v>
      </c>
      <c r="F915" t="inlineStr">
        <is>
          <t>GÄVLEBORGS LÄN</t>
        </is>
      </c>
      <c r="G915" t="inlineStr">
        <is>
          <t>LJUSDAL</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34228-2023</t>
        </is>
      </c>
      <c r="B916" t="inlineStr">
        <is>
          <t>avverkningsanmälan</t>
        </is>
      </c>
      <c r="C916" t="inlineStr">
        <is>
          <t>Föryngringsavverkning</t>
        </is>
      </c>
      <c r="D916" s="1" t="n">
        <v>45127</v>
      </c>
      <c r="E916" s="1" t="n">
        <v>46292</v>
      </c>
      <c r="F916" t="inlineStr">
        <is>
          <t>GÄVLEBORGS LÄN</t>
        </is>
      </c>
      <c r="G916" t="inlineStr">
        <is>
          <t>LJUSDAL</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27905-2025</t>
        </is>
      </c>
      <c r="B917" t="inlineStr">
        <is>
          <t>avverkningsanmälan</t>
        </is>
      </c>
      <c r="C917" t="inlineStr">
        <is>
          <t>Föryngringsavverkning</t>
        </is>
      </c>
      <c r="D917" s="1" t="n">
        <v>45817</v>
      </c>
      <c r="E917" s="1" t="n">
        <v>46292</v>
      </c>
      <c r="F917" t="inlineStr">
        <is>
          <t>GÄVLEBORGS LÄN</t>
        </is>
      </c>
      <c r="G917" t="inlineStr">
        <is>
          <t>LJUSDAL</t>
        </is>
      </c>
      <c r="H917" t="inlineStr">
        <is>
          <t>Holmen skog AB</t>
        </is>
      </c>
      <c r="I917" t="n">
        <v>9.699999999999999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48848-2024</t>
        </is>
      </c>
      <c r="B918" t="inlineStr">
        <is>
          <t>avverkningsanmälan</t>
        </is>
      </c>
      <c r="C918" t="inlineStr">
        <is>
          <t>Föryngringsavverkning</t>
        </is>
      </c>
      <c r="D918" s="1" t="n">
        <v>45593</v>
      </c>
      <c r="E918" s="1" t="n">
        <v>46292</v>
      </c>
      <c r="F918" t="inlineStr">
        <is>
          <t>GÄVLEBORGS LÄN</t>
        </is>
      </c>
      <c r="G918" t="inlineStr">
        <is>
          <t>LJUSDAL</t>
        </is>
      </c>
      <c r="H918" t="inlineStr">
        <is>
          <t>Bergvik skog väst AB</t>
        </is>
      </c>
      <c r="I918" t="n">
        <v>5.4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36263-2025</t>
        </is>
      </c>
      <c r="B919" t="inlineStr">
        <is>
          <t>avverkningsanmälan</t>
        </is>
      </c>
      <c r="C919" t="inlineStr">
        <is>
          <t>Föryngringsavverkning</t>
        </is>
      </c>
      <c r="D919" s="1" t="n">
        <v>45867</v>
      </c>
      <c r="E919" s="1" t="n">
        <v>46292</v>
      </c>
      <c r="F919" t="inlineStr">
        <is>
          <t>GÄVLEBORGS LÄN</t>
        </is>
      </c>
      <c r="G919" t="inlineStr">
        <is>
          <t>LJUSDAL</t>
        </is>
      </c>
      <c r="H919" t="inlineStr">
        <is>
          <t>Naturvårdsverket</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6949-2026</t>
        </is>
      </c>
      <c r="B920" t="inlineStr">
        <is>
          <t>avverkningsanmälan</t>
        </is>
      </c>
      <c r="C920" t="inlineStr">
        <is>
          <t>Föryngringsavverkning</t>
        </is>
      </c>
      <c r="D920" s="1" t="n">
        <v>46057</v>
      </c>
      <c r="E920" s="1" t="n">
        <v>46292</v>
      </c>
      <c r="F920" t="inlineStr">
        <is>
          <t>GÄVLEBORGS LÄN</t>
        </is>
      </c>
      <c r="G920" t="inlineStr">
        <is>
          <t>LJUSDAL</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60874-2025</t>
        </is>
      </c>
      <c r="B921" t="inlineStr">
        <is>
          <t>avverkningsanmälan</t>
        </is>
      </c>
      <c r="C921" t="inlineStr">
        <is>
          <t>Föryngringsavverkning</t>
        </is>
      </c>
      <c r="D921" s="1" t="n">
        <v>45999</v>
      </c>
      <c r="E921" s="1" t="n">
        <v>46292</v>
      </c>
      <c r="F921" t="inlineStr">
        <is>
          <t>GÄVLEBORGS LÄN</t>
        </is>
      </c>
      <c r="G921" t="inlineStr">
        <is>
          <t>LJUSDAL</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60919-2025</t>
        </is>
      </c>
      <c r="B922" t="inlineStr">
        <is>
          <t>avverkningsanmälan</t>
        </is>
      </c>
      <c r="C922" t="inlineStr">
        <is>
          <t>Föryngringsavverkning</t>
        </is>
      </c>
      <c r="D922" s="1" t="n">
        <v>45999</v>
      </c>
      <c r="E922" s="1" t="n">
        <v>46292</v>
      </c>
      <c r="F922" t="inlineStr">
        <is>
          <t>GÄVLEBORGS LÄN</t>
        </is>
      </c>
      <c r="G922" t="inlineStr">
        <is>
          <t>LJUSDAL</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7281-2026</t>
        </is>
      </c>
      <c r="B923" t="inlineStr">
        <is>
          <t>avverkningsanmälan</t>
        </is>
      </c>
      <c r="C923" t="inlineStr">
        <is>
          <t>Föryngringsavverkning</t>
        </is>
      </c>
      <c r="D923" s="1" t="n">
        <v>46058</v>
      </c>
      <c r="E923" s="1" t="n">
        <v>46292</v>
      </c>
      <c r="F923" t="inlineStr">
        <is>
          <t>GÄVLEBORGS LÄN</t>
        </is>
      </c>
      <c r="G923" t="inlineStr">
        <is>
          <t>LJUSDAL</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61359-2025</t>
        </is>
      </c>
      <c r="B924" t="inlineStr">
        <is>
          <t>avverkningsanmälan</t>
        </is>
      </c>
      <c r="C924" t="inlineStr">
        <is>
          <t>Föryngringsavverkning</t>
        </is>
      </c>
      <c r="D924" s="1" t="n">
        <v>46001</v>
      </c>
      <c r="E924" s="1" t="n">
        <v>46292</v>
      </c>
      <c r="F924" t="inlineStr">
        <is>
          <t>GÄVLEBORGS LÄN</t>
        </is>
      </c>
      <c r="G924" t="inlineStr">
        <is>
          <t>LJUSDAL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61756-2025</t>
        </is>
      </c>
      <c r="B925" t="inlineStr">
        <is>
          <t>avverkningsanmälan</t>
        </is>
      </c>
      <c r="C925" t="inlineStr">
        <is>
          <t>Föryngringsavverkning</t>
        </is>
      </c>
      <c r="D925" s="1" t="n">
        <v>46002</v>
      </c>
      <c r="E925" s="1" t="n">
        <v>46292</v>
      </c>
      <c r="F925" t="inlineStr">
        <is>
          <t>GÄVLEBORGS LÄN</t>
        </is>
      </c>
      <c r="G925" t="inlineStr">
        <is>
          <t>LJUSDAL</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56016-2021</t>
        </is>
      </c>
      <c r="B926" t="inlineStr">
        <is>
          <t>avverkningsanmälan</t>
        </is>
      </c>
      <c r="C926" t="inlineStr">
        <is>
          <t>Föryngringsavverkning</t>
        </is>
      </c>
      <c r="D926" s="1" t="n">
        <v>44477</v>
      </c>
      <c r="E926" s="1" t="n">
        <v>46292</v>
      </c>
      <c r="F926" t="inlineStr">
        <is>
          <t>GÄVLEBORGS LÄN</t>
        </is>
      </c>
      <c r="G926" t="inlineStr">
        <is>
          <t>LJUSDAL</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42949-2023</t>
        </is>
      </c>
      <c r="B927" t="inlineStr">
        <is>
          <t>avverkningsanmälan</t>
        </is>
      </c>
      <c r="C927" t="inlineStr">
        <is>
          <t>Föryngringsavverkning</t>
        </is>
      </c>
      <c r="D927" s="1" t="n">
        <v>45182</v>
      </c>
      <c r="E927" s="1" t="n">
        <v>46292</v>
      </c>
      <c r="F927" t="inlineStr">
        <is>
          <t>GÄVLEBORGS LÄN</t>
        </is>
      </c>
      <c r="G927" t="inlineStr">
        <is>
          <t>LJUSDAL</t>
        </is>
      </c>
      <c r="I927" t="n">
        <v>10.4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30673-2025</t>
        </is>
      </c>
      <c r="B928" t="inlineStr">
        <is>
          <t>avverkningsanmälan</t>
        </is>
      </c>
      <c r="C928" t="inlineStr">
        <is>
          <t>Föryngringsavverkning</t>
        </is>
      </c>
      <c r="D928" s="1" t="n">
        <v>45831</v>
      </c>
      <c r="E928" s="1" t="n">
        <v>46292</v>
      </c>
      <c r="F928" t="inlineStr">
        <is>
          <t>GÄVLEBORGS LÄN</t>
        </is>
      </c>
      <c r="G928" t="inlineStr">
        <is>
          <t>LJUSDAL</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61748-2025</t>
        </is>
      </c>
      <c r="B929" t="inlineStr">
        <is>
          <t>avverkningsanmälan</t>
        </is>
      </c>
      <c r="C929" t="inlineStr">
        <is>
          <t>Föryngringsavverkning</t>
        </is>
      </c>
      <c r="D929" s="1" t="n">
        <v>46002</v>
      </c>
      <c r="E929" s="1" t="n">
        <v>46292</v>
      </c>
      <c r="F929" t="inlineStr">
        <is>
          <t>GÄVLEBORGS LÄN</t>
        </is>
      </c>
      <c r="G929" t="inlineStr">
        <is>
          <t>LJUSDAL</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27200-2025</t>
        </is>
      </c>
      <c r="B930" t="inlineStr">
        <is>
          <t>avverkningsanmälan</t>
        </is>
      </c>
      <c r="C930" t="inlineStr">
        <is>
          <t>Föryngringsavverkning</t>
        </is>
      </c>
      <c r="D930" s="1" t="n">
        <v>45812</v>
      </c>
      <c r="E930" s="1" t="n">
        <v>46292</v>
      </c>
      <c r="F930" t="inlineStr">
        <is>
          <t>GÄVLEBORGS LÄN</t>
        </is>
      </c>
      <c r="G930" t="inlineStr">
        <is>
          <t>LJUSDAL</t>
        </is>
      </c>
      <c r="I930" t="n">
        <v>7.7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63997-2025</t>
        </is>
      </c>
      <c r="B931" t="inlineStr">
        <is>
          <t>avverkningsanmälan</t>
        </is>
      </c>
      <c r="C931" t="inlineStr">
        <is>
          <t>Föryngringsavverkning</t>
        </is>
      </c>
      <c r="D931" s="1" t="n">
        <v>46021</v>
      </c>
      <c r="E931" s="1" t="n">
        <v>46292</v>
      </c>
      <c r="F931" t="inlineStr">
        <is>
          <t>GÄVLEBORGS LÄN</t>
        </is>
      </c>
      <c r="G931" t="inlineStr">
        <is>
          <t>LJUSDAL</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62203-2025</t>
        </is>
      </c>
      <c r="B932" t="inlineStr">
        <is>
          <t>avverkningsanmälan</t>
        </is>
      </c>
      <c r="C932" t="inlineStr">
        <is>
          <t>Föryngringsavverkning</t>
        </is>
      </c>
      <c r="D932" s="1" t="n">
        <v>46006</v>
      </c>
      <c r="E932" s="1" t="n">
        <v>46292</v>
      </c>
      <c r="F932" t="inlineStr">
        <is>
          <t>GÄVLEBORGS LÄN</t>
        </is>
      </c>
      <c r="G932" t="inlineStr">
        <is>
          <t>LJUSDAL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62207-2025</t>
        </is>
      </c>
      <c r="B933" t="inlineStr">
        <is>
          <t>avverkningsanmälan</t>
        </is>
      </c>
      <c r="C933" t="inlineStr">
        <is>
          <t>Föryngringsavverkning</t>
        </is>
      </c>
      <c r="D933" s="1" t="n">
        <v>46006</v>
      </c>
      <c r="E933" s="1" t="n">
        <v>46292</v>
      </c>
      <c r="F933" t="inlineStr">
        <is>
          <t>GÄVLEBORGS LÄN</t>
        </is>
      </c>
      <c r="G933" t="inlineStr">
        <is>
          <t>LJUSDAL</t>
        </is>
      </c>
      <c r="I933" t="n">
        <v>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62192-2025</t>
        </is>
      </c>
      <c r="B934" t="inlineStr">
        <is>
          <t>avverkningsanmälan</t>
        </is>
      </c>
      <c r="C934" t="inlineStr">
        <is>
          <t>Föryngringsavverkning</t>
        </is>
      </c>
      <c r="D934" s="1" t="n">
        <v>46006</v>
      </c>
      <c r="E934" s="1" t="n">
        <v>46292</v>
      </c>
      <c r="F934" t="inlineStr">
        <is>
          <t>GÄVLEBORGS LÄN</t>
        </is>
      </c>
      <c r="G934" t="inlineStr">
        <is>
          <t>LJUSDAL</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61993-2025</t>
        </is>
      </c>
      <c r="B935" t="inlineStr">
        <is>
          <t>avverkningsanmälan</t>
        </is>
      </c>
      <c r="C935" t="inlineStr">
        <is>
          <t>Föryngringsavverkning</t>
        </is>
      </c>
      <c r="D935" s="1" t="n">
        <v>46003</v>
      </c>
      <c r="E935" s="1" t="n">
        <v>46292</v>
      </c>
      <c r="F935" t="inlineStr">
        <is>
          <t>GÄVLEBORGS LÄN</t>
        </is>
      </c>
      <c r="G935" t="inlineStr">
        <is>
          <t>LJUSDAL</t>
        </is>
      </c>
      <c r="I935" t="n">
        <v>14.8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15750-2022</t>
        </is>
      </c>
      <c r="B936" t="inlineStr">
        <is>
          <t>avverkningsanmälan</t>
        </is>
      </c>
      <c r="C936" t="inlineStr">
        <is>
          <t>Föryngringsavverkning</t>
        </is>
      </c>
      <c r="D936" s="1" t="n">
        <v>44663</v>
      </c>
      <c r="E936" s="1" t="n">
        <v>46292</v>
      </c>
      <c r="F936" t="inlineStr">
        <is>
          <t>GÄVLEBORGS LÄN</t>
        </is>
      </c>
      <c r="G936" t="inlineStr">
        <is>
          <t>LJUSDAL</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2937-2025</t>
        </is>
      </c>
      <c r="B937" t="inlineStr">
        <is>
          <t>avverkningsanmälan</t>
        </is>
      </c>
      <c r="C937" t="inlineStr">
        <is>
          <t>Föryngringsavverkning</t>
        </is>
      </c>
      <c r="D937" s="1" t="n">
        <v>45678</v>
      </c>
      <c r="E937" s="1" t="n">
        <v>46292</v>
      </c>
      <c r="F937" t="inlineStr">
        <is>
          <t>GÄVLEBORGS LÄN</t>
        </is>
      </c>
      <c r="G937" t="inlineStr">
        <is>
          <t>LJUSDAL</t>
        </is>
      </c>
      <c r="H937" t="inlineStr">
        <is>
          <t>Holmen skog AB</t>
        </is>
      </c>
      <c r="I937" t="n">
        <v>20.2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13882-2025</t>
        </is>
      </c>
      <c r="B938" t="inlineStr">
        <is>
          <t>avverkningsanmälan</t>
        </is>
      </c>
      <c r="C938" t="inlineStr">
        <is>
          <t>Föryngringsavverkning</t>
        </is>
      </c>
      <c r="D938" s="1" t="n">
        <v>45737</v>
      </c>
      <c r="E938" s="1" t="n">
        <v>46292</v>
      </c>
      <c r="F938" t="inlineStr">
        <is>
          <t>GÄVLEBORGS LÄN</t>
        </is>
      </c>
      <c r="G938" t="inlineStr">
        <is>
          <t>LJUSDAL</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31011-2024</t>
        </is>
      </c>
      <c r="B939" t="inlineStr">
        <is>
          <t>avverkningsanmälan</t>
        </is>
      </c>
      <c r="C939" t="inlineStr">
        <is>
          <t>Föryngringsavverkning</t>
        </is>
      </c>
      <c r="D939" s="1" t="n">
        <v>45499</v>
      </c>
      <c r="E939" s="1" t="n">
        <v>46292</v>
      </c>
      <c r="F939" t="inlineStr">
        <is>
          <t>GÄVLEBORGS LÄN</t>
        </is>
      </c>
      <c r="G939" t="inlineStr">
        <is>
          <t>LJUSDAL</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28584-2025</t>
        </is>
      </c>
      <c r="B940" t="inlineStr">
        <is>
          <t>avverkningsanmälan</t>
        </is>
      </c>
      <c r="C940" t="inlineStr">
        <is>
          <t>Föryngringsavverkning</t>
        </is>
      </c>
      <c r="D940" s="1" t="n">
        <v>45819</v>
      </c>
      <c r="E940" s="1" t="n">
        <v>46292</v>
      </c>
      <c r="F940" t="inlineStr">
        <is>
          <t>GÄVLEBORGS LÄN</t>
        </is>
      </c>
      <c r="G940" t="inlineStr">
        <is>
          <t>LJUSDAL</t>
        </is>
      </c>
      <c r="H940" t="inlineStr">
        <is>
          <t>Sveaskog</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9770-2026</t>
        </is>
      </c>
      <c r="B941" t="inlineStr">
        <is>
          <t>avverkningsanmälan</t>
        </is>
      </c>
      <c r="C941" t="inlineStr">
        <is>
          <t>Föryngringsavverkning</t>
        </is>
      </c>
      <c r="D941" s="1" t="n">
        <v>46072</v>
      </c>
      <c r="E941" s="1" t="n">
        <v>46292</v>
      </c>
      <c r="F941" t="inlineStr">
        <is>
          <t>GÄVLEBORGS LÄN</t>
        </is>
      </c>
      <c r="G941" t="inlineStr">
        <is>
          <t>LJUSDAL</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62895-2025</t>
        </is>
      </c>
      <c r="B942" t="inlineStr">
        <is>
          <t>avverkningsanmälan</t>
        </is>
      </c>
      <c r="C942" t="inlineStr">
        <is>
          <t>Föryngringsavverkning</t>
        </is>
      </c>
      <c r="D942" s="1" t="n">
        <v>46009</v>
      </c>
      <c r="E942" s="1" t="n">
        <v>46292</v>
      </c>
      <c r="F942" t="inlineStr">
        <is>
          <t>GÄVLEBORGS LÄN</t>
        </is>
      </c>
      <c r="G942" t="inlineStr">
        <is>
          <t>LJUSDAL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40689-2025</t>
        </is>
      </c>
      <c r="B943" t="inlineStr">
        <is>
          <t>avverkningsanmälan</t>
        </is>
      </c>
      <c r="C943" t="inlineStr">
        <is>
          <t>Föryngringsavverkning</t>
        </is>
      </c>
      <c r="D943" s="1" t="n">
        <v>45896</v>
      </c>
      <c r="E943" s="1" t="n">
        <v>46292</v>
      </c>
      <c r="F943" t="inlineStr">
        <is>
          <t>GÄVLEBORGS LÄN</t>
        </is>
      </c>
      <c r="G943" t="inlineStr">
        <is>
          <t>LJUSDAL</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63297-2025</t>
        </is>
      </c>
      <c r="B944" t="inlineStr">
        <is>
          <t>avverkningsanmälan</t>
        </is>
      </c>
      <c r="C944" t="inlineStr">
        <is>
          <t>Föryngringsavverkning</t>
        </is>
      </c>
      <c r="D944" s="1" t="n">
        <v>46010</v>
      </c>
      <c r="E944" s="1" t="n">
        <v>46292</v>
      </c>
      <c r="F944" t="inlineStr">
        <is>
          <t>GÄVLEBORGS LÄN</t>
        </is>
      </c>
      <c r="G944" t="inlineStr">
        <is>
          <t>LJUSDAL</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62935-2025</t>
        </is>
      </c>
      <c r="B945" t="inlineStr">
        <is>
          <t>avverkningsanmälan</t>
        </is>
      </c>
      <c r="C945" t="inlineStr">
        <is>
          <t>Föryngringsavverkning</t>
        </is>
      </c>
      <c r="D945" s="1" t="n">
        <v>46009</v>
      </c>
      <c r="E945" s="1" t="n">
        <v>46292</v>
      </c>
      <c r="F945" t="inlineStr">
        <is>
          <t>GÄVLEBORGS LÄN</t>
        </is>
      </c>
      <c r="G945" t="inlineStr">
        <is>
          <t>LJUSDAL</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63988-2025</t>
        </is>
      </c>
      <c r="B946" t="inlineStr">
        <is>
          <t>avverkningsanmälan</t>
        </is>
      </c>
      <c r="C946" t="inlineStr">
        <is>
          <t>Föryngringsavverkning</t>
        </is>
      </c>
      <c r="D946" s="1" t="n">
        <v>46021</v>
      </c>
      <c r="E946" s="1" t="n">
        <v>46292</v>
      </c>
      <c r="F946" t="inlineStr">
        <is>
          <t>GÄVLEBORGS LÄN</t>
        </is>
      </c>
      <c r="G946" t="inlineStr">
        <is>
          <t>LJUSDAL</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42317-2025</t>
        </is>
      </c>
      <c r="B947" t="inlineStr">
        <is>
          <t>avverkningsanmälan</t>
        </is>
      </c>
      <c r="C947" t="inlineStr">
        <is>
          <t>Föryngringsavverkning</t>
        </is>
      </c>
      <c r="D947" s="1" t="n">
        <v>45904</v>
      </c>
      <c r="E947" s="1" t="n">
        <v>46292</v>
      </c>
      <c r="F947" t="inlineStr">
        <is>
          <t>GÄVLEBORGS LÄN</t>
        </is>
      </c>
      <c r="G947" t="inlineStr">
        <is>
          <t>LJUSDAL</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62913-2025</t>
        </is>
      </c>
      <c r="B948" t="inlineStr">
        <is>
          <t>avverkningsanmälan</t>
        </is>
      </c>
      <c r="C948" t="inlineStr">
        <is>
          <t>Föryngringsavverkning</t>
        </is>
      </c>
      <c r="D948" s="1" t="n">
        <v>46009</v>
      </c>
      <c r="E948" s="1" t="n">
        <v>46292</v>
      </c>
      <c r="F948" t="inlineStr">
        <is>
          <t>GÄVLEBORGS LÄN</t>
        </is>
      </c>
      <c r="G948" t="inlineStr">
        <is>
          <t>LJUSDAL</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35154-2023</t>
        </is>
      </c>
      <c r="B949" t="inlineStr">
        <is>
          <t>avverkningsanmälan</t>
        </is>
      </c>
      <c r="C949" t="inlineStr">
        <is>
          <t>Föryngringsavverkning</t>
        </is>
      </c>
      <c r="D949" s="1" t="n">
        <v>45145</v>
      </c>
      <c r="E949" s="1" t="n">
        <v>46292</v>
      </c>
      <c r="F949" t="inlineStr">
        <is>
          <t>GÄVLEBORGS LÄN</t>
        </is>
      </c>
      <c r="G949" t="inlineStr">
        <is>
          <t>LJUSDAL</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8850-2026</t>
        </is>
      </c>
      <c r="B950" t="inlineStr">
        <is>
          <t>avverkningsanmälan</t>
        </is>
      </c>
      <c r="C950" t="inlineStr">
        <is>
          <t>Föryngringsavverkning</t>
        </is>
      </c>
      <c r="D950" s="1" t="n">
        <v>46066</v>
      </c>
      <c r="E950" s="1" t="n">
        <v>46292</v>
      </c>
      <c r="F950" t="inlineStr">
        <is>
          <t>GÄVLEBORGS LÄN</t>
        </is>
      </c>
      <c r="G950" t="inlineStr">
        <is>
          <t>LJUSDAL</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26578-2025</t>
        </is>
      </c>
      <c r="B951" t="inlineStr">
        <is>
          <t>avverkningsanmälan</t>
        </is>
      </c>
      <c r="C951" t="inlineStr">
        <is>
          <t>Föryngringsavverkning</t>
        </is>
      </c>
      <c r="D951" s="1" t="n">
        <v>45807</v>
      </c>
      <c r="E951" s="1" t="n">
        <v>46292</v>
      </c>
      <c r="F951" t="inlineStr">
        <is>
          <t>GÄVLEBORGS LÄN</t>
        </is>
      </c>
      <c r="G951" t="inlineStr">
        <is>
          <t>LJUSDAL</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26580-2025</t>
        </is>
      </c>
      <c r="B952" t="inlineStr">
        <is>
          <t>avverkningsanmälan</t>
        </is>
      </c>
      <c r="C952" t="inlineStr">
        <is>
          <t>Avverkning för annat ändamål</t>
        </is>
      </c>
      <c r="D952" s="1" t="n">
        <v>45807</v>
      </c>
      <c r="E952" s="1" t="n">
        <v>46292</v>
      </c>
      <c r="F952" t="inlineStr">
        <is>
          <t>GÄVLEBORGS LÄN</t>
        </is>
      </c>
      <c r="G952" t="inlineStr">
        <is>
          <t>LJUSDAL</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26579-2025</t>
        </is>
      </c>
      <c r="B953" t="inlineStr">
        <is>
          <t>avverkningsanmälan</t>
        </is>
      </c>
      <c r="C953" t="inlineStr">
        <is>
          <t>Föryngringsavverkning</t>
        </is>
      </c>
      <c r="D953" s="1" t="n">
        <v>45807</v>
      </c>
      <c r="E953" s="1" t="n">
        <v>46292</v>
      </c>
      <c r="F953" t="inlineStr">
        <is>
          <t>GÄVLEBORGS LÄN</t>
        </is>
      </c>
      <c r="G953" t="inlineStr">
        <is>
          <t>LJUSDAL</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63391-2025</t>
        </is>
      </c>
      <c r="B954" t="inlineStr">
        <is>
          <t>avverkningsanmälan</t>
        </is>
      </c>
      <c r="C954" t="inlineStr">
        <is>
          <t>Avverkning för annat ändamål</t>
        </is>
      </c>
      <c r="D954" s="1" t="n">
        <v>46011</v>
      </c>
      <c r="E954" s="1" t="n">
        <v>46292</v>
      </c>
      <c r="F954" t="inlineStr">
        <is>
          <t>GÄVLEBORGS LÄN</t>
        </is>
      </c>
      <c r="G954" t="inlineStr">
        <is>
          <t>LJUSDAL</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452-2026</t>
        </is>
      </c>
      <c r="B955" t="inlineStr">
        <is>
          <t>avverkningsanmälan</t>
        </is>
      </c>
      <c r="C955" t="inlineStr">
        <is>
          <t>Föryngringsavverkning</t>
        </is>
      </c>
      <c r="D955" s="1" t="n">
        <v>46029</v>
      </c>
      <c r="E955" s="1" t="n">
        <v>46292</v>
      </c>
      <c r="F955" t="inlineStr">
        <is>
          <t>GÄVLEBORGS LÄN</t>
        </is>
      </c>
      <c r="G955" t="inlineStr">
        <is>
          <t>LJUSDAL</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63640-2025</t>
        </is>
      </c>
      <c r="B956" t="inlineStr">
        <is>
          <t>avverkningsanmälan</t>
        </is>
      </c>
      <c r="C956" t="inlineStr">
        <is>
          <t>Föryngringsavverkning</t>
        </is>
      </c>
      <c r="D956" s="1" t="n">
        <v>46014</v>
      </c>
      <c r="E956" s="1" t="n">
        <v>46292</v>
      </c>
      <c r="F956" t="inlineStr">
        <is>
          <t>GÄVLEBORGS LÄN</t>
        </is>
      </c>
      <c r="G956" t="inlineStr">
        <is>
          <t>LJUSDAL</t>
        </is>
      </c>
      <c r="H956" t="inlineStr">
        <is>
          <t>SCA</t>
        </is>
      </c>
      <c r="I956" t="n">
        <v>8.300000000000001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7578-2023</t>
        </is>
      </c>
      <c r="B957" t="inlineStr">
        <is>
          <t>avverkningsanmälan</t>
        </is>
      </c>
      <c r="C957" t="inlineStr">
        <is>
          <t>Föryngringsavverkning</t>
        </is>
      </c>
      <c r="D957" s="1" t="n">
        <v>44972</v>
      </c>
      <c r="E957" s="1" t="n">
        <v>46292</v>
      </c>
      <c r="F957" t="inlineStr">
        <is>
          <t>GÄVLEBORGS LÄN</t>
        </is>
      </c>
      <c r="G957" t="inlineStr">
        <is>
          <t>LJUSDAL</t>
        </is>
      </c>
      <c r="H957" t="inlineStr">
        <is>
          <t>Kommuner</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63649-2025</t>
        </is>
      </c>
      <c r="B958" t="inlineStr">
        <is>
          <t>avverkningsanmälan</t>
        </is>
      </c>
      <c r="C958" t="inlineStr">
        <is>
          <t>Föryngringsavverkning</t>
        </is>
      </c>
      <c r="D958" s="1" t="n">
        <v>46014</v>
      </c>
      <c r="E958" s="1" t="n">
        <v>46292</v>
      </c>
      <c r="F958" t="inlineStr">
        <is>
          <t>GÄVLEBORGS LÄN</t>
        </is>
      </c>
      <c r="G958" t="inlineStr">
        <is>
          <t>LJUSDAL</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63650-2025</t>
        </is>
      </c>
      <c r="B959" t="inlineStr">
        <is>
          <t>avverkningsanmälan</t>
        </is>
      </c>
      <c r="C959" t="inlineStr">
        <is>
          <t>Föryngringsavverkning</t>
        </is>
      </c>
      <c r="D959" s="1" t="n">
        <v>46014</v>
      </c>
      <c r="E959" s="1" t="n">
        <v>46292</v>
      </c>
      <c r="F959" t="inlineStr">
        <is>
          <t>GÄVLEBORGS LÄN</t>
        </is>
      </c>
      <c r="G959" t="inlineStr">
        <is>
          <t>LJUSDAL</t>
        </is>
      </c>
      <c r="I959" t="n">
        <v>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28648-2025</t>
        </is>
      </c>
      <c r="B960" t="inlineStr">
        <is>
          <t>avverkningsanmälan</t>
        </is>
      </c>
      <c r="C960" t="inlineStr">
        <is>
          <t>Föryngringsavverkning</t>
        </is>
      </c>
      <c r="D960" s="1" t="n">
        <v>45819</v>
      </c>
      <c r="E960" s="1" t="n">
        <v>46292</v>
      </c>
      <c r="F960" t="inlineStr">
        <is>
          <t>GÄVLEBORGS LÄN</t>
        </is>
      </c>
      <c r="G960" t="inlineStr">
        <is>
          <t>LJUSDAL</t>
        </is>
      </c>
      <c r="H960" t="inlineStr">
        <is>
          <t>Sveaskog</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1398-2026</t>
        </is>
      </c>
      <c r="B961" t="inlineStr">
        <is>
          <t>avverkningsanmälan</t>
        </is>
      </c>
      <c r="C961" t="inlineStr">
        <is>
          <t>Föryngringsavverkning</t>
        </is>
      </c>
      <c r="D961" s="1" t="n">
        <v>46031</v>
      </c>
      <c r="E961" s="1" t="n">
        <v>46292</v>
      </c>
      <c r="F961" t="inlineStr">
        <is>
          <t>GÄVLEBORGS LÄN</t>
        </is>
      </c>
      <c r="G961" t="inlineStr">
        <is>
          <t>LJUSDAL</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27916-2025</t>
        </is>
      </c>
      <c r="B962" t="inlineStr">
        <is>
          <t>avverkningsanmälan</t>
        </is>
      </c>
      <c r="C962" t="inlineStr">
        <is>
          <t>Föryngringsavverkning</t>
        </is>
      </c>
      <c r="D962" s="1" t="n">
        <v>45817</v>
      </c>
      <c r="E962" s="1" t="n">
        <v>46292</v>
      </c>
      <c r="F962" t="inlineStr">
        <is>
          <t>GÄVLEBORGS LÄN</t>
        </is>
      </c>
      <c r="G962" t="inlineStr">
        <is>
          <t>LJUSDAL</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304-2026</t>
        </is>
      </c>
      <c r="B963" t="inlineStr">
        <is>
          <t>avverkningsanmälan</t>
        </is>
      </c>
      <c r="C963" t="inlineStr">
        <is>
          <t>Föryngringsavverkning</t>
        </is>
      </c>
      <c r="D963" s="1" t="n">
        <v>46027</v>
      </c>
      <c r="E963" s="1" t="n">
        <v>46292</v>
      </c>
      <c r="F963" t="inlineStr">
        <is>
          <t>GÄVLEBORGS LÄN</t>
        </is>
      </c>
      <c r="G963" t="inlineStr">
        <is>
          <t>LJUSDAL</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29252-2025</t>
        </is>
      </c>
      <c r="B964" t="inlineStr">
        <is>
          <t>avverkningsanmälan</t>
        </is>
      </c>
      <c r="C964" t="inlineStr">
        <is>
          <t>Föryngringsavverkning</t>
        </is>
      </c>
      <c r="D964" s="1" t="n">
        <v>45824</v>
      </c>
      <c r="E964" s="1" t="n">
        <v>46292</v>
      </c>
      <c r="F964" t="inlineStr">
        <is>
          <t>GÄVLEBORGS LÄN</t>
        </is>
      </c>
      <c r="G964" t="inlineStr">
        <is>
          <t>LJUSDAL</t>
        </is>
      </c>
      <c r="H964" t="inlineStr">
        <is>
          <t>Holmen skog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45260-2023</t>
        </is>
      </c>
      <c r="B965" t="inlineStr">
        <is>
          <t>avverkningsanmälan</t>
        </is>
      </c>
      <c r="C965" t="inlineStr">
        <is>
          <t>Föryngringsavverkning</t>
        </is>
      </c>
      <c r="D965" s="1" t="n">
        <v>45191</v>
      </c>
      <c r="E965" s="1" t="n">
        <v>46292</v>
      </c>
      <c r="F965" t="inlineStr">
        <is>
          <t>GÄVLEBORGS LÄN</t>
        </is>
      </c>
      <c r="G965" t="inlineStr">
        <is>
          <t>LJUSDAL</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7600-2026</t>
        </is>
      </c>
      <c r="B966" t="inlineStr">
        <is>
          <t>avverkningsanmälan</t>
        </is>
      </c>
      <c r="C966" t="inlineStr">
        <is>
          <t>Föryngringsavverkning</t>
        </is>
      </c>
      <c r="D966" s="1" t="n">
        <v>46062</v>
      </c>
      <c r="E966" s="1" t="n">
        <v>46292</v>
      </c>
      <c r="F966" t="inlineStr">
        <is>
          <t>GÄVLEBORGS LÄN</t>
        </is>
      </c>
      <c r="G966" t="inlineStr">
        <is>
          <t>LJUSDAL</t>
        </is>
      </c>
      <c r="I966" t="n">
        <v>28.5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29415-2025</t>
        </is>
      </c>
      <c r="B967" t="inlineStr">
        <is>
          <t>avverkningsanmälan</t>
        </is>
      </c>
      <c r="C967" t="inlineStr">
        <is>
          <t>Föryngringsavverkning</t>
        </is>
      </c>
      <c r="D967" s="1" t="n">
        <v>45824</v>
      </c>
      <c r="E967" s="1" t="n">
        <v>46292</v>
      </c>
      <c r="F967" t="inlineStr">
        <is>
          <t>GÄVLEBORGS LÄN</t>
        </is>
      </c>
      <c r="G967" t="inlineStr">
        <is>
          <t>LJUSDAL</t>
        </is>
      </c>
      <c r="I967" t="n">
        <v>15.1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29358-2025</t>
        </is>
      </c>
      <c r="B968" t="inlineStr">
        <is>
          <t>avverkningsanmälan</t>
        </is>
      </c>
      <c r="C968" t="inlineStr">
        <is>
          <t>Avverkning för annat ändamål</t>
        </is>
      </c>
      <c r="D968" s="1" t="n">
        <v>45824</v>
      </c>
      <c r="E968" s="1" t="n">
        <v>46292</v>
      </c>
      <c r="F968" t="inlineStr">
        <is>
          <t>GÄVLEBORGS LÄN</t>
        </is>
      </c>
      <c r="G968" t="inlineStr">
        <is>
          <t>LJUSDAL</t>
        </is>
      </c>
      <c r="H968" t="inlineStr">
        <is>
          <t>Bergvik skog väst AB</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37978-2025</t>
        </is>
      </c>
      <c r="B969" t="inlineStr">
        <is>
          <t>avverkningsanmälan</t>
        </is>
      </c>
      <c r="C969" t="inlineStr">
        <is>
          <t>Föryngringsavverkning</t>
        </is>
      </c>
      <c r="D969" s="1" t="n">
        <v>45881</v>
      </c>
      <c r="E969" s="1" t="n">
        <v>46292</v>
      </c>
      <c r="F969" t="inlineStr">
        <is>
          <t>GÄVLEBORGS LÄN</t>
        </is>
      </c>
      <c r="G969" t="inlineStr">
        <is>
          <t>LJUSDAL</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19066-2025</t>
        </is>
      </c>
      <c r="B970" t="inlineStr">
        <is>
          <t>avverkningsanmälan</t>
        </is>
      </c>
      <c r="C970" t="inlineStr">
        <is>
          <t>Föryngringsavverkning</t>
        </is>
      </c>
      <c r="D970" s="1" t="n">
        <v>45765</v>
      </c>
      <c r="E970" s="1" t="n">
        <v>46292</v>
      </c>
      <c r="F970" t="inlineStr">
        <is>
          <t>GÄVLEBORGS LÄN</t>
        </is>
      </c>
      <c r="G970" t="inlineStr">
        <is>
          <t>LJUSDAL</t>
        </is>
      </c>
      <c r="H970" t="inlineStr">
        <is>
          <t>SCA</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18250-2025</t>
        </is>
      </c>
      <c r="B971" t="inlineStr">
        <is>
          <t>avverkningsanmälan</t>
        </is>
      </c>
      <c r="C971" t="inlineStr">
        <is>
          <t>Föryngringsavverkning</t>
        </is>
      </c>
      <c r="D971" s="1" t="n">
        <v>45762</v>
      </c>
      <c r="E971" s="1" t="n">
        <v>46292</v>
      </c>
      <c r="F971" t="inlineStr">
        <is>
          <t>GÄVLEBORGS LÄN</t>
        </is>
      </c>
      <c r="G971" t="inlineStr">
        <is>
          <t>LJUSDAL</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20513-2025</t>
        </is>
      </c>
      <c r="B972" t="inlineStr">
        <is>
          <t>avverkningsanmälan</t>
        </is>
      </c>
      <c r="C972" t="inlineStr">
        <is>
          <t>Föryngringsavverkning</t>
        </is>
      </c>
      <c r="D972" s="1" t="n">
        <v>45775</v>
      </c>
      <c r="E972" s="1" t="n">
        <v>46292</v>
      </c>
      <c r="F972" t="inlineStr">
        <is>
          <t>GÄVLEBORGS LÄN</t>
        </is>
      </c>
      <c r="G972" t="inlineStr">
        <is>
          <t>LJUSDAL</t>
        </is>
      </c>
      <c r="H972" t="inlineStr">
        <is>
          <t>Sveaskog</t>
        </is>
      </c>
      <c r="I972" t="n">
        <v>13.1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37064-2025</t>
        </is>
      </c>
      <c r="B973" t="inlineStr">
        <is>
          <t>avverkningsanmälan</t>
        </is>
      </c>
      <c r="C973" t="inlineStr">
        <is>
          <t>Föryngringsavverkning</t>
        </is>
      </c>
      <c r="D973" s="1" t="n">
        <v>45875</v>
      </c>
      <c r="E973" s="1" t="n">
        <v>46292</v>
      </c>
      <c r="F973" t="inlineStr">
        <is>
          <t>GÄVLEBORGS LÄN</t>
        </is>
      </c>
      <c r="G973" t="inlineStr">
        <is>
          <t>LJUSDAL</t>
        </is>
      </c>
      <c r="H973" t="inlineStr">
        <is>
          <t>SCA</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14036-2023</t>
        </is>
      </c>
      <c r="B974" t="inlineStr">
        <is>
          <t>avverkningsanmälan</t>
        </is>
      </c>
      <c r="C974" t="inlineStr">
        <is>
          <t>Föryngringsavverkning</t>
        </is>
      </c>
      <c r="D974" s="1" t="n">
        <v>45008</v>
      </c>
      <c r="E974" s="1" t="n">
        <v>46292</v>
      </c>
      <c r="F974" t="inlineStr">
        <is>
          <t>GÄVLEBORGS LÄN</t>
        </is>
      </c>
      <c r="G974" t="inlineStr">
        <is>
          <t>LJUSDAL</t>
        </is>
      </c>
      <c r="H974" t="inlineStr">
        <is>
          <t>Holmen skog AB</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29523-2025</t>
        </is>
      </c>
      <c r="B975" t="inlineStr">
        <is>
          <t>avverkningsanmälan</t>
        </is>
      </c>
      <c r="C975" t="inlineStr">
        <is>
          <t>Föryngringsavverkning</t>
        </is>
      </c>
      <c r="D975" s="1" t="n">
        <v>45825</v>
      </c>
      <c r="E975" s="1" t="n">
        <v>46292</v>
      </c>
      <c r="F975" t="inlineStr">
        <is>
          <t>GÄVLEBORGS LÄN</t>
        </is>
      </c>
      <c r="G975" t="inlineStr">
        <is>
          <t>LJUSDAL</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11626-2026</t>
        </is>
      </c>
      <c r="B976" t="inlineStr">
        <is>
          <t>avverkningsanmälan</t>
        </is>
      </c>
      <c r="C976" t="inlineStr">
        <is>
          <t>Föryngringsavverkning</t>
        </is>
      </c>
      <c r="D976" s="1" t="n">
        <v>46084</v>
      </c>
      <c r="E976" s="1" t="n">
        <v>46292</v>
      </c>
      <c r="F976" t="inlineStr">
        <is>
          <t>GÄVLEBORGS LÄN</t>
        </is>
      </c>
      <c r="G976" t="inlineStr">
        <is>
          <t>LJUSDAL</t>
        </is>
      </c>
      <c r="H976" t="inlineStr">
        <is>
          <t>Sveaskog</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14843-2026</t>
        </is>
      </c>
      <c r="B977" t="inlineStr">
        <is>
          <t>avverkningsanmälan</t>
        </is>
      </c>
      <c r="C977" t="inlineStr">
        <is>
          <t>Föryngringsavverkning</t>
        </is>
      </c>
      <c r="D977" s="1" t="n">
        <v>46104</v>
      </c>
      <c r="E977" s="1" t="n">
        <v>46292</v>
      </c>
      <c r="F977" t="inlineStr">
        <is>
          <t>GÄVLEBORGS LÄN</t>
        </is>
      </c>
      <c r="G977" t="inlineStr">
        <is>
          <t>LJUSDAL</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22440-2023</t>
        </is>
      </c>
      <c r="B978" t="inlineStr">
        <is>
          <t>avverkningsanmälan</t>
        </is>
      </c>
      <c r="C978" t="inlineStr">
        <is>
          <t>Föryngringsavverkning</t>
        </is>
      </c>
      <c r="D978" s="1" t="n">
        <v>45070</v>
      </c>
      <c r="E978" s="1" t="n">
        <v>46292</v>
      </c>
      <c r="F978" t="inlineStr">
        <is>
          <t>GÄVLEBORGS LÄN</t>
        </is>
      </c>
      <c r="G978" t="inlineStr">
        <is>
          <t>LJUSDAL</t>
        </is>
      </c>
      <c r="H978" t="inlineStr">
        <is>
          <t>Holmen skog AB</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9833-2026</t>
        </is>
      </c>
      <c r="B979" t="inlineStr">
        <is>
          <t>avverkningsanmälan</t>
        </is>
      </c>
      <c r="C979" t="inlineStr">
        <is>
          <t>Föryngringsavverkning</t>
        </is>
      </c>
      <c r="D979" s="1" t="n">
        <v>46072</v>
      </c>
      <c r="E979" s="1" t="n">
        <v>46292</v>
      </c>
      <c r="F979" t="inlineStr">
        <is>
          <t>GÄVLEBORGS LÄN</t>
        </is>
      </c>
      <c r="G979" t="inlineStr">
        <is>
          <t>LJUSDAL</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4816-2026</t>
        </is>
      </c>
      <c r="B980" t="inlineStr">
        <is>
          <t>avverkningsanmälan</t>
        </is>
      </c>
      <c r="C980" t="inlineStr">
        <is>
          <t>Föryngringsavverkning</t>
        </is>
      </c>
      <c r="D980" s="1" t="n">
        <v>46048</v>
      </c>
      <c r="E980" s="1" t="n">
        <v>46292</v>
      </c>
      <c r="F980" t="inlineStr">
        <is>
          <t>GÄVLEBORGS LÄN</t>
        </is>
      </c>
      <c r="G980" t="inlineStr">
        <is>
          <t>LJUSDAL</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30082-2025</t>
        </is>
      </c>
      <c r="B981" t="inlineStr">
        <is>
          <t>avverkningsanmälan</t>
        </is>
      </c>
      <c r="C981" t="inlineStr">
        <is>
          <t>Föryngringsavverkning</t>
        </is>
      </c>
      <c r="D981" s="1" t="n">
        <v>45826</v>
      </c>
      <c r="E981" s="1" t="n">
        <v>46292</v>
      </c>
      <c r="F981" t="inlineStr">
        <is>
          <t>GÄVLEBORGS LÄN</t>
        </is>
      </c>
      <c r="G981" t="inlineStr">
        <is>
          <t>LJUSDAL</t>
        </is>
      </c>
      <c r="H981" t="inlineStr">
        <is>
          <t>Holmen skog AB</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29526-2025</t>
        </is>
      </c>
      <c r="B982" t="inlineStr">
        <is>
          <t>avverkningsanmälan</t>
        </is>
      </c>
      <c r="C982" t="inlineStr">
        <is>
          <t>Föryngringsavverkning</t>
        </is>
      </c>
      <c r="D982" s="1" t="n">
        <v>45825</v>
      </c>
      <c r="E982" s="1" t="n">
        <v>46292</v>
      </c>
      <c r="F982" t="inlineStr">
        <is>
          <t>GÄVLEBORGS LÄN</t>
        </is>
      </c>
      <c r="G982" t="inlineStr">
        <is>
          <t>LJUSDAL</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37792-2022</t>
        </is>
      </c>
      <c r="B983" t="inlineStr">
        <is>
          <t>avverkningsanmälan</t>
        </is>
      </c>
      <c r="C983" t="inlineStr">
        <is>
          <t>Föryngringsavverkning</t>
        </is>
      </c>
      <c r="D983" s="1" t="n">
        <v>44810</v>
      </c>
      <c r="E983" s="1" t="n">
        <v>46292</v>
      </c>
      <c r="F983" t="inlineStr">
        <is>
          <t>GÄVLEBORGS LÄN</t>
        </is>
      </c>
      <c r="G983" t="inlineStr">
        <is>
          <t>LJUSDAL</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39076-2025</t>
        </is>
      </c>
      <c r="B984" t="inlineStr">
        <is>
          <t>avverkningsanmälan</t>
        </is>
      </c>
      <c r="C984" t="inlineStr">
        <is>
          <t>Föryngringsavverkning</t>
        </is>
      </c>
      <c r="D984" s="1" t="n">
        <v>45888</v>
      </c>
      <c r="E984" s="1" t="n">
        <v>46292</v>
      </c>
      <c r="F984" t="inlineStr">
        <is>
          <t>GÄVLEBORGS LÄN</t>
        </is>
      </c>
      <c r="G984" t="inlineStr">
        <is>
          <t>LJUSDAL</t>
        </is>
      </c>
      <c r="H984" t="inlineStr">
        <is>
          <t>Allmännings- och besparingsskogar</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36447-2024</t>
        </is>
      </c>
      <c r="B985" t="inlineStr">
        <is>
          <t>avverkningsanmälan</t>
        </is>
      </c>
      <c r="C985" t="inlineStr">
        <is>
          <t>Föryngringsavverkning</t>
        </is>
      </c>
      <c r="D985" s="1" t="n">
        <v>45537</v>
      </c>
      <c r="E985" s="1" t="n">
        <v>46292</v>
      </c>
      <c r="F985" t="inlineStr">
        <is>
          <t>GÄVLEBORGS LÄN</t>
        </is>
      </c>
      <c r="G985" t="inlineStr">
        <is>
          <t>LJUSDAL</t>
        </is>
      </c>
      <c r="H985" t="inlineStr">
        <is>
          <t>Sveaskog</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53544-2023</t>
        </is>
      </c>
      <c r="B986" t="inlineStr">
        <is>
          <t>avverkningsanmälan</t>
        </is>
      </c>
      <c r="C986" t="inlineStr">
        <is>
          <t>Föryngringsavverkning</t>
        </is>
      </c>
      <c r="D986" s="1" t="n">
        <v>45230</v>
      </c>
      <c r="E986" s="1" t="n">
        <v>46292</v>
      </c>
      <c r="F986" t="inlineStr">
        <is>
          <t>GÄVLEBORGS LÄN</t>
        </is>
      </c>
      <c r="G986" t="inlineStr">
        <is>
          <t>LJUSDAL</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11286-2022</t>
        </is>
      </c>
      <c r="B987" t="inlineStr">
        <is>
          <t>avverkningsanmälan</t>
        </is>
      </c>
      <c r="C987" t="inlineStr">
        <is>
          <t>Föryngringsavverkning</t>
        </is>
      </c>
      <c r="D987" s="1" t="n">
        <v>44629</v>
      </c>
      <c r="E987" s="1" t="n">
        <v>46292</v>
      </c>
      <c r="F987" t="inlineStr">
        <is>
          <t>GÄVLEBORGS LÄN</t>
        </is>
      </c>
      <c r="G987" t="inlineStr">
        <is>
          <t>LJUSDAL</t>
        </is>
      </c>
      <c r="I987" t="n">
        <v>11.5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64090-2025</t>
        </is>
      </c>
      <c r="B988" t="inlineStr">
        <is>
          <t>avverkningsanmälan</t>
        </is>
      </c>
      <c r="C988" t="inlineStr">
        <is>
          <t>Föryngringsavverkning</t>
        </is>
      </c>
      <c r="D988" s="1" t="n">
        <v>46021</v>
      </c>
      <c r="E988" s="1" t="n">
        <v>46292</v>
      </c>
      <c r="F988" t="inlineStr">
        <is>
          <t>GÄVLEBORGS LÄN</t>
        </is>
      </c>
      <c r="G988" t="inlineStr">
        <is>
          <t>LJUSDAL</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53450-2024</t>
        </is>
      </c>
      <c r="B989" t="inlineStr">
        <is>
          <t>avverkningsanmälan</t>
        </is>
      </c>
      <c r="C989" t="inlineStr">
        <is>
          <t>Avverkning för annat ändamål</t>
        </is>
      </c>
      <c r="D989" s="1" t="n">
        <v>45614</v>
      </c>
      <c r="E989" s="1" t="n">
        <v>46292</v>
      </c>
      <c r="F989" t="inlineStr">
        <is>
          <t>GÄVLEBORGS LÄN</t>
        </is>
      </c>
      <c r="G989" t="inlineStr">
        <is>
          <t>LJUSDAL</t>
        </is>
      </c>
      <c r="H989" t="inlineStr">
        <is>
          <t>Sveaskog</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58103-2023</t>
        </is>
      </c>
      <c r="B990" t="inlineStr">
        <is>
          <t>avverkningsanmälan</t>
        </is>
      </c>
      <c r="C990" t="inlineStr">
        <is>
          <t>Föryngringsavverkning</t>
        </is>
      </c>
      <c r="D990" s="1" t="n">
        <v>45249</v>
      </c>
      <c r="E990" s="1" t="n">
        <v>46292</v>
      </c>
      <c r="F990" t="inlineStr">
        <is>
          <t>GÄVLEBORGS LÄN</t>
        </is>
      </c>
      <c r="G990" t="inlineStr">
        <is>
          <t>LJUSDAL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15171-2023</t>
        </is>
      </c>
      <c r="B991" t="inlineStr">
        <is>
          <t>avverkningsanmälan</t>
        </is>
      </c>
      <c r="C991" t="inlineStr">
        <is>
          <t>Avverkning för annat ändamål</t>
        </is>
      </c>
      <c r="D991" s="1" t="n">
        <v>45016</v>
      </c>
      <c r="E991" s="1" t="n">
        <v>46292</v>
      </c>
      <c r="F991" t="inlineStr">
        <is>
          <t>GÄVLEBORGS LÄN</t>
        </is>
      </c>
      <c r="G991" t="inlineStr">
        <is>
          <t>LJUSDAL</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16962-2025</t>
        </is>
      </c>
      <c r="B992" t="inlineStr">
        <is>
          <t>avverkningsanmälan</t>
        </is>
      </c>
      <c r="C992" t="inlineStr">
        <is>
          <t>Föryngringsavverkning</t>
        </is>
      </c>
      <c r="D992" s="1" t="n">
        <v>45755</v>
      </c>
      <c r="E992" s="1" t="n">
        <v>46292</v>
      </c>
      <c r="F992" t="inlineStr">
        <is>
          <t>GÄVLEBORGS LÄN</t>
        </is>
      </c>
      <c r="G992" t="inlineStr">
        <is>
          <t>LJUSDAL</t>
        </is>
      </c>
      <c r="H992" t="inlineStr">
        <is>
          <t>Bergvik skog väst AB</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30686-2025</t>
        </is>
      </c>
      <c r="B993" t="inlineStr">
        <is>
          <t>avverkningsanmälan</t>
        </is>
      </c>
      <c r="C993" t="inlineStr">
        <is>
          <t>Föryngringsavverkning</t>
        </is>
      </c>
      <c r="D993" s="1" t="n">
        <v>45831</v>
      </c>
      <c r="E993" s="1" t="n">
        <v>46292</v>
      </c>
      <c r="F993" t="inlineStr">
        <is>
          <t>GÄVLEBORGS LÄN</t>
        </is>
      </c>
      <c r="G993" t="inlineStr">
        <is>
          <t>LJUSDAL</t>
        </is>
      </c>
      <c r="H993" t="inlineStr">
        <is>
          <t>Bergvik skog väst AB</t>
        </is>
      </c>
      <c r="I993" t="n">
        <v>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52568-2022</t>
        </is>
      </c>
      <c r="B994" t="inlineStr">
        <is>
          <t>avverkningsanmälan</t>
        </is>
      </c>
      <c r="C994" t="inlineStr">
        <is>
          <t>Föryngringsavverkning</t>
        </is>
      </c>
      <c r="D994" s="1" t="n">
        <v>44874</v>
      </c>
      <c r="E994" s="1" t="n">
        <v>46292</v>
      </c>
      <c r="F994" t="inlineStr">
        <is>
          <t>GÄVLEBORGS LÄN</t>
        </is>
      </c>
      <c r="G994" t="inlineStr">
        <is>
          <t>LJUSDAL</t>
        </is>
      </c>
      <c r="H994" t="inlineStr">
        <is>
          <t>Kyrkan</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55962-2022</t>
        </is>
      </c>
      <c r="B995" t="inlineStr">
        <is>
          <t>avverkningsanmälan</t>
        </is>
      </c>
      <c r="C995" t="inlineStr">
        <is>
          <t>Avverkning för annat ändamål</t>
        </is>
      </c>
      <c r="D995" s="1" t="n">
        <v>44889</v>
      </c>
      <c r="E995" s="1" t="n">
        <v>46292</v>
      </c>
      <c r="F995" t="inlineStr">
        <is>
          <t>GÄVLEBORGS LÄN</t>
        </is>
      </c>
      <c r="G995" t="inlineStr">
        <is>
          <t>LJUSDAL</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21045-2026</t>
        </is>
      </c>
      <c r="B996" t="inlineStr">
        <is>
          <t>avverkningsanmälan</t>
        </is>
      </c>
      <c r="C996" t="inlineStr">
        <is>
          <t>Föryngringsavverkning</t>
        </is>
      </c>
      <c r="D996" s="1" t="n">
        <v>46146</v>
      </c>
      <c r="E996" s="1" t="n">
        <v>46292</v>
      </c>
      <c r="F996" t="inlineStr">
        <is>
          <t>GÄVLEBORGS LÄN</t>
        </is>
      </c>
      <c r="G996" t="inlineStr">
        <is>
          <t>LJUSDAL</t>
        </is>
      </c>
      <c r="H996" t="inlineStr">
        <is>
          <t>Sveaskog</t>
        </is>
      </c>
      <c r="I996" t="n">
        <v>21.7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56766-2022</t>
        </is>
      </c>
      <c r="B997" t="inlineStr">
        <is>
          <t>avverkningsanmälan</t>
        </is>
      </c>
      <c r="C997" t="inlineStr">
        <is>
          <t>Avverkning för annat ändamål</t>
        </is>
      </c>
      <c r="D997" s="1" t="n">
        <v>44894</v>
      </c>
      <c r="E997" s="1" t="n">
        <v>46292</v>
      </c>
      <c r="F997" t="inlineStr">
        <is>
          <t>GÄVLEBORGS LÄN</t>
        </is>
      </c>
      <c r="G997" t="inlineStr">
        <is>
          <t>LJUSDAL</t>
        </is>
      </c>
      <c r="H997" t="inlineStr">
        <is>
          <t>Holmen skog AB</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60838-2025</t>
        </is>
      </c>
      <c r="B998" t="inlineStr">
        <is>
          <t>avverkningsanmälan</t>
        </is>
      </c>
      <c r="C998" t="inlineStr">
        <is>
          <t>Avverkning för annat ändamål</t>
        </is>
      </c>
      <c r="D998" s="1" t="n">
        <v>45999</v>
      </c>
      <c r="E998" s="1" t="n">
        <v>46292</v>
      </c>
      <c r="F998" t="inlineStr">
        <is>
          <t>GÄVLEBORGS LÄN</t>
        </is>
      </c>
      <c r="G998" t="inlineStr">
        <is>
          <t>LJUSDAL</t>
        </is>
      </c>
      <c r="H998" t="inlineStr">
        <is>
          <t>Sveaskog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27867-2024</t>
        </is>
      </c>
      <c r="B999" t="inlineStr">
        <is>
          <t>avverkningsanmälan</t>
        </is>
      </c>
      <c r="C999" t="inlineStr">
        <is>
          <t>Föryngringsavverkning</t>
        </is>
      </c>
      <c r="D999" s="1" t="n">
        <v>45475</v>
      </c>
      <c r="E999" s="1" t="n">
        <v>46292</v>
      </c>
      <c r="F999" t="inlineStr">
        <is>
          <t>GÄVLEBORGS LÄN</t>
        </is>
      </c>
      <c r="G999" t="inlineStr">
        <is>
          <t>LJUSDAL</t>
        </is>
      </c>
      <c r="H999" t="inlineStr">
        <is>
          <t>Allmännings- och besparingsskogar</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62156-2025</t>
        </is>
      </c>
      <c r="B1000" t="inlineStr">
        <is>
          <t>avverkningsanmälan</t>
        </is>
      </c>
      <c r="C1000" t="inlineStr">
        <is>
          <t>Föryngringsavverkning</t>
        </is>
      </c>
      <c r="D1000" s="1" t="n">
        <v>46006</v>
      </c>
      <c r="E1000" s="1" t="n">
        <v>46292</v>
      </c>
      <c r="F1000" t="inlineStr">
        <is>
          <t>GÄVLEBORGS LÄN</t>
        </is>
      </c>
      <c r="G1000" t="inlineStr">
        <is>
          <t>LJUSDAL</t>
        </is>
      </c>
      <c r="H1000" t="inlineStr">
        <is>
          <t>SCA</t>
        </is>
      </c>
      <c r="I1000" t="n">
        <v>7.5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21072-2026</t>
        </is>
      </c>
      <c r="B1001" t="inlineStr">
        <is>
          <t>avverkningsanmälan</t>
        </is>
      </c>
      <c r="C1001" t="inlineStr">
        <is>
          <t>Föryngringsavverkning</t>
        </is>
      </c>
      <c r="D1001" s="1" t="n">
        <v>46146</v>
      </c>
      <c r="E1001" s="1" t="n">
        <v>46292</v>
      </c>
      <c r="F1001" t="inlineStr">
        <is>
          <t>GÄVLEBORGS LÄN</t>
        </is>
      </c>
      <c r="G1001" t="inlineStr">
        <is>
          <t>LJUSDAL</t>
        </is>
      </c>
      <c r="H1001" t="inlineStr">
        <is>
          <t>Allmännings- och besparingsskogar</t>
        </is>
      </c>
      <c r="I1001" t="n">
        <v>13.6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27723-2024</t>
        </is>
      </c>
      <c r="B1002" t="inlineStr">
        <is>
          <t>avverkningsanmälan</t>
        </is>
      </c>
      <c r="C1002" t="inlineStr">
        <is>
          <t>Föryngringsavverkning</t>
        </is>
      </c>
      <c r="D1002" s="1" t="n">
        <v>45475</v>
      </c>
      <c r="E1002" s="1" t="n">
        <v>46292</v>
      </c>
      <c r="F1002" t="inlineStr">
        <is>
          <t>GÄVLEBORGS LÄN</t>
        </is>
      </c>
      <c r="G1002" t="inlineStr">
        <is>
          <t>LJUSDAL</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23429-2025</t>
        </is>
      </c>
      <c r="B1003" t="inlineStr">
        <is>
          <t>avverkningsanmälan</t>
        </is>
      </c>
      <c r="C1003" t="inlineStr">
        <is>
          <t>Föryngringsavverkning</t>
        </is>
      </c>
      <c r="D1003" s="1" t="n">
        <v>45792</v>
      </c>
      <c r="E1003" s="1" t="n">
        <v>46292</v>
      </c>
      <c r="F1003" t="inlineStr">
        <is>
          <t>GÄVLEBORGS LÄN</t>
        </is>
      </c>
      <c r="G1003" t="inlineStr">
        <is>
          <t>LJUSDAL</t>
        </is>
      </c>
      <c r="H1003" t="inlineStr">
        <is>
          <t>SCA</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42712-2024</t>
        </is>
      </c>
      <c r="B1004" t="inlineStr">
        <is>
          <t>avverkningsanmälan</t>
        </is>
      </c>
      <c r="C1004" t="inlineStr">
        <is>
          <t>Föryngringsavverkning</t>
        </is>
      </c>
      <c r="D1004" s="1" t="n">
        <v>45566</v>
      </c>
      <c r="E1004" s="1" t="n">
        <v>46292</v>
      </c>
      <c r="F1004" t="inlineStr">
        <is>
          <t>GÄVLEBORGS LÄN</t>
        </is>
      </c>
      <c r="G1004" t="inlineStr">
        <is>
          <t>LJUSDAL</t>
        </is>
      </c>
      <c r="H1004" t="inlineStr">
        <is>
          <t>Kommuner</t>
        </is>
      </c>
      <c r="I1004" t="n">
        <v>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30938-2025</t>
        </is>
      </c>
      <c r="B1005" t="inlineStr">
        <is>
          <t>avverkningsanmälan</t>
        </is>
      </c>
      <c r="C1005" t="inlineStr">
        <is>
          <t>Föryngringsavverkning</t>
        </is>
      </c>
      <c r="D1005" s="1" t="n">
        <v>45832</v>
      </c>
      <c r="E1005" s="1" t="n">
        <v>46292</v>
      </c>
      <c r="F1005" t="inlineStr">
        <is>
          <t>GÄVLEBORGS LÄN</t>
        </is>
      </c>
      <c r="G1005" t="inlineStr">
        <is>
          <t>LJUSDAL</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21144-2026</t>
        </is>
      </c>
      <c r="B1006" t="inlineStr">
        <is>
          <t>avverkningsanmälan</t>
        </is>
      </c>
      <c r="C1006" t="inlineStr">
        <is>
          <t>Föryngringsavverkning</t>
        </is>
      </c>
      <c r="D1006" s="1" t="n">
        <v>46146</v>
      </c>
      <c r="E1006" s="1" t="n">
        <v>46292</v>
      </c>
      <c r="F1006" t="inlineStr">
        <is>
          <t>GÄVLEBORGS LÄN</t>
        </is>
      </c>
      <c r="G1006" t="inlineStr">
        <is>
          <t>LJUSDAL</t>
        </is>
      </c>
      <c r="H1006" t="inlineStr">
        <is>
          <t>Bergvik skog väst AB</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30496-2025</t>
        </is>
      </c>
      <c r="B1007" t="inlineStr">
        <is>
          <t>avverkningsanmälan</t>
        </is>
      </c>
      <c r="C1007" t="inlineStr">
        <is>
          <t>Föryngringsavverkning</t>
        </is>
      </c>
      <c r="D1007" s="1" t="n">
        <v>45830</v>
      </c>
      <c r="E1007" s="1" t="n">
        <v>46292</v>
      </c>
      <c r="F1007" t="inlineStr">
        <is>
          <t>GÄVLEBORGS LÄN</t>
        </is>
      </c>
      <c r="G1007" t="inlineStr">
        <is>
          <t>LJUSDAL</t>
        </is>
      </c>
      <c r="I1007" t="n">
        <v>7.8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30937-2025</t>
        </is>
      </c>
      <c r="B1008" t="inlineStr">
        <is>
          <t>avverkningsanmälan</t>
        </is>
      </c>
      <c r="C1008" t="inlineStr">
        <is>
          <t>Föryngringsavverkning</t>
        </is>
      </c>
      <c r="D1008" s="1" t="n">
        <v>45832</v>
      </c>
      <c r="E1008" s="1" t="n">
        <v>46292</v>
      </c>
      <c r="F1008" t="inlineStr">
        <is>
          <t>GÄVLEBORGS LÄN</t>
        </is>
      </c>
      <c r="G1008" t="inlineStr">
        <is>
          <t>LJUSDAL</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31028-2025</t>
        </is>
      </c>
      <c r="B1009" t="inlineStr">
        <is>
          <t>avverkningsanmälan</t>
        </is>
      </c>
      <c r="C1009" t="inlineStr">
        <is>
          <t>Föryngringsavverkning</t>
        </is>
      </c>
      <c r="D1009" s="1" t="n">
        <v>45832</v>
      </c>
      <c r="E1009" s="1" t="n">
        <v>46292</v>
      </c>
      <c r="F1009" t="inlineStr">
        <is>
          <t>GÄVLEBORGS LÄN</t>
        </is>
      </c>
      <c r="G1009" t="inlineStr">
        <is>
          <t>LJUSDAL</t>
        </is>
      </c>
      <c r="I1009" t="n">
        <v>20.5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29205-2023</t>
        </is>
      </c>
      <c r="B1010" t="inlineStr">
        <is>
          <t>avverkningsanmälan</t>
        </is>
      </c>
      <c r="C1010" t="inlineStr">
        <is>
          <t>Föryngringsavverkning</t>
        </is>
      </c>
      <c r="D1010" s="1" t="n">
        <v>45105</v>
      </c>
      <c r="E1010" s="1" t="n">
        <v>46292</v>
      </c>
      <c r="F1010" t="inlineStr">
        <is>
          <t>GÄVLEBORGS LÄN</t>
        </is>
      </c>
      <c r="G1010" t="inlineStr">
        <is>
          <t>LJUSDAL</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30926-2025</t>
        </is>
      </c>
      <c r="B1011" t="inlineStr">
        <is>
          <t>avverkningsanmälan</t>
        </is>
      </c>
      <c r="C1011" t="inlineStr">
        <is>
          <t>Föryngringsavverkning</t>
        </is>
      </c>
      <c r="D1011" s="1" t="n">
        <v>45832</v>
      </c>
      <c r="E1011" s="1" t="n">
        <v>46292</v>
      </c>
      <c r="F1011" t="inlineStr">
        <is>
          <t>GÄVLEBORGS LÄN</t>
        </is>
      </c>
      <c r="G1011" t="inlineStr">
        <is>
          <t>LJUSDAL</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21234-2026</t>
        </is>
      </c>
      <c r="B1012" t="inlineStr">
        <is>
          <t>avverkningsanmälan</t>
        </is>
      </c>
      <c r="C1012" t="inlineStr">
        <is>
          <t>Föryngringsavverkning</t>
        </is>
      </c>
      <c r="D1012" s="1" t="n">
        <v>46147</v>
      </c>
      <c r="E1012" s="1" t="n">
        <v>46292</v>
      </c>
      <c r="F1012" t="inlineStr">
        <is>
          <t>GÄVLEBORGS LÄN</t>
        </is>
      </c>
      <c r="G1012" t="inlineStr">
        <is>
          <t>LJUSDAL</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21232-2026</t>
        </is>
      </c>
      <c r="B1013" t="inlineStr">
        <is>
          <t>avverkningsanmälan</t>
        </is>
      </c>
      <c r="C1013" t="inlineStr">
        <is>
          <t>Föryngringsavverkning</t>
        </is>
      </c>
      <c r="D1013" s="1" t="n">
        <v>46147</v>
      </c>
      <c r="E1013" s="1" t="n">
        <v>46292</v>
      </c>
      <c r="F1013" t="inlineStr">
        <is>
          <t>GÄVLEBORGS LÄN</t>
        </is>
      </c>
      <c r="G1013" t="inlineStr">
        <is>
          <t>LJUSDAL</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21269-2026</t>
        </is>
      </c>
      <c r="B1014" t="inlineStr">
        <is>
          <t>avverkningsanmälan</t>
        </is>
      </c>
      <c r="C1014" t="inlineStr">
        <is>
          <t>Avverkning för annat ändamål</t>
        </is>
      </c>
      <c r="D1014" s="1" t="n">
        <v>46147</v>
      </c>
      <c r="E1014" s="1" t="n">
        <v>46292</v>
      </c>
      <c r="F1014" t="inlineStr">
        <is>
          <t>GÄVLEBORGS LÄN</t>
        </is>
      </c>
      <c r="G1014" t="inlineStr">
        <is>
          <t>LJUSDAL</t>
        </is>
      </c>
      <c r="H1014" t="inlineStr">
        <is>
          <t>Bergvik skog väst AB</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21404-2026</t>
        </is>
      </c>
      <c r="B1015" t="inlineStr">
        <is>
          <t>avverkningsanmälan</t>
        </is>
      </c>
      <c r="C1015" t="inlineStr">
        <is>
          <t>Föryngringsavverkning</t>
        </is>
      </c>
      <c r="D1015" s="1" t="n">
        <v>46148</v>
      </c>
      <c r="E1015" s="1" t="n">
        <v>46292</v>
      </c>
      <c r="F1015" t="inlineStr">
        <is>
          <t>GÄVLEBORGS LÄN</t>
        </is>
      </c>
      <c r="G1015" t="inlineStr">
        <is>
          <t>LJUSDAL</t>
        </is>
      </c>
      <c r="H1015" t="inlineStr">
        <is>
          <t>SCA</t>
        </is>
      </c>
      <c r="I1015" t="n">
        <v>17.3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29837-2023</t>
        </is>
      </c>
      <c r="B1016" t="inlineStr">
        <is>
          <t>avverkningsanmälan</t>
        </is>
      </c>
      <c r="C1016" t="inlineStr">
        <is>
          <t>Föryngringsavverkning</t>
        </is>
      </c>
      <c r="D1016" s="1" t="n">
        <v>45107</v>
      </c>
      <c r="E1016" s="1" t="n">
        <v>46292</v>
      </c>
      <c r="F1016" t="inlineStr">
        <is>
          <t>GÄVLEBORGS LÄN</t>
        </is>
      </c>
      <c r="G1016" t="inlineStr">
        <is>
          <t>LJUSDAL</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21721-2026</t>
        </is>
      </c>
      <c r="B1017" t="inlineStr">
        <is>
          <t>avverkningsanmälan</t>
        </is>
      </c>
      <c r="C1017" t="inlineStr">
        <is>
          <t>Föryngringsavverkning</t>
        </is>
      </c>
      <c r="D1017" s="1" t="n">
        <v>46149</v>
      </c>
      <c r="E1017" s="1" t="n">
        <v>46292</v>
      </c>
      <c r="F1017" t="inlineStr">
        <is>
          <t>GÄVLEBORGS LÄN</t>
        </is>
      </c>
      <c r="G1017" t="inlineStr">
        <is>
          <t>LJUSDAL</t>
        </is>
      </c>
      <c r="H1017" t="inlineStr">
        <is>
          <t>Bergvik skog väst AB</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30979-2025</t>
        </is>
      </c>
      <c r="B1018" t="inlineStr">
        <is>
          <t>avverkningsanmälan</t>
        </is>
      </c>
      <c r="C1018" t="inlineStr">
        <is>
          <t>Föryngringsavverkning</t>
        </is>
      </c>
      <c r="D1018" s="1" t="n">
        <v>45832</v>
      </c>
      <c r="E1018" s="1" t="n">
        <v>46292</v>
      </c>
      <c r="F1018" t="inlineStr">
        <is>
          <t>GÄVLEBORGS LÄN</t>
        </is>
      </c>
      <c r="G1018" t="inlineStr">
        <is>
          <t>LJUSDAL</t>
        </is>
      </c>
      <c r="H1018" t="inlineStr">
        <is>
          <t>Holmen skog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31072-2025</t>
        </is>
      </c>
      <c r="B1019" t="inlineStr">
        <is>
          <t>avverkningsanmälan</t>
        </is>
      </c>
      <c r="C1019" t="inlineStr">
        <is>
          <t>Föryngringsavverkning</t>
        </is>
      </c>
      <c r="D1019" s="1" t="n">
        <v>45832</v>
      </c>
      <c r="E1019" s="1" t="n">
        <v>46292</v>
      </c>
      <c r="F1019" t="inlineStr">
        <is>
          <t>GÄVLEBORGS LÄN</t>
        </is>
      </c>
      <c r="G1019" t="inlineStr">
        <is>
          <t>LJUSDAL</t>
        </is>
      </c>
      <c r="H1019" t="inlineStr">
        <is>
          <t>Holmen skog AB</t>
        </is>
      </c>
      <c r="I1019" t="n">
        <v>6.8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11923-2023</t>
        </is>
      </c>
      <c r="B1020" t="inlineStr">
        <is>
          <t>avverkningsanmälan</t>
        </is>
      </c>
      <c r="C1020" t="inlineStr">
        <is>
          <t>Föryngringsavverkning</t>
        </is>
      </c>
      <c r="D1020" s="1" t="n">
        <v>44995</v>
      </c>
      <c r="E1020" s="1" t="n">
        <v>46292</v>
      </c>
      <c r="F1020" t="inlineStr">
        <is>
          <t>GÄVLEBORGS LÄN</t>
        </is>
      </c>
      <c r="G1020" t="inlineStr">
        <is>
          <t>LJUSDAL</t>
        </is>
      </c>
      <c r="H1020" t="inlineStr">
        <is>
          <t>Holmen skog AB</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21697-2026</t>
        </is>
      </c>
      <c r="B1021" t="inlineStr">
        <is>
          <t>avverkningsanmälan</t>
        </is>
      </c>
      <c r="C1021" t="inlineStr">
        <is>
          <t>Föryngringsavverkning</t>
        </is>
      </c>
      <c r="D1021" s="1" t="n">
        <v>46149</v>
      </c>
      <c r="E1021" s="1" t="n">
        <v>46292</v>
      </c>
      <c r="F1021" t="inlineStr">
        <is>
          <t>GÄVLEBORGS LÄN</t>
        </is>
      </c>
      <c r="G1021" t="inlineStr">
        <is>
          <t>LJUSDAL</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31064-2025</t>
        </is>
      </c>
      <c r="B1022" t="inlineStr">
        <is>
          <t>avverkningsanmälan</t>
        </is>
      </c>
      <c r="C1022" t="inlineStr">
        <is>
          <t>Föryngringsavverkning</t>
        </is>
      </c>
      <c r="D1022" s="1" t="n">
        <v>45832</v>
      </c>
      <c r="E1022" s="1" t="n">
        <v>46292</v>
      </c>
      <c r="F1022" t="inlineStr">
        <is>
          <t>GÄVLEBORGS LÄN</t>
        </is>
      </c>
      <c r="G1022" t="inlineStr">
        <is>
          <t>LJUSDAL</t>
        </is>
      </c>
      <c r="H1022" t="inlineStr">
        <is>
          <t>Allmännings- och besparingsskogar</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22124-2026</t>
        </is>
      </c>
      <c r="B1023" t="inlineStr">
        <is>
          <t>avverkningsanmälan</t>
        </is>
      </c>
      <c r="C1023" t="inlineStr">
        <is>
          <t>Föryngringsavverkning</t>
        </is>
      </c>
      <c r="D1023" s="1" t="n">
        <v>46153</v>
      </c>
      <c r="E1023" s="1" t="n">
        <v>46292</v>
      </c>
      <c r="F1023" t="inlineStr">
        <is>
          <t>GÄVLEBORGS LÄN</t>
        </is>
      </c>
      <c r="G1023" t="inlineStr">
        <is>
          <t>LJUSDAL</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51525-2023</t>
        </is>
      </c>
      <c r="B1024" t="inlineStr">
        <is>
          <t>avverkningsanmälan</t>
        </is>
      </c>
      <c r="C1024" t="inlineStr">
        <is>
          <t>Föryngringsavverkning</t>
        </is>
      </c>
      <c r="D1024" s="1" t="n">
        <v>45222</v>
      </c>
      <c r="E1024" s="1" t="n">
        <v>46292</v>
      </c>
      <c r="F1024" t="inlineStr">
        <is>
          <t>GÄVLEBORGS LÄN</t>
        </is>
      </c>
      <c r="G1024" t="inlineStr">
        <is>
          <t>LJUSDAL</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59826-2022</t>
        </is>
      </c>
      <c r="B1025" t="inlineStr">
        <is>
          <t>avverkningsanmälan</t>
        </is>
      </c>
      <c r="C1025" t="inlineStr">
        <is>
          <t>Föryngringsavverkning</t>
        </is>
      </c>
      <c r="D1025" s="1" t="n">
        <v>44908</v>
      </c>
      <c r="E1025" s="1" t="n">
        <v>46292</v>
      </c>
      <c r="F1025" t="inlineStr">
        <is>
          <t>GÄVLEBORGS LÄN</t>
        </is>
      </c>
      <c r="G1025" t="inlineStr">
        <is>
          <t>LJUSDAL</t>
        </is>
      </c>
      <c r="H1025" t="inlineStr">
        <is>
          <t>Kommuner</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31500-2025</t>
        </is>
      </c>
      <c r="B1026" t="inlineStr">
        <is>
          <t>avverkningsanmälan</t>
        </is>
      </c>
      <c r="C1026" t="inlineStr">
        <is>
          <t>Föryngringsavverkning</t>
        </is>
      </c>
      <c r="D1026" s="1" t="n">
        <v>45833</v>
      </c>
      <c r="E1026" s="1" t="n">
        <v>46292</v>
      </c>
      <c r="F1026" t="inlineStr">
        <is>
          <t>GÄVLEBORGS LÄN</t>
        </is>
      </c>
      <c r="G1026" t="inlineStr">
        <is>
          <t>LJUSDAL</t>
        </is>
      </c>
      <c r="I1026" t="n">
        <v>5.7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10255-2026</t>
        </is>
      </c>
      <c r="B1027" t="inlineStr">
        <is>
          <t>avverkningsanmälan</t>
        </is>
      </c>
      <c r="C1027" t="inlineStr">
        <is>
          <t>Föryngringsavverkning</t>
        </is>
      </c>
      <c r="D1027" s="1" t="n">
        <v>46076</v>
      </c>
      <c r="E1027" s="1" t="n">
        <v>46292</v>
      </c>
      <c r="F1027" t="inlineStr">
        <is>
          <t>GÄVLEBORGS LÄN</t>
        </is>
      </c>
      <c r="G1027" t="inlineStr">
        <is>
          <t>LJUSDAL</t>
        </is>
      </c>
      <c r="H1027" t="inlineStr">
        <is>
          <t>Bergvik skog väst AB</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13843-2025</t>
        </is>
      </c>
      <c r="B1028" t="inlineStr">
        <is>
          <t>avverkningsanmälan</t>
        </is>
      </c>
      <c r="C1028" t="inlineStr">
        <is>
          <t>Föryngringsavverkning</t>
        </is>
      </c>
      <c r="D1028" s="1" t="n">
        <v>45737</v>
      </c>
      <c r="E1028" s="1" t="n">
        <v>46292</v>
      </c>
      <c r="F1028" t="inlineStr">
        <is>
          <t>GÄVLEBORGS LÄN</t>
        </is>
      </c>
      <c r="G1028" t="inlineStr">
        <is>
          <t>LJUSDAL</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61416-2024</t>
        </is>
      </c>
      <c r="B1029" t="inlineStr">
        <is>
          <t>avverkningsanmälan</t>
        </is>
      </c>
      <c r="C1029" t="inlineStr">
        <is>
          <t>Föryngringsavverkning</t>
        </is>
      </c>
      <c r="D1029" s="1" t="n">
        <v>45646</v>
      </c>
      <c r="E1029" s="1" t="n">
        <v>46292</v>
      </c>
      <c r="F1029" t="inlineStr">
        <is>
          <t>GÄVLEBORGS LÄN</t>
        </is>
      </c>
      <c r="G1029" t="inlineStr">
        <is>
          <t>LJUSDAL</t>
        </is>
      </c>
      <c r="H1029" t="inlineStr">
        <is>
          <t>Sveaskog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31511-2025</t>
        </is>
      </c>
      <c r="B1030" t="inlineStr">
        <is>
          <t>avverkningsanmälan</t>
        </is>
      </c>
      <c r="C1030" t="inlineStr">
        <is>
          <t>Föryngringsavverkning</t>
        </is>
      </c>
      <c r="D1030" s="1" t="n">
        <v>45833</v>
      </c>
      <c r="E1030" s="1" t="n">
        <v>46292</v>
      </c>
      <c r="F1030" t="inlineStr">
        <is>
          <t>GÄVLEBORGS LÄN</t>
        </is>
      </c>
      <c r="G1030" t="inlineStr">
        <is>
          <t>LJUSDAL</t>
        </is>
      </c>
      <c r="I1030" t="n">
        <v>7.7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10275-2026</t>
        </is>
      </c>
      <c r="B1031" t="inlineStr">
        <is>
          <t>avverkningsanmälan</t>
        </is>
      </c>
      <c r="C1031" t="inlineStr">
        <is>
          <t>Föryngringsavverkning</t>
        </is>
      </c>
      <c r="D1031" s="1" t="n">
        <v>46076</v>
      </c>
      <c r="E1031" s="1" t="n">
        <v>46292</v>
      </c>
      <c r="F1031" t="inlineStr">
        <is>
          <t>GÄVLEBORGS LÄN</t>
        </is>
      </c>
      <c r="G1031" t="inlineStr">
        <is>
          <t>LJUSDAL</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34058-2022</t>
        </is>
      </c>
      <c r="B1032" t="inlineStr">
        <is>
          <t>avverkningsanmälan</t>
        </is>
      </c>
      <c r="C1032" t="inlineStr">
        <is>
          <t>Föryngringsavverkning</t>
        </is>
      </c>
      <c r="D1032" s="1" t="n">
        <v>44791</v>
      </c>
      <c r="E1032" s="1" t="n">
        <v>46292</v>
      </c>
      <c r="F1032" t="inlineStr">
        <is>
          <t>GÄVLEBORGS LÄN</t>
        </is>
      </c>
      <c r="G1032" t="inlineStr">
        <is>
          <t>LJUSDAL</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12638-2026</t>
        </is>
      </c>
      <c r="B1033" t="inlineStr">
        <is>
          <t>avverkningsanmälan</t>
        </is>
      </c>
      <c r="C1033" t="inlineStr">
        <is>
          <t>Föryngringsavverkning</t>
        </is>
      </c>
      <c r="D1033" s="1" t="n">
        <v>46091</v>
      </c>
      <c r="E1033" s="1" t="n">
        <v>46292</v>
      </c>
      <c r="F1033" t="inlineStr">
        <is>
          <t>GÄVLEBORGS LÄN</t>
        </is>
      </c>
      <c r="G1033" t="inlineStr">
        <is>
          <t>LJUSDAL</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22375-2026</t>
        </is>
      </c>
      <c r="B1034" t="inlineStr">
        <is>
          <t>avverkningsanmälan</t>
        </is>
      </c>
      <c r="C1034" t="inlineStr">
        <is>
          <t>Föryngringsavverkning</t>
        </is>
      </c>
      <c r="D1034" s="1" t="n">
        <v>46154</v>
      </c>
      <c r="E1034" s="1" t="n">
        <v>46292</v>
      </c>
      <c r="F1034" t="inlineStr">
        <is>
          <t>GÄVLEBORGS LÄN</t>
        </is>
      </c>
      <c r="G1034" t="inlineStr">
        <is>
          <t>LJUSDAL</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31810-2025</t>
        </is>
      </c>
      <c r="B1035" t="inlineStr">
        <is>
          <t>avverkningsanmälan</t>
        </is>
      </c>
      <c r="C1035" t="inlineStr">
        <is>
          <t>Föryngringsavverkning</t>
        </is>
      </c>
      <c r="D1035" s="1" t="n">
        <v>45834</v>
      </c>
      <c r="E1035" s="1" t="n">
        <v>46292</v>
      </c>
      <c r="F1035" t="inlineStr">
        <is>
          <t>GÄVLEBORGS LÄN</t>
        </is>
      </c>
      <c r="G1035" t="inlineStr">
        <is>
          <t>LJUSDAL</t>
        </is>
      </c>
      <c r="I1035" t="n">
        <v>17.2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22619-2026</t>
        </is>
      </c>
      <c r="B1036" t="inlineStr">
        <is>
          <t>avverkningsanmälan</t>
        </is>
      </c>
      <c r="C1036" t="inlineStr">
        <is>
          <t>Föryngringsavverkning</t>
        </is>
      </c>
      <c r="D1036" s="1" t="n">
        <v>46155</v>
      </c>
      <c r="E1036" s="1" t="n">
        <v>46292</v>
      </c>
      <c r="F1036" t="inlineStr">
        <is>
          <t>GÄVLEBORGS LÄN</t>
        </is>
      </c>
      <c r="G1036" t="inlineStr">
        <is>
          <t>LJUSDAL</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32200-2025</t>
        </is>
      </c>
      <c r="B1037" t="inlineStr">
        <is>
          <t>avverkningsanmälan</t>
        </is>
      </c>
      <c r="C1037" t="inlineStr">
        <is>
          <t>Föryngringsavverkning</t>
        </is>
      </c>
      <c r="D1037" s="1" t="n">
        <v>45835</v>
      </c>
      <c r="E1037" s="1" t="n">
        <v>46292</v>
      </c>
      <c r="F1037" t="inlineStr">
        <is>
          <t>GÄVLEBORGS LÄN</t>
        </is>
      </c>
      <c r="G1037" t="inlineStr">
        <is>
          <t>LJUSDAL</t>
        </is>
      </c>
      <c r="H1037" t="inlineStr">
        <is>
          <t>Bergvik skog väst AB</t>
        </is>
      </c>
      <c r="I1037" t="n">
        <v>8.300000000000001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71068-2021</t>
        </is>
      </c>
      <c r="B1038" t="inlineStr">
        <is>
          <t>avverkningsanmälan</t>
        </is>
      </c>
      <c r="C1038" t="inlineStr">
        <is>
          <t>Avverkning för annat ändamål</t>
        </is>
      </c>
      <c r="D1038" s="1" t="n">
        <v>44538</v>
      </c>
      <c r="E1038" s="1" t="n">
        <v>46292</v>
      </c>
      <c r="F1038" t="inlineStr">
        <is>
          <t>GÄVLEBORGS LÄN</t>
        </is>
      </c>
      <c r="G1038" t="inlineStr">
        <is>
          <t>LJUSDAL</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20909-2023</t>
        </is>
      </c>
      <c r="B1039" t="inlineStr">
        <is>
          <t>avverkningsanmälan</t>
        </is>
      </c>
      <c r="C1039" t="inlineStr">
        <is>
          <t>Föryngringsavverkning</t>
        </is>
      </c>
      <c r="D1039" s="1" t="n">
        <v>45060</v>
      </c>
      <c r="E1039" s="1" t="n">
        <v>46292</v>
      </c>
      <c r="F1039" t="inlineStr">
        <is>
          <t>GÄVLEBORGS LÄN</t>
        </is>
      </c>
      <c r="G1039" t="inlineStr">
        <is>
          <t>LJUSDAL</t>
        </is>
      </c>
      <c r="I1039" t="n">
        <v>5.3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23930-2023</t>
        </is>
      </c>
      <c r="B1040" t="inlineStr">
        <is>
          <t>avverkningsanmälan</t>
        </is>
      </c>
      <c r="C1040" t="inlineStr">
        <is>
          <t>Föryngringsavverkning</t>
        </is>
      </c>
      <c r="D1040" s="1" t="n">
        <v>45078</v>
      </c>
      <c r="E1040" s="1" t="n">
        <v>46292</v>
      </c>
      <c r="F1040" t="inlineStr">
        <is>
          <t>GÄVLEBORGS LÄN</t>
        </is>
      </c>
      <c r="G1040" t="inlineStr">
        <is>
          <t>LJUSDAL</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32179-2025</t>
        </is>
      </c>
      <c r="B1041" t="inlineStr">
        <is>
          <t>avverkningsanmälan</t>
        </is>
      </c>
      <c r="C1041" t="inlineStr">
        <is>
          <t>Föryngringsavverkning</t>
        </is>
      </c>
      <c r="D1041" s="1" t="n">
        <v>45835</v>
      </c>
      <c r="E1041" s="1" t="n">
        <v>46292</v>
      </c>
      <c r="F1041" t="inlineStr">
        <is>
          <t>GÄVLEBORGS LÄN</t>
        </is>
      </c>
      <c r="G1041" t="inlineStr">
        <is>
          <t>LJUSDAL</t>
        </is>
      </c>
      <c r="H1041" t="inlineStr">
        <is>
          <t>Bergvik skog väst AB</t>
        </is>
      </c>
      <c r="I1041" t="n">
        <v>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22722-2026</t>
        </is>
      </c>
      <c r="B1042" t="inlineStr">
        <is>
          <t>avverkningsanmälan</t>
        </is>
      </c>
      <c r="C1042" t="inlineStr">
        <is>
          <t>Föryngringsavverkning</t>
        </is>
      </c>
      <c r="D1042" s="1" t="n">
        <v>46157</v>
      </c>
      <c r="E1042" s="1" t="n">
        <v>46292</v>
      </c>
      <c r="F1042" t="inlineStr">
        <is>
          <t>GÄVLEBORGS LÄN</t>
        </is>
      </c>
      <c r="G1042" t="inlineStr">
        <is>
          <t>LJUSDAL</t>
        </is>
      </c>
      <c r="H1042" t="inlineStr">
        <is>
          <t>Allmännings- och besparingsskogar</t>
        </is>
      </c>
      <c r="I1042" t="n">
        <v>12.1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22842-2026</t>
        </is>
      </c>
      <c r="B1043" t="inlineStr">
        <is>
          <t>avverkningsanmälan</t>
        </is>
      </c>
      <c r="C1043" t="inlineStr">
        <is>
          <t>Föryngringsavverkning</t>
        </is>
      </c>
      <c r="D1043" s="1" t="n">
        <v>46160</v>
      </c>
      <c r="E1043" s="1" t="n">
        <v>46292</v>
      </c>
      <c r="F1043" t="inlineStr">
        <is>
          <t>GÄVLEBORGS LÄN</t>
        </is>
      </c>
      <c r="G1043" t="inlineStr">
        <is>
          <t>LJUSDAL</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34964-2024</t>
        </is>
      </c>
      <c r="B1044" t="inlineStr">
        <is>
          <t>avverkningsanmälan</t>
        </is>
      </c>
      <c r="C1044" t="inlineStr">
        <is>
          <t>Föryngringsavverkning</t>
        </is>
      </c>
      <c r="D1044" s="1" t="n">
        <v>45527</v>
      </c>
      <c r="E1044" s="1" t="n">
        <v>46292</v>
      </c>
      <c r="F1044" t="inlineStr">
        <is>
          <t>GÄVLEBORGS LÄN</t>
        </is>
      </c>
      <c r="G1044" t="inlineStr">
        <is>
          <t>LJUSDAL</t>
        </is>
      </c>
      <c r="H1044" t="inlineStr">
        <is>
          <t>Holmen skog AB</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19190-2024</t>
        </is>
      </c>
      <c r="B1045" t="inlineStr">
        <is>
          <t>avverkningsanmälan</t>
        </is>
      </c>
      <c r="C1045" t="inlineStr">
        <is>
          <t>Föryngringsavverkning</t>
        </is>
      </c>
      <c r="D1045" s="1" t="n">
        <v>45428</v>
      </c>
      <c r="E1045" s="1" t="n">
        <v>46292</v>
      </c>
      <c r="F1045" t="inlineStr">
        <is>
          <t>GÄVLEBORGS LÄN</t>
        </is>
      </c>
      <c r="G1045" t="inlineStr">
        <is>
          <t>LJUSDAL</t>
        </is>
      </c>
      <c r="I1045" t="n">
        <v>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38870-2024</t>
        </is>
      </c>
      <c r="B1046" t="inlineStr">
        <is>
          <t>avverkningsanmälan</t>
        </is>
      </c>
      <c r="C1046" t="inlineStr">
        <is>
          <t>Avverkning för annat ändamål</t>
        </is>
      </c>
      <c r="D1046" s="1" t="n">
        <v>45547</v>
      </c>
      <c r="E1046" s="1" t="n">
        <v>46292</v>
      </c>
      <c r="F1046" t="inlineStr">
        <is>
          <t>GÄVLEBORGS LÄN</t>
        </is>
      </c>
      <c r="G1046" t="inlineStr">
        <is>
          <t>LJUSDAL</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14809-2026</t>
        </is>
      </c>
      <c r="B1047" t="inlineStr">
        <is>
          <t>avverkningsanmälan</t>
        </is>
      </c>
      <c r="C1047" t="inlineStr">
        <is>
          <t>Föryngringsavverkning</t>
        </is>
      </c>
      <c r="D1047" s="1" t="n">
        <v>46104</v>
      </c>
      <c r="E1047" s="1" t="n">
        <v>46292</v>
      </c>
      <c r="F1047" t="inlineStr">
        <is>
          <t>GÄVLEBORGS LÄN</t>
        </is>
      </c>
      <c r="G1047" t="inlineStr">
        <is>
          <t>LJUSDAL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22847-2026</t>
        </is>
      </c>
      <c r="B1048" t="inlineStr">
        <is>
          <t>avverkningsanmälan</t>
        </is>
      </c>
      <c r="C1048" t="inlineStr">
        <is>
          <t>Föryngringsavverkning</t>
        </is>
      </c>
      <c r="D1048" s="1" t="n">
        <v>46160</v>
      </c>
      <c r="E1048" s="1" t="n">
        <v>46292</v>
      </c>
      <c r="F1048" t="inlineStr">
        <is>
          <t>GÄVLEBORGS LÄN</t>
        </is>
      </c>
      <c r="G1048" t="inlineStr">
        <is>
          <t>LJUSDAL</t>
        </is>
      </c>
      <c r="H1048" t="inlineStr">
        <is>
          <t>Sveaskog</t>
        </is>
      </c>
      <c r="I1048" t="n">
        <v>12.7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30782-2024</t>
        </is>
      </c>
      <c r="B1049" t="inlineStr">
        <is>
          <t>avverkningsanmälan</t>
        </is>
      </c>
      <c r="C1049" t="inlineStr">
        <is>
          <t>Föryngringsavverkning</t>
        </is>
      </c>
      <c r="D1049" s="1" t="n">
        <v>45496</v>
      </c>
      <c r="E1049" s="1" t="n">
        <v>46292</v>
      </c>
      <c r="F1049" t="inlineStr">
        <is>
          <t>GÄVLEBORGS LÄN</t>
        </is>
      </c>
      <c r="G1049" t="inlineStr">
        <is>
          <t>LJUSDAL</t>
        </is>
      </c>
      <c r="H1049" t="inlineStr">
        <is>
          <t>SCA</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23126-2026</t>
        </is>
      </c>
      <c r="B1050" t="inlineStr">
        <is>
          <t>avverkningsanmälan</t>
        </is>
      </c>
      <c r="C1050" t="inlineStr">
        <is>
          <t>Föryngringsavverkning</t>
        </is>
      </c>
      <c r="D1050" s="1" t="n">
        <v>46161</v>
      </c>
      <c r="E1050" s="1" t="n">
        <v>46292</v>
      </c>
      <c r="F1050" t="inlineStr">
        <is>
          <t>GÄVLEBORGS LÄN</t>
        </is>
      </c>
      <c r="G1050" t="inlineStr">
        <is>
          <t>LJUSDAL</t>
        </is>
      </c>
      <c r="H1050" t="inlineStr">
        <is>
          <t>Sveaskog</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18102-2025</t>
        </is>
      </c>
      <c r="B1051" t="inlineStr">
        <is>
          <t>avverkningsanmälan</t>
        </is>
      </c>
      <c r="C1051" t="inlineStr">
        <is>
          <t>Föryngringsavverkning</t>
        </is>
      </c>
      <c r="D1051" s="1" t="n">
        <v>45761</v>
      </c>
      <c r="E1051" s="1" t="n">
        <v>46292</v>
      </c>
      <c r="F1051" t="inlineStr">
        <is>
          <t>GÄVLEBORGS LÄN</t>
        </is>
      </c>
      <c r="G1051" t="inlineStr">
        <is>
          <t>LJUSDAL</t>
        </is>
      </c>
      <c r="I1051" t="n">
        <v>8.1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23241-2026</t>
        </is>
      </c>
      <c r="B1052" t="inlineStr">
        <is>
          <t>avverkningsanmälan</t>
        </is>
      </c>
      <c r="C1052" t="inlineStr">
        <is>
          <t>Föryngringsavverkning</t>
        </is>
      </c>
      <c r="D1052" s="1" t="n">
        <v>46162</v>
      </c>
      <c r="E1052" s="1" t="n">
        <v>46292</v>
      </c>
      <c r="F1052" t="inlineStr">
        <is>
          <t>GÄVLEBORGS LÄN</t>
        </is>
      </c>
      <c r="G1052" t="inlineStr">
        <is>
          <t>LJUSDAL</t>
        </is>
      </c>
      <c r="H1052" t="inlineStr">
        <is>
          <t>SCA</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32282-2025</t>
        </is>
      </c>
      <c r="B1053" t="inlineStr">
        <is>
          <t>avverkningsanmälan</t>
        </is>
      </c>
      <c r="C1053" t="inlineStr">
        <is>
          <t>Föryngringsavverkning</t>
        </is>
      </c>
      <c r="D1053" s="1" t="n">
        <v>45835</v>
      </c>
      <c r="E1053" s="1" t="n">
        <v>46292</v>
      </c>
      <c r="F1053" t="inlineStr">
        <is>
          <t>GÄVLEBORGS LÄN</t>
        </is>
      </c>
      <c r="G1053" t="inlineStr">
        <is>
          <t>LJUSDAL</t>
        </is>
      </c>
      <c r="H1053" t="inlineStr">
        <is>
          <t>Allmännings- och besparingsskogar</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32533-2025</t>
        </is>
      </c>
      <c r="B1054" t="inlineStr">
        <is>
          <t>avverkningsanmälan</t>
        </is>
      </c>
      <c r="C1054" t="inlineStr">
        <is>
          <t>Föryngringsavverkning</t>
        </is>
      </c>
      <c r="D1054" s="1" t="n">
        <v>45838</v>
      </c>
      <c r="E1054" s="1" t="n">
        <v>46292</v>
      </c>
      <c r="F1054" t="inlineStr">
        <is>
          <t>GÄVLEBORGS LÄN</t>
        </is>
      </c>
      <c r="G1054" t="inlineStr">
        <is>
          <t>LJUSDAL</t>
        </is>
      </c>
      <c r="H1054" t="inlineStr">
        <is>
          <t>Sveaskog</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6339-2025</t>
        </is>
      </c>
      <c r="B1055" t="inlineStr">
        <is>
          <t>avverkningsanmälan</t>
        </is>
      </c>
      <c r="C1055" t="inlineStr">
        <is>
          <t>Föryngringsavverkning</t>
        </is>
      </c>
      <c r="D1055" s="1" t="n">
        <v>45699</v>
      </c>
      <c r="E1055" s="1" t="n">
        <v>46292</v>
      </c>
      <c r="F1055" t="inlineStr">
        <is>
          <t>GÄVLEBORGS LÄN</t>
        </is>
      </c>
      <c r="G1055" t="inlineStr">
        <is>
          <t>LJUSDAL</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3233-2025</t>
        </is>
      </c>
      <c r="B1056" t="inlineStr">
        <is>
          <t>avverkningsanmälan</t>
        </is>
      </c>
      <c r="C1056" t="inlineStr">
        <is>
          <t>Föryngringsavverkning</t>
        </is>
      </c>
      <c r="D1056" s="1" t="n">
        <v>45679</v>
      </c>
      <c r="E1056" s="1" t="n">
        <v>46292</v>
      </c>
      <c r="F1056" t="inlineStr">
        <is>
          <t>GÄVLEBORGS LÄN</t>
        </is>
      </c>
      <c r="G1056" t="inlineStr">
        <is>
          <t>LJUSDAL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32694-2025</t>
        </is>
      </c>
      <c r="B1057" t="inlineStr">
        <is>
          <t>avverkningsanmälan</t>
        </is>
      </c>
      <c r="C1057" t="inlineStr">
        <is>
          <t>Föryngringsavverkning</t>
        </is>
      </c>
      <c r="D1057" s="1" t="n">
        <v>45839</v>
      </c>
      <c r="E1057" s="1" t="n">
        <v>46292</v>
      </c>
      <c r="F1057" t="inlineStr">
        <is>
          <t>GÄVLEBORGS LÄN</t>
        </is>
      </c>
      <c r="G1057" t="inlineStr">
        <is>
          <t>LJUSDAL</t>
        </is>
      </c>
      <c r="H1057" t="inlineStr">
        <is>
          <t>Sveaskog</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29238-2023</t>
        </is>
      </c>
      <c r="B1058" t="inlineStr">
        <is>
          <t>avverkningsanmälan</t>
        </is>
      </c>
      <c r="C1058" t="inlineStr">
        <is>
          <t>Avverkning för annat ändamål</t>
        </is>
      </c>
      <c r="D1058" s="1" t="n">
        <v>45105</v>
      </c>
      <c r="E1058" s="1" t="n">
        <v>46292</v>
      </c>
      <c r="F1058" t="inlineStr">
        <is>
          <t>GÄVLEBORGS LÄN</t>
        </is>
      </c>
      <c r="G1058" t="inlineStr">
        <is>
          <t>LJUSDAL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15015-2023</t>
        </is>
      </c>
      <c r="B1059" t="inlineStr">
        <is>
          <t>avverkningsanmälan</t>
        </is>
      </c>
      <c r="C1059" t="inlineStr">
        <is>
          <t>Avverkning för att bevara och utveckla /försöksver</t>
        </is>
      </c>
      <c r="D1059" s="1" t="n">
        <v>45015</v>
      </c>
      <c r="E1059" s="1" t="n">
        <v>46292</v>
      </c>
      <c r="F1059" t="inlineStr">
        <is>
          <t>GÄVLEBORGS LÄN</t>
        </is>
      </c>
      <c r="G1059" t="inlineStr">
        <is>
          <t>LJUSDAL</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23242-2026</t>
        </is>
      </c>
      <c r="B1060" t="inlineStr">
        <is>
          <t>avverkningsanmälan</t>
        </is>
      </c>
      <c r="C1060" t="inlineStr">
        <is>
          <t>Föryngringsavverkning</t>
        </is>
      </c>
      <c r="D1060" s="1" t="n">
        <v>46162</v>
      </c>
      <c r="E1060" s="1" t="n">
        <v>46292</v>
      </c>
      <c r="F1060" t="inlineStr">
        <is>
          <t>GÄVLEBORGS LÄN</t>
        </is>
      </c>
      <c r="G1060" t="inlineStr">
        <is>
          <t>LJUSDAL</t>
        </is>
      </c>
      <c r="H1060" t="inlineStr">
        <is>
          <t>SCA</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33333-2025</t>
        </is>
      </c>
      <c r="B1061" t="inlineStr">
        <is>
          <t>avverkningsanmälan</t>
        </is>
      </c>
      <c r="C1061" t="inlineStr">
        <is>
          <t>Föryngringsavverkning</t>
        </is>
      </c>
      <c r="D1061" s="1" t="n">
        <v>45841</v>
      </c>
      <c r="E1061" s="1" t="n">
        <v>46292</v>
      </c>
      <c r="F1061" t="inlineStr">
        <is>
          <t>GÄVLEBORGS LÄN</t>
        </is>
      </c>
      <c r="G1061" t="inlineStr">
        <is>
          <t>LJUSDAL</t>
        </is>
      </c>
      <c r="H1061" t="inlineStr">
        <is>
          <t>Sveaskog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33337-2025</t>
        </is>
      </c>
      <c r="B1062" t="inlineStr">
        <is>
          <t>avverkningsanmälan</t>
        </is>
      </c>
      <c r="C1062" t="inlineStr">
        <is>
          <t>Föryngringsavverkning</t>
        </is>
      </c>
      <c r="D1062" s="1" t="n">
        <v>45841</v>
      </c>
      <c r="E1062" s="1" t="n">
        <v>46292</v>
      </c>
      <c r="F1062" t="inlineStr">
        <is>
          <t>GÄVLEBORGS LÄN</t>
        </is>
      </c>
      <c r="G1062" t="inlineStr">
        <is>
          <t>LJUSDAL</t>
        </is>
      </c>
      <c r="H1062" t="inlineStr">
        <is>
          <t>Sveaskog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33585-2025</t>
        </is>
      </c>
      <c r="B1063" t="inlineStr">
        <is>
          <t>avverkningsanmälan</t>
        </is>
      </c>
      <c r="C1063" t="inlineStr">
        <is>
          <t>Föryngringsavverkning</t>
        </is>
      </c>
      <c r="D1063" s="1" t="n">
        <v>45841</v>
      </c>
      <c r="E1063" s="1" t="n">
        <v>46292</v>
      </c>
      <c r="F1063" t="inlineStr">
        <is>
          <t>GÄVLEBORGS LÄN</t>
        </is>
      </c>
      <c r="G1063" t="inlineStr">
        <is>
          <t>LJUSDAL</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6073-2024</t>
        </is>
      </c>
      <c r="B1064" t="inlineStr">
        <is>
          <t>avverkningsanmälan</t>
        </is>
      </c>
      <c r="C1064" t="inlineStr">
        <is>
          <t>Föryngringsavverkning</t>
        </is>
      </c>
      <c r="D1064" s="1" t="n">
        <v>45336</v>
      </c>
      <c r="E1064" s="1" t="n">
        <v>46292</v>
      </c>
      <c r="F1064" t="inlineStr">
        <is>
          <t>GÄVLEBORGS LÄN</t>
        </is>
      </c>
      <c r="G1064" t="inlineStr">
        <is>
          <t>LJUSDAL</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33803-2025</t>
        </is>
      </c>
      <c r="B1065" t="inlineStr">
        <is>
          <t>avverkningsanmälan</t>
        </is>
      </c>
      <c r="C1065" t="inlineStr">
        <is>
          <t>Föryngringsavverkning</t>
        </is>
      </c>
      <c r="D1065" s="1" t="n">
        <v>45842</v>
      </c>
      <c r="E1065" s="1" t="n">
        <v>46292</v>
      </c>
      <c r="F1065" t="inlineStr">
        <is>
          <t>GÄVLEBORGS LÄN</t>
        </is>
      </c>
      <c r="G1065" t="inlineStr">
        <is>
          <t>LJUSDAL</t>
        </is>
      </c>
      <c r="H1065" t="inlineStr">
        <is>
          <t>Sveaskog</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33594-2025</t>
        </is>
      </c>
      <c r="B1066" t="inlineStr">
        <is>
          <t>avverkningsanmälan</t>
        </is>
      </c>
      <c r="C1066" t="inlineStr">
        <is>
          <t>Avverkning för annat ändamål</t>
        </is>
      </c>
      <c r="D1066" s="1" t="n">
        <v>45841</v>
      </c>
      <c r="E1066" s="1" t="n">
        <v>46292</v>
      </c>
      <c r="F1066" t="inlineStr">
        <is>
          <t>GÄVLEBORGS LÄN</t>
        </is>
      </c>
      <c r="G1066" t="inlineStr">
        <is>
          <t>LJUSDAL</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23542-2026</t>
        </is>
      </c>
      <c r="B1067" t="inlineStr">
        <is>
          <t>avverkningsanmälan</t>
        </is>
      </c>
      <c r="C1067" t="inlineStr">
        <is>
          <t>Föryngringsavverkning</t>
        </is>
      </c>
      <c r="D1067" s="1" t="n">
        <v>46163</v>
      </c>
      <c r="E1067" s="1" t="n">
        <v>46292</v>
      </c>
      <c r="F1067" t="inlineStr">
        <is>
          <t>GÄVLEBORGS LÄN</t>
        </is>
      </c>
      <c r="G1067" t="inlineStr">
        <is>
          <t>LJUSDAL</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34276-2025</t>
        </is>
      </c>
      <c r="B1068" t="inlineStr">
        <is>
          <t>avverkningsanmälan</t>
        </is>
      </c>
      <c r="C1068" t="inlineStr">
        <is>
          <t>Föryngringsavverkning</t>
        </is>
      </c>
      <c r="D1068" s="1" t="n">
        <v>45845</v>
      </c>
      <c r="E1068" s="1" t="n">
        <v>46292</v>
      </c>
      <c r="F1068" t="inlineStr">
        <is>
          <t>GÄVLEBORGS LÄN</t>
        </is>
      </c>
      <c r="G1068" t="inlineStr">
        <is>
          <t>LJUSDAL</t>
        </is>
      </c>
      <c r="H1068" t="inlineStr">
        <is>
          <t>Holmen skog AB</t>
        </is>
      </c>
      <c r="I1068" t="n">
        <v>33.7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23649-2026</t>
        </is>
      </c>
      <c r="B1069" t="inlineStr">
        <is>
          <t>avverkningsanmälan</t>
        </is>
      </c>
      <c r="C1069" t="inlineStr">
        <is>
          <t>Föryngringsavverkning</t>
        </is>
      </c>
      <c r="D1069" s="1" t="n">
        <v>46164</v>
      </c>
      <c r="E1069" s="1" t="n">
        <v>46292</v>
      </c>
      <c r="F1069" t="inlineStr">
        <is>
          <t>GÄVLEBORGS LÄN</t>
        </is>
      </c>
      <c r="G1069" t="inlineStr">
        <is>
          <t>LJUSDAL</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64601-2021</t>
        </is>
      </c>
      <c r="B1070" t="inlineStr">
        <is>
          <t>avverkningsanmälan</t>
        </is>
      </c>
      <c r="C1070" t="inlineStr">
        <is>
          <t>Föryngringsavverkning</t>
        </is>
      </c>
      <c r="D1070" s="1" t="n">
        <v>44511</v>
      </c>
      <c r="E1070" s="1" t="n">
        <v>46292</v>
      </c>
      <c r="F1070" t="inlineStr">
        <is>
          <t>GÄVLEBORGS LÄN</t>
        </is>
      </c>
      <c r="G1070" t="inlineStr">
        <is>
          <t>LJUSDAL</t>
        </is>
      </c>
      <c r="H1070" t="inlineStr">
        <is>
          <t>Kommuner</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23502-2026</t>
        </is>
      </c>
      <c r="B1071" t="inlineStr">
        <is>
          <t>avverkningsanmälan</t>
        </is>
      </c>
      <c r="C1071" t="inlineStr">
        <is>
          <t>Föryngringsavverkning</t>
        </is>
      </c>
      <c r="D1071" s="1" t="n">
        <v>46163</v>
      </c>
      <c r="E1071" s="1" t="n">
        <v>46292</v>
      </c>
      <c r="F1071" t="inlineStr">
        <is>
          <t>GÄVLEBORGS LÄN</t>
        </is>
      </c>
      <c r="G1071" t="inlineStr">
        <is>
          <t>LJUSDAL</t>
        </is>
      </c>
      <c r="H1071" t="inlineStr">
        <is>
          <t>Holmen skog AB</t>
        </is>
      </c>
      <c r="I1071" t="n">
        <v>5.6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29845-2023</t>
        </is>
      </c>
      <c r="B1072" t="inlineStr">
        <is>
          <t>avverkningsanmälan</t>
        </is>
      </c>
      <c r="C1072" t="inlineStr">
        <is>
          <t>Föryngringsavverkning</t>
        </is>
      </c>
      <c r="D1072" s="1" t="n">
        <v>45099</v>
      </c>
      <c r="E1072" s="1" t="n">
        <v>46292</v>
      </c>
      <c r="F1072" t="inlineStr">
        <is>
          <t>GÄVLEBORGS LÄN</t>
        </is>
      </c>
      <c r="G1072" t="inlineStr">
        <is>
          <t>LJUSDAL</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23671-2026</t>
        </is>
      </c>
      <c r="B1073" t="inlineStr">
        <is>
          <t>avverkningsanmälan</t>
        </is>
      </c>
      <c r="C1073" t="inlineStr">
        <is>
          <t>Föryngringsavverkning</t>
        </is>
      </c>
      <c r="D1073" s="1" t="n">
        <v>46164</v>
      </c>
      <c r="E1073" s="1" t="n">
        <v>46292</v>
      </c>
      <c r="F1073" t="inlineStr">
        <is>
          <t>GÄVLEBORGS LÄN</t>
        </is>
      </c>
      <c r="G1073" t="inlineStr">
        <is>
          <t>LJUSDAL</t>
        </is>
      </c>
      <c r="H1073" t="inlineStr">
        <is>
          <t>SCA</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23473-2026</t>
        </is>
      </c>
      <c r="B1074" t="inlineStr">
        <is>
          <t>avverkningsanmälan</t>
        </is>
      </c>
      <c r="C1074" t="inlineStr">
        <is>
          <t>Föryngringsavverkning</t>
        </is>
      </c>
      <c r="D1074" s="1" t="n">
        <v>46163</v>
      </c>
      <c r="E1074" s="1" t="n">
        <v>46292</v>
      </c>
      <c r="F1074" t="inlineStr">
        <is>
          <t>GÄVLEBORGS LÄN</t>
        </is>
      </c>
      <c r="G1074" t="inlineStr">
        <is>
          <t>LJUSDAL</t>
        </is>
      </c>
      <c r="H1074" t="inlineStr">
        <is>
          <t>Holmen skog AB</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34658-2025</t>
        </is>
      </c>
      <c r="B1075" t="inlineStr">
        <is>
          <t>avverkningsanmälan</t>
        </is>
      </c>
      <c r="C1075" t="inlineStr">
        <is>
          <t>Föryngringsavverkning</t>
        </is>
      </c>
      <c r="D1075" s="1" t="n">
        <v>45848</v>
      </c>
      <c r="E1075" s="1" t="n">
        <v>46292</v>
      </c>
      <c r="F1075" t="inlineStr">
        <is>
          <t>GÄVLEBORGS LÄN</t>
        </is>
      </c>
      <c r="G1075" t="inlineStr">
        <is>
          <t>LJUSDAL</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34652-2025</t>
        </is>
      </c>
      <c r="B1076" t="inlineStr">
        <is>
          <t>avverkningsanmälan</t>
        </is>
      </c>
      <c r="C1076" t="inlineStr">
        <is>
          <t>Föryngringsavverkning</t>
        </is>
      </c>
      <c r="D1076" s="1" t="n">
        <v>45848</v>
      </c>
      <c r="E1076" s="1" t="n">
        <v>46292</v>
      </c>
      <c r="F1076" t="inlineStr">
        <is>
          <t>GÄVLEBORGS LÄN</t>
        </is>
      </c>
      <c r="G1076" t="inlineStr">
        <is>
          <t>LJUSDAL</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28003-2024</t>
        </is>
      </c>
      <c r="B1077" t="inlineStr">
        <is>
          <t>avverkningsanmälan</t>
        </is>
      </c>
      <c r="C1077" t="inlineStr">
        <is>
          <t>Avverkning för annat ändamål</t>
        </is>
      </c>
      <c r="D1077" s="1" t="n">
        <v>45476</v>
      </c>
      <c r="E1077" s="1" t="n">
        <v>46292</v>
      </c>
      <c r="F1077" t="inlineStr">
        <is>
          <t>GÄVLEBORGS LÄN</t>
        </is>
      </c>
      <c r="G1077" t="inlineStr">
        <is>
          <t>LJUSDAL</t>
        </is>
      </c>
      <c r="H1077" t="inlineStr">
        <is>
          <t>Allmännings- och besparingsskogar</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35088-2025</t>
        </is>
      </c>
      <c r="B1078" t="inlineStr">
        <is>
          <t>avverkningsanmälan</t>
        </is>
      </c>
      <c r="C1078" t="inlineStr">
        <is>
          <t>Föryngringsavverkning</t>
        </is>
      </c>
      <c r="D1078" s="1" t="n">
        <v>45852</v>
      </c>
      <c r="E1078" s="1" t="n">
        <v>46292</v>
      </c>
      <c r="F1078" t="inlineStr">
        <is>
          <t>GÄVLEBORGS LÄN</t>
        </is>
      </c>
      <c r="G1078" t="inlineStr">
        <is>
          <t>LJUSDAL</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35052-2025</t>
        </is>
      </c>
      <c r="B1079" t="inlineStr">
        <is>
          <t>avverkningsanmälan</t>
        </is>
      </c>
      <c r="C1079" t="inlineStr">
        <is>
          <t>Föryngringsavverkning</t>
        </is>
      </c>
      <c r="D1079" s="1" t="n">
        <v>45852</v>
      </c>
      <c r="E1079" s="1" t="n">
        <v>46292</v>
      </c>
      <c r="F1079" t="inlineStr">
        <is>
          <t>GÄVLEBORGS LÄN</t>
        </is>
      </c>
      <c r="G1079" t="inlineStr">
        <is>
          <t>LJUSDAL</t>
        </is>
      </c>
      <c r="H1079" t="inlineStr">
        <is>
          <t>Bergvik skog väst AB</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3954-2026</t>
        </is>
      </c>
      <c r="B1080" t="inlineStr">
        <is>
          <t>avverkningsanmälan</t>
        </is>
      </c>
      <c r="C1080" t="inlineStr">
        <is>
          <t>Föryngringsavverkning</t>
        </is>
      </c>
      <c r="D1080" s="1" t="n">
        <v>46044</v>
      </c>
      <c r="E1080" s="1" t="n">
        <v>46292</v>
      </c>
      <c r="F1080" t="inlineStr">
        <is>
          <t>GÄVLEBORGS LÄN</t>
        </is>
      </c>
      <c r="G1080" t="inlineStr">
        <is>
          <t>LJUSDAL</t>
        </is>
      </c>
      <c r="I1080" t="n">
        <v>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24195-2026</t>
        </is>
      </c>
      <c r="B1081" t="inlineStr">
        <is>
          <t>avverkningsanmälan</t>
        </is>
      </c>
      <c r="C1081" t="inlineStr">
        <is>
          <t>Föryngringsavverkning</t>
        </is>
      </c>
      <c r="D1081" s="1" t="n">
        <v>46168</v>
      </c>
      <c r="E1081" s="1" t="n">
        <v>46292</v>
      </c>
      <c r="F1081" t="inlineStr">
        <is>
          <t>GÄVLEBORGS LÄN</t>
        </is>
      </c>
      <c r="G1081" t="inlineStr">
        <is>
          <t>LJUSDAL</t>
        </is>
      </c>
      <c r="H1081" t="inlineStr">
        <is>
          <t>SCA</t>
        </is>
      </c>
      <c r="I1081" t="n">
        <v>18.2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39417-2024</t>
        </is>
      </c>
      <c r="B1082" t="inlineStr">
        <is>
          <t>avverkningsanmälan</t>
        </is>
      </c>
      <c r="C1082" t="inlineStr">
        <is>
          <t>Avverkning för annat ändamål</t>
        </is>
      </c>
      <c r="D1082" s="1" t="n">
        <v>45551</v>
      </c>
      <c r="E1082" s="1" t="n">
        <v>46292</v>
      </c>
      <c r="F1082" t="inlineStr">
        <is>
          <t>GÄVLEBORGS LÄN</t>
        </is>
      </c>
      <c r="G1082" t="inlineStr">
        <is>
          <t>LJUSDAL</t>
        </is>
      </c>
      <c r="I1082" t="n">
        <v>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14263-2024</t>
        </is>
      </c>
      <c r="B1083" t="inlineStr">
        <is>
          <t>avverkningsanmälan</t>
        </is>
      </c>
      <c r="C1083" t="inlineStr">
        <is>
          <t>Föryngringsavverkning</t>
        </is>
      </c>
      <c r="D1083" s="1" t="n">
        <v>45393</v>
      </c>
      <c r="E1083" s="1" t="n">
        <v>46292</v>
      </c>
      <c r="F1083" t="inlineStr">
        <is>
          <t>GÄVLEBORGS LÄN</t>
        </is>
      </c>
      <c r="G1083" t="inlineStr">
        <is>
          <t>LJUSDAL</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35357-2025</t>
        </is>
      </c>
      <c r="B1084" t="inlineStr">
        <is>
          <t>avverkningsanmälan</t>
        </is>
      </c>
      <c r="C1084" t="inlineStr">
        <is>
          <t>Avverkning för annat ändamål</t>
        </is>
      </c>
      <c r="D1084" s="1" t="n">
        <v>45853</v>
      </c>
      <c r="E1084" s="1" t="n">
        <v>46292</v>
      </c>
      <c r="F1084" t="inlineStr">
        <is>
          <t>GÄVLEBORGS LÄN</t>
        </is>
      </c>
      <c r="G1084" t="inlineStr">
        <is>
          <t>LJUSDAL</t>
        </is>
      </c>
      <c r="H1084" t="inlineStr">
        <is>
          <t>Sveaskog</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35255-2025</t>
        </is>
      </c>
      <c r="B1085" t="inlineStr">
        <is>
          <t>avverkningsanmälan</t>
        </is>
      </c>
      <c r="C1085" t="inlineStr">
        <is>
          <t>Avverkning för annat ändamål</t>
        </is>
      </c>
      <c r="D1085" s="1" t="n">
        <v>45853</v>
      </c>
      <c r="E1085" s="1" t="n">
        <v>46292</v>
      </c>
      <c r="F1085" t="inlineStr">
        <is>
          <t>GÄVLEBORGS LÄN</t>
        </is>
      </c>
      <c r="G1085" t="inlineStr">
        <is>
          <t>LJUSDAL</t>
        </is>
      </c>
      <c r="H1085" t="inlineStr">
        <is>
          <t>Sveaskog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62095-2023</t>
        </is>
      </c>
      <c r="B1086" t="inlineStr">
        <is>
          <t>avverkningsanmälan</t>
        </is>
      </c>
      <c r="C1086" t="inlineStr">
        <is>
          <t>Avverkning för annat ändamål</t>
        </is>
      </c>
      <c r="D1086" s="1" t="n">
        <v>45266</v>
      </c>
      <c r="E1086" s="1" t="n">
        <v>46292</v>
      </c>
      <c r="F1086" t="inlineStr">
        <is>
          <t>GÄVLEBORGS LÄN</t>
        </is>
      </c>
      <c r="G1086" t="inlineStr">
        <is>
          <t>LJUSDAL</t>
        </is>
      </c>
      <c r="I1086" t="n">
        <v>0.2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24117-2026</t>
        </is>
      </c>
      <c r="B1087" t="inlineStr">
        <is>
          <t>avverkningsanmälan</t>
        </is>
      </c>
      <c r="C1087" t="inlineStr">
        <is>
          <t>Föryngringsavverkning</t>
        </is>
      </c>
      <c r="D1087" s="1" t="n">
        <v>46168</v>
      </c>
      <c r="E1087" s="1" t="n">
        <v>46292</v>
      </c>
      <c r="F1087" t="inlineStr">
        <is>
          <t>GÄVLEBORGS LÄN</t>
        </is>
      </c>
      <c r="G1087" t="inlineStr">
        <is>
          <t>LJUSDAL</t>
        </is>
      </c>
      <c r="H1087" t="inlineStr">
        <is>
          <t>Sveaskog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35029-2024</t>
        </is>
      </c>
      <c r="B1088" t="inlineStr">
        <is>
          <t>avverkningsanmälan</t>
        </is>
      </c>
      <c r="C1088" t="inlineStr">
        <is>
          <t>Föryngringsavverkning</t>
        </is>
      </c>
      <c r="D1088" s="1" t="n">
        <v>45527</v>
      </c>
      <c r="E1088" s="1" t="n">
        <v>46292</v>
      </c>
      <c r="F1088" t="inlineStr">
        <is>
          <t>GÄVLEBORGS LÄN</t>
        </is>
      </c>
      <c r="G1088" t="inlineStr">
        <is>
          <t>LJUSDAL</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36378-2023</t>
        </is>
      </c>
      <c r="B1089" t="inlineStr">
        <is>
          <t>avverkningsanmälan</t>
        </is>
      </c>
      <c r="C1089" t="inlineStr">
        <is>
          <t>Föryngringsavverkning</t>
        </is>
      </c>
      <c r="D1089" s="1" t="n">
        <v>45152</v>
      </c>
      <c r="E1089" s="1" t="n">
        <v>46292</v>
      </c>
      <c r="F1089" t="inlineStr">
        <is>
          <t>GÄVLEBORGS LÄN</t>
        </is>
      </c>
      <c r="G1089" t="inlineStr">
        <is>
          <t>LJUSDAL</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4221-2024</t>
        </is>
      </c>
      <c r="B1090" t="inlineStr">
        <is>
          <t>avverkningsanmälan</t>
        </is>
      </c>
      <c r="C1090" t="inlineStr">
        <is>
          <t>Föryngringsavverkning</t>
        </is>
      </c>
      <c r="D1090" s="1" t="n">
        <v>45324</v>
      </c>
      <c r="E1090" s="1" t="n">
        <v>46292</v>
      </c>
      <c r="F1090" t="inlineStr">
        <is>
          <t>GÄVLEBORGS LÄN</t>
        </is>
      </c>
      <c r="G1090" t="inlineStr">
        <is>
          <t>LJUSDAL</t>
        </is>
      </c>
      <c r="I1090" t="n">
        <v>14.5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57344-2021</t>
        </is>
      </c>
      <c r="B1091" t="inlineStr">
        <is>
          <t>avverkningsanmälan</t>
        </is>
      </c>
      <c r="C1091" t="inlineStr">
        <is>
          <t>Föryngringsavverkning</t>
        </is>
      </c>
      <c r="D1091" s="1" t="n">
        <v>44483</v>
      </c>
      <c r="E1091" s="1" t="n">
        <v>46292</v>
      </c>
      <c r="F1091" t="inlineStr">
        <is>
          <t>GÄVLEBORGS LÄN</t>
        </is>
      </c>
      <c r="G1091" t="inlineStr">
        <is>
          <t>LJUSDAL</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24599-2026</t>
        </is>
      </c>
      <c r="B1092" t="inlineStr">
        <is>
          <t>avverkningsanmälan</t>
        </is>
      </c>
      <c r="C1092" t="inlineStr">
        <is>
          <t>Föryngringsavverkning</t>
        </is>
      </c>
      <c r="D1092" s="1" t="n">
        <v>46170</v>
      </c>
      <c r="E1092" s="1" t="n">
        <v>46292</v>
      </c>
      <c r="F1092" t="inlineStr">
        <is>
          <t>GÄVLEBORGS LÄN</t>
        </is>
      </c>
      <c r="G1092" t="inlineStr">
        <is>
          <t>LJUSDAL</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11199-2025</t>
        </is>
      </c>
      <c r="B1093" t="inlineStr">
        <is>
          <t>avverkningsanmälan</t>
        </is>
      </c>
      <c r="C1093" t="inlineStr">
        <is>
          <t>Föryngringsavverkning</t>
        </is>
      </c>
      <c r="D1093" s="1" t="n">
        <v>45725</v>
      </c>
      <c r="E1093" s="1" t="n">
        <v>46292</v>
      </c>
      <c r="F1093" t="inlineStr">
        <is>
          <t>GÄVLEBORGS LÄN</t>
        </is>
      </c>
      <c r="G1093" t="inlineStr">
        <is>
          <t>LJUSDAL</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60251-2025</t>
        </is>
      </c>
      <c r="B1094" t="inlineStr">
        <is>
          <t>avverkningsanmälan</t>
        </is>
      </c>
      <c r="C1094" t="inlineStr">
        <is>
          <t>Föryngringsavverkning</t>
        </is>
      </c>
      <c r="D1094" s="1" t="n">
        <v>45994</v>
      </c>
      <c r="E1094" s="1" t="n">
        <v>46292</v>
      </c>
      <c r="F1094" t="inlineStr">
        <is>
          <t>GÄVLEBORGS LÄN</t>
        </is>
      </c>
      <c r="G1094" t="inlineStr">
        <is>
          <t>LJUSDAL</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13822-2024</t>
        </is>
      </c>
      <c r="B1095" t="inlineStr">
        <is>
          <t>avverkningsanmälan</t>
        </is>
      </c>
      <c r="C1095" t="inlineStr">
        <is>
          <t>Föryngringsavverkning</t>
        </is>
      </c>
      <c r="D1095" s="1" t="n">
        <v>45391</v>
      </c>
      <c r="E1095" s="1" t="n">
        <v>46292</v>
      </c>
      <c r="F1095" t="inlineStr">
        <is>
          <t>GÄVLEBORGS LÄN</t>
        </is>
      </c>
      <c r="G1095" t="inlineStr">
        <is>
          <t>LJUSDAL</t>
        </is>
      </c>
      <c r="H1095" t="inlineStr">
        <is>
          <t>Kommuner</t>
        </is>
      </c>
      <c r="I1095" t="n">
        <v>3.8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4195-2023</t>
        </is>
      </c>
      <c r="B1096" t="inlineStr">
        <is>
          <t>avverkningsanmälan</t>
        </is>
      </c>
      <c r="C1096" t="inlineStr">
        <is>
          <t>Föryngringsavverkning</t>
        </is>
      </c>
      <c r="D1096" s="1" t="n">
        <v>44953</v>
      </c>
      <c r="E1096" s="1" t="n">
        <v>46292</v>
      </c>
      <c r="F1096" t="inlineStr">
        <is>
          <t>GÄVLEBORGS LÄN</t>
        </is>
      </c>
      <c r="G1096" t="inlineStr">
        <is>
          <t>LJUSDAL</t>
        </is>
      </c>
      <c r="H1096" t="inlineStr">
        <is>
          <t>Holmen skog AB</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36658-2024</t>
        </is>
      </c>
      <c r="B1097" t="inlineStr">
        <is>
          <t>avverkningsanmälan</t>
        </is>
      </c>
      <c r="C1097" t="inlineStr">
        <is>
          <t>Föryngringsavverkning</t>
        </is>
      </c>
      <c r="D1097" s="1" t="n">
        <v>45537</v>
      </c>
      <c r="E1097" s="1" t="n">
        <v>46292</v>
      </c>
      <c r="F1097" t="inlineStr">
        <is>
          <t>GÄVLEBORGS LÄN</t>
        </is>
      </c>
      <c r="G1097" t="inlineStr">
        <is>
          <t>LJUSDAL</t>
        </is>
      </c>
      <c r="H1097" t="inlineStr">
        <is>
          <t>Holmen skog AB</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51247-2024</t>
        </is>
      </c>
      <c r="B1098" t="inlineStr">
        <is>
          <t>avverkningsanmälan</t>
        </is>
      </c>
      <c r="C1098" t="inlineStr">
        <is>
          <t>Föryngringsavverkning</t>
        </is>
      </c>
      <c r="D1098" s="1" t="n">
        <v>45603</v>
      </c>
      <c r="E1098" s="1" t="n">
        <v>46292</v>
      </c>
      <c r="F1098" t="inlineStr">
        <is>
          <t>GÄVLEBORGS LÄN</t>
        </is>
      </c>
      <c r="G1098" t="inlineStr">
        <is>
          <t>LJUSDAL</t>
        </is>
      </c>
      <c r="H1098" t="inlineStr">
        <is>
          <t>Kommuner</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67794-2021</t>
        </is>
      </c>
      <c r="B1099" t="inlineStr">
        <is>
          <t>avverkningsanmälan</t>
        </is>
      </c>
      <c r="C1099" t="inlineStr">
        <is>
          <t>Föryngringsavverkning</t>
        </is>
      </c>
      <c r="D1099" s="1" t="n">
        <v>44525</v>
      </c>
      <c r="E1099" s="1" t="n">
        <v>46292</v>
      </c>
      <c r="F1099" t="inlineStr">
        <is>
          <t>GÄVLEBORGS LÄN</t>
        </is>
      </c>
      <c r="G1099" t="inlineStr">
        <is>
          <t>LJUSDAL</t>
        </is>
      </c>
      <c r="H1099" t="inlineStr">
        <is>
          <t>Allmännings- och besparingsskogar</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24198-2026</t>
        </is>
      </c>
      <c r="B1100" t="inlineStr">
        <is>
          <t>avverkningsanmälan</t>
        </is>
      </c>
      <c r="C1100" t="inlineStr">
        <is>
          <t>Föryngringsavverkning</t>
        </is>
      </c>
      <c r="D1100" s="1" t="n">
        <v>46168</v>
      </c>
      <c r="E1100" s="1" t="n">
        <v>46292</v>
      </c>
      <c r="F1100" t="inlineStr">
        <is>
          <t>GÄVLEBORGS LÄN</t>
        </is>
      </c>
      <c r="G1100" t="inlineStr">
        <is>
          <t>LJUSDAL</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13337-2024</t>
        </is>
      </c>
      <c r="B1101" t="inlineStr">
        <is>
          <t>avverkningsanmälan</t>
        </is>
      </c>
      <c r="C1101" t="inlineStr">
        <is>
          <t>Avverkning för annat ändamål</t>
        </is>
      </c>
      <c r="D1101" s="1" t="n">
        <v>45386</v>
      </c>
      <c r="E1101" s="1" t="n">
        <v>46292</v>
      </c>
      <c r="F1101" t="inlineStr">
        <is>
          <t>GÄVLEBORGS LÄN</t>
        </is>
      </c>
      <c r="G1101" t="inlineStr">
        <is>
          <t>LJUSDAL</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48149-2024</t>
        </is>
      </c>
      <c r="B1102" t="inlineStr">
        <is>
          <t>avverkningsanmälan</t>
        </is>
      </c>
      <c r="C1102" t="inlineStr">
        <is>
          <t>Föryngringsavverkning</t>
        </is>
      </c>
      <c r="D1102" s="1" t="n">
        <v>45589</v>
      </c>
      <c r="E1102" s="1" t="n">
        <v>46292</v>
      </c>
      <c r="F1102" t="inlineStr">
        <is>
          <t>GÄVLEBORGS LÄN</t>
        </is>
      </c>
      <c r="G1102" t="inlineStr">
        <is>
          <t>LJUSDAL</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36061-2025</t>
        </is>
      </c>
      <c r="B1103" t="inlineStr">
        <is>
          <t>avverkningsanmälan</t>
        </is>
      </c>
      <c r="C1103" t="inlineStr">
        <is>
          <t>Föryngringsavverkning</t>
        </is>
      </c>
      <c r="D1103" s="1" t="n">
        <v>45866</v>
      </c>
      <c r="E1103" s="1" t="n">
        <v>46292</v>
      </c>
      <c r="F1103" t="inlineStr">
        <is>
          <t>GÄVLEBORGS LÄN</t>
        </is>
      </c>
      <c r="G1103" t="inlineStr">
        <is>
          <t>LJUSDAL</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36047-2025</t>
        </is>
      </c>
      <c r="B1104" t="inlineStr">
        <is>
          <t>avverkningsanmälan</t>
        </is>
      </c>
      <c r="C1104" t="inlineStr">
        <is>
          <t>Föryngringsavverkning</t>
        </is>
      </c>
      <c r="D1104" s="1" t="n">
        <v>45866</v>
      </c>
      <c r="E1104" s="1" t="n">
        <v>46292</v>
      </c>
      <c r="F1104" t="inlineStr">
        <is>
          <t>GÄVLEBORGS LÄN</t>
        </is>
      </c>
      <c r="G1104" t="inlineStr">
        <is>
          <t>LJUSDAL</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25181-2026</t>
        </is>
      </c>
      <c r="B1105" t="inlineStr">
        <is>
          <t>avverkningsanmälan</t>
        </is>
      </c>
      <c r="C1105" t="inlineStr">
        <is>
          <t>Föryngringsavverkning</t>
        </is>
      </c>
      <c r="D1105" s="1" t="n">
        <v>46175</v>
      </c>
      <c r="E1105" s="1" t="n">
        <v>46292</v>
      </c>
      <c r="F1105" t="inlineStr">
        <is>
          <t>GÄVLEBORGS LÄN</t>
        </is>
      </c>
      <c r="G1105" t="inlineStr">
        <is>
          <t>LJUSDAL</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24840-2026</t>
        </is>
      </c>
      <c r="B1106" t="inlineStr">
        <is>
          <t>avverkningsanmälan</t>
        </is>
      </c>
      <c r="C1106" t="inlineStr">
        <is>
          <t>Föryngringsavverkning</t>
        </is>
      </c>
      <c r="D1106" s="1" t="n">
        <v>46174</v>
      </c>
      <c r="E1106" s="1" t="n">
        <v>46292</v>
      </c>
      <c r="F1106" t="inlineStr">
        <is>
          <t>GÄVLEBORGS LÄN</t>
        </is>
      </c>
      <c r="G1106" t="inlineStr">
        <is>
          <t>LJUSDAL</t>
        </is>
      </c>
      <c r="H1106" t="inlineStr">
        <is>
          <t>SCA</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36213-2025</t>
        </is>
      </c>
      <c r="B1107" t="inlineStr">
        <is>
          <t>avverkningsanmälan</t>
        </is>
      </c>
      <c r="C1107" t="inlineStr">
        <is>
          <t>Föryngringsavverkning</t>
        </is>
      </c>
      <c r="D1107" s="1" t="n">
        <v>45867</v>
      </c>
      <c r="E1107" s="1" t="n">
        <v>46292</v>
      </c>
      <c r="F1107" t="inlineStr">
        <is>
          <t>GÄVLEBORGS LÄN</t>
        </is>
      </c>
      <c r="G1107" t="inlineStr">
        <is>
          <t>LJUSDAL</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24936-2026</t>
        </is>
      </c>
      <c r="B1108" t="inlineStr">
        <is>
          <t>avverkningsanmälan</t>
        </is>
      </c>
      <c r="C1108" t="inlineStr">
        <is>
          <t>Föryngringsavverkning</t>
        </is>
      </c>
      <c r="D1108" s="1" t="n">
        <v>46174</v>
      </c>
      <c r="E1108" s="1" t="n">
        <v>46292</v>
      </c>
      <c r="F1108" t="inlineStr">
        <is>
          <t>GÄVLEBORGS LÄN</t>
        </is>
      </c>
      <c r="G1108" t="inlineStr">
        <is>
          <t>LJUSDAL</t>
        </is>
      </c>
      <c r="H1108" t="inlineStr">
        <is>
          <t>SCA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64018-2023</t>
        </is>
      </c>
      <c r="B1109" t="inlineStr">
        <is>
          <t>avverkningsanmälan</t>
        </is>
      </c>
      <c r="C1109" t="inlineStr">
        <is>
          <t>Föryngringsavverkning</t>
        </is>
      </c>
      <c r="D1109" s="1" t="n">
        <v>45278</v>
      </c>
      <c r="E1109" s="1" t="n">
        <v>46292</v>
      </c>
      <c r="F1109" t="inlineStr">
        <is>
          <t>GÄVLEBORGS LÄN</t>
        </is>
      </c>
      <c r="G1109" t="inlineStr">
        <is>
          <t>LJUSDAL</t>
        </is>
      </c>
      <c r="I1109" t="n">
        <v>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25570-2024</t>
        </is>
      </c>
      <c r="B1110" t="inlineStr">
        <is>
          <t>avverkningsanmälan</t>
        </is>
      </c>
      <c r="C1110" t="inlineStr">
        <is>
          <t>Föryngringsavverkning</t>
        </is>
      </c>
      <c r="D1110" s="1" t="n">
        <v>45463</v>
      </c>
      <c r="E1110" s="1" t="n">
        <v>46292</v>
      </c>
      <c r="F1110" t="inlineStr">
        <is>
          <t>GÄVLEBORGS LÄN</t>
        </is>
      </c>
      <c r="G1110" t="inlineStr">
        <is>
          <t>LJUSDAL</t>
        </is>
      </c>
      <c r="H1110" t="inlineStr">
        <is>
          <t>Sveaskog</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33850-2023</t>
        </is>
      </c>
      <c r="B1111" t="inlineStr">
        <is>
          <t>avverkningsanmälan</t>
        </is>
      </c>
      <c r="C1111" t="inlineStr">
        <is>
          <t>Föryngringsavverkning</t>
        </is>
      </c>
      <c r="D1111" s="1" t="n">
        <v>45133</v>
      </c>
      <c r="E1111" s="1" t="n">
        <v>46292</v>
      </c>
      <c r="F1111" t="inlineStr">
        <is>
          <t>GÄVLEBORGS LÄN</t>
        </is>
      </c>
      <c r="G1111" t="inlineStr">
        <is>
          <t>LJUSDAL</t>
        </is>
      </c>
      <c r="H1111" t="inlineStr">
        <is>
          <t>Holmen skog AB</t>
        </is>
      </c>
      <c r="I1111" t="n">
        <v>5.4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54595-2023</t>
        </is>
      </c>
      <c r="B1112" t="inlineStr">
        <is>
          <t>avverkningsanmälan</t>
        </is>
      </c>
      <c r="C1112" t="inlineStr">
        <is>
          <t>Föryngringsavverkning</t>
        </is>
      </c>
      <c r="D1112" s="1" t="n">
        <v>45233</v>
      </c>
      <c r="E1112" s="1" t="n">
        <v>46292</v>
      </c>
      <c r="F1112" t="inlineStr">
        <is>
          <t>GÄVLEBORGS LÄN</t>
        </is>
      </c>
      <c r="G1112" t="inlineStr">
        <is>
          <t>LJUSDAL</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12004-2023</t>
        </is>
      </c>
      <c r="B1113" t="inlineStr">
        <is>
          <t>avverkningsanmälan</t>
        </is>
      </c>
      <c r="C1113" t="inlineStr">
        <is>
          <t>Föryngringsavverkning</t>
        </is>
      </c>
      <c r="D1113" s="1" t="n">
        <v>44995</v>
      </c>
      <c r="E1113" s="1" t="n">
        <v>46292</v>
      </c>
      <c r="F1113" t="inlineStr">
        <is>
          <t>GÄVLEBORGS LÄN</t>
        </is>
      </c>
      <c r="G1113" t="inlineStr">
        <is>
          <t>LJUSDAL</t>
        </is>
      </c>
      <c r="H1113" t="inlineStr">
        <is>
          <t>Holmen skog AB</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12855-2024</t>
        </is>
      </c>
      <c r="B1114" t="inlineStr">
        <is>
          <t>avverkningsanmälan</t>
        </is>
      </c>
      <c r="C1114" t="inlineStr">
        <is>
          <t>Föryngringsavverkning</t>
        </is>
      </c>
      <c r="D1114" s="1" t="n">
        <v>45384</v>
      </c>
      <c r="E1114" s="1" t="n">
        <v>46292</v>
      </c>
      <c r="F1114" t="inlineStr">
        <is>
          <t>GÄVLEBORGS LÄN</t>
        </is>
      </c>
      <c r="G1114" t="inlineStr">
        <is>
          <t>LJUSDAL</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31415-2024</t>
        </is>
      </c>
      <c r="B1115" t="inlineStr">
        <is>
          <t>avverkningsanmälan</t>
        </is>
      </c>
      <c r="C1115" t="inlineStr">
        <is>
          <t>Föryngringsavverkning</t>
        </is>
      </c>
      <c r="D1115" s="1" t="n">
        <v>45505</v>
      </c>
      <c r="E1115" s="1" t="n">
        <v>46292</v>
      </c>
      <c r="F1115" t="inlineStr">
        <is>
          <t>GÄVLEBORGS LÄN</t>
        </is>
      </c>
      <c r="G1115" t="inlineStr">
        <is>
          <t>LJUSDAL</t>
        </is>
      </c>
      <c r="H1115" t="inlineStr">
        <is>
          <t>Sveaskog</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5883-2026</t>
        </is>
      </c>
      <c r="B1116" t="inlineStr">
        <is>
          <t>avverkningsanmälan</t>
        </is>
      </c>
      <c r="C1116" t="inlineStr">
        <is>
          <t>Föryngringsavverkning</t>
        </is>
      </c>
      <c r="D1116" s="1" t="n">
        <v>46052</v>
      </c>
      <c r="E1116" s="1" t="n">
        <v>46292</v>
      </c>
      <c r="F1116" t="inlineStr">
        <is>
          <t>GÄVLEBORGS LÄN</t>
        </is>
      </c>
      <c r="G1116" t="inlineStr">
        <is>
          <t>LJUSDAL</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52729-2023</t>
        </is>
      </c>
      <c r="B1117" t="inlineStr">
        <is>
          <t>avverkningsanmälan</t>
        </is>
      </c>
      <c r="C1117" t="inlineStr">
        <is>
          <t>Föryngringsavverkning</t>
        </is>
      </c>
      <c r="D1117" s="1" t="n">
        <v>45225</v>
      </c>
      <c r="E1117" s="1" t="n">
        <v>46292</v>
      </c>
      <c r="F1117" t="inlineStr">
        <is>
          <t>GÄVLEBORGS LÄN</t>
        </is>
      </c>
      <c r="G1117" t="inlineStr">
        <is>
          <t>LJUSDAL</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21132-2026</t>
        </is>
      </c>
      <c r="B1118" t="inlineStr">
        <is>
          <t>avverkningsanmälan</t>
        </is>
      </c>
      <c r="C1118" t="inlineStr">
        <is>
          <t>Avverkning för annat ändamål</t>
        </is>
      </c>
      <c r="D1118" s="1" t="n">
        <v>46146</v>
      </c>
      <c r="E1118" s="1" t="n">
        <v>46292</v>
      </c>
      <c r="F1118" t="inlineStr">
        <is>
          <t>GÄVLEBORGS LÄN</t>
        </is>
      </c>
      <c r="G1118" t="inlineStr">
        <is>
          <t>LJUSDAL</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23918-2025</t>
        </is>
      </c>
      <c r="B1119" t="inlineStr">
        <is>
          <t>avverkningsanmälan</t>
        </is>
      </c>
      <c r="C1119" t="inlineStr">
        <is>
          <t>Föryngringsavverkning</t>
        </is>
      </c>
      <c r="D1119" s="1" t="n">
        <v>45795</v>
      </c>
      <c r="E1119" s="1" t="n">
        <v>46292</v>
      </c>
      <c r="F1119" t="inlineStr">
        <is>
          <t>GÄVLEBORGS LÄN</t>
        </is>
      </c>
      <c r="G1119" t="inlineStr">
        <is>
          <t>LJUSDAL</t>
        </is>
      </c>
      <c r="H1119" t="inlineStr">
        <is>
          <t>SCA</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6181-2026</t>
        </is>
      </c>
      <c r="B1120" t="inlineStr">
        <is>
          <t>avverkningsanmälan</t>
        </is>
      </c>
      <c r="C1120" t="inlineStr">
        <is>
          <t>Föryngringsavverkning</t>
        </is>
      </c>
      <c r="D1120" s="1" t="n">
        <v>46055</v>
      </c>
      <c r="E1120" s="1" t="n">
        <v>46292</v>
      </c>
      <c r="F1120" t="inlineStr">
        <is>
          <t>GÄVLEBORGS LÄN</t>
        </is>
      </c>
      <c r="G1120" t="inlineStr">
        <is>
          <t>LJUSDAL</t>
        </is>
      </c>
      <c r="H1120" t="inlineStr">
        <is>
          <t>Holmen skog AB</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36079-2025</t>
        </is>
      </c>
      <c r="B1121" t="inlineStr">
        <is>
          <t>avverkningsanmälan</t>
        </is>
      </c>
      <c r="C1121" t="inlineStr">
        <is>
          <t>Föryngringsavverkning</t>
        </is>
      </c>
      <c r="D1121" s="1" t="n">
        <v>45866</v>
      </c>
      <c r="E1121" s="1" t="n">
        <v>46292</v>
      </c>
      <c r="F1121" t="inlineStr">
        <is>
          <t>GÄVLEBORGS LÄN</t>
        </is>
      </c>
      <c r="G1121" t="inlineStr">
        <is>
          <t>LJUSDAL</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5912-2023</t>
        </is>
      </c>
      <c r="B1122" t="inlineStr">
        <is>
          <t>avverkningsanmälan</t>
        </is>
      </c>
      <c r="C1122" t="inlineStr">
        <is>
          <t>Föryngringsavverkning</t>
        </is>
      </c>
      <c r="D1122" s="1" t="n">
        <v>44963</v>
      </c>
      <c r="E1122" s="1" t="n">
        <v>46292</v>
      </c>
      <c r="F1122" t="inlineStr">
        <is>
          <t>GÄVLEBORGS LÄN</t>
        </is>
      </c>
      <c r="G1122" t="inlineStr">
        <is>
          <t>LJUSDAL</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21756-2024</t>
        </is>
      </c>
      <c r="B1123" t="inlineStr">
        <is>
          <t>avverkningsanmälan</t>
        </is>
      </c>
      <c r="C1123" t="inlineStr">
        <is>
          <t>Avverkning för annat ändamål</t>
        </is>
      </c>
      <c r="D1123" s="1" t="n">
        <v>45442</v>
      </c>
      <c r="E1123" s="1" t="n">
        <v>46292</v>
      </c>
      <c r="F1123" t="inlineStr">
        <is>
          <t>GÄVLEBORGS LÄN</t>
        </is>
      </c>
      <c r="G1123" t="inlineStr">
        <is>
          <t>LJUSDAL</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26106-2024</t>
        </is>
      </c>
      <c r="B1124" t="inlineStr">
        <is>
          <t>avverkningsanmälan</t>
        </is>
      </c>
      <c r="C1124" t="inlineStr">
        <is>
          <t>Föryngringsavverkning</t>
        </is>
      </c>
      <c r="D1124" s="1" t="n">
        <v>45468</v>
      </c>
      <c r="E1124" s="1" t="n">
        <v>46292</v>
      </c>
      <c r="F1124" t="inlineStr">
        <is>
          <t>GÄVLEBORGS LÄN</t>
        </is>
      </c>
      <c r="G1124" t="inlineStr">
        <is>
          <t>LJUSDAL</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25764-2026</t>
        </is>
      </c>
      <c r="B1125" t="inlineStr">
        <is>
          <t>avverkningsanmälan</t>
        </is>
      </c>
      <c r="C1125" t="inlineStr">
        <is>
          <t>Föryngringsavverkning</t>
        </is>
      </c>
      <c r="D1125" s="1" t="n">
        <v>46178</v>
      </c>
      <c r="E1125" s="1" t="n">
        <v>46292</v>
      </c>
      <c r="F1125" t="inlineStr">
        <is>
          <t>GÄVLEBORGS LÄN</t>
        </is>
      </c>
      <c r="G1125" t="inlineStr">
        <is>
          <t>LJUSDAL</t>
        </is>
      </c>
      <c r="H1125" t="inlineStr">
        <is>
          <t>Holmen skog AB</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25773-2026</t>
        </is>
      </c>
      <c r="B1126" t="inlineStr">
        <is>
          <t>avverkningsanmälan</t>
        </is>
      </c>
      <c r="C1126" t="inlineStr">
        <is>
          <t>Föryngringsavverkning</t>
        </is>
      </c>
      <c r="D1126" s="1" t="n">
        <v>46178</v>
      </c>
      <c r="E1126" s="1" t="n">
        <v>46292</v>
      </c>
      <c r="F1126" t="inlineStr">
        <is>
          <t>GÄVLEBORGS LÄN</t>
        </is>
      </c>
      <c r="G1126" t="inlineStr">
        <is>
          <t>LJUSDAL</t>
        </is>
      </c>
      <c r="H1126" t="inlineStr">
        <is>
          <t>Holmen skog AB</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26314-2026</t>
        </is>
      </c>
      <c r="B1127" t="inlineStr">
        <is>
          <t>avverkningsanmälan</t>
        </is>
      </c>
      <c r="C1127" t="inlineStr">
        <is>
          <t>Föryngringsavverkning</t>
        </is>
      </c>
      <c r="D1127" s="1" t="n">
        <v>46182</v>
      </c>
      <c r="E1127" s="1" t="n">
        <v>46292</v>
      </c>
      <c r="F1127" t="inlineStr">
        <is>
          <t>GÄVLEBORGS LÄN</t>
        </is>
      </c>
      <c r="G1127" t="inlineStr">
        <is>
          <t>LJUSDAL</t>
        </is>
      </c>
      <c r="H1127" t="inlineStr">
        <is>
          <t>SCA</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26322-2026</t>
        </is>
      </c>
      <c r="B1128" t="inlineStr">
        <is>
          <t>avverkningsanmälan</t>
        </is>
      </c>
      <c r="C1128" t="inlineStr">
        <is>
          <t>Föryngringsavverkning</t>
        </is>
      </c>
      <c r="D1128" s="1" t="n">
        <v>46182</v>
      </c>
      <c r="E1128" s="1" t="n">
        <v>46292</v>
      </c>
      <c r="F1128" t="inlineStr">
        <is>
          <t>GÄVLEBORGS LÄN</t>
        </is>
      </c>
      <c r="G1128" t="inlineStr">
        <is>
          <t>LJUSDAL</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26396-2026</t>
        </is>
      </c>
      <c r="B1129" t="inlineStr">
        <is>
          <t>avverkningsanmälan</t>
        </is>
      </c>
      <c r="C1129" t="inlineStr">
        <is>
          <t>Föryngringsavverkning</t>
        </is>
      </c>
      <c r="D1129" s="1" t="n">
        <v>46183</v>
      </c>
      <c r="E1129" s="1" t="n">
        <v>46292</v>
      </c>
      <c r="F1129" t="inlineStr">
        <is>
          <t>GÄVLEBORGS LÄN</t>
        </is>
      </c>
      <c r="G1129" t="inlineStr">
        <is>
          <t>LJUSDAL</t>
        </is>
      </c>
      <c r="I1129" t="n">
        <v>7.5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34103-2023</t>
        </is>
      </c>
      <c r="B1130" t="inlineStr">
        <is>
          <t>avverkningsanmälan</t>
        </is>
      </c>
      <c r="C1130" t="inlineStr">
        <is>
          <t>Föryngringsavverkning</t>
        </is>
      </c>
      <c r="D1130" s="1" t="n">
        <v>45135</v>
      </c>
      <c r="E1130" s="1" t="n">
        <v>46292</v>
      </c>
      <c r="F1130" t="inlineStr">
        <is>
          <t>GÄVLEBORGS LÄN</t>
        </is>
      </c>
      <c r="G1130" t="inlineStr">
        <is>
          <t>LJUSDAL</t>
        </is>
      </c>
      <c r="H1130" t="inlineStr">
        <is>
          <t>Holmen skog AB</t>
        </is>
      </c>
      <c r="I1130" t="n">
        <v>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27002-2026</t>
        </is>
      </c>
      <c r="B1131" t="inlineStr">
        <is>
          <t>avverkningsanmälan</t>
        </is>
      </c>
      <c r="C1131" t="inlineStr">
        <is>
          <t>Föryngringsavverkning</t>
        </is>
      </c>
      <c r="D1131" s="1" t="n">
        <v>46185</v>
      </c>
      <c r="E1131" s="1" t="n">
        <v>46292</v>
      </c>
      <c r="F1131" t="inlineStr">
        <is>
          <t>GÄVLEBORGS LÄN</t>
        </is>
      </c>
      <c r="G1131" t="inlineStr">
        <is>
          <t>LJUSDAL</t>
        </is>
      </c>
      <c r="H1131" t="inlineStr">
        <is>
          <t>Sveaskog</t>
        </is>
      </c>
      <c r="I1131" t="n">
        <v>24.7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24135-2026</t>
        </is>
      </c>
      <c r="B1132" t="inlineStr">
        <is>
          <t>avverkningsanmälan</t>
        </is>
      </c>
      <c r="C1132" t="inlineStr">
        <is>
          <t>Föryngringsavverkning</t>
        </is>
      </c>
      <c r="D1132" s="1" t="n">
        <v>46168</v>
      </c>
      <c r="E1132" s="1" t="n">
        <v>46292</v>
      </c>
      <c r="F1132" t="inlineStr">
        <is>
          <t>GÄVLEBORGS LÄN</t>
        </is>
      </c>
      <c r="G1132" t="inlineStr">
        <is>
          <t>LJUSDAL</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14479-2023</t>
        </is>
      </c>
      <c r="B1133" t="inlineStr">
        <is>
          <t>avverkningsanmälan</t>
        </is>
      </c>
      <c r="C1133" t="inlineStr">
        <is>
          <t>Föryngringsavverkning</t>
        </is>
      </c>
      <c r="D1133" s="1" t="n">
        <v>45012</v>
      </c>
      <c r="E1133" s="1" t="n">
        <v>46292</v>
      </c>
      <c r="F1133" t="inlineStr">
        <is>
          <t>GÄVLEBORGS LÄN</t>
        </is>
      </c>
      <c r="G1133" t="inlineStr">
        <is>
          <t>LJUSDAL</t>
        </is>
      </c>
      <c r="H1133" t="inlineStr">
        <is>
          <t>Kyrkan</t>
        </is>
      </c>
      <c r="I1133" t="n">
        <v>27.5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26755-2026</t>
        </is>
      </c>
      <c r="B1134" t="inlineStr">
        <is>
          <t>avverkningsanmälan</t>
        </is>
      </c>
      <c r="C1134" t="inlineStr">
        <is>
          <t>Föryngringsavverkning</t>
        </is>
      </c>
      <c r="D1134" s="1" t="n">
        <v>46184</v>
      </c>
      <c r="E1134" s="1" t="n">
        <v>46292</v>
      </c>
      <c r="F1134" t="inlineStr">
        <is>
          <t>GÄVLEBORGS LÄN</t>
        </is>
      </c>
      <c r="G1134" t="inlineStr">
        <is>
          <t>LJUSDAL</t>
        </is>
      </c>
      <c r="H1134" t="inlineStr">
        <is>
          <t>Sveaskog</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37767-2024</t>
        </is>
      </c>
      <c r="B1135" t="inlineStr">
        <is>
          <t>avverkningsanmälan</t>
        </is>
      </c>
      <c r="C1135" t="inlineStr">
        <is>
          <t>Föryngringsavverkning</t>
        </is>
      </c>
      <c r="D1135" s="1" t="n">
        <v>45541</v>
      </c>
      <c r="E1135" s="1" t="n">
        <v>46292</v>
      </c>
      <c r="F1135" t="inlineStr">
        <is>
          <t>GÄVLEBORGS LÄN</t>
        </is>
      </c>
      <c r="G1135" t="inlineStr">
        <is>
          <t>LJUSDAL</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26881-2026</t>
        </is>
      </c>
      <c r="B1136" t="inlineStr">
        <is>
          <t>avverkningsanmälan</t>
        </is>
      </c>
      <c r="C1136" t="inlineStr">
        <is>
          <t>Föryngringsavverkning</t>
        </is>
      </c>
      <c r="D1136" s="1" t="n">
        <v>46185</v>
      </c>
      <c r="E1136" s="1" t="n">
        <v>46292</v>
      </c>
      <c r="F1136" t="inlineStr">
        <is>
          <t>GÄVLEBORGS LÄN</t>
        </is>
      </c>
      <c r="G1136" t="inlineStr">
        <is>
          <t>LJUSDAL</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26753-2026</t>
        </is>
      </c>
      <c r="B1137" t="inlineStr">
        <is>
          <t>avverkningsanmälan</t>
        </is>
      </c>
      <c r="C1137" t="inlineStr">
        <is>
          <t>Föryngringsavverkning</t>
        </is>
      </c>
      <c r="D1137" s="1" t="n">
        <v>46184</v>
      </c>
      <c r="E1137" s="1" t="n">
        <v>46292</v>
      </c>
      <c r="F1137" t="inlineStr">
        <is>
          <t>GÄVLEBORGS LÄN</t>
        </is>
      </c>
      <c r="G1137" t="inlineStr">
        <is>
          <t>LJUSDAL</t>
        </is>
      </c>
      <c r="H1137" t="inlineStr">
        <is>
          <t>Sveaskog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8081-2024</t>
        </is>
      </c>
      <c r="B1138" t="inlineStr">
        <is>
          <t>avverkningsanmälan</t>
        </is>
      </c>
      <c r="C1138" t="inlineStr">
        <is>
          <t>Föryngringsavverkning</t>
        </is>
      </c>
      <c r="D1138" s="1" t="n">
        <v>45351</v>
      </c>
      <c r="E1138" s="1" t="n">
        <v>46292</v>
      </c>
      <c r="F1138" t="inlineStr">
        <is>
          <t>GÄVLEBORGS LÄN</t>
        </is>
      </c>
      <c r="G1138" t="inlineStr">
        <is>
          <t>LJUSDAL</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61010-2021</t>
        </is>
      </c>
      <c r="B1139" t="inlineStr">
        <is>
          <t>avverkningsanmälan</t>
        </is>
      </c>
      <c r="C1139" t="inlineStr">
        <is>
          <t>Föryngringsavverkning</t>
        </is>
      </c>
      <c r="D1139" s="1" t="n">
        <v>44497</v>
      </c>
      <c r="E1139" s="1" t="n">
        <v>46292</v>
      </c>
      <c r="F1139" t="inlineStr">
        <is>
          <t>GÄVLEBORGS LÄN</t>
        </is>
      </c>
      <c r="G1139" t="inlineStr">
        <is>
          <t>LJUSDAL</t>
        </is>
      </c>
      <c r="H1139" t="inlineStr">
        <is>
          <t>Holmen skog AB</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34113-2023</t>
        </is>
      </c>
      <c r="B1140" t="inlineStr">
        <is>
          <t>avverkningsanmälan</t>
        </is>
      </c>
      <c r="C1140" t="inlineStr">
        <is>
          <t>Föryngringsavverkning</t>
        </is>
      </c>
      <c r="D1140" s="1" t="n">
        <v>45135</v>
      </c>
      <c r="E1140" s="1" t="n">
        <v>46292</v>
      </c>
      <c r="F1140" t="inlineStr">
        <is>
          <t>GÄVLEBORGS LÄN</t>
        </is>
      </c>
      <c r="G1140" t="inlineStr">
        <is>
          <t>LJUSDAL</t>
        </is>
      </c>
      <c r="H1140" t="inlineStr">
        <is>
          <t>Holmen skog AB</t>
        </is>
      </c>
      <c r="I1140" t="n">
        <v>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9194-2022</t>
        </is>
      </c>
      <c r="B1141" t="inlineStr">
        <is>
          <t>avverkningsanmälan</t>
        </is>
      </c>
      <c r="C1141" t="inlineStr">
        <is>
          <t>Avverkning för annat ändamål</t>
        </is>
      </c>
      <c r="D1141" s="1" t="n">
        <v>44615</v>
      </c>
      <c r="E1141" s="1" t="n">
        <v>46292</v>
      </c>
      <c r="F1141" t="inlineStr">
        <is>
          <t>GÄVLEBORGS LÄN</t>
        </is>
      </c>
      <c r="G1141" t="inlineStr">
        <is>
          <t>LJUSDAL</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27517-2026</t>
        </is>
      </c>
      <c r="B1142" t="inlineStr">
        <is>
          <t>avverkningsanmälan</t>
        </is>
      </c>
      <c r="C1142" t="inlineStr">
        <is>
          <t>Föryngringsavverkning</t>
        </is>
      </c>
      <c r="D1142" s="1" t="n">
        <v>46189</v>
      </c>
      <c r="E1142" s="1" t="n">
        <v>46292</v>
      </c>
      <c r="F1142" t="inlineStr">
        <is>
          <t>GÄVLEBORGS LÄN</t>
        </is>
      </c>
      <c r="G1142" t="inlineStr">
        <is>
          <t>LJUSDAL</t>
        </is>
      </c>
      <c r="H1142" t="inlineStr">
        <is>
          <t>Allmännings- och besparingsskogar</t>
        </is>
      </c>
      <c r="I1142" t="n">
        <v>9.800000000000001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32918-2023</t>
        </is>
      </c>
      <c r="B1143" t="inlineStr">
        <is>
          <t>avverkningsanmälan</t>
        </is>
      </c>
      <c r="C1143" t="inlineStr">
        <is>
          <t>Föryngringsavverkning</t>
        </is>
      </c>
      <c r="D1143" s="1" t="n">
        <v>45125</v>
      </c>
      <c r="E1143" s="1" t="n">
        <v>46292</v>
      </c>
      <c r="F1143" t="inlineStr">
        <is>
          <t>GÄVLEBORGS LÄN</t>
        </is>
      </c>
      <c r="G1143" t="inlineStr">
        <is>
          <t>LJUSDAL</t>
        </is>
      </c>
      <c r="H1143" t="inlineStr">
        <is>
          <t>Holmen skog AB</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35782-2023</t>
        </is>
      </c>
      <c r="B1144" t="inlineStr">
        <is>
          <t>avverkningsanmälan</t>
        </is>
      </c>
      <c r="C1144" t="inlineStr">
        <is>
          <t>Föryngringsavverkning</t>
        </is>
      </c>
      <c r="D1144" s="1" t="n">
        <v>45148</v>
      </c>
      <c r="E1144" s="1" t="n">
        <v>46292</v>
      </c>
      <c r="F1144" t="inlineStr">
        <is>
          <t>GÄVLEBORGS LÄN</t>
        </is>
      </c>
      <c r="G1144" t="inlineStr">
        <is>
          <t>LJUSDAL</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27566-2026</t>
        </is>
      </c>
      <c r="B1145" t="inlineStr">
        <is>
          <t>avverkningsanmälan</t>
        </is>
      </c>
      <c r="C1145" t="inlineStr">
        <is>
          <t>Föryngringsavverkning</t>
        </is>
      </c>
      <c r="D1145" s="1" t="n">
        <v>46190</v>
      </c>
      <c r="E1145" s="1" t="n">
        <v>46292</v>
      </c>
      <c r="F1145" t="inlineStr">
        <is>
          <t>GÄVLEBORGS LÄN</t>
        </is>
      </c>
      <c r="G1145" t="inlineStr">
        <is>
          <t>LJUSDAL</t>
        </is>
      </c>
      <c r="H1145" t="inlineStr">
        <is>
          <t>Kommuner</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36784-2025</t>
        </is>
      </c>
      <c r="B1146" t="inlineStr">
        <is>
          <t>avverkningsanmälan</t>
        </is>
      </c>
      <c r="C1146" t="inlineStr">
        <is>
          <t>Föryngringsavverkning</t>
        </is>
      </c>
      <c r="D1146" s="1" t="n">
        <v>45873</v>
      </c>
      <c r="E1146" s="1" t="n">
        <v>46292</v>
      </c>
      <c r="F1146" t="inlineStr">
        <is>
          <t>GÄVLEBORGS LÄN</t>
        </is>
      </c>
      <c r="G1146" t="inlineStr">
        <is>
          <t>LJUSDAL</t>
        </is>
      </c>
      <c r="H1146" t="inlineStr">
        <is>
          <t>Bergvik skog väst AB</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36981-2025</t>
        </is>
      </c>
      <c r="B1147" t="inlineStr">
        <is>
          <t>avverkningsanmälan</t>
        </is>
      </c>
      <c r="C1147" t="inlineStr">
        <is>
          <t>Avverkning för att bevara och utveckla /försöksver</t>
        </is>
      </c>
      <c r="D1147" s="1" t="n">
        <v>45874</v>
      </c>
      <c r="E1147" s="1" t="n">
        <v>46292</v>
      </c>
      <c r="F1147" t="inlineStr">
        <is>
          <t>GÄVLEBORGS LÄN</t>
        </is>
      </c>
      <c r="G1147" t="inlineStr">
        <is>
          <t>LJUSDAL</t>
        </is>
      </c>
      <c r="H1147" t="inlineStr">
        <is>
          <t>Sveaskog</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36182-2024</t>
        </is>
      </c>
      <c r="B1148" t="inlineStr">
        <is>
          <t>avverkningsanmälan</t>
        </is>
      </c>
      <c r="C1148" t="inlineStr">
        <is>
          <t>Föryngringsavverkning</t>
        </is>
      </c>
      <c r="D1148" s="1" t="n">
        <v>45534</v>
      </c>
      <c r="E1148" s="1" t="n">
        <v>46292</v>
      </c>
      <c r="F1148" t="inlineStr">
        <is>
          <t>GÄVLEBORGS LÄN</t>
        </is>
      </c>
      <c r="G1148" t="inlineStr">
        <is>
          <t>LJUSDAL</t>
        </is>
      </c>
      <c r="H1148" t="inlineStr">
        <is>
          <t>Holmen skog AB</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27701-2026</t>
        </is>
      </c>
      <c r="B1149" t="inlineStr">
        <is>
          <t>avverkningsanmälan</t>
        </is>
      </c>
      <c r="C1149" t="inlineStr">
        <is>
          <t>Föryngringsavverkning</t>
        </is>
      </c>
      <c r="D1149" s="1" t="n">
        <v>46190</v>
      </c>
      <c r="E1149" s="1" t="n">
        <v>46292</v>
      </c>
      <c r="F1149" t="inlineStr">
        <is>
          <t>GÄVLEBORGS LÄN</t>
        </is>
      </c>
      <c r="G1149" t="inlineStr">
        <is>
          <t>LJUSDAL</t>
        </is>
      </c>
      <c r="H1149" t="inlineStr">
        <is>
          <t>Sveaskog</t>
        </is>
      </c>
      <c r="I1149" t="n">
        <v>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27707-2026</t>
        </is>
      </c>
      <c r="B1150" t="inlineStr">
        <is>
          <t>avverkningsanmälan</t>
        </is>
      </c>
      <c r="C1150" t="inlineStr">
        <is>
          <t>Föryngringsavverkning</t>
        </is>
      </c>
      <c r="D1150" s="1" t="n">
        <v>46190</v>
      </c>
      <c r="E1150" s="1" t="n">
        <v>46292</v>
      </c>
      <c r="F1150" t="inlineStr">
        <is>
          <t>GÄVLEBORGS LÄN</t>
        </is>
      </c>
      <c r="G1150" t="inlineStr">
        <is>
          <t>LJUSDAL</t>
        </is>
      </c>
      <c r="H1150" t="inlineStr">
        <is>
          <t>Sveaskog</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45696-2024</t>
        </is>
      </c>
      <c r="B1151" t="inlineStr">
        <is>
          <t>avverkningsanmälan</t>
        </is>
      </c>
      <c r="C1151" t="inlineStr">
        <is>
          <t>Föryngringsavverkning</t>
        </is>
      </c>
      <c r="D1151" s="1" t="n">
        <v>45579</v>
      </c>
      <c r="E1151" s="1" t="n">
        <v>46292</v>
      </c>
      <c r="F1151" t="inlineStr">
        <is>
          <t>GÄVLEBORGS LÄN</t>
        </is>
      </c>
      <c r="G1151" t="inlineStr">
        <is>
          <t>LJUSDAL</t>
        </is>
      </c>
      <c r="I1151" t="n">
        <v>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37317-2025</t>
        </is>
      </c>
      <c r="B1152" t="inlineStr">
        <is>
          <t>avverkningsanmälan</t>
        </is>
      </c>
      <c r="C1152" t="inlineStr">
        <is>
          <t>Föryngringsavverkning</t>
        </is>
      </c>
      <c r="D1152" s="1" t="n">
        <v>45876</v>
      </c>
      <c r="E1152" s="1" t="n">
        <v>46292</v>
      </c>
      <c r="F1152" t="inlineStr">
        <is>
          <t>GÄVLEBORGS LÄN</t>
        </is>
      </c>
      <c r="G1152" t="inlineStr">
        <is>
          <t>LJUSDAL</t>
        </is>
      </c>
      <c r="I1152" t="n">
        <v>5.7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18802-2025</t>
        </is>
      </c>
      <c r="B1153" t="inlineStr">
        <is>
          <t>avverkningsanmälan</t>
        </is>
      </c>
      <c r="C1153" t="inlineStr">
        <is>
          <t>Föryngringsavverkning</t>
        </is>
      </c>
      <c r="D1153" s="1" t="n">
        <v>45764</v>
      </c>
      <c r="E1153" s="1" t="n">
        <v>46292</v>
      </c>
      <c r="F1153" t="inlineStr">
        <is>
          <t>GÄVLEBORGS LÄN</t>
        </is>
      </c>
      <c r="G1153" t="inlineStr">
        <is>
          <t>LJUSDAL</t>
        </is>
      </c>
      <c r="H1153" t="inlineStr">
        <is>
          <t>Sveaskog</t>
        </is>
      </c>
      <c r="I1153" t="n">
        <v>13.1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47875-2023</t>
        </is>
      </c>
      <c r="B1154" t="inlineStr">
        <is>
          <t>avverkningsanmälan</t>
        </is>
      </c>
      <c r="C1154" t="inlineStr">
        <is>
          <t>Föryngringsavverkning</t>
        </is>
      </c>
      <c r="D1154" s="1" t="n">
        <v>45204</v>
      </c>
      <c r="E1154" s="1" t="n">
        <v>46292</v>
      </c>
      <c r="F1154" t="inlineStr">
        <is>
          <t>GÄVLEBORGS LÄN</t>
        </is>
      </c>
      <c r="G1154" t="inlineStr">
        <is>
          <t>LJUSDAL</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52090-2024</t>
        </is>
      </c>
      <c r="B1155" t="inlineStr">
        <is>
          <t>avverkningsanmälan</t>
        </is>
      </c>
      <c r="C1155" t="inlineStr">
        <is>
          <t>Avverkning för annat ändamål</t>
        </is>
      </c>
      <c r="D1155" s="1" t="n">
        <v>45608</v>
      </c>
      <c r="E1155" s="1" t="n">
        <v>46292</v>
      </c>
      <c r="F1155" t="inlineStr">
        <is>
          <t>GÄVLEBORGS LÄN</t>
        </is>
      </c>
      <c r="G1155" t="inlineStr">
        <is>
          <t>LJUSDAL</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71070-2021</t>
        </is>
      </c>
      <c r="B1156" t="inlineStr">
        <is>
          <t>avverkningsanmälan</t>
        </is>
      </c>
      <c r="C1156" t="inlineStr">
        <is>
          <t>Föryngringsavverkning</t>
        </is>
      </c>
      <c r="D1156" s="1" t="n">
        <v>44538</v>
      </c>
      <c r="E1156" s="1" t="n">
        <v>46292</v>
      </c>
      <c r="F1156" t="inlineStr">
        <is>
          <t>GÄVLEBORGS LÄN</t>
        </is>
      </c>
      <c r="G1156" t="inlineStr">
        <is>
          <t>LJUSDAL</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33344-2025</t>
        </is>
      </c>
      <c r="B1157" t="inlineStr">
        <is>
          <t>avverkningsanmälan</t>
        </is>
      </c>
      <c r="C1157" t="inlineStr">
        <is>
          <t>Föryngringsavverkning</t>
        </is>
      </c>
      <c r="D1157" s="1" t="n">
        <v>45841</v>
      </c>
      <c r="E1157" s="1" t="n">
        <v>46292</v>
      </c>
      <c r="F1157" t="inlineStr">
        <is>
          <t>GÄVLEBORGS LÄN</t>
        </is>
      </c>
      <c r="G1157" t="inlineStr">
        <is>
          <t>LJUSDAL</t>
        </is>
      </c>
      <c r="I1157" t="n">
        <v>9.699999999999999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38634-2023</t>
        </is>
      </c>
      <c r="B1158" t="inlineStr">
        <is>
          <t>avverkningsanmälan</t>
        </is>
      </c>
      <c r="C1158" t="inlineStr">
        <is>
          <t>Föryngringsavverkning</t>
        </is>
      </c>
      <c r="D1158" s="1" t="n">
        <v>45162</v>
      </c>
      <c r="E1158" s="1" t="n">
        <v>46292</v>
      </c>
      <c r="F1158" t="inlineStr">
        <is>
          <t>GÄVLEBORGS LÄN</t>
        </is>
      </c>
      <c r="G1158" t="inlineStr">
        <is>
          <t>LJUSDAL</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28400-2026</t>
        </is>
      </c>
      <c r="B1159" t="inlineStr">
        <is>
          <t>avverkningsanmälan</t>
        </is>
      </c>
      <c r="C1159" t="inlineStr">
        <is>
          <t>Föryngringsavverkning</t>
        </is>
      </c>
      <c r="D1159" s="1" t="n">
        <v>46197</v>
      </c>
      <c r="E1159" s="1" t="n">
        <v>46292</v>
      </c>
      <c r="F1159" t="inlineStr">
        <is>
          <t>GÄVLEBORGS LÄN</t>
        </is>
      </c>
      <c r="G1159" t="inlineStr">
        <is>
          <t>LJUSDAL</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28325-2026</t>
        </is>
      </c>
      <c r="B1160" t="inlineStr">
        <is>
          <t>avverkningsanmälan</t>
        </is>
      </c>
      <c r="C1160" t="inlineStr">
        <is>
          <t>Föryngringsavverkning</t>
        </is>
      </c>
      <c r="D1160" s="1" t="n">
        <v>46196</v>
      </c>
      <c r="E1160" s="1" t="n">
        <v>46292</v>
      </c>
      <c r="F1160" t="inlineStr">
        <is>
          <t>GÄVLEBORGS LÄN</t>
        </is>
      </c>
      <c r="G1160" t="inlineStr">
        <is>
          <t>LJUSDAL</t>
        </is>
      </c>
      <c r="H1160" t="inlineStr">
        <is>
          <t>Allmännings- och besparingsskogar</t>
        </is>
      </c>
      <c r="I1160" t="n">
        <v>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70478-2021</t>
        </is>
      </c>
      <c r="B1161" t="inlineStr">
        <is>
          <t>avverkningsanmälan</t>
        </is>
      </c>
      <c r="C1161" t="inlineStr">
        <is>
          <t>Föryngringsavverkning</t>
        </is>
      </c>
      <c r="D1161" s="1" t="n">
        <v>44536</v>
      </c>
      <c r="E1161" s="1" t="n">
        <v>46292</v>
      </c>
      <c r="F1161" t="inlineStr">
        <is>
          <t>GÄVLEBORGS LÄN</t>
        </is>
      </c>
      <c r="G1161" t="inlineStr">
        <is>
          <t>LJUSDAL</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28399-2026</t>
        </is>
      </c>
      <c r="B1162" t="inlineStr">
        <is>
          <t>avverkningsanmälan</t>
        </is>
      </c>
      <c r="C1162" t="inlineStr">
        <is>
          <t>Föryngringsavverkning</t>
        </is>
      </c>
      <c r="D1162" s="1" t="n">
        <v>46197</v>
      </c>
      <c r="E1162" s="1" t="n">
        <v>46292</v>
      </c>
      <c r="F1162" t="inlineStr">
        <is>
          <t>GÄVLEBORGS LÄN</t>
        </is>
      </c>
      <c r="G1162" t="inlineStr">
        <is>
          <t>LJUSDAL</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14010-2022</t>
        </is>
      </c>
      <c r="B1163" t="inlineStr">
        <is>
          <t>avverkningsanmälan</t>
        </is>
      </c>
      <c r="C1163" t="inlineStr">
        <is>
          <t>Föryngringsavverkning</t>
        </is>
      </c>
      <c r="D1163" s="1" t="n">
        <v>44650</v>
      </c>
      <c r="E1163" s="1" t="n">
        <v>46292</v>
      </c>
      <c r="F1163" t="inlineStr">
        <is>
          <t>GÄVLEBORGS LÄN</t>
        </is>
      </c>
      <c r="G1163" t="inlineStr">
        <is>
          <t>LJUSDAL</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28324-2026</t>
        </is>
      </c>
      <c r="B1164" t="inlineStr">
        <is>
          <t>avverkningsanmälan</t>
        </is>
      </c>
      <c r="C1164" t="inlineStr">
        <is>
          <t>Föryngringsavverkning</t>
        </is>
      </c>
      <c r="D1164" s="1" t="n">
        <v>46196</v>
      </c>
      <c r="E1164" s="1" t="n">
        <v>46292</v>
      </c>
      <c r="F1164" t="inlineStr">
        <is>
          <t>GÄVLEBORGS LÄN</t>
        </is>
      </c>
      <c r="G1164" t="inlineStr">
        <is>
          <t>LJUSDAL</t>
        </is>
      </c>
      <c r="H1164" t="inlineStr">
        <is>
          <t>Allmännings- och besparingsskogar</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26264-2023</t>
        </is>
      </c>
      <c r="B1165" t="inlineStr">
        <is>
          <t>avverkningsanmälan</t>
        </is>
      </c>
      <c r="C1165" t="inlineStr">
        <is>
          <t>Föryngringsavverkning</t>
        </is>
      </c>
      <c r="D1165" s="1" t="n">
        <v>45091</v>
      </c>
      <c r="E1165" s="1" t="n">
        <v>46292</v>
      </c>
      <c r="F1165" t="inlineStr">
        <is>
          <t>GÄVLEBORGS LÄN</t>
        </is>
      </c>
      <c r="G1165" t="inlineStr">
        <is>
          <t>LJUSDAL</t>
        </is>
      </c>
      <c r="I1165" t="n">
        <v>6.3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28450-2026</t>
        </is>
      </c>
      <c r="B1166" t="inlineStr">
        <is>
          <t>avverkningsanmälan</t>
        </is>
      </c>
      <c r="C1166" t="inlineStr">
        <is>
          <t>Föryngringsavverkning</t>
        </is>
      </c>
      <c r="D1166" s="1" t="n">
        <v>46197</v>
      </c>
      <c r="E1166" s="1" t="n">
        <v>46292</v>
      </c>
      <c r="F1166" t="inlineStr">
        <is>
          <t>GÄVLEBORGS LÄN</t>
        </is>
      </c>
      <c r="G1166" t="inlineStr">
        <is>
          <t>LJUSDAL</t>
        </is>
      </c>
      <c r="H1166" t="inlineStr">
        <is>
          <t>Allmännings- och besparingsskogar</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28322-2026</t>
        </is>
      </c>
      <c r="B1167" t="inlineStr">
        <is>
          <t>avverkningsanmälan</t>
        </is>
      </c>
      <c r="C1167" t="inlineStr">
        <is>
          <t>Föryngringsavverkning</t>
        </is>
      </c>
      <c r="D1167" s="1" t="n">
        <v>46196</v>
      </c>
      <c r="E1167" s="1" t="n">
        <v>46292</v>
      </c>
      <c r="F1167" t="inlineStr">
        <is>
          <t>GÄVLEBORGS LÄN</t>
        </is>
      </c>
      <c r="G1167" t="inlineStr">
        <is>
          <t>LJUSDAL</t>
        </is>
      </c>
      <c r="H1167" t="inlineStr">
        <is>
          <t>Allmännings- och besparingsskogar</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8153-2022</t>
        </is>
      </c>
      <c r="B1168" t="inlineStr">
        <is>
          <t>avverkningsanmälan</t>
        </is>
      </c>
      <c r="C1168" t="inlineStr">
        <is>
          <t>Föryngringsavverkning</t>
        </is>
      </c>
      <c r="D1168" s="1" t="n">
        <v>44609</v>
      </c>
      <c r="E1168" s="1" t="n">
        <v>46292</v>
      </c>
      <c r="F1168" t="inlineStr">
        <is>
          <t>GÄVLEBORGS LÄN</t>
        </is>
      </c>
      <c r="G1168" t="inlineStr">
        <is>
          <t>LJUSDAL</t>
        </is>
      </c>
      <c r="H1168" t="inlineStr">
        <is>
          <t>Holmen skog AB</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32918-2026</t>
        </is>
      </c>
      <c r="B1169" t="inlineStr">
        <is>
          <t>avverkningsanmälan</t>
        </is>
      </c>
      <c r="C1169" t="inlineStr">
        <is>
          <t>Föryngringsavverkning</t>
        </is>
      </c>
      <c r="D1169" s="1" t="n">
        <v>46244</v>
      </c>
      <c r="E1169" s="1" t="n">
        <v>46292</v>
      </c>
      <c r="F1169" t="inlineStr">
        <is>
          <t>GÄVLEBORGS LÄN</t>
        </is>
      </c>
      <c r="G1169" t="inlineStr">
        <is>
          <t>LJUSDAL</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40318-2024</t>
        </is>
      </c>
      <c r="B1170" t="inlineStr">
        <is>
          <t>avverkningsanmälan</t>
        </is>
      </c>
      <c r="C1170" t="inlineStr">
        <is>
          <t>Föryngringsavverkning</t>
        </is>
      </c>
      <c r="D1170" s="1" t="n">
        <v>45554</v>
      </c>
      <c r="E1170" s="1" t="n">
        <v>46292</v>
      </c>
      <c r="F1170" t="inlineStr">
        <is>
          <t>GÄVLEBORGS LÄN</t>
        </is>
      </c>
      <c r="G1170" t="inlineStr">
        <is>
          <t>LJUSDAL</t>
        </is>
      </c>
      <c r="I1170" t="n">
        <v>7.1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43499-2024</t>
        </is>
      </c>
      <c r="B1171" t="inlineStr">
        <is>
          <t>avverkningsanmälan</t>
        </is>
      </c>
      <c r="C1171" t="inlineStr">
        <is>
          <t>Föryngringsavverkning</t>
        </is>
      </c>
      <c r="D1171" s="1" t="n">
        <v>45569</v>
      </c>
      <c r="E1171" s="1" t="n">
        <v>46292</v>
      </c>
      <c r="F1171" t="inlineStr">
        <is>
          <t>GÄVLEBORGS LÄN</t>
        </is>
      </c>
      <c r="G1171" t="inlineStr">
        <is>
          <t>LJUSDAL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29036-2026</t>
        </is>
      </c>
      <c r="B1172" t="inlineStr">
        <is>
          <t>avverkningsanmälan</t>
        </is>
      </c>
      <c r="C1172" t="inlineStr">
        <is>
          <t>Föryngringsavverkning</t>
        </is>
      </c>
      <c r="D1172" s="1" t="n">
        <v>46199</v>
      </c>
      <c r="E1172" s="1" t="n">
        <v>46292</v>
      </c>
      <c r="F1172" t="inlineStr">
        <is>
          <t>GÄVLEBORGS LÄN</t>
        </is>
      </c>
      <c r="G1172" t="inlineStr">
        <is>
          <t>LJUSDAL</t>
        </is>
      </c>
      <c r="H1172" t="inlineStr">
        <is>
          <t>Sveaskog</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40253-2023</t>
        </is>
      </c>
      <c r="B1173" t="inlineStr">
        <is>
          <t>avverkningsanmälan</t>
        </is>
      </c>
      <c r="C1173" t="inlineStr">
        <is>
          <t>Föryngringsavverkning</t>
        </is>
      </c>
      <c r="D1173" s="1" t="n">
        <v>45169</v>
      </c>
      <c r="E1173" s="1" t="n">
        <v>46292</v>
      </c>
      <c r="F1173" t="inlineStr">
        <is>
          <t>GÄVLEBORGS LÄN</t>
        </is>
      </c>
      <c r="G1173" t="inlineStr">
        <is>
          <t>LJUSDAL</t>
        </is>
      </c>
      <c r="I1173" t="n">
        <v>9.300000000000001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28633-2026</t>
        </is>
      </c>
      <c r="B1174" t="inlineStr">
        <is>
          <t>avverkningsanmälan</t>
        </is>
      </c>
      <c r="C1174" t="inlineStr">
        <is>
          <t>Föryngringsavverkning</t>
        </is>
      </c>
      <c r="D1174" s="1" t="n">
        <v>46198</v>
      </c>
      <c r="E1174" s="1" t="n">
        <v>46292</v>
      </c>
      <c r="F1174" t="inlineStr">
        <is>
          <t>GÄVLEBORGS LÄN</t>
        </is>
      </c>
      <c r="G1174" t="inlineStr">
        <is>
          <t>LJUSDAL</t>
        </is>
      </c>
      <c r="H1174" t="inlineStr">
        <is>
          <t>Sveaskog</t>
        </is>
      </c>
      <c r="I1174" t="n">
        <v>7.2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36321-2023</t>
        </is>
      </c>
      <c r="B1175" t="inlineStr">
        <is>
          <t>avverkningsanmälan</t>
        </is>
      </c>
      <c r="C1175" t="inlineStr">
        <is>
          <t>Föryngringsavverkning</t>
        </is>
      </c>
      <c r="D1175" s="1" t="n">
        <v>45152</v>
      </c>
      <c r="E1175" s="1" t="n">
        <v>46292</v>
      </c>
      <c r="F1175" t="inlineStr">
        <is>
          <t>GÄVLEBORGS LÄN</t>
        </is>
      </c>
      <c r="G1175" t="inlineStr">
        <is>
          <t>LJUSDAL</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28744-2026</t>
        </is>
      </c>
      <c r="B1176" t="inlineStr">
        <is>
          <t>avverkningsanmälan</t>
        </is>
      </c>
      <c r="C1176" t="inlineStr">
        <is>
          <t>Föryngringsavverkning</t>
        </is>
      </c>
      <c r="D1176" s="1" t="n">
        <v>46198</v>
      </c>
      <c r="E1176" s="1" t="n">
        <v>46292</v>
      </c>
      <c r="F1176" t="inlineStr">
        <is>
          <t>GÄVLEBORGS LÄN</t>
        </is>
      </c>
      <c r="G1176" t="inlineStr">
        <is>
          <t>LJUSDAL</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22039-2023</t>
        </is>
      </c>
      <c r="B1177" t="inlineStr">
        <is>
          <t>avverkningsanmälan</t>
        </is>
      </c>
      <c r="C1177" t="inlineStr">
        <is>
          <t>Föryngringsavverkning</t>
        </is>
      </c>
      <c r="D1177" s="1" t="n">
        <v>45069</v>
      </c>
      <c r="E1177" s="1" t="n">
        <v>46292</v>
      </c>
      <c r="F1177" t="inlineStr">
        <is>
          <t>GÄVLEBORGS LÄN</t>
        </is>
      </c>
      <c r="G1177" t="inlineStr">
        <is>
          <t>LJUSDAL</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60282-2024</t>
        </is>
      </c>
      <c r="B1178" t="inlineStr">
        <is>
          <t>avverkningsanmälan</t>
        </is>
      </c>
      <c r="C1178" t="inlineStr">
        <is>
          <t>Föryngringsavverkning</t>
        </is>
      </c>
      <c r="D1178" s="1" t="n">
        <v>45642</v>
      </c>
      <c r="E1178" s="1" t="n">
        <v>46292</v>
      </c>
      <c r="F1178" t="inlineStr">
        <is>
          <t>GÄVLEBORGS LÄN</t>
        </is>
      </c>
      <c r="G1178" t="inlineStr">
        <is>
          <t>LJUSDAL</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47403-2024</t>
        </is>
      </c>
      <c r="B1179" t="inlineStr">
        <is>
          <t>avverkningsanmälan</t>
        </is>
      </c>
      <c r="C1179" t="inlineStr">
        <is>
          <t>Föryngringsavverkning</t>
        </is>
      </c>
      <c r="D1179" s="1" t="n">
        <v>45587</v>
      </c>
      <c r="E1179" s="1" t="n">
        <v>46292</v>
      </c>
      <c r="F1179" t="inlineStr">
        <is>
          <t>GÄVLEBORGS LÄN</t>
        </is>
      </c>
      <c r="G1179" t="inlineStr">
        <is>
          <t>LJUSDAL</t>
        </is>
      </c>
      <c r="H1179" t="inlineStr">
        <is>
          <t>Bergvik skog väst AB</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13064-2022</t>
        </is>
      </c>
      <c r="B1180" t="inlineStr">
        <is>
          <t>avverkningsanmälan</t>
        </is>
      </c>
      <c r="C1180" t="inlineStr">
        <is>
          <t>Föryngringsavverkning</t>
        </is>
      </c>
      <c r="D1180" s="1" t="n">
        <v>44643</v>
      </c>
      <c r="E1180" s="1" t="n">
        <v>46292</v>
      </c>
      <c r="F1180" t="inlineStr">
        <is>
          <t>GÄVLEBORGS LÄN</t>
        </is>
      </c>
      <c r="G1180" t="inlineStr">
        <is>
          <t>LJUSDAL</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61420-2024</t>
        </is>
      </c>
      <c r="B1181" t="inlineStr">
        <is>
          <t>avverkningsanmälan</t>
        </is>
      </c>
      <c r="C1181" t="inlineStr">
        <is>
          <t>Föryngringsavverkning</t>
        </is>
      </c>
      <c r="D1181" s="1" t="n">
        <v>45646</v>
      </c>
      <c r="E1181" s="1" t="n">
        <v>46292</v>
      </c>
      <c r="F1181" t="inlineStr">
        <is>
          <t>GÄVLEBORGS LÄN</t>
        </is>
      </c>
      <c r="G1181" t="inlineStr">
        <is>
          <t>LJUSDAL</t>
        </is>
      </c>
      <c r="H1181" t="inlineStr">
        <is>
          <t>Sveaskog</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57315-2024</t>
        </is>
      </c>
      <c r="B1182" t="inlineStr">
        <is>
          <t>avverkningsanmälan</t>
        </is>
      </c>
      <c r="C1182" t="inlineStr">
        <is>
          <t>Föryngringsavverkning</t>
        </is>
      </c>
      <c r="D1182" s="1" t="n">
        <v>45629</v>
      </c>
      <c r="E1182" s="1" t="n">
        <v>46292</v>
      </c>
      <c r="F1182" t="inlineStr">
        <is>
          <t>GÄVLEBORGS LÄN</t>
        </is>
      </c>
      <c r="G1182" t="inlineStr">
        <is>
          <t>LJUSDAL</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37903-2025</t>
        </is>
      </c>
      <c r="B1183" t="inlineStr">
        <is>
          <t>avverkningsanmälan</t>
        </is>
      </c>
      <c r="C1183" t="inlineStr">
        <is>
          <t>Föryngringsavverkning</t>
        </is>
      </c>
      <c r="D1183" s="1" t="n">
        <v>45881</v>
      </c>
      <c r="E1183" s="1" t="n">
        <v>46292</v>
      </c>
      <c r="F1183" t="inlineStr">
        <is>
          <t>GÄVLEBORGS LÄN</t>
        </is>
      </c>
      <c r="G1183" t="inlineStr">
        <is>
          <t>LJUSDAL</t>
        </is>
      </c>
      <c r="H1183" t="inlineStr">
        <is>
          <t>Bergvik skog väst AB</t>
        </is>
      </c>
      <c r="I1183" t="n">
        <v>3.9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574-2022</t>
        </is>
      </c>
      <c r="B1184" t="inlineStr">
        <is>
          <t>avverkningsanmälan</t>
        </is>
      </c>
      <c r="C1184" t="inlineStr">
        <is>
          <t>Avverkning för annat ändamål</t>
        </is>
      </c>
      <c r="D1184" s="1" t="n">
        <v>44566</v>
      </c>
      <c r="E1184" s="1" t="n">
        <v>46292</v>
      </c>
      <c r="F1184" t="inlineStr">
        <is>
          <t>GÄVLEBORGS LÄN</t>
        </is>
      </c>
      <c r="G1184" t="inlineStr">
        <is>
          <t>LJUSDAL</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38007-2025</t>
        </is>
      </c>
      <c r="B1185" t="inlineStr">
        <is>
          <t>avverkningsanmälan</t>
        </is>
      </c>
      <c r="C1185" t="inlineStr">
        <is>
          <t>Föryngringsavverkning</t>
        </is>
      </c>
      <c r="D1185" s="1" t="n">
        <v>45882</v>
      </c>
      <c r="E1185" s="1" t="n">
        <v>46292</v>
      </c>
      <c r="F1185" t="inlineStr">
        <is>
          <t>GÄVLEBORGS LÄN</t>
        </is>
      </c>
      <c r="G1185" t="inlineStr">
        <is>
          <t>LJUSDAL</t>
        </is>
      </c>
      <c r="H1185" t="inlineStr">
        <is>
          <t>Naturvårdsverket</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38009-2025</t>
        </is>
      </c>
      <c r="B1186" t="inlineStr">
        <is>
          <t>avverkningsanmälan</t>
        </is>
      </c>
      <c r="C1186" t="inlineStr">
        <is>
          <t>Föryngringsavverkning</t>
        </is>
      </c>
      <c r="D1186" s="1" t="n">
        <v>45882</v>
      </c>
      <c r="E1186" s="1" t="n">
        <v>46292</v>
      </c>
      <c r="F1186" t="inlineStr">
        <is>
          <t>GÄVLEBORGS LÄN</t>
        </is>
      </c>
      <c r="G1186" t="inlineStr">
        <is>
          <t>LJUSDAL</t>
        </is>
      </c>
      <c r="H1186" t="inlineStr">
        <is>
          <t>Naturvårdsverket</t>
        </is>
      </c>
      <c r="I1186" t="n">
        <v>6.7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58168-2024</t>
        </is>
      </c>
      <c r="B1187" t="inlineStr">
        <is>
          <t>avverkningsanmälan</t>
        </is>
      </c>
      <c r="C1187" t="inlineStr">
        <is>
          <t>Föryngringsavverkning</t>
        </is>
      </c>
      <c r="D1187" s="1" t="n">
        <v>45632</v>
      </c>
      <c r="E1187" s="1" t="n">
        <v>46292</v>
      </c>
      <c r="F1187" t="inlineStr">
        <is>
          <t>GÄVLEBORGS LÄN</t>
        </is>
      </c>
      <c r="G1187" t="inlineStr">
        <is>
          <t>LJUSDAL</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29271-2026</t>
        </is>
      </c>
      <c r="B1188" t="inlineStr">
        <is>
          <t>avverkningsanmälan</t>
        </is>
      </c>
      <c r="C1188" t="inlineStr">
        <is>
          <t>Föryngringsavverkning</t>
        </is>
      </c>
      <c r="D1188" s="1" t="n">
        <v>46202</v>
      </c>
      <c r="E1188" s="1" t="n">
        <v>46292</v>
      </c>
      <c r="F1188" t="inlineStr">
        <is>
          <t>GÄVLEBORGS LÄN</t>
        </is>
      </c>
      <c r="G1188" t="inlineStr">
        <is>
          <t>LJUSDAL</t>
        </is>
      </c>
      <c r="H1188" t="inlineStr">
        <is>
          <t>Allmännings- och besparingsskogar</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10591-2022</t>
        </is>
      </c>
      <c r="B1189" t="inlineStr">
        <is>
          <t>avverkningsanmälan</t>
        </is>
      </c>
      <c r="C1189" t="inlineStr">
        <is>
          <t>Föryngringsavverkning</t>
        </is>
      </c>
      <c r="D1189" s="1" t="n">
        <v>44624</v>
      </c>
      <c r="E1189" s="1" t="n">
        <v>46292</v>
      </c>
      <c r="F1189" t="inlineStr">
        <is>
          <t>GÄVLEBORGS LÄN</t>
        </is>
      </c>
      <c r="G1189" t="inlineStr">
        <is>
          <t>LJUSDAL</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29356-2026</t>
        </is>
      </c>
      <c r="B1190" t="inlineStr">
        <is>
          <t>avverkningsanmälan</t>
        </is>
      </c>
      <c r="C1190" t="inlineStr">
        <is>
          <t>Föryngringsavverkning</t>
        </is>
      </c>
      <c r="D1190" s="1" t="n">
        <v>46203</v>
      </c>
      <c r="E1190" s="1" t="n">
        <v>46292</v>
      </c>
      <c r="F1190" t="inlineStr">
        <is>
          <t>GÄVLEBORGS LÄN</t>
        </is>
      </c>
      <c r="G1190" t="inlineStr">
        <is>
          <t>LJUSDAL</t>
        </is>
      </c>
      <c r="I1190" t="n">
        <v>11.4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29179-2026</t>
        </is>
      </c>
      <c r="B1191" t="inlineStr">
        <is>
          <t>avverkningsanmälan</t>
        </is>
      </c>
      <c r="C1191" t="inlineStr">
        <is>
          <t>Föryngringsavverkning</t>
        </is>
      </c>
      <c r="D1191" s="1" t="n">
        <v>46202</v>
      </c>
      <c r="E1191" s="1" t="n">
        <v>46292</v>
      </c>
      <c r="F1191" t="inlineStr">
        <is>
          <t>GÄVLEBORGS LÄN</t>
        </is>
      </c>
      <c r="G1191" t="inlineStr">
        <is>
          <t>LJUSDAL</t>
        </is>
      </c>
      <c r="H1191" t="inlineStr">
        <is>
          <t>Allmännings- och besparingsskogar</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29358-2026</t>
        </is>
      </c>
      <c r="B1192" t="inlineStr">
        <is>
          <t>avverkningsanmälan</t>
        </is>
      </c>
      <c r="C1192" t="inlineStr">
        <is>
          <t>Föryngringsavverkning</t>
        </is>
      </c>
      <c r="D1192" s="1" t="n">
        <v>46203</v>
      </c>
      <c r="E1192" s="1" t="n">
        <v>46292</v>
      </c>
      <c r="F1192" t="inlineStr">
        <is>
          <t>GÄVLEBORGS LÄN</t>
        </is>
      </c>
      <c r="G1192" t="inlineStr">
        <is>
          <t>LJUSDAL</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29254-2026</t>
        </is>
      </c>
      <c r="B1193" t="inlineStr">
        <is>
          <t>avverkningsanmälan</t>
        </is>
      </c>
      <c r="C1193" t="inlineStr">
        <is>
          <t>Föryngringsavverkning</t>
        </is>
      </c>
      <c r="D1193" s="1" t="n">
        <v>46202</v>
      </c>
      <c r="E1193" s="1" t="n">
        <v>46292</v>
      </c>
      <c r="F1193" t="inlineStr">
        <is>
          <t>GÄVLEBORGS LÄN</t>
        </is>
      </c>
      <c r="G1193" t="inlineStr">
        <is>
          <t>LJUSDAL</t>
        </is>
      </c>
      <c r="H1193" t="inlineStr">
        <is>
          <t>Allmännings- och besparingsskogar</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22559-2023</t>
        </is>
      </c>
      <c r="B1194" t="inlineStr">
        <is>
          <t>avverkningsanmälan</t>
        </is>
      </c>
      <c r="C1194" t="inlineStr">
        <is>
          <t>Föryngringsavverkning</t>
        </is>
      </c>
      <c r="D1194" s="1" t="n">
        <v>45071</v>
      </c>
      <c r="E1194" s="1" t="n">
        <v>46292</v>
      </c>
      <c r="F1194" t="inlineStr">
        <is>
          <t>GÄVLEBORGS LÄN</t>
        </is>
      </c>
      <c r="G1194" t="inlineStr">
        <is>
          <t>LJUSDAL</t>
        </is>
      </c>
      <c r="H1194" t="inlineStr">
        <is>
          <t>Holmen skog AB</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29819-2026</t>
        </is>
      </c>
      <c r="B1195" t="inlineStr">
        <is>
          <t>avverkningsanmälan</t>
        </is>
      </c>
      <c r="C1195" t="inlineStr">
        <is>
          <t>Föryngringsavverkning</t>
        </is>
      </c>
      <c r="D1195" s="1" t="n">
        <v>46205</v>
      </c>
      <c r="E1195" s="1" t="n">
        <v>46292</v>
      </c>
      <c r="F1195" t="inlineStr">
        <is>
          <t>GÄVLEBORGS LÄN</t>
        </is>
      </c>
      <c r="G1195" t="inlineStr">
        <is>
          <t>LJUSDAL</t>
        </is>
      </c>
      <c r="H1195" t="inlineStr">
        <is>
          <t>Allmännings- och besparingsskogar</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24131-2026</t>
        </is>
      </c>
      <c r="B1196" t="inlineStr">
        <is>
          <t>avverkningsanmälan</t>
        </is>
      </c>
      <c r="C1196" t="inlineStr">
        <is>
          <t>Föryngringsavverkning</t>
        </is>
      </c>
      <c r="D1196" s="1" t="n">
        <v>46168</v>
      </c>
      <c r="E1196" s="1" t="n">
        <v>46292</v>
      </c>
      <c r="F1196" t="inlineStr">
        <is>
          <t>GÄVLEBORGS LÄN</t>
        </is>
      </c>
      <c r="G1196" t="inlineStr">
        <is>
          <t>LJUSDAL</t>
        </is>
      </c>
      <c r="H1196" t="inlineStr">
        <is>
          <t>Holmen skog AB</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29737-2026</t>
        </is>
      </c>
      <c r="B1197" t="inlineStr">
        <is>
          <t>avverkningsanmälan</t>
        </is>
      </c>
      <c r="C1197" t="inlineStr">
        <is>
          <t>Föryngringsavverkning</t>
        </is>
      </c>
      <c r="D1197" s="1" t="n">
        <v>46204</v>
      </c>
      <c r="E1197" s="1" t="n">
        <v>46292</v>
      </c>
      <c r="F1197" t="inlineStr">
        <is>
          <t>GÄVLEBORGS LÄN</t>
        </is>
      </c>
      <c r="G1197" t="inlineStr">
        <is>
          <t>LJUSDAL</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37892-2023</t>
        </is>
      </c>
      <c r="B1198" t="inlineStr">
        <is>
          <t>avverkningsanmälan</t>
        </is>
      </c>
      <c r="C1198" t="inlineStr">
        <is>
          <t>Föryngringsavverkning</t>
        </is>
      </c>
      <c r="D1198" s="1" t="n">
        <v>45160</v>
      </c>
      <c r="E1198" s="1" t="n">
        <v>46292</v>
      </c>
      <c r="F1198" t="inlineStr">
        <is>
          <t>GÄVLEBORGS LÄN</t>
        </is>
      </c>
      <c r="G1198" t="inlineStr">
        <is>
          <t>LJUSDAL</t>
        </is>
      </c>
      <c r="H1198" t="inlineStr">
        <is>
          <t>Sveaskog</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6153-2023</t>
        </is>
      </c>
      <c r="B1199" t="inlineStr">
        <is>
          <t>avverkningsanmälan</t>
        </is>
      </c>
      <c r="C1199" t="inlineStr">
        <is>
          <t>Föryngringsavverkning</t>
        </is>
      </c>
      <c r="D1199" s="1" t="n">
        <v>44964</v>
      </c>
      <c r="E1199" s="1" t="n">
        <v>46292</v>
      </c>
      <c r="F1199" t="inlineStr">
        <is>
          <t>GÄVLEBORGS LÄN</t>
        </is>
      </c>
      <c r="G1199" t="inlineStr">
        <is>
          <t>LJUSDAL</t>
        </is>
      </c>
      <c r="H1199" t="inlineStr">
        <is>
          <t>Holmen skog AB</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29923-2026</t>
        </is>
      </c>
      <c r="B1200" t="inlineStr">
        <is>
          <t>avverkningsanmälan</t>
        </is>
      </c>
      <c r="C1200" t="inlineStr">
        <is>
          <t>Föryngringsavverkning</t>
        </is>
      </c>
      <c r="D1200" s="1" t="n">
        <v>46205</v>
      </c>
      <c r="E1200" s="1" t="n">
        <v>46292</v>
      </c>
      <c r="F1200" t="inlineStr">
        <is>
          <t>GÄVLEBORGS LÄN</t>
        </is>
      </c>
      <c r="G1200" t="inlineStr">
        <is>
          <t>LJUSDAL</t>
        </is>
      </c>
      <c r="I1200" t="n">
        <v>11.9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52921-2024</t>
        </is>
      </c>
      <c r="B1201" t="inlineStr">
        <is>
          <t>avverkningsanmälan</t>
        </is>
      </c>
      <c r="C1201" t="inlineStr">
        <is>
          <t>Föryngringsavverkning</t>
        </is>
      </c>
      <c r="D1201" s="1" t="n">
        <v>45610</v>
      </c>
      <c r="E1201" s="1" t="n">
        <v>46292</v>
      </c>
      <c r="F1201" t="inlineStr">
        <is>
          <t>GÄVLEBORGS LÄN</t>
        </is>
      </c>
      <c r="G1201" t="inlineStr">
        <is>
          <t>LJUSDAL</t>
        </is>
      </c>
      <c r="H1201" t="inlineStr">
        <is>
          <t>Allmännings- och besparingsskogar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52981-2024</t>
        </is>
      </c>
      <c r="B1202" t="inlineStr">
        <is>
          <t>avverkningsanmälan</t>
        </is>
      </c>
      <c r="C1202" t="inlineStr">
        <is>
          <t>Föryngringsavverkning</t>
        </is>
      </c>
      <c r="D1202" s="1" t="n">
        <v>45611</v>
      </c>
      <c r="E1202" s="1" t="n">
        <v>46292</v>
      </c>
      <c r="F1202" t="inlineStr">
        <is>
          <t>GÄVLEBORGS LÄN</t>
        </is>
      </c>
      <c r="G1202" t="inlineStr">
        <is>
          <t>LJUSDAL</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31008-2026</t>
        </is>
      </c>
      <c r="B1203" t="inlineStr">
        <is>
          <t>avverkningsanmälan</t>
        </is>
      </c>
      <c r="C1203" t="inlineStr">
        <is>
          <t>Avverkning för annat ändamål</t>
        </is>
      </c>
      <c r="D1203" s="1" t="n">
        <v>46206</v>
      </c>
      <c r="E1203" s="1" t="n">
        <v>46292</v>
      </c>
      <c r="F1203" t="inlineStr">
        <is>
          <t>GÄVLEBORGS LÄN</t>
        </is>
      </c>
      <c r="G1203" t="inlineStr">
        <is>
          <t>LJUSDAL</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29664-2026</t>
        </is>
      </c>
      <c r="B1204" t="inlineStr">
        <is>
          <t>avverkningsanmälan</t>
        </is>
      </c>
      <c r="C1204" t="inlineStr">
        <is>
          <t>Föryngringsavverkning</t>
        </is>
      </c>
      <c r="D1204" s="1" t="n">
        <v>46204</v>
      </c>
      <c r="E1204" s="1" t="n">
        <v>46292</v>
      </c>
      <c r="F1204" t="inlineStr">
        <is>
          <t>GÄVLEBORGS LÄN</t>
        </is>
      </c>
      <c r="G1204" t="inlineStr">
        <is>
          <t>LJUSDAL</t>
        </is>
      </c>
      <c r="H1204" t="inlineStr">
        <is>
          <t>Sveaskog</t>
        </is>
      </c>
      <c r="I1204" t="n">
        <v>14.4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8667-2024</t>
        </is>
      </c>
      <c r="B1205" t="inlineStr">
        <is>
          <t>avverkningsanmälan</t>
        </is>
      </c>
      <c r="C1205" t="inlineStr">
        <is>
          <t>Föryngringsavverkning</t>
        </is>
      </c>
      <c r="D1205" s="1" t="n">
        <v>45356</v>
      </c>
      <c r="E1205" s="1" t="n">
        <v>46292</v>
      </c>
      <c r="F1205" t="inlineStr">
        <is>
          <t>GÄVLEBORGS LÄN</t>
        </is>
      </c>
      <c r="G1205" t="inlineStr">
        <is>
          <t>LJUSDAL</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26181-2023</t>
        </is>
      </c>
      <c r="B1206" t="inlineStr">
        <is>
          <t>avverkningsanmälan</t>
        </is>
      </c>
      <c r="C1206" t="inlineStr">
        <is>
          <t>Föryngringsavverkning</t>
        </is>
      </c>
      <c r="D1206" s="1" t="n">
        <v>45091</v>
      </c>
      <c r="E1206" s="1" t="n">
        <v>46292</v>
      </c>
      <c r="F1206" t="inlineStr">
        <is>
          <t>GÄVLEBORGS LÄN</t>
        </is>
      </c>
      <c r="G1206" t="inlineStr">
        <is>
          <t>LJUSDAL</t>
        </is>
      </c>
      <c r="H1206" t="inlineStr">
        <is>
          <t>Sveaskog</t>
        </is>
      </c>
      <c r="I1206" t="n">
        <v>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26184-2023</t>
        </is>
      </c>
      <c r="B1207" t="inlineStr">
        <is>
          <t>avverkningsanmälan</t>
        </is>
      </c>
      <c r="C1207" t="inlineStr">
        <is>
          <t>Föryngringsavverkning</t>
        </is>
      </c>
      <c r="D1207" s="1" t="n">
        <v>45091</v>
      </c>
      <c r="E1207" s="1" t="n">
        <v>46292</v>
      </c>
      <c r="F1207" t="inlineStr">
        <is>
          <t>GÄVLEBORGS LÄN</t>
        </is>
      </c>
      <c r="G1207" t="inlineStr">
        <is>
          <t>LJUSDAL</t>
        </is>
      </c>
      <c r="H1207" t="inlineStr">
        <is>
          <t>Sveaskog</t>
        </is>
      </c>
      <c r="I1207" t="n">
        <v>11.8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61091-2024</t>
        </is>
      </c>
      <c r="B1208" t="inlineStr">
        <is>
          <t>avverkningsanmälan</t>
        </is>
      </c>
      <c r="C1208" t="inlineStr">
        <is>
          <t>Föryngringsavverkning</t>
        </is>
      </c>
      <c r="D1208" s="1" t="n">
        <v>45645</v>
      </c>
      <c r="E1208" s="1" t="n">
        <v>46292</v>
      </c>
      <c r="F1208" t="inlineStr">
        <is>
          <t>GÄVLEBORGS LÄN</t>
        </is>
      </c>
      <c r="G1208" t="inlineStr">
        <is>
          <t>LJUSDAL</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25512-2026</t>
        </is>
      </c>
      <c r="B1209" t="inlineStr">
        <is>
          <t>avverkningsanmälan</t>
        </is>
      </c>
      <c r="C1209" t="inlineStr">
        <is>
          <t>Föryngringsavverkning</t>
        </is>
      </c>
      <c r="D1209" s="1" t="n">
        <v>46177</v>
      </c>
      <c r="E1209" s="1" t="n">
        <v>46292</v>
      </c>
      <c r="F1209" t="inlineStr">
        <is>
          <t>GÄVLEBORGS LÄN</t>
        </is>
      </c>
      <c r="G1209" t="inlineStr">
        <is>
          <t>LJUSDAL</t>
        </is>
      </c>
      <c r="H1209" t="inlineStr">
        <is>
          <t>Holmen skog AB</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26334-2026</t>
        </is>
      </c>
      <c r="B1210" t="inlineStr">
        <is>
          <t>avverkningsanmälan</t>
        </is>
      </c>
      <c r="C1210" t="inlineStr">
        <is>
          <t>Föryngringsavverkning</t>
        </is>
      </c>
      <c r="D1210" s="1" t="n">
        <v>46182</v>
      </c>
      <c r="E1210" s="1" t="n">
        <v>46292</v>
      </c>
      <c r="F1210" t="inlineStr">
        <is>
          <t>GÄVLEBORGS LÄN</t>
        </is>
      </c>
      <c r="G1210" t="inlineStr">
        <is>
          <t>LJUSDAL</t>
        </is>
      </c>
      <c r="H1210" t="inlineStr">
        <is>
          <t>Holmen skog AB</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30393-2026</t>
        </is>
      </c>
      <c r="B1211" t="inlineStr">
        <is>
          <t>avverkningsanmälan</t>
        </is>
      </c>
      <c r="C1211" t="inlineStr">
        <is>
          <t>Föryngringsavverkning</t>
        </is>
      </c>
      <c r="D1211" s="1" t="n">
        <v>46209</v>
      </c>
      <c r="E1211" s="1" t="n">
        <v>46292</v>
      </c>
      <c r="F1211" t="inlineStr">
        <is>
          <t>GÄVLEBORGS LÄN</t>
        </is>
      </c>
      <c r="G1211" t="inlineStr">
        <is>
          <t>LJUSDAL</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52174-2023</t>
        </is>
      </c>
      <c r="B1212" t="inlineStr">
        <is>
          <t>avverkningsanmälan</t>
        </is>
      </c>
      <c r="C1212" t="inlineStr">
        <is>
          <t>Föryngringsavverkning</t>
        </is>
      </c>
      <c r="D1212" s="1" t="n">
        <v>45224</v>
      </c>
      <c r="E1212" s="1" t="n">
        <v>46292</v>
      </c>
      <c r="F1212" t="inlineStr">
        <is>
          <t>GÄVLEBORGS LÄN</t>
        </is>
      </c>
      <c r="G1212" t="inlineStr">
        <is>
          <t>LJUSDAL</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30221-2026</t>
        </is>
      </c>
      <c r="B1213" t="inlineStr">
        <is>
          <t>avverkningsanmälan</t>
        </is>
      </c>
      <c r="C1213" t="inlineStr">
        <is>
          <t>Föryngringsavverkning</t>
        </is>
      </c>
      <c r="D1213" s="1" t="n">
        <v>46206</v>
      </c>
      <c r="E1213" s="1" t="n">
        <v>46292</v>
      </c>
      <c r="F1213" t="inlineStr">
        <is>
          <t>GÄVLEBORGS LÄN</t>
        </is>
      </c>
      <c r="G1213" t="inlineStr">
        <is>
          <t>LJUSDAL</t>
        </is>
      </c>
      <c r="H1213" t="inlineStr">
        <is>
          <t>Bergvik skog väst AB</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34045-2026</t>
        </is>
      </c>
      <c r="B1214" t="inlineStr">
        <is>
          <t>avverkningsanmälan</t>
        </is>
      </c>
      <c r="C1214" t="inlineStr">
        <is>
          <t>Föryngringsavverkning</t>
        </is>
      </c>
      <c r="D1214" s="1" t="n">
        <v>46252</v>
      </c>
      <c r="E1214" s="1" t="n">
        <v>46292</v>
      </c>
      <c r="F1214" t="inlineStr">
        <is>
          <t>GÄVLEBORGS LÄN</t>
        </is>
      </c>
      <c r="G1214" t="inlineStr">
        <is>
          <t>LJUSDAL</t>
        </is>
      </c>
      <c r="H1214" t="inlineStr">
        <is>
          <t>Sveaskog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30237-2026</t>
        </is>
      </c>
      <c r="B1215" t="inlineStr">
        <is>
          <t>avverkningsanmälan</t>
        </is>
      </c>
      <c r="C1215" t="inlineStr">
        <is>
          <t>Föryngringsavverkning</t>
        </is>
      </c>
      <c r="D1215" s="1" t="n">
        <v>46206</v>
      </c>
      <c r="E1215" s="1" t="n">
        <v>46292</v>
      </c>
      <c r="F1215" t="inlineStr">
        <is>
          <t>GÄVLEBORGS LÄN</t>
        </is>
      </c>
      <c r="G1215" t="inlineStr">
        <is>
          <t>LJUSDAL</t>
        </is>
      </c>
      <c r="H1215" t="inlineStr">
        <is>
          <t>Bergvik skog väst AB</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30240-2023</t>
        </is>
      </c>
      <c r="B1216" t="inlineStr">
        <is>
          <t>avverkningsanmälan</t>
        </is>
      </c>
      <c r="C1216" t="inlineStr">
        <is>
          <t>Föryngringsavverkning</t>
        </is>
      </c>
      <c r="D1216" s="1" t="n">
        <v>45110</v>
      </c>
      <c r="E1216" s="1" t="n">
        <v>46292</v>
      </c>
      <c r="F1216" t="inlineStr">
        <is>
          <t>GÄVLEBORGS LÄN</t>
        </is>
      </c>
      <c r="G1216" t="inlineStr">
        <is>
          <t>LJUSDAL</t>
        </is>
      </c>
      <c r="H1216" t="inlineStr">
        <is>
          <t>Sveaskog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33892-2026</t>
        </is>
      </c>
      <c r="B1217" t="inlineStr">
        <is>
          <t>avverkningsanmälan</t>
        </is>
      </c>
      <c r="C1217" t="inlineStr">
        <is>
          <t>Föryngringsavverkning</t>
        </is>
      </c>
      <c r="D1217" s="1" t="n">
        <v>46251</v>
      </c>
      <c r="E1217" s="1" t="n">
        <v>46292</v>
      </c>
      <c r="F1217" t="inlineStr">
        <is>
          <t>GÄVLEBORGS LÄN</t>
        </is>
      </c>
      <c r="G1217" t="inlineStr">
        <is>
          <t>LJUSDAL</t>
        </is>
      </c>
      <c r="H1217" t="inlineStr">
        <is>
          <t>Sveaskog</t>
        </is>
      </c>
      <c r="I1217" t="n">
        <v>14.1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34043-2026</t>
        </is>
      </c>
      <c r="B1218" t="inlineStr">
        <is>
          <t>avverkningsanmälan</t>
        </is>
      </c>
      <c r="C1218" t="inlineStr">
        <is>
          <t>Föryngringsavverkning</t>
        </is>
      </c>
      <c r="D1218" s="1" t="n">
        <v>46252</v>
      </c>
      <c r="E1218" s="1" t="n">
        <v>46292</v>
      </c>
      <c r="F1218" t="inlineStr">
        <is>
          <t>GÄVLEBORGS LÄN</t>
        </is>
      </c>
      <c r="G1218" t="inlineStr">
        <is>
          <t>LJUSDAL</t>
        </is>
      </c>
      <c r="H1218" t="inlineStr">
        <is>
          <t>Sveaskog</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30352-2026</t>
        </is>
      </c>
      <c r="B1219" t="inlineStr">
        <is>
          <t>avverkningsanmälan</t>
        </is>
      </c>
      <c r="C1219" t="inlineStr">
        <is>
          <t>Föryngringsavverkning</t>
        </is>
      </c>
      <c r="D1219" s="1" t="n">
        <v>46209</v>
      </c>
      <c r="E1219" s="1" t="n">
        <v>46292</v>
      </c>
      <c r="F1219" t="inlineStr">
        <is>
          <t>GÄVLEBORGS LÄN</t>
        </is>
      </c>
      <c r="G1219" t="inlineStr">
        <is>
          <t>LJUSDAL</t>
        </is>
      </c>
      <c r="H1219" t="inlineStr">
        <is>
          <t>Bergvik skog väst AB</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49957-2024</t>
        </is>
      </c>
      <c r="B1220" t="inlineStr">
        <is>
          <t>avverkningsanmälan</t>
        </is>
      </c>
      <c r="C1220" t="inlineStr">
        <is>
          <t>Föryngringsavverkning</t>
        </is>
      </c>
      <c r="D1220" s="1" t="n">
        <v>45597</v>
      </c>
      <c r="E1220" s="1" t="n">
        <v>46292</v>
      </c>
      <c r="F1220" t="inlineStr">
        <is>
          <t>GÄVLEBORGS LÄN</t>
        </is>
      </c>
      <c r="G1220" t="inlineStr">
        <is>
          <t>LJUSDAL</t>
        </is>
      </c>
      <c r="I1220" t="n">
        <v>4.6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26625-2023</t>
        </is>
      </c>
      <c r="B1221" t="inlineStr">
        <is>
          <t>avverkningsanmälan</t>
        </is>
      </c>
      <c r="C1221" t="inlineStr">
        <is>
          <t>Föryngringsavverkning</t>
        </is>
      </c>
      <c r="D1221" s="1" t="n">
        <v>45092</v>
      </c>
      <c r="E1221" s="1" t="n">
        <v>46292</v>
      </c>
      <c r="F1221" t="inlineStr">
        <is>
          <t>GÄVLEBORGS LÄN</t>
        </is>
      </c>
      <c r="G1221" t="inlineStr">
        <is>
          <t>LJUSDAL</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1332-2025</t>
        </is>
      </c>
      <c r="B1222" t="inlineStr">
        <is>
          <t>avverkningsanmälan</t>
        </is>
      </c>
      <c r="C1222" t="inlineStr">
        <is>
          <t>Föryngringsavverkning</t>
        </is>
      </c>
      <c r="D1222" s="1" t="n">
        <v>45667</v>
      </c>
      <c r="E1222" s="1" t="n">
        <v>46292</v>
      </c>
      <c r="F1222" t="inlineStr">
        <is>
          <t>GÄVLEBORGS LÄN</t>
        </is>
      </c>
      <c r="G1222" t="inlineStr">
        <is>
          <t>LJUSDAL</t>
        </is>
      </c>
      <c r="H1222" t="inlineStr">
        <is>
          <t>Holmen skog AB</t>
        </is>
      </c>
      <c r="I1222" t="n">
        <v>4.4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13246-2025</t>
        </is>
      </c>
      <c r="B1223" t="inlineStr">
        <is>
          <t>avverkningsanmälan</t>
        </is>
      </c>
      <c r="C1223" t="inlineStr">
        <is>
          <t>Föryngringsavverkning</t>
        </is>
      </c>
      <c r="D1223" s="1" t="n">
        <v>45735</v>
      </c>
      <c r="E1223" s="1" t="n">
        <v>46292</v>
      </c>
      <c r="F1223" t="inlineStr">
        <is>
          <t>GÄVLEBORGS LÄN</t>
        </is>
      </c>
      <c r="G1223" t="inlineStr">
        <is>
          <t>LJUSDAL</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206-2025</t>
        </is>
      </c>
      <c r="B1224" t="inlineStr">
        <is>
          <t>avverkningsanmälan</t>
        </is>
      </c>
      <c r="C1224" t="inlineStr">
        <is>
          <t>Föryngringsavverkning</t>
        </is>
      </c>
      <c r="D1224" s="1" t="n">
        <v>45660</v>
      </c>
      <c r="E1224" s="1" t="n">
        <v>46292</v>
      </c>
      <c r="F1224" t="inlineStr">
        <is>
          <t>GÄVLEBORGS LÄN</t>
        </is>
      </c>
      <c r="G1224" t="inlineStr">
        <is>
          <t>LJUSDAL</t>
        </is>
      </c>
      <c r="I1224" t="n">
        <v>5.8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209-2025</t>
        </is>
      </c>
      <c r="B1225" t="inlineStr">
        <is>
          <t>avverkningsanmälan</t>
        </is>
      </c>
      <c r="C1225" t="inlineStr">
        <is>
          <t>Föryngringsavverkning</t>
        </is>
      </c>
      <c r="D1225" s="1" t="n">
        <v>45660</v>
      </c>
      <c r="E1225" s="1" t="n">
        <v>46292</v>
      </c>
      <c r="F1225" t="inlineStr">
        <is>
          <t>GÄVLEBORGS LÄN</t>
        </is>
      </c>
      <c r="G1225" t="inlineStr">
        <is>
          <t>LJUSDAL</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34366-2026</t>
        </is>
      </c>
      <c r="B1226" t="inlineStr">
        <is>
          <t>avverkningsanmälan</t>
        </is>
      </c>
      <c r="C1226" t="inlineStr">
        <is>
          <t>Avverkning för annat ändamål</t>
        </is>
      </c>
      <c r="D1226" s="1" t="n">
        <v>46254</v>
      </c>
      <c r="E1226" s="1" t="n">
        <v>46292</v>
      </c>
      <c r="F1226" t="inlineStr">
        <is>
          <t>GÄVLEBORGS LÄN</t>
        </is>
      </c>
      <c r="G1226" t="inlineStr">
        <is>
          <t>LJUSDAL</t>
        </is>
      </c>
      <c r="H1226" t="inlineStr">
        <is>
          <t>SCA</t>
        </is>
      </c>
      <c r="I1226" t="n">
        <v>6.2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34572-2026</t>
        </is>
      </c>
      <c r="B1227" t="inlineStr">
        <is>
          <t>avverkningsanmälan</t>
        </is>
      </c>
      <c r="C1227" t="inlineStr">
        <is>
          <t>Föryngringsavverkning</t>
        </is>
      </c>
      <c r="D1227" s="1" t="n">
        <v>46255</v>
      </c>
      <c r="E1227" s="1" t="n">
        <v>46292</v>
      </c>
      <c r="F1227" t="inlineStr">
        <is>
          <t>GÄVLEBORGS LÄN</t>
        </is>
      </c>
      <c r="G1227" t="inlineStr">
        <is>
          <t>LJUSDAL</t>
        </is>
      </c>
      <c r="H1227" t="inlineStr">
        <is>
          <t>Bergvik skog väst AB</t>
        </is>
      </c>
      <c r="I1227" t="n">
        <v>14.7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35826-2023</t>
        </is>
      </c>
      <c r="B1228" t="inlineStr">
        <is>
          <t>avverkningsanmälan</t>
        </is>
      </c>
      <c r="C1228" t="inlineStr">
        <is>
          <t>Föryngringsavverkning</t>
        </is>
      </c>
      <c r="D1228" s="1" t="n">
        <v>45148</v>
      </c>
      <c r="E1228" s="1" t="n">
        <v>46292</v>
      </c>
      <c r="F1228" t="inlineStr">
        <is>
          <t>GÄVLEBORGS LÄN</t>
        </is>
      </c>
      <c r="G1228" t="inlineStr">
        <is>
          <t>LJUSDAL</t>
        </is>
      </c>
      <c r="H1228" t="inlineStr">
        <is>
          <t>Kommuner</t>
        </is>
      </c>
      <c r="I1228" t="n">
        <v>4.2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32293-2023</t>
        </is>
      </c>
      <c r="B1229" t="inlineStr">
        <is>
          <t>avverkningsanmälan</t>
        </is>
      </c>
      <c r="C1229" t="inlineStr">
        <is>
          <t>Föryngringsavverkning</t>
        </is>
      </c>
      <c r="D1229" s="1" t="n">
        <v>45107</v>
      </c>
      <c r="E1229" s="1" t="n">
        <v>46292</v>
      </c>
      <c r="F1229" t="inlineStr">
        <is>
          <t>GÄVLEBORGS LÄN</t>
        </is>
      </c>
      <c r="G1229" t="inlineStr">
        <is>
          <t>LJUSDAL</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32294-2023</t>
        </is>
      </c>
      <c r="B1230" t="inlineStr">
        <is>
          <t>avverkningsanmälan</t>
        </is>
      </c>
      <c r="C1230" t="inlineStr">
        <is>
          <t>Föryngringsavverkning</t>
        </is>
      </c>
      <c r="D1230" s="1" t="n">
        <v>45107</v>
      </c>
      <c r="E1230" s="1" t="n">
        <v>46292</v>
      </c>
      <c r="F1230" t="inlineStr">
        <is>
          <t>GÄVLEBORGS LÄN</t>
        </is>
      </c>
      <c r="G1230" t="inlineStr">
        <is>
          <t>LJUSDAL</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32365-2023</t>
        </is>
      </c>
      <c r="B1231" t="inlineStr">
        <is>
          <t>avverkningsanmälan</t>
        </is>
      </c>
      <c r="C1231" t="inlineStr">
        <is>
          <t>Föryngringsavverkning</t>
        </is>
      </c>
      <c r="D1231" s="1" t="n">
        <v>45120</v>
      </c>
      <c r="E1231" s="1" t="n">
        <v>46292</v>
      </c>
      <c r="F1231" t="inlineStr">
        <is>
          <t>GÄVLEBORGS LÄN</t>
        </is>
      </c>
      <c r="G1231" t="inlineStr">
        <is>
          <t>LJUSDAL</t>
        </is>
      </c>
      <c r="H1231" t="inlineStr">
        <is>
          <t>Holmen skog AB</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29841-2023</t>
        </is>
      </c>
      <c r="B1232" t="inlineStr">
        <is>
          <t>avverkningsanmälan</t>
        </is>
      </c>
      <c r="C1232" t="inlineStr">
        <is>
          <t>Föryngringsavverkning</t>
        </is>
      </c>
      <c r="D1232" s="1" t="n">
        <v>45099</v>
      </c>
      <c r="E1232" s="1" t="n">
        <v>46292</v>
      </c>
      <c r="F1232" t="inlineStr">
        <is>
          <t>GÄVLEBORGS LÄN</t>
        </is>
      </c>
      <c r="G1232" t="inlineStr">
        <is>
          <t>LJUSDAL</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32924-2023</t>
        </is>
      </c>
      <c r="B1233" t="inlineStr">
        <is>
          <t>avverkningsanmälan</t>
        </is>
      </c>
      <c r="C1233" t="inlineStr">
        <is>
          <t>Föryngringsavverkning</t>
        </is>
      </c>
      <c r="D1233" s="1" t="n">
        <v>45125</v>
      </c>
      <c r="E1233" s="1" t="n">
        <v>46292</v>
      </c>
      <c r="F1233" t="inlineStr">
        <is>
          <t>GÄVLEBORGS LÄN</t>
        </is>
      </c>
      <c r="G1233" t="inlineStr">
        <is>
          <t>LJUSDAL</t>
        </is>
      </c>
      <c r="H1233" t="inlineStr">
        <is>
          <t>Holmen skog AB</t>
        </is>
      </c>
      <c r="I1233" t="n">
        <v>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32943-2023</t>
        </is>
      </c>
      <c r="B1234" t="inlineStr">
        <is>
          <t>avverkningsanmälan</t>
        </is>
      </c>
      <c r="C1234" t="inlineStr">
        <is>
          <t>Föryngringsavverkning</t>
        </is>
      </c>
      <c r="D1234" s="1" t="n">
        <v>45125</v>
      </c>
      <c r="E1234" s="1" t="n">
        <v>46292</v>
      </c>
      <c r="F1234" t="inlineStr">
        <is>
          <t>GÄVLEBORGS LÄN</t>
        </is>
      </c>
      <c r="G1234" t="inlineStr">
        <is>
          <t>LJUSDAL</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18357-2024</t>
        </is>
      </c>
      <c r="B1235" t="inlineStr">
        <is>
          <t>avverkningsanmälan</t>
        </is>
      </c>
      <c r="C1235" t="inlineStr">
        <is>
          <t>Föryngringsavverkning</t>
        </is>
      </c>
      <c r="D1235" s="1" t="n">
        <v>45422</v>
      </c>
      <c r="E1235" s="1" t="n">
        <v>46292</v>
      </c>
      <c r="F1235" t="inlineStr">
        <is>
          <t>GÄVLEBORGS LÄN</t>
        </is>
      </c>
      <c r="G1235" t="inlineStr">
        <is>
          <t>LJUSDAL</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34541-2026</t>
        </is>
      </c>
      <c r="B1236" t="inlineStr">
        <is>
          <t>avverkningsanmälan</t>
        </is>
      </c>
      <c r="C1236" t="inlineStr">
        <is>
          <t>Föryngringsavverkning</t>
        </is>
      </c>
      <c r="D1236" s="1" t="n">
        <v>46255</v>
      </c>
      <c r="E1236" s="1" t="n">
        <v>46292</v>
      </c>
      <c r="F1236" t="inlineStr">
        <is>
          <t>GÄVLEBORGS LÄN</t>
        </is>
      </c>
      <c r="G1236" t="inlineStr">
        <is>
          <t>LJUSDAL</t>
        </is>
      </c>
      <c r="H1236" t="inlineStr">
        <is>
          <t>Bergvik skog väst AB</t>
        </is>
      </c>
      <c r="I1236" t="n">
        <v>12.7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20043-2024</t>
        </is>
      </c>
      <c r="B1237" t="inlineStr">
        <is>
          <t>avverkningsanmälan</t>
        </is>
      </c>
      <c r="C1237" t="inlineStr">
        <is>
          <t>Föryngringsavverkning</t>
        </is>
      </c>
      <c r="D1237" s="1" t="n">
        <v>45434</v>
      </c>
      <c r="E1237" s="1" t="n">
        <v>46292</v>
      </c>
      <c r="F1237" t="inlineStr">
        <is>
          <t>GÄVLEBORGS LÄN</t>
        </is>
      </c>
      <c r="G1237" t="inlineStr">
        <is>
          <t>LJUSDAL</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55291-2024</t>
        </is>
      </c>
      <c r="B1238" t="inlineStr">
        <is>
          <t>avverkningsanmälan</t>
        </is>
      </c>
      <c r="C1238" t="inlineStr">
        <is>
          <t>Föryngringsavverkning</t>
        </is>
      </c>
      <c r="D1238" s="1" t="n">
        <v>45621</v>
      </c>
      <c r="E1238" s="1" t="n">
        <v>46292</v>
      </c>
      <c r="F1238" t="inlineStr">
        <is>
          <t>GÄVLEBORGS LÄN</t>
        </is>
      </c>
      <c r="G1238" t="inlineStr">
        <is>
          <t>LJUSDAL</t>
        </is>
      </c>
      <c r="H1238" t="inlineStr">
        <is>
          <t>Sveaskog</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34501-2026</t>
        </is>
      </c>
      <c r="B1239" t="inlineStr">
        <is>
          <t>avverkningsanmälan</t>
        </is>
      </c>
      <c r="C1239" t="inlineStr">
        <is>
          <t>Föryngringsavverkning</t>
        </is>
      </c>
      <c r="D1239" s="1" t="n">
        <v>46255</v>
      </c>
      <c r="E1239" s="1" t="n">
        <v>46292</v>
      </c>
      <c r="F1239" t="inlineStr">
        <is>
          <t>GÄVLEBORGS LÄN</t>
        </is>
      </c>
      <c r="G1239" t="inlineStr">
        <is>
          <t>LJUSDAL</t>
        </is>
      </c>
      <c r="H1239" t="inlineStr">
        <is>
          <t>Sveaskog</t>
        </is>
      </c>
      <c r="I1239" t="n">
        <v>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34743-2026</t>
        </is>
      </c>
      <c r="B1240" t="inlineStr">
        <is>
          <t>avverkningsanmälan</t>
        </is>
      </c>
      <c r="C1240" t="inlineStr">
        <is>
          <t>Föryngringsavverkning</t>
        </is>
      </c>
      <c r="D1240" s="1" t="n">
        <v>46258</v>
      </c>
      <c r="E1240" s="1" t="n">
        <v>46292</v>
      </c>
      <c r="F1240" t="inlineStr">
        <is>
          <t>GÄVLEBORGS LÄN</t>
        </is>
      </c>
      <c r="G1240" t="inlineStr">
        <is>
          <t>LJUSDAL</t>
        </is>
      </c>
      <c r="H1240" t="inlineStr">
        <is>
          <t>Bergvik skog väst AB</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9191-2022</t>
        </is>
      </c>
      <c r="B1241" t="inlineStr">
        <is>
          <t>avverkningsanmälan</t>
        </is>
      </c>
      <c r="C1241" t="inlineStr">
        <is>
          <t>Föryngringsavverkning</t>
        </is>
      </c>
      <c r="D1241" s="1" t="n">
        <v>44615</v>
      </c>
      <c r="E1241" s="1" t="n">
        <v>46292</v>
      </c>
      <c r="F1241" t="inlineStr">
        <is>
          <t>GÄVLEBORGS LÄN</t>
        </is>
      </c>
      <c r="G1241" t="inlineStr">
        <is>
          <t>LJUSDAL</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19564-2025</t>
        </is>
      </c>
      <c r="B1242" t="inlineStr">
        <is>
          <t>avverkningsanmälan</t>
        </is>
      </c>
      <c r="C1242" t="inlineStr">
        <is>
          <t>Föryngringsavverkning</t>
        </is>
      </c>
      <c r="D1242" s="1" t="n">
        <v>45770</v>
      </c>
      <c r="E1242" s="1" t="n">
        <v>46292</v>
      </c>
      <c r="F1242" t="inlineStr">
        <is>
          <t>GÄVLEBORGS LÄN</t>
        </is>
      </c>
      <c r="G1242" t="inlineStr">
        <is>
          <t>LJUSDAL</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41882-2024</t>
        </is>
      </c>
      <c r="B1243" t="inlineStr">
        <is>
          <t>avverkningsanmälan</t>
        </is>
      </c>
      <c r="C1243" t="inlineStr">
        <is>
          <t>Föryngringsavverkning</t>
        </is>
      </c>
      <c r="D1243" s="1" t="n">
        <v>45561</v>
      </c>
      <c r="E1243" s="1" t="n">
        <v>46292</v>
      </c>
      <c r="F1243" t="inlineStr">
        <is>
          <t>GÄVLEBORGS LÄN</t>
        </is>
      </c>
      <c r="G1243" t="inlineStr">
        <is>
          <t>LJUSDAL</t>
        </is>
      </c>
      <c r="I1243" t="n">
        <v>11.9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34715-2026</t>
        </is>
      </c>
      <c r="B1244" t="inlineStr">
        <is>
          <t>avverkningsanmälan</t>
        </is>
      </c>
      <c r="C1244" t="inlineStr">
        <is>
          <t>Föryngringsavverkning</t>
        </is>
      </c>
      <c r="D1244" s="1" t="n">
        <v>46258</v>
      </c>
      <c r="E1244" s="1" t="n">
        <v>46292</v>
      </c>
      <c r="F1244" t="inlineStr">
        <is>
          <t>GÄVLEBORGS LÄN</t>
        </is>
      </c>
      <c r="G1244" t="inlineStr">
        <is>
          <t>LJUSDAL</t>
        </is>
      </c>
      <c r="H1244" t="inlineStr">
        <is>
          <t>Bergvik skog väst AB</t>
        </is>
      </c>
      <c r="I1244" t="n">
        <v>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34498-2026</t>
        </is>
      </c>
      <c r="B1245" t="inlineStr">
        <is>
          <t>avverkningsanmälan</t>
        </is>
      </c>
      <c r="C1245" t="inlineStr">
        <is>
          <t>Föryngringsavverkning</t>
        </is>
      </c>
      <c r="D1245" s="1" t="n">
        <v>46255</v>
      </c>
      <c r="E1245" s="1" t="n">
        <v>46292</v>
      </c>
      <c r="F1245" t="inlineStr">
        <is>
          <t>GÄVLEBORGS LÄN</t>
        </is>
      </c>
      <c r="G1245" t="inlineStr">
        <is>
          <t>LJUSDAL</t>
        </is>
      </c>
      <c r="H1245" t="inlineStr">
        <is>
          <t>Sveaskog</t>
        </is>
      </c>
      <c r="I1245" t="n">
        <v>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44092-2024</t>
        </is>
      </c>
      <c r="B1246" t="inlineStr">
        <is>
          <t>avverkningsanmälan</t>
        </is>
      </c>
      <c r="C1246" t="inlineStr">
        <is>
          <t>Föryngringsavverkning</t>
        </is>
      </c>
      <c r="D1246" s="1" t="n">
        <v>45572</v>
      </c>
      <c r="E1246" s="1" t="n">
        <v>46292</v>
      </c>
      <c r="F1246" t="inlineStr">
        <is>
          <t>GÄVLEBORGS LÄN</t>
        </is>
      </c>
      <c r="G1246" t="inlineStr">
        <is>
          <t>LJUSDAL</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31198-2026</t>
        </is>
      </c>
      <c r="B1247" t="inlineStr">
        <is>
          <t>avverkningsanmälan</t>
        </is>
      </c>
      <c r="C1247" t="inlineStr">
        <is>
          <t>Föryngringsavverkning</t>
        </is>
      </c>
      <c r="D1247" s="1" t="n">
        <v>46217</v>
      </c>
      <c r="E1247" s="1" t="n">
        <v>46292</v>
      </c>
      <c r="F1247" t="inlineStr">
        <is>
          <t>GÄVLEBORGS LÄN</t>
        </is>
      </c>
      <c r="G1247" t="inlineStr">
        <is>
          <t>LJUSDAL</t>
        </is>
      </c>
      <c r="H1247" t="inlineStr">
        <is>
          <t>Bergvik skog väst AB</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22294-2024</t>
        </is>
      </c>
      <c r="B1248" t="inlineStr">
        <is>
          <t>avverkningsanmälan</t>
        </is>
      </c>
      <c r="C1248" t="inlineStr">
        <is>
          <t>Föryngringsavverkning</t>
        </is>
      </c>
      <c r="D1248" s="1" t="n">
        <v>45446</v>
      </c>
      <c r="E1248" s="1" t="n">
        <v>46292</v>
      </c>
      <c r="F1248" t="inlineStr">
        <is>
          <t>GÄVLEBORGS LÄN</t>
        </is>
      </c>
      <c r="G1248" t="inlineStr">
        <is>
          <t>LJUSDAL</t>
        </is>
      </c>
      <c r="H1248" t="inlineStr">
        <is>
          <t>Bergvik skog väst AB</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21637-2024</t>
        </is>
      </c>
      <c r="B1249" t="inlineStr">
        <is>
          <t>avverkningsanmälan</t>
        </is>
      </c>
      <c r="C1249" t="inlineStr">
        <is>
          <t>Föryngringsavverkning</t>
        </is>
      </c>
      <c r="D1249" s="1" t="n">
        <v>45442</v>
      </c>
      <c r="E1249" s="1" t="n">
        <v>46292</v>
      </c>
      <c r="F1249" t="inlineStr">
        <is>
          <t>GÄVLEBORGS LÄN</t>
        </is>
      </c>
      <c r="G1249" t="inlineStr">
        <is>
          <t>LJUSDAL</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31183-2026</t>
        </is>
      </c>
      <c r="B1250" t="inlineStr">
        <is>
          <t>avverkningsanmälan</t>
        </is>
      </c>
      <c r="C1250" t="inlineStr">
        <is>
          <t>Föryngringsavverkning</t>
        </is>
      </c>
      <c r="D1250" s="1" t="n">
        <v>46217</v>
      </c>
      <c r="E1250" s="1" t="n">
        <v>46292</v>
      </c>
      <c r="F1250" t="inlineStr">
        <is>
          <t>GÄVLEBORGS LÄN</t>
        </is>
      </c>
      <c r="G1250" t="inlineStr">
        <is>
          <t>LJUSDAL</t>
        </is>
      </c>
      <c r="H1250" t="inlineStr">
        <is>
          <t>Bergvik skog väst AB</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23195-2022</t>
        </is>
      </c>
      <c r="B1251" t="inlineStr">
        <is>
          <t>avverkningsanmälan</t>
        </is>
      </c>
      <c r="C1251" t="inlineStr">
        <is>
          <t>Föryngringsavverkning</t>
        </is>
      </c>
      <c r="D1251" s="1" t="n">
        <v>44719</v>
      </c>
      <c r="E1251" s="1" t="n">
        <v>46292</v>
      </c>
      <c r="F1251" t="inlineStr">
        <is>
          <t>GÄVLEBORGS LÄN</t>
        </is>
      </c>
      <c r="G1251" t="inlineStr">
        <is>
          <t>LJUSDAL</t>
        </is>
      </c>
      <c r="I1251" t="n">
        <v>4.2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34690-2026</t>
        </is>
      </c>
      <c r="B1252" t="inlineStr">
        <is>
          <t>avverkningsanmälan</t>
        </is>
      </c>
      <c r="C1252" t="inlineStr">
        <is>
          <t>Föryngringsavverkning</t>
        </is>
      </c>
      <c r="D1252" s="1" t="n">
        <v>46258</v>
      </c>
      <c r="E1252" s="1" t="n">
        <v>46292</v>
      </c>
      <c r="F1252" t="inlineStr">
        <is>
          <t>GÄVLEBORGS LÄN</t>
        </is>
      </c>
      <c r="G1252" t="inlineStr">
        <is>
          <t>LJUSDAL</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18854-2025</t>
        </is>
      </c>
      <c r="B1253" t="inlineStr">
        <is>
          <t>avverkningsanmälan</t>
        </is>
      </c>
      <c r="C1253" t="inlineStr">
        <is>
          <t>Föryngringsavverkning</t>
        </is>
      </c>
      <c r="D1253" s="1" t="n">
        <v>45764</v>
      </c>
      <c r="E1253" s="1" t="n">
        <v>46292</v>
      </c>
      <c r="F1253" t="inlineStr">
        <is>
          <t>GÄVLEBORGS LÄN</t>
        </is>
      </c>
      <c r="G1253" t="inlineStr">
        <is>
          <t>LJUSDAL</t>
        </is>
      </c>
      <c r="H1253" t="inlineStr">
        <is>
          <t>Sveaskog</t>
        </is>
      </c>
      <c r="I1253" t="n">
        <v>6.5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24512-2022</t>
        </is>
      </c>
      <c r="B1254" t="inlineStr">
        <is>
          <t>avverkningsanmälan</t>
        </is>
      </c>
      <c r="C1254" t="inlineStr">
        <is>
          <t>Föryngringsavverkning</t>
        </is>
      </c>
      <c r="D1254" s="1" t="n">
        <v>44726</v>
      </c>
      <c r="E1254" s="1" t="n">
        <v>46292</v>
      </c>
      <c r="F1254" t="inlineStr">
        <is>
          <t>GÄVLEBORGS LÄN</t>
        </is>
      </c>
      <c r="G1254" t="inlineStr">
        <is>
          <t>LJUSDAL</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57475-2023</t>
        </is>
      </c>
      <c r="B1255" t="inlineStr">
        <is>
          <t>avverkningsanmälan</t>
        </is>
      </c>
      <c r="C1255" t="inlineStr">
        <is>
          <t>Föryngringsavverkning</t>
        </is>
      </c>
      <c r="D1255" s="1" t="n">
        <v>45246</v>
      </c>
      <c r="E1255" s="1" t="n">
        <v>46292</v>
      </c>
      <c r="F1255" t="inlineStr">
        <is>
          <t>GÄVLEBORGS LÄN</t>
        </is>
      </c>
      <c r="G1255" t="inlineStr">
        <is>
          <t>LJUSDAL</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34975-2026</t>
        </is>
      </c>
      <c r="B1256" t="inlineStr">
        <is>
          <t>avverkningsanmälan</t>
        </is>
      </c>
      <c r="C1256" t="inlineStr">
        <is>
          <t>Föryngringsavverkning</t>
        </is>
      </c>
      <c r="D1256" s="1" t="n">
        <v>46259</v>
      </c>
      <c r="E1256" s="1" t="n">
        <v>46292</v>
      </c>
      <c r="F1256" t="inlineStr">
        <is>
          <t>GÄVLEBORGS LÄN</t>
        </is>
      </c>
      <c r="G1256" t="inlineStr">
        <is>
          <t>LJUSDAL</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35549-2026</t>
        </is>
      </c>
      <c r="B1257" t="inlineStr">
        <is>
          <t>avverkningsanmälan</t>
        </is>
      </c>
      <c r="C1257" t="inlineStr">
        <is>
          <t>Föryngringsavverkning</t>
        </is>
      </c>
      <c r="D1257" s="1" t="n">
        <v>46262</v>
      </c>
      <c r="E1257" s="1" t="n">
        <v>46292</v>
      </c>
      <c r="F1257" t="inlineStr">
        <is>
          <t>GÄVLEBORGS LÄN</t>
        </is>
      </c>
      <c r="G1257" t="inlineStr">
        <is>
          <t>LJUSDAL</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29260-2023</t>
        </is>
      </c>
      <c r="B1258" t="inlineStr">
        <is>
          <t>avverkningsanmälan</t>
        </is>
      </c>
      <c r="C1258" t="inlineStr">
        <is>
          <t>Föryngringsavverkning</t>
        </is>
      </c>
      <c r="D1258" s="1" t="n">
        <v>45105</v>
      </c>
      <c r="E1258" s="1" t="n">
        <v>46292</v>
      </c>
      <c r="F1258" t="inlineStr">
        <is>
          <t>GÄVLEBORGS LÄN</t>
        </is>
      </c>
      <c r="G1258" t="inlineStr">
        <is>
          <t>LJUSDAL</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43800-2023</t>
        </is>
      </c>
      <c r="B1259" t="inlineStr">
        <is>
          <t>avverkningsanmälan</t>
        </is>
      </c>
      <c r="C1259" t="inlineStr">
        <is>
          <t>Föryngringsavverkning</t>
        </is>
      </c>
      <c r="D1259" s="1" t="n">
        <v>45187</v>
      </c>
      <c r="E1259" s="1" t="n">
        <v>46292</v>
      </c>
      <c r="F1259" t="inlineStr">
        <is>
          <t>GÄVLEBORGS LÄN</t>
        </is>
      </c>
      <c r="G1259" t="inlineStr">
        <is>
          <t>LJUSDAL</t>
        </is>
      </c>
      <c r="H1259" t="inlineStr">
        <is>
          <t>Bergvik skog väst AB</t>
        </is>
      </c>
      <c r="I1259" t="n">
        <v>6.9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35281-2026</t>
        </is>
      </c>
      <c r="B1260" t="inlineStr">
        <is>
          <t>avverkningsanmälan</t>
        </is>
      </c>
      <c r="C1260" t="inlineStr">
        <is>
          <t>Föryngringsavverkning</t>
        </is>
      </c>
      <c r="D1260" s="1" t="n">
        <v>46261</v>
      </c>
      <c r="E1260" s="1" t="n">
        <v>46292</v>
      </c>
      <c r="F1260" t="inlineStr">
        <is>
          <t>GÄVLEBORGS LÄN</t>
        </is>
      </c>
      <c r="G1260" t="inlineStr">
        <is>
          <t>LJUSDAL</t>
        </is>
      </c>
      <c r="H1260" t="inlineStr">
        <is>
          <t>Holmen skog AB</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53013-2023</t>
        </is>
      </c>
      <c r="B1261" t="inlineStr">
        <is>
          <t>avverkningsanmälan</t>
        </is>
      </c>
      <c r="C1261" t="inlineStr">
        <is>
          <t>Föryngringsavverkning</t>
        </is>
      </c>
      <c r="D1261" s="1" t="n">
        <v>45226</v>
      </c>
      <c r="E1261" s="1" t="n">
        <v>46292</v>
      </c>
      <c r="F1261" t="inlineStr">
        <is>
          <t>GÄVLEBORGS LÄN</t>
        </is>
      </c>
      <c r="G1261" t="inlineStr">
        <is>
          <t>LJUSDAL</t>
        </is>
      </c>
      <c r="H1261" t="inlineStr">
        <is>
          <t>Sveaskog</t>
        </is>
      </c>
      <c r="I1261" t="n">
        <v>21.1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23619-2022</t>
        </is>
      </c>
      <c r="B1262" t="inlineStr">
        <is>
          <t>avverkningsanmälan</t>
        </is>
      </c>
      <c r="C1262" t="inlineStr">
        <is>
          <t>Föryngringsavverkning</t>
        </is>
      </c>
      <c r="D1262" s="1" t="n">
        <v>44721</v>
      </c>
      <c r="E1262" s="1" t="n">
        <v>46292</v>
      </c>
      <c r="F1262" t="inlineStr">
        <is>
          <t>GÄVLEBORGS LÄN</t>
        </is>
      </c>
      <c r="G1262" t="inlineStr">
        <is>
          <t>LJUSDAL</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40280-2023</t>
        </is>
      </c>
      <c r="B1263" t="inlineStr">
        <is>
          <t>avverkningsanmälan</t>
        </is>
      </c>
      <c r="C1263" t="inlineStr">
        <is>
          <t>Föryngringsavverkning</t>
        </is>
      </c>
      <c r="D1263" s="1" t="n">
        <v>45169</v>
      </c>
      <c r="E1263" s="1" t="n">
        <v>46292</v>
      </c>
      <c r="F1263" t="inlineStr">
        <is>
          <t>GÄVLEBORGS LÄN</t>
        </is>
      </c>
      <c r="G1263" t="inlineStr">
        <is>
          <t>LJUSDAL</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40276-2023</t>
        </is>
      </c>
      <c r="B1264" t="inlineStr">
        <is>
          <t>avverkningsanmälan</t>
        </is>
      </c>
      <c r="C1264" t="inlineStr">
        <is>
          <t>Föryngringsavverkning</t>
        </is>
      </c>
      <c r="D1264" s="1" t="n">
        <v>45169</v>
      </c>
      <c r="E1264" s="1" t="n">
        <v>46292</v>
      </c>
      <c r="F1264" t="inlineStr">
        <is>
          <t>GÄVLEBORGS LÄN</t>
        </is>
      </c>
      <c r="G1264" t="inlineStr">
        <is>
          <t>LJUSDAL</t>
        </is>
      </c>
      <c r="H1264" t="inlineStr">
        <is>
          <t>Sveaskog</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12224-2025</t>
        </is>
      </c>
      <c r="B1265" t="inlineStr">
        <is>
          <t>avverkningsanmälan</t>
        </is>
      </c>
      <c r="C1265" t="inlineStr">
        <is>
          <t>Föryngringsavverkning</t>
        </is>
      </c>
      <c r="D1265" s="1" t="n">
        <v>45729</v>
      </c>
      <c r="E1265" s="1" t="n">
        <v>46292</v>
      </c>
      <c r="F1265" t="inlineStr">
        <is>
          <t>GÄVLEBORGS LÄN</t>
        </is>
      </c>
      <c r="G1265" t="inlineStr">
        <is>
          <t>LJUSDAL</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32151-2023</t>
        </is>
      </c>
      <c r="B1266" t="inlineStr">
        <is>
          <t>avverkningsanmälan</t>
        </is>
      </c>
      <c r="C1266" t="inlineStr">
        <is>
          <t>Föryngringsavverkning</t>
        </is>
      </c>
      <c r="D1266" s="1" t="n">
        <v>45119</v>
      </c>
      <c r="E1266" s="1" t="n">
        <v>46292</v>
      </c>
      <c r="F1266" t="inlineStr">
        <is>
          <t>GÄVLEBORGS LÄN</t>
        </is>
      </c>
      <c r="G1266" t="inlineStr">
        <is>
          <t>LJUSDAL</t>
        </is>
      </c>
      <c r="H1266" t="inlineStr">
        <is>
          <t>Bergvik skog väst AB</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43718-2023</t>
        </is>
      </c>
      <c r="B1267" t="inlineStr">
        <is>
          <t>avverkningsanmälan</t>
        </is>
      </c>
      <c r="C1267" t="inlineStr">
        <is>
          <t>Föryngringsavverkning</t>
        </is>
      </c>
      <c r="D1267" s="1" t="n">
        <v>45187</v>
      </c>
      <c r="E1267" s="1" t="n">
        <v>46292</v>
      </c>
      <c r="F1267" t="inlineStr">
        <is>
          <t>GÄVLEBORGS LÄN</t>
        </is>
      </c>
      <c r="G1267" t="inlineStr">
        <is>
          <t>LJUSDAL</t>
        </is>
      </c>
      <c r="H1267" t="inlineStr">
        <is>
          <t>Sveaskog</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1820-2024</t>
        </is>
      </c>
      <c r="B1268" t="inlineStr">
        <is>
          <t>avverkningsanmälan</t>
        </is>
      </c>
      <c r="C1268" t="inlineStr">
        <is>
          <t>Föryngringsavverkning</t>
        </is>
      </c>
      <c r="D1268" s="1" t="n">
        <v>45307</v>
      </c>
      <c r="E1268" s="1" t="n">
        <v>46292</v>
      </c>
      <c r="F1268" t="inlineStr">
        <is>
          <t>GÄVLEBORGS LÄN</t>
        </is>
      </c>
      <c r="G1268" t="inlineStr">
        <is>
          <t>LJUSDAL</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34094-2023</t>
        </is>
      </c>
      <c r="B1269" t="inlineStr">
        <is>
          <t>avverkningsanmälan</t>
        </is>
      </c>
      <c r="C1269" t="inlineStr">
        <is>
          <t>Föryngringsavverkning</t>
        </is>
      </c>
      <c r="D1269" s="1" t="n">
        <v>45135</v>
      </c>
      <c r="E1269" s="1" t="n">
        <v>46292</v>
      </c>
      <c r="F1269" t="inlineStr">
        <is>
          <t>GÄVLEBORGS LÄN</t>
        </is>
      </c>
      <c r="G1269" t="inlineStr">
        <is>
          <t>LJUSDAL</t>
        </is>
      </c>
      <c r="H1269" t="inlineStr">
        <is>
          <t>Holmen skog AB</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35961-2026</t>
        </is>
      </c>
      <c r="B1270" t="inlineStr">
        <is>
          <t>avverkningsanmälan</t>
        </is>
      </c>
      <c r="C1270" t="inlineStr">
        <is>
          <t>Föryngringsavverkning</t>
        </is>
      </c>
      <c r="D1270" s="1" t="n">
        <v>46266</v>
      </c>
      <c r="E1270" s="1" t="n">
        <v>46292</v>
      </c>
      <c r="F1270" t="inlineStr">
        <is>
          <t>GÄVLEBORGS LÄN</t>
        </is>
      </c>
      <c r="G1270" t="inlineStr">
        <is>
          <t>LJUSDAL</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38596-2022</t>
        </is>
      </c>
      <c r="B1271" t="inlineStr">
        <is>
          <t>avverkningsanmälan</t>
        </is>
      </c>
      <c r="C1271" t="inlineStr">
        <is>
          <t>Föryngringsavverkning</t>
        </is>
      </c>
      <c r="D1271" s="1" t="n">
        <v>44813</v>
      </c>
      <c r="E1271" s="1" t="n">
        <v>46292</v>
      </c>
      <c r="F1271" t="inlineStr">
        <is>
          <t>GÄVLEBORGS LÄN</t>
        </is>
      </c>
      <c r="G1271" t="inlineStr">
        <is>
          <t>LJUSDAL</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264-2024</t>
        </is>
      </c>
      <c r="B1272" t="inlineStr">
        <is>
          <t>avverkningsanmälan</t>
        </is>
      </c>
      <c r="C1272" t="inlineStr">
        <is>
          <t>Föryngringsavverkning</t>
        </is>
      </c>
      <c r="D1272" s="1" t="n">
        <v>45295</v>
      </c>
      <c r="E1272" s="1" t="n">
        <v>46292</v>
      </c>
      <c r="F1272" t="inlineStr">
        <is>
          <t>GÄVLEBORGS LÄN</t>
        </is>
      </c>
      <c r="G1272" t="inlineStr">
        <is>
          <t>LJUSDAL</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26849-2024</t>
        </is>
      </c>
      <c r="B1273" t="inlineStr">
        <is>
          <t>avverkningsanmälan</t>
        </is>
      </c>
      <c r="C1273" t="inlineStr">
        <is>
          <t>Avverkning för annat ändamål</t>
        </is>
      </c>
      <c r="D1273" s="1" t="n">
        <v>45470</v>
      </c>
      <c r="E1273" s="1" t="n">
        <v>46292</v>
      </c>
      <c r="F1273" t="inlineStr">
        <is>
          <t>GÄVLEBORGS LÄN</t>
        </is>
      </c>
      <c r="G1273" t="inlineStr">
        <is>
          <t>LJUSDAL</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19490-2025</t>
        </is>
      </c>
      <c r="B1274" t="inlineStr">
        <is>
          <t>avverkningsanmälan</t>
        </is>
      </c>
      <c r="C1274" t="inlineStr">
        <is>
          <t>Föryngringsavverkning</t>
        </is>
      </c>
      <c r="D1274" s="1" t="n">
        <v>45770</v>
      </c>
      <c r="E1274" s="1" t="n">
        <v>46292</v>
      </c>
      <c r="F1274" t="inlineStr">
        <is>
          <t>GÄVLEBORGS LÄN</t>
        </is>
      </c>
      <c r="G1274" t="inlineStr">
        <is>
          <t>LJUSDAL</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4582-2024</t>
        </is>
      </c>
      <c r="B1275" t="inlineStr">
        <is>
          <t>avverkningsanmälan</t>
        </is>
      </c>
      <c r="C1275" t="inlineStr">
        <is>
          <t>Avverkning för annat ändamål</t>
        </is>
      </c>
      <c r="D1275" s="1" t="n">
        <v>45327</v>
      </c>
      <c r="E1275" s="1" t="n">
        <v>46292</v>
      </c>
      <c r="F1275" t="inlineStr">
        <is>
          <t>GÄVLEBORGS LÄN</t>
        </is>
      </c>
      <c r="G1275" t="inlineStr">
        <is>
          <t>LJUSDAL</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36287-2026</t>
        </is>
      </c>
      <c r="B1276" t="inlineStr">
        <is>
          <t>avverkningsanmälan</t>
        </is>
      </c>
      <c r="C1276" t="inlineStr">
        <is>
          <t>Föryngringsavverkning</t>
        </is>
      </c>
      <c r="D1276" s="1" t="n">
        <v>46268</v>
      </c>
      <c r="E1276" s="1" t="n">
        <v>46292</v>
      </c>
      <c r="F1276" t="inlineStr">
        <is>
          <t>GÄVLEBORGS LÄN</t>
        </is>
      </c>
      <c r="G1276" t="inlineStr">
        <is>
          <t>LJUSDAL</t>
        </is>
      </c>
      <c r="H1276" t="inlineStr">
        <is>
          <t>Bergvik skog väst AB</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36371-2026</t>
        </is>
      </c>
      <c r="B1277" t="inlineStr">
        <is>
          <t>avverkningsanmälan</t>
        </is>
      </c>
      <c r="C1277" t="inlineStr">
        <is>
          <t>Föryngringsavverkning</t>
        </is>
      </c>
      <c r="D1277" s="1" t="n">
        <v>46268</v>
      </c>
      <c r="E1277" s="1" t="n">
        <v>46292</v>
      </c>
      <c r="F1277" t="inlineStr">
        <is>
          <t>GÄVLEBORGS LÄN</t>
        </is>
      </c>
      <c r="G1277" t="inlineStr">
        <is>
          <t>LJUSDAL</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31597-2026</t>
        </is>
      </c>
      <c r="B1278" t="inlineStr">
        <is>
          <t>avverkningsanmälan</t>
        </is>
      </c>
      <c r="C1278" t="inlineStr">
        <is>
          <t>Föryngringsavverkning</t>
        </is>
      </c>
      <c r="D1278" s="1" t="n">
        <v>46224</v>
      </c>
      <c r="E1278" s="1" t="n">
        <v>46292</v>
      </c>
      <c r="F1278" t="inlineStr">
        <is>
          <t>GÄVLEBORGS LÄN</t>
        </is>
      </c>
      <c r="G1278" t="inlineStr">
        <is>
          <t>LJUSDAL</t>
        </is>
      </c>
      <c r="H1278" t="inlineStr">
        <is>
          <t>Allmännings- och besparingsskogar</t>
        </is>
      </c>
      <c r="I1278" t="n">
        <v>5.2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36079-2026</t>
        </is>
      </c>
      <c r="B1279" t="inlineStr">
        <is>
          <t>avverkningsanmälan</t>
        </is>
      </c>
      <c r="C1279" t="inlineStr">
        <is>
          <t>Föryngringsavverkning</t>
        </is>
      </c>
      <c r="D1279" s="1" t="n">
        <v>46267</v>
      </c>
      <c r="E1279" s="1" t="n">
        <v>46292</v>
      </c>
      <c r="F1279" t="inlineStr">
        <is>
          <t>GÄVLEBORGS LÄN</t>
        </is>
      </c>
      <c r="G1279" t="inlineStr">
        <is>
          <t>LJUSDAL</t>
        </is>
      </c>
      <c r="H1279" t="inlineStr">
        <is>
          <t>Bergvik skog väst AB</t>
        </is>
      </c>
      <c r="I1279" t="n">
        <v>9.199999999999999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36083-2026</t>
        </is>
      </c>
      <c r="B1280" t="inlineStr">
        <is>
          <t>avverkningsanmälan</t>
        </is>
      </c>
      <c r="C1280" t="inlineStr">
        <is>
          <t>Föryngringsavverkning</t>
        </is>
      </c>
      <c r="D1280" s="1" t="n">
        <v>46267</v>
      </c>
      <c r="E1280" s="1" t="n">
        <v>46292</v>
      </c>
      <c r="F1280" t="inlineStr">
        <is>
          <t>GÄVLEBORGS LÄN</t>
        </is>
      </c>
      <c r="G1280" t="inlineStr">
        <is>
          <t>LJUSDAL</t>
        </is>
      </c>
      <c r="H1280" t="inlineStr">
        <is>
          <t>Bergvik skog väst AB</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17539-2025</t>
        </is>
      </c>
      <c r="B1281" t="inlineStr">
        <is>
          <t>avverkningsanmälan</t>
        </is>
      </c>
      <c r="C1281" t="inlineStr">
        <is>
          <t>Föryngringsavverkning</t>
        </is>
      </c>
      <c r="D1281" s="1" t="n">
        <v>45757</v>
      </c>
      <c r="E1281" s="1" t="n">
        <v>46292</v>
      </c>
      <c r="F1281" t="inlineStr">
        <is>
          <t>GÄVLEBORGS LÄN</t>
        </is>
      </c>
      <c r="G1281" t="inlineStr">
        <is>
          <t>LJUSDAL</t>
        </is>
      </c>
      <c r="H1281" t="inlineStr">
        <is>
          <t>Sveaskog</t>
        </is>
      </c>
      <c r="I1281" t="n">
        <v>4.3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36257-2026</t>
        </is>
      </c>
      <c r="B1282" t="inlineStr">
        <is>
          <t>avverkningsanmälan</t>
        </is>
      </c>
      <c r="C1282" t="inlineStr">
        <is>
          <t>Föryngringsavverkning</t>
        </is>
      </c>
      <c r="D1282" s="1" t="n">
        <v>46268</v>
      </c>
      <c r="E1282" s="1" t="n">
        <v>46292</v>
      </c>
      <c r="F1282" t="inlineStr">
        <is>
          <t>GÄVLEBORGS LÄN</t>
        </is>
      </c>
      <c r="G1282" t="inlineStr">
        <is>
          <t>LJUSDAL</t>
        </is>
      </c>
      <c r="H1282" t="inlineStr">
        <is>
          <t>Bergvik skog väst AB</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6498-2025</t>
        </is>
      </c>
      <c r="B1283" t="inlineStr">
        <is>
          <t>avverkningsanmälan</t>
        </is>
      </c>
      <c r="C1283" t="inlineStr">
        <is>
          <t>Föryngringsavverkning</t>
        </is>
      </c>
      <c r="D1283" s="1" t="n">
        <v>45699</v>
      </c>
      <c r="E1283" s="1" t="n">
        <v>46292</v>
      </c>
      <c r="F1283" t="inlineStr">
        <is>
          <t>GÄVLEBORGS LÄN</t>
        </is>
      </c>
      <c r="G1283" t="inlineStr">
        <is>
          <t>LJUSDAL</t>
        </is>
      </c>
      <c r="H1283" t="inlineStr">
        <is>
          <t>Holmen skog AB</t>
        </is>
      </c>
      <c r="I1283" t="n">
        <v>9.199999999999999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36092-2026</t>
        </is>
      </c>
      <c r="B1284" t="inlineStr">
        <is>
          <t>avverkningsanmälan</t>
        </is>
      </c>
      <c r="C1284" t="inlineStr">
        <is>
          <t>Föryngringsavverkning</t>
        </is>
      </c>
      <c r="D1284" s="1" t="n">
        <v>46267</v>
      </c>
      <c r="E1284" s="1" t="n">
        <v>46292</v>
      </c>
      <c r="F1284" t="inlineStr">
        <is>
          <t>GÄVLEBORGS LÄN</t>
        </is>
      </c>
      <c r="G1284" t="inlineStr">
        <is>
          <t>LJUSDAL</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31598-2026</t>
        </is>
      </c>
      <c r="B1285" t="inlineStr">
        <is>
          <t>avverkningsanmälan</t>
        </is>
      </c>
      <c r="C1285" t="inlineStr">
        <is>
          <t>Föryngringsavverkning</t>
        </is>
      </c>
      <c r="D1285" s="1" t="n">
        <v>46224</v>
      </c>
      <c r="E1285" s="1" t="n">
        <v>46292</v>
      </c>
      <c r="F1285" t="inlineStr">
        <is>
          <t>GÄVLEBORGS LÄN</t>
        </is>
      </c>
      <c r="G1285" t="inlineStr">
        <is>
          <t>LJUSDAL</t>
        </is>
      </c>
      <c r="H1285" t="inlineStr">
        <is>
          <t>Allmännings- och besparingsskogar</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31635-2026</t>
        </is>
      </c>
      <c r="B1286" t="inlineStr">
        <is>
          <t>avverkningsanmälan</t>
        </is>
      </c>
      <c r="C1286" t="inlineStr">
        <is>
          <t>Föryngringsavverkning</t>
        </is>
      </c>
      <c r="D1286" s="1" t="n">
        <v>46225</v>
      </c>
      <c r="E1286" s="1" t="n">
        <v>46292</v>
      </c>
      <c r="F1286" t="inlineStr">
        <is>
          <t>GÄVLEBORGS LÄN</t>
        </is>
      </c>
      <c r="G1286" t="inlineStr">
        <is>
          <t>LJUSDAL</t>
        </is>
      </c>
      <c r="H1286" t="inlineStr">
        <is>
          <t>Allmännings- och besparingsskogar</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36123-2026</t>
        </is>
      </c>
      <c r="B1287" t="inlineStr">
        <is>
          <t>avverkningsanmälan</t>
        </is>
      </c>
      <c r="C1287" t="inlineStr">
        <is>
          <t>Avverkning för annat ändamål</t>
        </is>
      </c>
      <c r="D1287" s="1" t="n">
        <v>46267</v>
      </c>
      <c r="E1287" s="1" t="n">
        <v>46292</v>
      </c>
      <c r="F1287" t="inlineStr">
        <is>
          <t>GÄVLEBORGS LÄN</t>
        </is>
      </c>
      <c r="G1287" t="inlineStr">
        <is>
          <t>LJUSDAL</t>
        </is>
      </c>
      <c r="H1287" t="inlineStr">
        <is>
          <t>Bergvik skog väst AB</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7729-2024</t>
        </is>
      </c>
      <c r="B1288" t="inlineStr">
        <is>
          <t>avverkningsanmälan</t>
        </is>
      </c>
      <c r="C1288" t="inlineStr">
        <is>
          <t>Föryngringsavverkning</t>
        </is>
      </c>
      <c r="D1288" s="1" t="n">
        <v>45349</v>
      </c>
      <c r="E1288" s="1" t="n">
        <v>46292</v>
      </c>
      <c r="F1288" t="inlineStr">
        <is>
          <t>GÄVLEBORGS LÄN</t>
        </is>
      </c>
      <c r="G1288" t="inlineStr">
        <is>
          <t>LJUSDAL</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36514-2026</t>
        </is>
      </c>
      <c r="B1289" t="inlineStr">
        <is>
          <t>avverkningsanmälan</t>
        </is>
      </c>
      <c r="C1289" t="inlineStr">
        <is>
          <t>Föryngringsavverkning</t>
        </is>
      </c>
      <c r="D1289" s="1" t="n">
        <v>46269</v>
      </c>
      <c r="E1289" s="1" t="n">
        <v>46292</v>
      </c>
      <c r="F1289" t="inlineStr">
        <is>
          <t>GÄVLEBORGS LÄN</t>
        </is>
      </c>
      <c r="G1289" t="inlineStr">
        <is>
          <t>LJUSDAL</t>
        </is>
      </c>
      <c r="H1289" t="inlineStr">
        <is>
          <t>Sveaskog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36516-2026</t>
        </is>
      </c>
      <c r="B1290" t="inlineStr">
        <is>
          <t>avverkningsanmälan</t>
        </is>
      </c>
      <c r="C1290" t="inlineStr">
        <is>
          <t>Föryngringsavverkning</t>
        </is>
      </c>
      <c r="D1290" s="1" t="n">
        <v>46269</v>
      </c>
      <c r="E1290" s="1" t="n">
        <v>46292</v>
      </c>
      <c r="F1290" t="inlineStr">
        <is>
          <t>GÄVLEBORGS LÄN</t>
        </is>
      </c>
      <c r="G1290" t="inlineStr">
        <is>
          <t>LJUSDAL</t>
        </is>
      </c>
      <c r="H1290" t="inlineStr">
        <is>
          <t>Sveaskog</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57664-2024</t>
        </is>
      </c>
      <c r="B1291" t="inlineStr">
        <is>
          <t>avverkningsanmälan</t>
        </is>
      </c>
      <c r="C1291" t="inlineStr">
        <is>
          <t>Avverkning för annat ändamål</t>
        </is>
      </c>
      <c r="D1291" s="1" t="n">
        <v>45630</v>
      </c>
      <c r="E1291" s="1" t="n">
        <v>46292</v>
      </c>
      <c r="F1291" t="inlineStr">
        <is>
          <t>GÄVLEBORGS LÄN</t>
        </is>
      </c>
      <c r="G1291" t="inlineStr">
        <is>
          <t>LJUSDAL</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36583-2026</t>
        </is>
      </c>
      <c r="B1292" t="inlineStr">
        <is>
          <t>avverkningsanmälan</t>
        </is>
      </c>
      <c r="C1292" t="inlineStr">
        <is>
          <t>Föryngringsavverkning</t>
        </is>
      </c>
      <c r="D1292" s="1" t="n">
        <v>46269</v>
      </c>
      <c r="E1292" s="1" t="n">
        <v>46292</v>
      </c>
      <c r="F1292" t="inlineStr">
        <is>
          <t>GÄVLEBORGS LÄN</t>
        </is>
      </c>
      <c r="G1292" t="inlineStr">
        <is>
          <t>LJUSDAL</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36589-2026</t>
        </is>
      </c>
      <c r="B1293" t="inlineStr">
        <is>
          <t>avverkningsanmälan</t>
        </is>
      </c>
      <c r="C1293" t="inlineStr">
        <is>
          <t>Föryngringsavverkning</t>
        </is>
      </c>
      <c r="D1293" s="1" t="n">
        <v>46269</v>
      </c>
      <c r="E1293" s="1" t="n">
        <v>46292</v>
      </c>
      <c r="F1293" t="inlineStr">
        <is>
          <t>GÄVLEBORGS LÄN</t>
        </is>
      </c>
      <c r="G1293" t="inlineStr">
        <is>
          <t>LJUSDAL</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591-2024</t>
        </is>
      </c>
      <c r="B1294" t="inlineStr">
        <is>
          <t>avverkningsanmälan</t>
        </is>
      </c>
      <c r="C1294" t="inlineStr">
        <is>
          <t>Föryngringsavverkning</t>
        </is>
      </c>
      <c r="D1294" s="1" t="n">
        <v>45299</v>
      </c>
      <c r="E1294" s="1" t="n">
        <v>46292</v>
      </c>
      <c r="F1294" t="inlineStr">
        <is>
          <t>GÄVLEBORGS LÄN</t>
        </is>
      </c>
      <c r="G1294" t="inlineStr">
        <is>
          <t>LJUSDAL</t>
        </is>
      </c>
      <c r="I1294" t="n">
        <v>14.1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36251-2026</t>
        </is>
      </c>
      <c r="B1295" t="inlineStr">
        <is>
          <t>avverkningsanmälan</t>
        </is>
      </c>
      <c r="C1295" t="inlineStr">
        <is>
          <t>Föryngringsavverkning</t>
        </is>
      </c>
      <c r="D1295" s="1" t="n">
        <v>46268</v>
      </c>
      <c r="E1295" s="1" t="n">
        <v>46292</v>
      </c>
      <c r="F1295" t="inlineStr">
        <is>
          <t>GÄVLEBORGS LÄN</t>
        </is>
      </c>
      <c r="G1295" t="inlineStr">
        <is>
          <t>LJUSDAL</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31689-2026</t>
        </is>
      </c>
      <c r="B1296" t="inlineStr">
        <is>
          <t>avverkningsanmälan</t>
        </is>
      </c>
      <c r="C1296" t="inlineStr">
        <is>
          <t>Föryngringsavverkning</t>
        </is>
      </c>
      <c r="D1296" s="1" t="n">
        <v>46226</v>
      </c>
      <c r="E1296" s="1" t="n">
        <v>46292</v>
      </c>
      <c r="F1296" t="inlineStr">
        <is>
          <t>GÄVLEBORGS LÄN</t>
        </is>
      </c>
      <c r="G1296" t="inlineStr">
        <is>
          <t>LJUSDAL</t>
        </is>
      </c>
      <c r="H1296" t="inlineStr">
        <is>
          <t>Bergvik skog väst AB</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59883-2023</t>
        </is>
      </c>
      <c r="B1297" t="inlineStr">
        <is>
          <t>avverkningsanmälan</t>
        </is>
      </c>
      <c r="C1297" t="inlineStr">
        <is>
          <t>Föryngringsavverkning</t>
        </is>
      </c>
      <c r="D1297" s="1" t="n">
        <v>45257</v>
      </c>
      <c r="E1297" s="1" t="n">
        <v>46292</v>
      </c>
      <c r="F1297" t="inlineStr">
        <is>
          <t>GÄVLEBORGS LÄN</t>
        </is>
      </c>
      <c r="G1297" t="inlineStr">
        <is>
          <t>LJUSDAL</t>
        </is>
      </c>
      <c r="I1297" t="n">
        <v>16.6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60346-2021</t>
        </is>
      </c>
      <c r="B1298" t="inlineStr">
        <is>
          <t>avverkningsanmälan</t>
        </is>
      </c>
      <c r="C1298" t="inlineStr">
        <is>
          <t>Föryngringsavverkning</t>
        </is>
      </c>
      <c r="D1298" s="1" t="n">
        <v>44496</v>
      </c>
      <c r="E1298" s="1" t="n">
        <v>46292</v>
      </c>
      <c r="F1298" t="inlineStr">
        <is>
          <t>GÄVLEBORGS LÄN</t>
        </is>
      </c>
      <c r="G1298" t="inlineStr">
        <is>
          <t>LJUSDAL</t>
        </is>
      </c>
      <c r="H1298" t="inlineStr">
        <is>
          <t>Kommuner</t>
        </is>
      </c>
      <c r="I1298" t="n">
        <v>8.1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50392-2023</t>
        </is>
      </c>
      <c r="B1299" t="inlineStr">
        <is>
          <t>avverkningsanmälan</t>
        </is>
      </c>
      <c r="C1299" t="inlineStr">
        <is>
          <t>Föryngringsavverkning</t>
        </is>
      </c>
      <c r="D1299" s="1" t="n">
        <v>45216</v>
      </c>
      <c r="E1299" s="1" t="n">
        <v>46292</v>
      </c>
      <c r="F1299" t="inlineStr">
        <is>
          <t>GÄVLEBORGS LÄN</t>
        </is>
      </c>
      <c r="G1299" t="inlineStr">
        <is>
          <t>LJUSDAL</t>
        </is>
      </c>
      <c r="I1299" t="n">
        <v>6.5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52837-2023</t>
        </is>
      </c>
      <c r="B1300" t="inlineStr">
        <is>
          <t>avverkningsanmälan</t>
        </is>
      </c>
      <c r="C1300" t="inlineStr">
        <is>
          <t>Föryngringsavverkning</t>
        </is>
      </c>
      <c r="D1300" s="1" t="n">
        <v>45226</v>
      </c>
      <c r="E1300" s="1" t="n">
        <v>46292</v>
      </c>
      <c r="F1300" t="inlineStr">
        <is>
          <t>GÄVLEBORGS LÄN</t>
        </is>
      </c>
      <c r="G1300" t="inlineStr">
        <is>
          <t>LJUSDAL</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13623-2025</t>
        </is>
      </c>
      <c r="B1301" t="inlineStr">
        <is>
          <t>avverkningsanmälan</t>
        </is>
      </c>
      <c r="C1301" t="inlineStr">
        <is>
          <t>Föryngringsavverkning</t>
        </is>
      </c>
      <c r="D1301" s="1" t="n">
        <v>45736</v>
      </c>
      <c r="E1301" s="1" t="n">
        <v>46292</v>
      </c>
      <c r="F1301" t="inlineStr">
        <is>
          <t>GÄVLEBORGS LÄN</t>
        </is>
      </c>
      <c r="G1301" t="inlineStr">
        <is>
          <t>LJUSDAL</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20653-2024</t>
        </is>
      </c>
      <c r="B1302" t="inlineStr">
        <is>
          <t>avverkningsanmälan</t>
        </is>
      </c>
      <c r="C1302" t="inlineStr">
        <is>
          <t>Föryngringsavverkning</t>
        </is>
      </c>
      <c r="D1302" s="1" t="n">
        <v>45436</v>
      </c>
      <c r="E1302" s="1" t="n">
        <v>46292</v>
      </c>
      <c r="F1302" t="inlineStr">
        <is>
          <t>GÄVLEBORGS LÄN</t>
        </is>
      </c>
      <c r="G1302" t="inlineStr">
        <is>
          <t>LJUSDAL</t>
        </is>
      </c>
      <c r="H1302" t="inlineStr">
        <is>
          <t>Sveaskog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7603-2024</t>
        </is>
      </c>
      <c r="B1303" t="inlineStr">
        <is>
          <t>avverkningsanmälan</t>
        </is>
      </c>
      <c r="C1303" t="inlineStr">
        <is>
          <t>Föryngringsavverkning</t>
        </is>
      </c>
      <c r="D1303" s="1" t="n">
        <v>45348</v>
      </c>
      <c r="E1303" s="1" t="n">
        <v>46292</v>
      </c>
      <c r="F1303" t="inlineStr">
        <is>
          <t>GÄVLEBORGS LÄN</t>
        </is>
      </c>
      <c r="G1303" t="inlineStr">
        <is>
          <t>LJUSDAL</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37070-2026</t>
        </is>
      </c>
      <c r="B1304" t="inlineStr">
        <is>
          <t>avverkningsanmälan</t>
        </is>
      </c>
      <c r="C1304" t="inlineStr">
        <is>
          <t>Föryngringsavverkning</t>
        </is>
      </c>
      <c r="D1304" s="1" t="n">
        <v>46273</v>
      </c>
      <c r="E1304" s="1" t="n">
        <v>46292</v>
      </c>
      <c r="F1304" t="inlineStr">
        <is>
          <t>GÄVLEBORGS LÄN</t>
        </is>
      </c>
      <c r="G1304" t="inlineStr">
        <is>
          <t>LJUSDAL</t>
        </is>
      </c>
      <c r="H1304" t="inlineStr">
        <is>
          <t>Sveaskog</t>
        </is>
      </c>
      <c r="I1304" t="n">
        <v>6.3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37073-2026</t>
        </is>
      </c>
      <c r="B1305" t="inlineStr">
        <is>
          <t>avverkningsanmälan</t>
        </is>
      </c>
      <c r="C1305" t="inlineStr">
        <is>
          <t>Föryngringsavverkning</t>
        </is>
      </c>
      <c r="D1305" s="1" t="n">
        <v>46273</v>
      </c>
      <c r="E1305" s="1" t="n">
        <v>46292</v>
      </c>
      <c r="F1305" t="inlineStr">
        <is>
          <t>GÄVLEBORGS LÄN</t>
        </is>
      </c>
      <c r="G1305" t="inlineStr">
        <is>
          <t>LJUSDAL</t>
        </is>
      </c>
      <c r="H1305" t="inlineStr">
        <is>
          <t>Sveaskog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31779-2026</t>
        </is>
      </c>
      <c r="B1306" t="inlineStr">
        <is>
          <t>avverkningsanmälan</t>
        </is>
      </c>
      <c r="C1306" t="inlineStr">
        <is>
          <t>Föryngringsavverkning</t>
        </is>
      </c>
      <c r="D1306" s="1" t="n">
        <v>46230</v>
      </c>
      <c r="E1306" s="1" t="n">
        <v>46292</v>
      </c>
      <c r="F1306" t="inlineStr">
        <is>
          <t>GÄVLEBORGS LÄN</t>
        </is>
      </c>
      <c r="G1306" t="inlineStr">
        <is>
          <t>LJUSDAL</t>
        </is>
      </c>
      <c r="H1306" t="inlineStr">
        <is>
          <t>Allmännings- och besparingsskogar</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188-2024</t>
        </is>
      </c>
      <c r="B1307" t="inlineStr">
        <is>
          <t>avverkningsanmälan</t>
        </is>
      </c>
      <c r="C1307" t="inlineStr">
        <is>
          <t>Föryngringsavverkning</t>
        </is>
      </c>
      <c r="D1307" s="1" t="n">
        <v>45294</v>
      </c>
      <c r="E1307" s="1" t="n">
        <v>46292</v>
      </c>
      <c r="F1307" t="inlineStr">
        <is>
          <t>GÄVLEBORGS LÄN</t>
        </is>
      </c>
      <c r="G1307" t="inlineStr">
        <is>
          <t>LJUSDAL</t>
        </is>
      </c>
      <c r="I1307" t="n">
        <v>14.3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37085-2026</t>
        </is>
      </c>
      <c r="B1308" t="inlineStr">
        <is>
          <t>avverkningsanmälan</t>
        </is>
      </c>
      <c r="C1308" t="inlineStr">
        <is>
          <t>Föryngringsavverkning</t>
        </is>
      </c>
      <c r="D1308" s="1" t="n">
        <v>46273</v>
      </c>
      <c r="E1308" s="1" t="n">
        <v>46292</v>
      </c>
      <c r="F1308" t="inlineStr">
        <is>
          <t>GÄVLEBORGS LÄN</t>
        </is>
      </c>
      <c r="G1308" t="inlineStr">
        <is>
          <t>LJUSDAL</t>
        </is>
      </c>
      <c r="H1308" t="inlineStr">
        <is>
          <t>Sveaskog</t>
        </is>
      </c>
      <c r="I1308" t="n">
        <v>3.6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31892-2023</t>
        </is>
      </c>
      <c r="B1309" t="inlineStr">
        <is>
          <t>avverkningsanmälan</t>
        </is>
      </c>
      <c r="C1309" t="inlineStr">
        <is>
          <t>Föryngringsavverkning</t>
        </is>
      </c>
      <c r="D1309" s="1" t="n">
        <v>45118</v>
      </c>
      <c r="E1309" s="1" t="n">
        <v>46292</v>
      </c>
      <c r="F1309" t="inlineStr">
        <is>
          <t>GÄVLEBORGS LÄN</t>
        </is>
      </c>
      <c r="G1309" t="inlineStr">
        <is>
          <t>LJUSDAL</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7192-2023</t>
        </is>
      </c>
      <c r="B1310" t="inlineStr">
        <is>
          <t>avverkningsanmälan</t>
        </is>
      </c>
      <c r="C1310" t="inlineStr">
        <is>
          <t>Föryngringsavverkning</t>
        </is>
      </c>
      <c r="D1310" s="1" t="n">
        <v>44970</v>
      </c>
      <c r="E1310" s="1" t="n">
        <v>46292</v>
      </c>
      <c r="F1310" t="inlineStr">
        <is>
          <t>GÄVLEBORGS LÄN</t>
        </is>
      </c>
      <c r="G1310" t="inlineStr">
        <is>
          <t>LJUSDAL</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37181-2026</t>
        </is>
      </c>
      <c r="B1311" t="inlineStr">
        <is>
          <t>avverkningsanmälan</t>
        </is>
      </c>
      <c r="C1311" t="inlineStr">
        <is>
          <t>Föryngringsavverkning</t>
        </is>
      </c>
      <c r="D1311" s="1" t="n">
        <v>46274</v>
      </c>
      <c r="E1311" s="1" t="n">
        <v>46292</v>
      </c>
      <c r="F1311" t="inlineStr">
        <is>
          <t>GÄVLEBORGS LÄN</t>
        </is>
      </c>
      <c r="G1311" t="inlineStr">
        <is>
          <t>LJUSDAL</t>
        </is>
      </c>
      <c r="H1311" t="inlineStr">
        <is>
          <t>Sveaskog</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31923-2026</t>
        </is>
      </c>
      <c r="B1312" t="inlineStr">
        <is>
          <t>avverkningsanmälan</t>
        </is>
      </c>
      <c r="C1312" t="inlineStr">
        <is>
          <t>Föryngringsavverkning</t>
        </is>
      </c>
      <c r="D1312" s="1" t="n">
        <v>46231</v>
      </c>
      <c r="E1312" s="1" t="n">
        <v>46292</v>
      </c>
      <c r="F1312" t="inlineStr">
        <is>
          <t>GÄVLEBORGS LÄN</t>
        </is>
      </c>
      <c r="G1312" t="inlineStr">
        <is>
          <t>LJUSDAL</t>
        </is>
      </c>
      <c r="H1312" t="inlineStr">
        <is>
          <t>Allmännings- och besparingsskogar</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37317-2026</t>
        </is>
      </c>
      <c r="B1313" t="inlineStr">
        <is>
          <t>avverkningsanmälan</t>
        </is>
      </c>
      <c r="C1313" t="inlineStr">
        <is>
          <t>Föryngringsavverkning</t>
        </is>
      </c>
      <c r="D1313" s="1" t="n">
        <v>46275</v>
      </c>
      <c r="E1313" s="1" t="n">
        <v>46292</v>
      </c>
      <c r="F1313" t="inlineStr">
        <is>
          <t>GÄVLEBORGS LÄN</t>
        </is>
      </c>
      <c r="G1313" t="inlineStr">
        <is>
          <t>LJUSDAL</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57748-2025</t>
        </is>
      </c>
      <c r="B1314" t="inlineStr">
        <is>
          <t>avverkningsanmälan</t>
        </is>
      </c>
      <c r="C1314" t="inlineStr">
        <is>
          <t>Föryngringsavverkning</t>
        </is>
      </c>
      <c r="D1314" s="1" t="n">
        <v>45981</v>
      </c>
      <c r="E1314" s="1" t="n">
        <v>46292</v>
      </c>
      <c r="F1314" t="inlineStr">
        <is>
          <t>GÄVLEBORGS LÄN</t>
        </is>
      </c>
      <c r="G1314" t="inlineStr">
        <is>
          <t>LJUSDAL</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51922-2022</t>
        </is>
      </c>
      <c r="B1315" t="inlineStr">
        <is>
          <t>avverkningsanmälan</t>
        </is>
      </c>
      <c r="C1315" t="inlineStr">
        <is>
          <t>Föryngringsavverkning</t>
        </is>
      </c>
      <c r="D1315" s="1" t="n">
        <v>44872</v>
      </c>
      <c r="E1315" s="1" t="n">
        <v>46292</v>
      </c>
      <c r="F1315" t="inlineStr">
        <is>
          <t>GÄVLEBORGS LÄN</t>
        </is>
      </c>
      <c r="G1315" t="inlineStr">
        <is>
          <t>LJUSDAL</t>
        </is>
      </c>
      <c r="H1315" t="inlineStr">
        <is>
          <t>Kommuner</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60098-2023</t>
        </is>
      </c>
      <c r="B1316" t="inlineStr">
        <is>
          <t>avverkningsanmälan</t>
        </is>
      </c>
      <c r="C1316" t="inlineStr">
        <is>
          <t>Föryngringsavverkning</t>
        </is>
      </c>
      <c r="D1316" s="1" t="n">
        <v>45258</v>
      </c>
      <c r="E1316" s="1" t="n">
        <v>46292</v>
      </c>
      <c r="F1316" t="inlineStr">
        <is>
          <t>GÄVLEBORGS LÄN</t>
        </is>
      </c>
      <c r="G1316" t="inlineStr">
        <is>
          <t>LJUSDAL</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13508-2025</t>
        </is>
      </c>
      <c r="B1317" t="inlineStr">
        <is>
          <t>avverkningsanmälan</t>
        </is>
      </c>
      <c r="C1317" t="inlineStr">
        <is>
          <t>Föryngringsavverkning</t>
        </is>
      </c>
      <c r="D1317" s="1" t="n">
        <v>45736</v>
      </c>
      <c r="E1317" s="1" t="n">
        <v>46292</v>
      </c>
      <c r="F1317" t="inlineStr">
        <is>
          <t>GÄVLEBORGS LÄN</t>
        </is>
      </c>
      <c r="G1317" t="inlineStr">
        <is>
          <t>LJUSDAL</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13557-2025</t>
        </is>
      </c>
      <c r="B1318" t="inlineStr">
        <is>
          <t>avverkningsanmälan</t>
        </is>
      </c>
      <c r="C1318" t="inlineStr">
        <is>
          <t>Föryngringsavverkning</t>
        </is>
      </c>
      <c r="D1318" s="1" t="n">
        <v>45736</v>
      </c>
      <c r="E1318" s="1" t="n">
        <v>46292</v>
      </c>
      <c r="F1318" t="inlineStr">
        <is>
          <t>GÄVLEBORGS LÄN</t>
        </is>
      </c>
      <c r="G1318" t="inlineStr">
        <is>
          <t>LJUSDAL</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61431-2023</t>
        </is>
      </c>
      <c r="B1319" t="inlineStr">
        <is>
          <t>avverkningsanmälan</t>
        </is>
      </c>
      <c r="C1319" t="inlineStr">
        <is>
          <t>Föryngringsavverkning</t>
        </is>
      </c>
      <c r="D1319" s="1" t="n">
        <v>45264</v>
      </c>
      <c r="E1319" s="1" t="n">
        <v>46292</v>
      </c>
      <c r="F1319" t="inlineStr">
        <is>
          <t>GÄVLEBORGS LÄN</t>
        </is>
      </c>
      <c r="G1319" t="inlineStr">
        <is>
          <t>LJUSDAL</t>
        </is>
      </c>
      <c r="I1319" t="n">
        <v>5.9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37603-2026</t>
        </is>
      </c>
      <c r="B1320" t="inlineStr">
        <is>
          <t>avverkningsanmälan</t>
        </is>
      </c>
      <c r="C1320" t="inlineStr">
        <is>
          <t>Föryngringsavverkning</t>
        </is>
      </c>
      <c r="D1320" s="1" t="n">
        <v>46276</v>
      </c>
      <c r="E1320" s="1" t="n">
        <v>46292</v>
      </c>
      <c r="F1320" t="inlineStr">
        <is>
          <t>GÄVLEBORGS LÄN</t>
        </is>
      </c>
      <c r="G1320" t="inlineStr">
        <is>
          <t>LJUSDAL</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36236-2026</t>
        </is>
      </c>
      <c r="B1321" t="inlineStr">
        <is>
          <t>avverkningsanmälan</t>
        </is>
      </c>
      <c r="C1321" t="inlineStr">
        <is>
          <t>Föryngringsavverkning</t>
        </is>
      </c>
      <c r="D1321" s="1" t="n">
        <v>46268</v>
      </c>
      <c r="E1321" s="1" t="n">
        <v>46292</v>
      </c>
      <c r="F1321" t="inlineStr">
        <is>
          <t>GÄVLEBORGS LÄN</t>
        </is>
      </c>
      <c r="G1321" t="inlineStr">
        <is>
          <t>LJUSDAL</t>
        </is>
      </c>
      <c r="H1321" t="inlineStr">
        <is>
          <t>Allmännings- och besparingsskogar</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58053-2024</t>
        </is>
      </c>
      <c r="B1322" t="inlineStr">
        <is>
          <t>avverkningsanmälan</t>
        </is>
      </c>
      <c r="C1322" t="inlineStr">
        <is>
          <t>Föryngringsavverkning</t>
        </is>
      </c>
      <c r="D1322" s="1" t="n">
        <v>45631</v>
      </c>
      <c r="E1322" s="1" t="n">
        <v>46292</v>
      </c>
      <c r="F1322" t="inlineStr">
        <is>
          <t>GÄVLEBORGS LÄN</t>
        </is>
      </c>
      <c r="G1322" t="inlineStr">
        <is>
          <t>LJUSDAL</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43517-2023</t>
        </is>
      </c>
      <c r="B1323" t="inlineStr">
        <is>
          <t>avverkningsanmälan</t>
        </is>
      </c>
      <c r="C1323" t="inlineStr">
        <is>
          <t>Föryngringsavverkning</t>
        </is>
      </c>
      <c r="D1323" s="1" t="n">
        <v>45184</v>
      </c>
      <c r="E1323" s="1" t="n">
        <v>46292</v>
      </c>
      <c r="F1323" t="inlineStr">
        <is>
          <t>GÄVLEBORGS LÄN</t>
        </is>
      </c>
      <c r="G1323" t="inlineStr">
        <is>
          <t>LJUSDAL</t>
        </is>
      </c>
      <c r="I1323" t="n">
        <v>23.5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45768-2024</t>
        </is>
      </c>
      <c r="B1324" t="inlineStr">
        <is>
          <t>avverkningsanmälan</t>
        </is>
      </c>
      <c r="C1324" t="inlineStr">
        <is>
          <t>Föryngringsavverkning</t>
        </is>
      </c>
      <c r="D1324" s="1" t="n">
        <v>45579</v>
      </c>
      <c r="E1324" s="1" t="n">
        <v>46292</v>
      </c>
      <c r="F1324" t="inlineStr">
        <is>
          <t>GÄVLEBORGS LÄN</t>
        </is>
      </c>
      <c r="G1324" t="inlineStr">
        <is>
          <t>LJUSDAL</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37607-2026</t>
        </is>
      </c>
      <c r="B1325" t="inlineStr">
        <is>
          <t>avverkningsanmälan</t>
        </is>
      </c>
      <c r="C1325" t="inlineStr">
        <is>
          <t>Föryngringsavverkning</t>
        </is>
      </c>
      <c r="D1325" s="1" t="n">
        <v>46276</v>
      </c>
      <c r="E1325" s="1" t="n">
        <v>46292</v>
      </c>
      <c r="F1325" t="inlineStr">
        <is>
          <t>GÄVLEBORGS LÄN</t>
        </is>
      </c>
      <c r="G1325" t="inlineStr">
        <is>
          <t>LJUSDAL</t>
        </is>
      </c>
      <c r="H1325" t="inlineStr">
        <is>
          <t>Sveaskog</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37563-2026</t>
        </is>
      </c>
      <c r="B1326" t="inlineStr">
        <is>
          <t>avverkningsanmälan</t>
        </is>
      </c>
      <c r="C1326" t="inlineStr">
        <is>
          <t>Föryngringsavverkning</t>
        </is>
      </c>
      <c r="D1326" s="1" t="n">
        <v>46276</v>
      </c>
      <c r="E1326" s="1" t="n">
        <v>46292</v>
      </c>
      <c r="F1326" t="inlineStr">
        <is>
          <t>GÄVLEBORGS LÄN</t>
        </is>
      </c>
      <c r="G1326" t="inlineStr">
        <is>
          <t>LJUSDAL</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37418-2026</t>
        </is>
      </c>
      <c r="B1327" t="inlineStr">
        <is>
          <t>avverkningsanmälan</t>
        </is>
      </c>
      <c r="C1327" t="inlineStr">
        <is>
          <t>Föryngringsavverkning</t>
        </is>
      </c>
      <c r="D1327" s="1" t="n">
        <v>46275</v>
      </c>
      <c r="E1327" s="1" t="n">
        <v>46292</v>
      </c>
      <c r="F1327" t="inlineStr">
        <is>
          <t>GÄVLEBORGS LÄN</t>
        </is>
      </c>
      <c r="G1327" t="inlineStr">
        <is>
          <t>LJUSDAL</t>
        </is>
      </c>
      <c r="H1327" t="inlineStr">
        <is>
          <t>Allmännings- och besparingsskogar</t>
        </is>
      </c>
      <c r="I1327" t="n">
        <v>12.7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31965-2026</t>
        </is>
      </c>
      <c r="B1328" t="inlineStr">
        <is>
          <t>avverkningsanmälan</t>
        </is>
      </c>
      <c r="C1328" t="inlineStr">
        <is>
          <t>Föryngringsavverkning</t>
        </is>
      </c>
      <c r="D1328" s="1" t="n">
        <v>46232</v>
      </c>
      <c r="E1328" s="1" t="n">
        <v>46292</v>
      </c>
      <c r="F1328" t="inlineStr">
        <is>
          <t>GÄVLEBORGS LÄN</t>
        </is>
      </c>
      <c r="G1328" t="inlineStr">
        <is>
          <t>LJUSDAL</t>
        </is>
      </c>
      <c r="H1328" t="inlineStr">
        <is>
          <t>Allmännings- och besparingsskogar</t>
        </is>
      </c>
      <c r="I1328" t="n">
        <v>6.1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35714-2023</t>
        </is>
      </c>
      <c r="B1329" t="inlineStr">
        <is>
          <t>avverkningsanmälan</t>
        </is>
      </c>
      <c r="C1329" t="inlineStr">
        <is>
          <t>Föryngringsavverkning</t>
        </is>
      </c>
      <c r="D1329" s="1" t="n">
        <v>45147</v>
      </c>
      <c r="E1329" s="1" t="n">
        <v>46292</v>
      </c>
      <c r="F1329" t="inlineStr">
        <is>
          <t>GÄVLEBORGS LÄN</t>
        </is>
      </c>
      <c r="G1329" t="inlineStr">
        <is>
          <t>LJUSDAL</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37575-2026</t>
        </is>
      </c>
      <c r="B1330" t="inlineStr">
        <is>
          <t>avverkningsanmälan</t>
        </is>
      </c>
      <c r="C1330" t="inlineStr">
        <is>
          <t>Föryngringsavverkning</t>
        </is>
      </c>
      <c r="D1330" s="1" t="n">
        <v>46276</v>
      </c>
      <c r="E1330" s="1" t="n">
        <v>46292</v>
      </c>
      <c r="F1330" t="inlineStr">
        <is>
          <t>GÄVLEBORGS LÄN</t>
        </is>
      </c>
      <c r="G1330" t="inlineStr">
        <is>
          <t>LJUSDAL</t>
        </is>
      </c>
      <c r="H1330" t="inlineStr">
        <is>
          <t>Allmännings- och besparingsskogar</t>
        </is>
      </c>
      <c r="I1330" t="n">
        <v>5.7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18681-2022</t>
        </is>
      </c>
      <c r="B1331" t="inlineStr">
        <is>
          <t>avverkningsanmälan</t>
        </is>
      </c>
      <c r="C1331" t="inlineStr">
        <is>
          <t>Föryngringsavverkning</t>
        </is>
      </c>
      <c r="D1331" s="1" t="n">
        <v>44687</v>
      </c>
      <c r="E1331" s="1" t="n">
        <v>46292</v>
      </c>
      <c r="F1331" t="inlineStr">
        <is>
          <t>GÄVLEBORGS LÄN</t>
        </is>
      </c>
      <c r="G1331" t="inlineStr">
        <is>
          <t>LJUSDAL</t>
        </is>
      </c>
      <c r="H1331" t="inlineStr">
        <is>
          <t>Bergvik skog väst AB</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32284-2026</t>
        </is>
      </c>
      <c r="B1332" t="inlineStr">
        <is>
          <t>avverkningsanmälan</t>
        </is>
      </c>
      <c r="C1332" t="inlineStr">
        <is>
          <t>Föryngringsavverkning</t>
        </is>
      </c>
      <c r="D1332" s="1" t="n">
        <v>46237</v>
      </c>
      <c r="E1332" s="1" t="n">
        <v>46292</v>
      </c>
      <c r="F1332" t="inlineStr">
        <is>
          <t>GÄVLEBORGS LÄN</t>
        </is>
      </c>
      <c r="G1332" t="inlineStr">
        <is>
          <t>LJUSDAL</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37926-2026</t>
        </is>
      </c>
      <c r="B1333" t="inlineStr">
        <is>
          <t>avverkningsanmälan</t>
        </is>
      </c>
      <c r="C1333" t="inlineStr">
        <is>
          <t>Föryngringsavverkning</t>
        </is>
      </c>
      <c r="D1333" s="1" t="n">
        <v>46280</v>
      </c>
      <c r="E1333" s="1" t="n">
        <v>46292</v>
      </c>
      <c r="F1333" t="inlineStr">
        <is>
          <t>GÄVLEBORGS LÄN</t>
        </is>
      </c>
      <c r="G1333" t="inlineStr">
        <is>
          <t>LJUSDAL</t>
        </is>
      </c>
      <c r="H1333" t="inlineStr">
        <is>
          <t>SCA</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37906-2026</t>
        </is>
      </c>
      <c r="B1334" t="inlineStr">
        <is>
          <t>avverkningsanmälan</t>
        </is>
      </c>
      <c r="C1334" t="inlineStr">
        <is>
          <t>Föryngringsavverkning</t>
        </is>
      </c>
      <c r="D1334" s="1" t="n">
        <v>46279</v>
      </c>
      <c r="E1334" s="1" t="n">
        <v>46292</v>
      </c>
      <c r="F1334" t="inlineStr">
        <is>
          <t>GÄVLEBORGS LÄN</t>
        </is>
      </c>
      <c r="G1334" t="inlineStr">
        <is>
          <t>LJUSDAL</t>
        </is>
      </c>
      <c r="I1334" t="n">
        <v>6.6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37927-2026</t>
        </is>
      </c>
      <c r="B1335" t="inlineStr">
        <is>
          <t>avverkningsanmälan</t>
        </is>
      </c>
      <c r="C1335" t="inlineStr">
        <is>
          <t>Föryngringsavverkning</t>
        </is>
      </c>
      <c r="D1335" s="1" t="n">
        <v>46280</v>
      </c>
      <c r="E1335" s="1" t="n">
        <v>46292</v>
      </c>
      <c r="F1335" t="inlineStr">
        <is>
          <t>GÄVLEBORGS LÄN</t>
        </is>
      </c>
      <c r="G1335" t="inlineStr">
        <is>
          <t>LJUSDAL</t>
        </is>
      </c>
      <c r="H1335" t="inlineStr">
        <is>
          <t>SCA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55370-2023</t>
        </is>
      </c>
      <c r="B1336" t="inlineStr">
        <is>
          <t>avverkningsanmälan</t>
        </is>
      </c>
      <c r="C1336" t="inlineStr">
        <is>
          <t>Föryngringsavverkning</t>
        </is>
      </c>
      <c r="D1336" s="1" t="n">
        <v>45238</v>
      </c>
      <c r="E1336" s="1" t="n">
        <v>46292</v>
      </c>
      <c r="F1336" t="inlineStr">
        <is>
          <t>GÄVLEBORGS LÄN</t>
        </is>
      </c>
      <c r="G1336" t="inlineStr">
        <is>
          <t>LJUSDAL</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37803-2026</t>
        </is>
      </c>
      <c r="B1337" t="inlineStr">
        <is>
          <t>avverkningsanmälan</t>
        </is>
      </c>
      <c r="C1337" t="inlineStr">
        <is>
          <t>Föryngringsavverkning</t>
        </is>
      </c>
      <c r="D1337" s="1" t="n">
        <v>46279</v>
      </c>
      <c r="E1337" s="1" t="n">
        <v>46292</v>
      </c>
      <c r="F1337" t="inlineStr">
        <is>
          <t>GÄVLEBORGS LÄN</t>
        </is>
      </c>
      <c r="G1337" t="inlineStr">
        <is>
          <t>LJUSDAL</t>
        </is>
      </c>
      <c r="I1337" t="n">
        <v>6.4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14296-2024</t>
        </is>
      </c>
      <c r="B1338" t="inlineStr">
        <is>
          <t>avverkningsanmälan</t>
        </is>
      </c>
      <c r="C1338" t="inlineStr">
        <is>
          <t>Avverkning för annat ändamål</t>
        </is>
      </c>
      <c r="D1338" s="1" t="n">
        <v>45393</v>
      </c>
      <c r="E1338" s="1" t="n">
        <v>46292</v>
      </c>
      <c r="F1338" t="inlineStr">
        <is>
          <t>GÄVLEBORGS LÄN</t>
        </is>
      </c>
      <c r="G1338" t="inlineStr">
        <is>
          <t>LJUSDAL</t>
        </is>
      </c>
      <c r="H1338" t="inlineStr">
        <is>
          <t>Bergvik skog väst AB</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44633-2024</t>
        </is>
      </c>
      <c r="B1339" t="inlineStr">
        <is>
          <t>avverkningsanmälan</t>
        </is>
      </c>
      <c r="C1339" t="inlineStr">
        <is>
          <t>Avverkning för att bevara och utveckla /försöksver</t>
        </is>
      </c>
      <c r="D1339" s="1" t="n">
        <v>45574</v>
      </c>
      <c r="E1339" s="1" t="n">
        <v>46292</v>
      </c>
      <c r="F1339" t="inlineStr">
        <is>
          <t>GÄVLEBORGS LÄN</t>
        </is>
      </c>
      <c r="G1339" t="inlineStr">
        <is>
          <t>LJUSDAL</t>
        </is>
      </c>
      <c r="H1339" t="inlineStr">
        <is>
          <t>SCA</t>
        </is>
      </c>
      <c r="I1339" t="n">
        <v>5.2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24911-2024</t>
        </is>
      </c>
      <c r="B1340" t="inlineStr">
        <is>
          <t>avverkningsanmälan</t>
        </is>
      </c>
      <c r="C1340" t="inlineStr">
        <is>
          <t>Föryngringsavverkning</t>
        </is>
      </c>
      <c r="D1340" s="1" t="n">
        <v>45461</v>
      </c>
      <c r="E1340" s="1" t="n">
        <v>46292</v>
      </c>
      <c r="F1340" t="inlineStr">
        <is>
          <t>GÄVLEBORGS LÄN</t>
        </is>
      </c>
      <c r="G1340" t="inlineStr">
        <is>
          <t>LJUSDAL</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55446-2021</t>
        </is>
      </c>
      <c r="B1341" t="inlineStr">
        <is>
          <t>avverkningsanmälan</t>
        </is>
      </c>
      <c r="C1341" t="inlineStr">
        <is>
          <t>Föryngringsavverkning</t>
        </is>
      </c>
      <c r="D1341" s="1" t="n">
        <v>44475</v>
      </c>
      <c r="E1341" s="1" t="n">
        <v>46292</v>
      </c>
      <c r="F1341" t="inlineStr">
        <is>
          <t>GÄVLEBORGS LÄN</t>
        </is>
      </c>
      <c r="G1341" t="inlineStr">
        <is>
          <t>LJUSDAL</t>
        </is>
      </c>
      <c r="H1341" t="inlineStr">
        <is>
          <t>Holmen skog AB</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32596-2026</t>
        </is>
      </c>
      <c r="B1342" t="inlineStr">
        <is>
          <t>avverkningsanmälan</t>
        </is>
      </c>
      <c r="C1342" t="inlineStr">
        <is>
          <t>Föryngringsavverkning</t>
        </is>
      </c>
      <c r="D1342" s="1" t="n">
        <v>46240</v>
      </c>
      <c r="E1342" s="1" t="n">
        <v>46292</v>
      </c>
      <c r="F1342" t="inlineStr">
        <is>
          <t>GÄVLEBORGS LÄN</t>
        </is>
      </c>
      <c r="G1342" t="inlineStr">
        <is>
          <t>LJUSDAL</t>
        </is>
      </c>
      <c r="H1342" t="inlineStr">
        <is>
          <t>Bergvik skog väst AB</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38706-2026</t>
        </is>
      </c>
      <c r="B1343" t="inlineStr">
        <is>
          <t>avverkningsanmälan</t>
        </is>
      </c>
      <c r="C1343" t="inlineStr">
        <is>
          <t>Föryngringsavverkning</t>
        </is>
      </c>
      <c r="D1343" s="1" t="n">
        <v>46283</v>
      </c>
      <c r="E1343" s="1" t="n">
        <v>46292</v>
      </c>
      <c r="F1343" t="inlineStr">
        <is>
          <t>GÄVLEBORGS LÄN</t>
        </is>
      </c>
      <c r="G1343" t="inlineStr">
        <is>
          <t>LJUSDAL</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32653-2026</t>
        </is>
      </c>
      <c r="B1344" t="inlineStr">
        <is>
          <t>avverkningsanmälan</t>
        </is>
      </c>
      <c r="C1344" t="inlineStr">
        <is>
          <t>Föryngringsavverkning</t>
        </is>
      </c>
      <c r="D1344" s="1" t="n">
        <v>46240</v>
      </c>
      <c r="E1344" s="1" t="n">
        <v>46292</v>
      </c>
      <c r="F1344" t="inlineStr">
        <is>
          <t>GÄVLEBORGS LÄN</t>
        </is>
      </c>
      <c r="G1344" t="inlineStr">
        <is>
          <t>LJUSDAL</t>
        </is>
      </c>
      <c r="H1344" t="inlineStr">
        <is>
          <t>Allmännings- och besparingsskogar</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6432-2023</t>
        </is>
      </c>
      <c r="B1345" t="inlineStr">
        <is>
          <t>avverkningsanmälan</t>
        </is>
      </c>
      <c r="C1345" t="inlineStr">
        <is>
          <t>Föryngringsavverkning</t>
        </is>
      </c>
      <c r="D1345" s="1" t="n">
        <v>44965</v>
      </c>
      <c r="E1345" s="1" t="n">
        <v>46292</v>
      </c>
      <c r="F1345" t="inlineStr">
        <is>
          <t>GÄVLEBORGS LÄN</t>
        </is>
      </c>
      <c r="G1345" t="inlineStr">
        <is>
          <t>LJUSDAL</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32660-2026</t>
        </is>
      </c>
      <c r="B1346" t="inlineStr">
        <is>
          <t>avverkningsanmälan</t>
        </is>
      </c>
      <c r="C1346" t="inlineStr">
        <is>
          <t>Föryngringsavverkning</t>
        </is>
      </c>
      <c r="D1346" s="1" t="n">
        <v>46240</v>
      </c>
      <c r="E1346" s="1" t="n">
        <v>46292</v>
      </c>
      <c r="F1346" t="inlineStr">
        <is>
          <t>GÄVLEBORGS LÄN</t>
        </is>
      </c>
      <c r="G1346" t="inlineStr">
        <is>
          <t>LJUSDAL</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32740-2026</t>
        </is>
      </c>
      <c r="B1347" t="inlineStr">
        <is>
          <t>avverkningsanmälan</t>
        </is>
      </c>
      <c r="C1347" t="inlineStr">
        <is>
          <t>Föryngringsavverkning</t>
        </is>
      </c>
      <c r="D1347" s="1" t="n">
        <v>46241</v>
      </c>
      <c r="E1347" s="1" t="n">
        <v>46292</v>
      </c>
      <c r="F1347" t="inlineStr">
        <is>
          <t>GÄVLEBORGS LÄN</t>
        </is>
      </c>
      <c r="G1347" t="inlineStr">
        <is>
          <t>LJUSDAL</t>
        </is>
      </c>
      <c r="H1347" t="inlineStr">
        <is>
          <t>Bergvik skog väst AB</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39597-2024</t>
        </is>
      </c>
      <c r="B1348" t="inlineStr">
        <is>
          <t>avverkningsanmälan</t>
        </is>
      </c>
      <c r="C1348" t="inlineStr">
        <is>
          <t>Föryngringsavverkning</t>
        </is>
      </c>
      <c r="D1348" s="1" t="n">
        <v>45552</v>
      </c>
      <c r="E1348" s="1" t="n">
        <v>46292</v>
      </c>
      <c r="F1348" t="inlineStr">
        <is>
          <t>GÄVLEBORGS LÄN</t>
        </is>
      </c>
      <c r="G1348" t="inlineStr">
        <is>
          <t>LJUSDAL</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58530-2022</t>
        </is>
      </c>
      <c r="B1349" t="inlineStr">
        <is>
          <t>avverkningsanmälan</t>
        </is>
      </c>
      <c r="C1349" t="inlineStr">
        <is>
          <t>Föryngringsavverkning</t>
        </is>
      </c>
      <c r="D1349" s="1" t="n">
        <v>44902</v>
      </c>
      <c r="E1349" s="1" t="n">
        <v>46292</v>
      </c>
      <c r="F1349" t="inlineStr">
        <is>
          <t>GÄVLEBORGS LÄN</t>
        </is>
      </c>
      <c r="G1349" t="inlineStr">
        <is>
          <t>LJUSDAL</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59901-2022</t>
        </is>
      </c>
      <c r="B1350" t="inlineStr">
        <is>
          <t>avverkningsanmälan</t>
        </is>
      </c>
      <c r="C1350" t="inlineStr">
        <is>
          <t>Föryngringsavverkning</t>
        </is>
      </c>
      <c r="D1350" s="1" t="n">
        <v>44908</v>
      </c>
      <c r="E1350" s="1" t="n">
        <v>46292</v>
      </c>
      <c r="F1350" t="inlineStr">
        <is>
          <t>GÄVLEBORGS LÄN</t>
        </is>
      </c>
      <c r="G1350" t="inlineStr">
        <is>
          <t>LJUSDAL</t>
        </is>
      </c>
      <c r="I1350" t="n">
        <v>10.3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38878-2026</t>
        </is>
      </c>
      <c r="B1351" t="inlineStr">
        <is>
          <t>avverkningsanmälan</t>
        </is>
      </c>
      <c r="C1351" t="inlineStr">
        <is>
          <t>Föryngringsavverkning</t>
        </is>
      </c>
      <c r="D1351" s="1" t="n">
        <v>46286</v>
      </c>
      <c r="E1351" s="1" t="n">
        <v>46292</v>
      </c>
      <c r="F1351" t="inlineStr">
        <is>
          <t>GÄVLEBORGS LÄN</t>
        </is>
      </c>
      <c r="G1351" t="inlineStr">
        <is>
          <t>LJUSDAL</t>
        </is>
      </c>
      <c r="H1351" t="inlineStr">
        <is>
          <t>Övriga Aktiebolag</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44048-2022</t>
        </is>
      </c>
      <c r="B1352" t="inlineStr">
        <is>
          <t>avverkningsanmälan</t>
        </is>
      </c>
      <c r="C1352" t="inlineStr">
        <is>
          <t>Föryngringsavverkning</t>
        </is>
      </c>
      <c r="D1352" s="1" t="n">
        <v>44838</v>
      </c>
      <c r="E1352" s="1" t="n">
        <v>46292</v>
      </c>
      <c r="F1352" t="inlineStr">
        <is>
          <t>GÄVLEBORGS LÄN</t>
        </is>
      </c>
      <c r="G1352" t="inlineStr">
        <is>
          <t>LJUSDAL</t>
        </is>
      </c>
      <c r="H1352" t="inlineStr">
        <is>
          <t>SCA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39019-2026</t>
        </is>
      </c>
      <c r="B1353" t="inlineStr">
        <is>
          <t>avverkningsanmälan</t>
        </is>
      </c>
      <c r="C1353" t="inlineStr">
        <is>
          <t>Föryngringsavverkning</t>
        </is>
      </c>
      <c r="D1353" s="1" t="n">
        <v>46287</v>
      </c>
      <c r="E1353" s="1" t="n">
        <v>46292</v>
      </c>
      <c r="F1353" t="inlineStr">
        <is>
          <t>GÄVLEBORGS LÄN</t>
        </is>
      </c>
      <c r="G1353" t="inlineStr">
        <is>
          <t>LJUSDAL</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33072-2026</t>
        </is>
      </c>
      <c r="B1354" t="inlineStr">
        <is>
          <t>avverkningsanmälan</t>
        </is>
      </c>
      <c r="C1354" t="inlineStr">
        <is>
          <t>Föryngringsavverkning</t>
        </is>
      </c>
      <c r="D1354" s="1" t="n">
        <v>46245</v>
      </c>
      <c r="E1354" s="1" t="n">
        <v>46292</v>
      </c>
      <c r="F1354" t="inlineStr">
        <is>
          <t>GÄVLEBORGS LÄN</t>
        </is>
      </c>
      <c r="G1354" t="inlineStr">
        <is>
          <t>LJUSDAL</t>
        </is>
      </c>
      <c r="H1354" t="inlineStr">
        <is>
          <t>Sveaskog</t>
        </is>
      </c>
      <c r="I1354" t="n">
        <v>8.4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39276-2026</t>
        </is>
      </c>
      <c r="B1355" t="inlineStr">
        <is>
          <t>avverkningsanmälan</t>
        </is>
      </c>
      <c r="C1355" t="inlineStr">
        <is>
          <t>Avverkning för annat ändamål</t>
        </is>
      </c>
      <c r="D1355" s="1" t="n">
        <v>46288</v>
      </c>
      <c r="E1355" s="1" t="n">
        <v>46292</v>
      </c>
      <c r="F1355" t="inlineStr">
        <is>
          <t>GÄVLEBORGS LÄN</t>
        </is>
      </c>
      <c r="G1355" t="inlineStr">
        <is>
          <t>LJUSDAL</t>
        </is>
      </c>
      <c r="H1355" t="inlineStr">
        <is>
          <t>Övriga Aktiebolag</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33068-2026</t>
        </is>
      </c>
      <c r="B1356" t="inlineStr">
        <is>
          <t>avverkningsanmälan</t>
        </is>
      </c>
      <c r="C1356" t="inlineStr">
        <is>
          <t>Föryngringsavverkning</t>
        </is>
      </c>
      <c r="D1356" s="1" t="n">
        <v>46245</v>
      </c>
      <c r="E1356" s="1" t="n">
        <v>46292</v>
      </c>
      <c r="F1356" t="inlineStr">
        <is>
          <t>GÄVLEBORGS LÄN</t>
        </is>
      </c>
      <c r="G1356" t="inlineStr">
        <is>
          <t>LJUSDAL</t>
        </is>
      </c>
      <c r="H1356" t="inlineStr">
        <is>
          <t>Sveaskog</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40554-2022</t>
        </is>
      </c>
      <c r="B1357" t="inlineStr">
        <is>
          <t>avverkningsanmälan</t>
        </is>
      </c>
      <c r="C1357" t="inlineStr">
        <is>
          <t>Föryngringsavverkning</t>
        </is>
      </c>
      <c r="D1357" s="1" t="n">
        <v>44823</v>
      </c>
      <c r="E1357" s="1" t="n">
        <v>46292</v>
      </c>
      <c r="F1357" t="inlineStr">
        <is>
          <t>GÄVLEBORGS LÄN</t>
        </is>
      </c>
      <c r="G1357" t="inlineStr">
        <is>
          <t>LJUSDAL</t>
        </is>
      </c>
      <c r="H1357" t="inlineStr">
        <is>
          <t>Bergvik skog väst AB</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39075-2026</t>
        </is>
      </c>
      <c r="B1358" t="inlineStr">
        <is>
          <t>avverkningsanmälan</t>
        </is>
      </c>
      <c r="C1358" t="inlineStr">
        <is>
          <t>Föryngringsavverkning</t>
        </is>
      </c>
      <c r="D1358" s="1" t="n">
        <v>46287</v>
      </c>
      <c r="E1358" s="1" t="n">
        <v>46292</v>
      </c>
      <c r="F1358" t="inlineStr">
        <is>
          <t>GÄVLEBORGS LÄN</t>
        </is>
      </c>
      <c r="G1358" t="inlineStr">
        <is>
          <t>LJUSDAL</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22155-2022</t>
        </is>
      </c>
      <c r="B1359" t="inlineStr">
        <is>
          <t>avverkningsanmälan</t>
        </is>
      </c>
      <c r="C1359" t="inlineStr">
        <is>
          <t>Avverkning för annat ändamål</t>
        </is>
      </c>
      <c r="D1359" s="1" t="n">
        <v>44712</v>
      </c>
      <c r="E1359" s="1" t="n">
        <v>46292</v>
      </c>
      <c r="F1359" t="inlineStr">
        <is>
          <t>GÄVLEBORGS LÄN</t>
        </is>
      </c>
      <c r="G1359" t="inlineStr">
        <is>
          <t>LJUSDAL</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19200-2022</t>
        </is>
      </c>
      <c r="B1360" t="inlineStr">
        <is>
          <t>avverkningsanmälan</t>
        </is>
      </c>
      <c r="C1360" t="inlineStr">
        <is>
          <t>Föryngringsavverkning</t>
        </is>
      </c>
      <c r="D1360" s="1" t="n">
        <v>44691</v>
      </c>
      <c r="E1360" s="1" t="n">
        <v>46292</v>
      </c>
      <c r="F1360" t="inlineStr">
        <is>
          <t>GÄVLEBORGS LÄN</t>
        </is>
      </c>
      <c r="G1360" t="inlineStr">
        <is>
          <t>LJUSDAL</t>
        </is>
      </c>
      <c r="H1360" t="inlineStr">
        <is>
          <t>Bergvik skog väst AB</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19797-2024</t>
        </is>
      </c>
      <c r="B1361" t="inlineStr">
        <is>
          <t>avverkningsanmälan</t>
        </is>
      </c>
      <c r="C1361" t="inlineStr">
        <is>
          <t>Föryngringsavverkning</t>
        </is>
      </c>
      <c r="D1361" s="1" t="n">
        <v>45432</v>
      </c>
      <c r="E1361" s="1" t="n">
        <v>46292</v>
      </c>
      <c r="F1361" t="inlineStr">
        <is>
          <t>GÄVLEBORGS LÄN</t>
        </is>
      </c>
      <c r="G1361" t="inlineStr">
        <is>
          <t>LJUSDAL</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61092-2023</t>
        </is>
      </c>
      <c r="B1362" t="inlineStr">
        <is>
          <t>avverkningsanmälan</t>
        </is>
      </c>
      <c r="C1362" t="inlineStr">
        <is>
          <t>Föryngringsavverkning</t>
        </is>
      </c>
      <c r="D1362" s="1" t="n">
        <v>45261</v>
      </c>
      <c r="E1362" s="1" t="n">
        <v>46292</v>
      </c>
      <c r="F1362" t="inlineStr">
        <is>
          <t>GÄVLEBORGS LÄN</t>
        </is>
      </c>
      <c r="G1362" t="inlineStr">
        <is>
          <t>LJUSDAL</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61053-2023</t>
        </is>
      </c>
      <c r="B1363" t="inlineStr">
        <is>
          <t>avverkningsanmälan</t>
        </is>
      </c>
      <c r="C1363" t="inlineStr">
        <is>
          <t>Föryngringsavverkning</t>
        </is>
      </c>
      <c r="D1363" s="1" t="n">
        <v>45261</v>
      </c>
      <c r="E1363" s="1" t="n">
        <v>46292</v>
      </c>
      <c r="F1363" t="inlineStr">
        <is>
          <t>GÄVLEBORGS LÄN</t>
        </is>
      </c>
      <c r="G1363" t="inlineStr">
        <is>
          <t>LJUSDAL</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54237-2021</t>
        </is>
      </c>
      <c r="B1364" t="inlineStr">
        <is>
          <t>avverkningsanmälan</t>
        </is>
      </c>
      <c r="C1364" t="inlineStr">
        <is>
          <t>Föryngringsavverkning</t>
        </is>
      </c>
      <c r="D1364" s="1" t="n">
        <v>44470</v>
      </c>
      <c r="E1364" s="1" t="n">
        <v>46292</v>
      </c>
      <c r="F1364" t="inlineStr">
        <is>
          <t>GÄVLEBORGS LÄN</t>
        </is>
      </c>
      <c r="G1364" t="inlineStr">
        <is>
          <t>LJUSDAL</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55046-2022</t>
        </is>
      </c>
      <c r="B1365" t="inlineStr">
        <is>
          <t>avverkningsanmälan</t>
        </is>
      </c>
      <c r="C1365" t="inlineStr">
        <is>
          <t>Föryngringsavverkning</t>
        </is>
      </c>
      <c r="D1365" s="1" t="n">
        <v>44886</v>
      </c>
      <c r="E1365" s="1" t="n">
        <v>46292</v>
      </c>
      <c r="F1365" t="inlineStr">
        <is>
          <t>GÄVLEBORGS LÄN</t>
        </is>
      </c>
      <c r="G1365" t="inlineStr">
        <is>
          <t>LJUSDAL</t>
        </is>
      </c>
      <c r="H1365" t="inlineStr">
        <is>
          <t>Bergvik skog väst AB</t>
        </is>
      </c>
      <c r="I1365" t="n">
        <v>43.8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7182-2023</t>
        </is>
      </c>
      <c r="B1366" t="inlineStr">
        <is>
          <t>avverkningsanmälan</t>
        </is>
      </c>
      <c r="C1366" t="inlineStr">
        <is>
          <t>Föryngringsavverkning</t>
        </is>
      </c>
      <c r="D1366" s="1" t="n">
        <v>44970</v>
      </c>
      <c r="E1366" s="1" t="n">
        <v>46292</v>
      </c>
      <c r="F1366" t="inlineStr">
        <is>
          <t>GÄVLEBORGS LÄN</t>
        </is>
      </c>
      <c r="G1366" t="inlineStr">
        <is>
          <t>LJUSDAL</t>
        </is>
      </c>
      <c r="I1366" t="n">
        <v>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40260-2023</t>
        </is>
      </c>
      <c r="B1367" t="inlineStr">
        <is>
          <t>avverkningsanmälan</t>
        </is>
      </c>
      <c r="C1367" t="inlineStr">
        <is>
          <t>Föryngringsavverkning</t>
        </is>
      </c>
      <c r="D1367" s="1" t="n">
        <v>45169</v>
      </c>
      <c r="E1367" s="1" t="n">
        <v>46292</v>
      </c>
      <c r="F1367" t="inlineStr">
        <is>
          <t>GÄVLEBORGS LÄN</t>
        </is>
      </c>
      <c r="G1367" t="inlineStr">
        <is>
          <t>LJUSDAL</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33471-2026</t>
        </is>
      </c>
      <c r="B1368" t="inlineStr">
        <is>
          <t>avverkningsanmälan</t>
        </is>
      </c>
      <c r="C1368" t="inlineStr">
        <is>
          <t>Föryngringsavverkning</t>
        </is>
      </c>
      <c r="D1368" s="1" t="n">
        <v>46247</v>
      </c>
      <c r="E1368" s="1" t="n">
        <v>46292</v>
      </c>
      <c r="F1368" t="inlineStr">
        <is>
          <t>GÄVLEBORGS LÄN</t>
        </is>
      </c>
      <c r="G1368" t="inlineStr">
        <is>
          <t>LJUSDAL</t>
        </is>
      </c>
      <c r="H1368" t="inlineStr">
        <is>
          <t>Sveaskog</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33474-2026</t>
        </is>
      </c>
      <c r="B1369" t="inlineStr">
        <is>
          <t>avverkningsanmälan</t>
        </is>
      </c>
      <c r="C1369" t="inlineStr">
        <is>
          <t>Föryngringsavverkning</t>
        </is>
      </c>
      <c r="D1369" s="1" t="n">
        <v>46247</v>
      </c>
      <c r="E1369" s="1" t="n">
        <v>46292</v>
      </c>
      <c r="F1369" t="inlineStr">
        <is>
          <t>GÄVLEBORGS LÄN</t>
        </is>
      </c>
      <c r="G1369" t="inlineStr">
        <is>
          <t>LJUSDAL</t>
        </is>
      </c>
      <c r="H1369" t="inlineStr">
        <is>
          <t>Sveaskog</t>
        </is>
      </c>
      <c r="I1369" t="n">
        <v>6.2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39659-2026</t>
        </is>
      </c>
      <c r="B1370" t="inlineStr">
        <is>
          <t>avverkningsanmälan</t>
        </is>
      </c>
      <c r="C1370" t="inlineStr">
        <is>
          <t>Föryngringsavverkning</t>
        </is>
      </c>
      <c r="D1370" s="1" t="n">
        <v>46289</v>
      </c>
      <c r="E1370" s="1" t="n">
        <v>46292</v>
      </c>
      <c r="F1370" t="inlineStr">
        <is>
          <t>GÄVLEBORGS LÄN</t>
        </is>
      </c>
      <c r="G1370" t="inlineStr">
        <is>
          <t>LJUSDAL</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33451-2026</t>
        </is>
      </c>
      <c r="B1371" t="inlineStr">
        <is>
          <t>avverkningsanmälan</t>
        </is>
      </c>
      <c r="C1371" t="inlineStr">
        <is>
          <t>Föryngringsavverkning</t>
        </is>
      </c>
      <c r="D1371" s="1" t="n">
        <v>46247</v>
      </c>
      <c r="E1371" s="1" t="n">
        <v>46292</v>
      </c>
      <c r="F1371" t="inlineStr">
        <is>
          <t>GÄVLEBORGS LÄN</t>
        </is>
      </c>
      <c r="G1371" t="inlineStr">
        <is>
          <t>LJUSDAL</t>
        </is>
      </c>
      <c r="H1371" t="inlineStr">
        <is>
          <t>Allmännings- och besparingsskogar</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17667-2023</t>
        </is>
      </c>
      <c r="B1372" t="inlineStr">
        <is>
          <t>avverkningsanmälan</t>
        </is>
      </c>
      <c r="C1372" t="inlineStr">
        <is>
          <t>Föryngringsavverkning</t>
        </is>
      </c>
      <c r="D1372" s="1" t="n">
        <v>45036</v>
      </c>
      <c r="E1372" s="1" t="n">
        <v>46292</v>
      </c>
      <c r="F1372" t="inlineStr">
        <is>
          <t>GÄVLEBORGS LÄN</t>
        </is>
      </c>
      <c r="G1372" t="inlineStr">
        <is>
          <t>LJUSDAL</t>
        </is>
      </c>
      <c r="H1372" t="inlineStr">
        <is>
          <t>SCA</t>
        </is>
      </c>
      <c r="I1372" t="n">
        <v>5.4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33365-2026</t>
        </is>
      </c>
      <c r="B1373" t="inlineStr">
        <is>
          <t>avverkningsanmälan</t>
        </is>
      </c>
      <c r="C1373" t="inlineStr">
        <is>
          <t>Föryngringsavverkning</t>
        </is>
      </c>
      <c r="D1373" s="1" t="n">
        <v>46247</v>
      </c>
      <c r="E1373" s="1" t="n">
        <v>46292</v>
      </c>
      <c r="F1373" t="inlineStr">
        <is>
          <t>GÄVLEBORGS LÄN</t>
        </is>
      </c>
      <c r="G1373" t="inlineStr">
        <is>
          <t>LJUSDAL</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39560-2026</t>
        </is>
      </c>
      <c r="B1374" t="inlineStr">
        <is>
          <t>avverkningsanmälan</t>
        </is>
      </c>
      <c r="C1374" t="inlineStr">
        <is>
          <t>Föryngringsavverkning</t>
        </is>
      </c>
      <c r="D1374" s="1" t="n">
        <v>46289</v>
      </c>
      <c r="E1374" s="1" t="n">
        <v>46292</v>
      </c>
      <c r="F1374" t="inlineStr">
        <is>
          <t>GÄVLEBORGS LÄN</t>
        </is>
      </c>
      <c r="G1374" t="inlineStr">
        <is>
          <t>LJUSDAL</t>
        </is>
      </c>
      <c r="H1374" t="inlineStr">
        <is>
          <t>Bergvik skog väst AB</t>
        </is>
      </c>
      <c r="I1374" t="n">
        <v>11.5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39475-2026</t>
        </is>
      </c>
      <c r="B1375" t="inlineStr">
        <is>
          <t>avverkningsanmälan</t>
        </is>
      </c>
      <c r="C1375" t="inlineStr">
        <is>
          <t>Föryngringsavverkning</t>
        </is>
      </c>
      <c r="D1375" s="1" t="n">
        <v>46289</v>
      </c>
      <c r="E1375" s="1" t="n">
        <v>46292</v>
      </c>
      <c r="F1375" t="inlineStr">
        <is>
          <t>GÄVLEBORGS LÄN</t>
        </is>
      </c>
      <c r="G1375" t="inlineStr">
        <is>
          <t>LJUSDAL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60822-2022</t>
        </is>
      </c>
      <c r="B1376" t="inlineStr">
        <is>
          <t>avverkningsanmälan</t>
        </is>
      </c>
      <c r="C1376" t="inlineStr">
        <is>
          <t>Föryngringsavverkning</t>
        </is>
      </c>
      <c r="D1376" s="1" t="n">
        <v>44904</v>
      </c>
      <c r="E1376" s="1" t="n">
        <v>46292</v>
      </c>
      <c r="F1376" t="inlineStr">
        <is>
          <t>GÄVLEBORGS LÄN</t>
        </is>
      </c>
      <c r="G1376" t="inlineStr">
        <is>
          <t>LJUSDAL</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33520-2026</t>
        </is>
      </c>
      <c r="B1377" t="inlineStr">
        <is>
          <t>avverkningsanmälan</t>
        </is>
      </c>
      <c r="C1377" t="inlineStr">
        <is>
          <t>Föryngringsavverkning</t>
        </is>
      </c>
      <c r="D1377" s="1" t="n">
        <v>46248</v>
      </c>
      <c r="E1377" s="1" t="n">
        <v>46292</v>
      </c>
      <c r="F1377" t="inlineStr">
        <is>
          <t>GÄVLEBORGS LÄN</t>
        </is>
      </c>
      <c r="G1377" t="inlineStr">
        <is>
          <t>LJUSDAL</t>
        </is>
      </c>
      <c r="H1377" t="inlineStr">
        <is>
          <t>Sveaskog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43018-2023</t>
        </is>
      </c>
      <c r="B1378" t="inlineStr">
        <is>
          <t>avverkningsanmälan</t>
        </is>
      </c>
      <c r="C1378" t="inlineStr">
        <is>
          <t>Föryngringsavverkning</t>
        </is>
      </c>
      <c r="D1378" s="1" t="n">
        <v>45182</v>
      </c>
      <c r="E1378" s="1" t="n">
        <v>46292</v>
      </c>
      <c r="F1378" t="inlineStr">
        <is>
          <t>GÄVLEBORGS LÄN</t>
        </is>
      </c>
      <c r="G1378" t="inlineStr">
        <is>
          <t>LJUSDAL</t>
        </is>
      </c>
      <c r="I1378" t="n">
        <v>8.199999999999999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33518-2026</t>
        </is>
      </c>
      <c r="B1379" t="inlineStr">
        <is>
          <t>avverkningsanmälan</t>
        </is>
      </c>
      <c r="C1379" t="inlineStr">
        <is>
          <t>Föryngringsavverkning</t>
        </is>
      </c>
      <c r="D1379" s="1" t="n">
        <v>46248</v>
      </c>
      <c r="E1379" s="1" t="n">
        <v>46292</v>
      </c>
      <c r="F1379" t="inlineStr">
        <is>
          <t>GÄVLEBORGS LÄN</t>
        </is>
      </c>
      <c r="G1379" t="inlineStr">
        <is>
          <t>LJUSDAL</t>
        </is>
      </c>
      <c r="H1379" t="inlineStr">
        <is>
          <t>Sveaskog</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33521-2026</t>
        </is>
      </c>
      <c r="B1380" t="inlineStr">
        <is>
          <t>avverkningsanmälan</t>
        </is>
      </c>
      <c r="C1380" t="inlineStr">
        <is>
          <t>Föryngringsavverkning</t>
        </is>
      </c>
      <c r="D1380" s="1" t="n">
        <v>46248</v>
      </c>
      <c r="E1380" s="1" t="n">
        <v>46292</v>
      </c>
      <c r="F1380" t="inlineStr">
        <is>
          <t>GÄVLEBORGS LÄN</t>
        </is>
      </c>
      <c r="G1380" t="inlineStr">
        <is>
          <t>LJUSDAL</t>
        </is>
      </c>
      <c r="H1380" t="inlineStr">
        <is>
          <t>Sveaskog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32832-2022</t>
        </is>
      </c>
      <c r="B1381" t="inlineStr">
        <is>
          <t>avverkningsanmälan</t>
        </is>
      </c>
      <c r="C1381" t="inlineStr">
        <is>
          <t>Föryngringsavverkning</t>
        </is>
      </c>
      <c r="D1381" s="1" t="n">
        <v>44784</v>
      </c>
      <c r="E1381" s="1" t="n">
        <v>46292</v>
      </c>
      <c r="F1381" t="inlineStr">
        <is>
          <t>GÄVLEBORGS LÄN</t>
        </is>
      </c>
      <c r="G1381" t="inlineStr">
        <is>
          <t>LJUSDAL</t>
        </is>
      </c>
      <c r="H1381" t="inlineStr">
        <is>
          <t>Bergvik skog väst AB</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33449-2026</t>
        </is>
      </c>
      <c r="B1382" t="inlineStr">
        <is>
          <t>avverkningsanmälan</t>
        </is>
      </c>
      <c r="C1382" t="inlineStr">
        <is>
          <t>Föryngringsavverkning</t>
        </is>
      </c>
      <c r="D1382" s="1" t="n">
        <v>46247</v>
      </c>
      <c r="E1382" s="1" t="n">
        <v>46292</v>
      </c>
      <c r="F1382" t="inlineStr">
        <is>
          <t>GÄVLEBORGS LÄN</t>
        </is>
      </c>
      <c r="G1382" t="inlineStr">
        <is>
          <t>LJUSDAL</t>
        </is>
      </c>
      <c r="H1382" t="inlineStr">
        <is>
          <t>Allmännings- och besparingsskogar</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48856-2023</t>
        </is>
      </c>
      <c r="B1383" t="inlineStr">
        <is>
          <t>avverkningsanmälan</t>
        </is>
      </c>
      <c r="C1383" t="inlineStr">
        <is>
          <t>Föryngringsavverkning</t>
        </is>
      </c>
      <c r="D1383" s="1" t="n">
        <v>45209</v>
      </c>
      <c r="E1383" s="1" t="n">
        <v>46292</v>
      </c>
      <c r="F1383" t="inlineStr">
        <is>
          <t>GÄVLEBORGS LÄN</t>
        </is>
      </c>
      <c r="G1383" t="inlineStr">
        <is>
          <t>LJUSDAL</t>
        </is>
      </c>
      <c r="H1383" t="inlineStr">
        <is>
          <t>Bergvik skog väst AB</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9363-2024</t>
        </is>
      </c>
      <c r="B1384" t="inlineStr">
        <is>
          <t>avverkningsanmälan</t>
        </is>
      </c>
      <c r="C1384" t="inlineStr">
        <is>
          <t>Föryngringsavverkning</t>
        </is>
      </c>
      <c r="D1384" s="1" t="n">
        <v>45359</v>
      </c>
      <c r="E1384" s="1" t="n">
        <v>46292</v>
      </c>
      <c r="F1384" t="inlineStr">
        <is>
          <t>GÄVLEBORGS LÄN</t>
        </is>
      </c>
      <c r="G1384" t="inlineStr">
        <is>
          <t>LJUSDAL</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18488-2024</t>
        </is>
      </c>
      <c r="B1385" t="inlineStr">
        <is>
          <t>avverkningsanmälan</t>
        </is>
      </c>
      <c r="C1385" t="inlineStr">
        <is>
          <t>Föryngringsavverkning</t>
        </is>
      </c>
      <c r="D1385" s="1" t="n">
        <v>45425</v>
      </c>
      <c r="E1385" s="1" t="n">
        <v>46292</v>
      </c>
      <c r="F1385" t="inlineStr">
        <is>
          <t>GÄVLEBORGS LÄN</t>
        </is>
      </c>
      <c r="G1385" t="inlineStr">
        <is>
          <t>LJUSDAL</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33486-2026</t>
        </is>
      </c>
      <c r="B1386" t="inlineStr">
        <is>
          <t>avverkningsanmälan</t>
        </is>
      </c>
      <c r="C1386" t="inlineStr">
        <is>
          <t>Föryngringsavverkning</t>
        </is>
      </c>
      <c r="D1386" s="1" t="n">
        <v>46247</v>
      </c>
      <c r="E1386" s="1" t="n">
        <v>46292</v>
      </c>
      <c r="F1386" t="inlineStr">
        <is>
          <t>GÄVLEBORGS LÄN</t>
        </is>
      </c>
      <c r="G1386" t="inlineStr">
        <is>
          <t>LJUSDAL</t>
        </is>
      </c>
      <c r="H1386" t="inlineStr">
        <is>
          <t>Sveaskog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55681-2023</t>
        </is>
      </c>
      <c r="B1387" t="inlineStr">
        <is>
          <t>avverkningsanmälan</t>
        </is>
      </c>
      <c r="C1387" t="inlineStr">
        <is>
          <t>Föryngringsavverkning</t>
        </is>
      </c>
      <c r="D1387" s="1" t="n">
        <v>45239</v>
      </c>
      <c r="E1387" s="1" t="n">
        <v>46292</v>
      </c>
      <c r="F1387" t="inlineStr">
        <is>
          <t>GÄVLEBORGS LÄN</t>
        </is>
      </c>
      <c r="G1387" t="inlineStr">
        <is>
          <t>LJUSDAL</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33473-2026</t>
        </is>
      </c>
      <c r="B1388" t="inlineStr">
        <is>
          <t>avverkningsanmälan</t>
        </is>
      </c>
      <c r="C1388" t="inlineStr">
        <is>
          <t>Föryngringsavverkning</t>
        </is>
      </c>
      <c r="D1388" s="1" t="n">
        <v>46247</v>
      </c>
      <c r="E1388" s="1" t="n">
        <v>46292</v>
      </c>
      <c r="F1388" t="inlineStr">
        <is>
          <t>GÄVLEBORGS LÄN</t>
        </is>
      </c>
      <c r="G1388" t="inlineStr">
        <is>
          <t>LJUSDAL</t>
        </is>
      </c>
      <c r="H1388" t="inlineStr">
        <is>
          <t>Sveaskog</t>
        </is>
      </c>
      <c r="I1388" t="n">
        <v>5.7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57977-2022</t>
        </is>
      </c>
      <c r="B1389" t="inlineStr">
        <is>
          <t>avverkningsanmälan</t>
        </is>
      </c>
      <c r="C1389" t="inlineStr">
        <is>
          <t>Föryngringsavverkning</t>
        </is>
      </c>
      <c r="D1389" s="1" t="n">
        <v>44900</v>
      </c>
      <c r="E1389" s="1" t="n">
        <v>46292</v>
      </c>
      <c r="F1389" t="inlineStr">
        <is>
          <t>GÄVLEBORGS LÄN</t>
        </is>
      </c>
      <c r="G1389" t="inlineStr">
        <is>
          <t>LJUSDAL</t>
        </is>
      </c>
      <c r="H1389" t="inlineStr">
        <is>
          <t>Holmen skog AB</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54897-2024</t>
        </is>
      </c>
      <c r="B1390" t="inlineStr">
        <is>
          <t>avverkningsanmälan</t>
        </is>
      </c>
      <c r="C1390" t="inlineStr">
        <is>
          <t>Avverkning för annat ändamål</t>
        </is>
      </c>
      <c r="D1390" s="1" t="n">
        <v>45618</v>
      </c>
      <c r="E1390" s="1" t="n">
        <v>46292</v>
      </c>
      <c r="F1390" t="inlineStr">
        <is>
          <t>GÄVLEBORGS LÄN</t>
        </is>
      </c>
      <c r="G1390" t="inlineStr">
        <is>
          <t>LJUSDAL</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51880-2024</t>
        </is>
      </c>
      <c r="B1391" t="inlineStr">
        <is>
          <t>avverkningsanmälan</t>
        </is>
      </c>
      <c r="C1391" t="inlineStr">
        <is>
          <t>Föryngringsavverkning</t>
        </is>
      </c>
      <c r="D1391" s="1" t="n">
        <v>45607</v>
      </c>
      <c r="E1391" s="1" t="n">
        <v>46292</v>
      </c>
      <c r="F1391" t="inlineStr">
        <is>
          <t>GÄVLEBORGS LÄN</t>
        </is>
      </c>
      <c r="G1391" t="inlineStr">
        <is>
          <t>LJUSDAL</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52915-2024</t>
        </is>
      </c>
      <c r="B1392" t="inlineStr">
        <is>
          <t>avverkningsanmälan</t>
        </is>
      </c>
      <c r="C1392" t="inlineStr">
        <is>
          <t>Föryngringsavverkning</t>
        </is>
      </c>
      <c r="D1392" s="1" t="n">
        <v>45610</v>
      </c>
      <c r="E1392" s="1" t="n">
        <v>46292</v>
      </c>
      <c r="F1392" t="inlineStr">
        <is>
          <t>GÄVLEBORGS LÄN</t>
        </is>
      </c>
      <c r="G1392" t="inlineStr">
        <is>
          <t>LJUSDAL</t>
        </is>
      </c>
      <c r="H1392" t="inlineStr">
        <is>
          <t>Allmännings- och besparingsskogar</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13911-2024</t>
        </is>
      </c>
      <c r="B1393" t="inlineStr">
        <is>
          <t>avverkningsanmälan</t>
        </is>
      </c>
      <c r="C1393" t="inlineStr">
        <is>
          <t>Föryngringsavverkning</t>
        </is>
      </c>
      <c r="D1393" s="1" t="n">
        <v>45391</v>
      </c>
      <c r="E1393" s="1" t="n">
        <v>46292</v>
      </c>
      <c r="F1393" t="inlineStr">
        <is>
          <t>GÄVLEBORGS LÄN</t>
        </is>
      </c>
      <c r="G1393" t="inlineStr">
        <is>
          <t>LJUSDAL</t>
        </is>
      </c>
      <c r="I1393" t="n">
        <v>18.2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41994-2024</t>
        </is>
      </c>
      <c r="B1394" t="inlineStr">
        <is>
          <t>avverkningsanmälan</t>
        </is>
      </c>
      <c r="C1394" t="inlineStr">
        <is>
          <t>Föryngringsavverkning</t>
        </is>
      </c>
      <c r="D1394" s="1" t="n">
        <v>45561</v>
      </c>
      <c r="E1394" s="1" t="n">
        <v>46292</v>
      </c>
      <c r="F1394" t="inlineStr">
        <is>
          <t>GÄVLEBORGS LÄN</t>
        </is>
      </c>
      <c r="G1394" t="inlineStr">
        <is>
          <t>LJUSDAL</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28892-2023</t>
        </is>
      </c>
      <c r="B1395" t="inlineStr">
        <is>
          <t>avverkningsanmälan</t>
        </is>
      </c>
      <c r="C1395" t="inlineStr">
        <is>
          <t>Föryngringsavverkning</t>
        </is>
      </c>
      <c r="D1395" s="1" t="n">
        <v>45104</v>
      </c>
      <c r="E1395" s="1" t="n">
        <v>46292</v>
      </c>
      <c r="F1395" t="inlineStr">
        <is>
          <t>GÄVLEBORGS LÄN</t>
        </is>
      </c>
      <c r="G1395" t="inlineStr">
        <is>
          <t>LJUSDAL</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59252-2024</t>
        </is>
      </c>
      <c r="B1396" t="inlineStr">
        <is>
          <t>avverkningsanmälan</t>
        </is>
      </c>
      <c r="C1396" t="inlineStr">
        <is>
          <t>Föryngringsavverkning</t>
        </is>
      </c>
      <c r="D1396" s="1" t="n">
        <v>45637</v>
      </c>
      <c r="E1396" s="1" t="n">
        <v>46292</v>
      </c>
      <c r="F1396" t="inlineStr">
        <is>
          <t>GÄVLEBORGS LÄN</t>
        </is>
      </c>
      <c r="G1396" t="inlineStr">
        <is>
          <t>LJUSDAL</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42417-2024</t>
        </is>
      </c>
      <c r="B1397" t="inlineStr">
        <is>
          <t>avverkningsanmälan</t>
        </is>
      </c>
      <c r="C1397" t="inlineStr">
        <is>
          <t>Föryngringsavverkning</t>
        </is>
      </c>
      <c r="D1397" s="1" t="n">
        <v>45565</v>
      </c>
      <c r="E1397" s="1" t="n">
        <v>46292</v>
      </c>
      <c r="F1397" t="inlineStr">
        <is>
          <t>GÄVLEBORGS LÄN</t>
        </is>
      </c>
      <c r="G1397" t="inlineStr">
        <is>
          <t>LJUSDAL</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25208-2024</t>
        </is>
      </c>
      <c r="B1398" t="inlineStr">
        <is>
          <t>avverkningsanmälan</t>
        </is>
      </c>
      <c r="C1398" t="inlineStr">
        <is>
          <t>Föryngringsavverkning</t>
        </is>
      </c>
      <c r="D1398" s="1" t="n">
        <v>45462</v>
      </c>
      <c r="E1398" s="1" t="n">
        <v>46292</v>
      </c>
      <c r="F1398" t="inlineStr">
        <is>
          <t>GÄVLEBORGS LÄN</t>
        </is>
      </c>
      <c r="G1398" t="inlineStr">
        <is>
          <t>LJUSDAL</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24205-2022</t>
        </is>
      </c>
      <c r="B1399" t="inlineStr">
        <is>
          <t>avverkningsanmälan</t>
        </is>
      </c>
      <c r="C1399" t="inlineStr">
        <is>
          <t>Föryngringsavverkning</t>
        </is>
      </c>
      <c r="D1399" s="1" t="n">
        <v>44725</v>
      </c>
      <c r="E1399" s="1" t="n">
        <v>46292</v>
      </c>
      <c r="F1399" t="inlineStr">
        <is>
          <t>GÄVLEBORGS LÄN</t>
        </is>
      </c>
      <c r="G1399" t="inlineStr">
        <is>
          <t>LJUSDAL</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43562-2024</t>
        </is>
      </c>
      <c r="B1400" t="inlineStr">
        <is>
          <t>avverkningsanmälan</t>
        </is>
      </c>
      <c r="C1400" t="inlineStr">
        <is>
          <t>Föryngringsavverkning</t>
        </is>
      </c>
      <c r="D1400" s="1" t="n">
        <v>45569</v>
      </c>
      <c r="E1400" s="1" t="n">
        <v>46292</v>
      </c>
      <c r="F1400" t="inlineStr">
        <is>
          <t>GÄVLEBORGS LÄN</t>
        </is>
      </c>
      <c r="G1400" t="inlineStr">
        <is>
          <t>LJUSDAL</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51364-2024</t>
        </is>
      </c>
      <c r="B1401" t="inlineStr">
        <is>
          <t>avverkningsanmälan</t>
        </is>
      </c>
      <c r="C1401" t="inlineStr">
        <is>
          <t>Föryngringsavverkning</t>
        </is>
      </c>
      <c r="D1401" s="1" t="n">
        <v>45604</v>
      </c>
      <c r="E1401" s="1" t="n">
        <v>46292</v>
      </c>
      <c r="F1401" t="inlineStr">
        <is>
          <t>GÄVLEBORGS LÄN</t>
        </is>
      </c>
      <c r="G1401" t="inlineStr">
        <is>
          <t>LJUSDAL</t>
        </is>
      </c>
      <c r="I1401" t="n">
        <v>10.7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24838-2024</t>
        </is>
      </c>
      <c r="B1402" t="inlineStr">
        <is>
          <t>avverkningsanmälan</t>
        </is>
      </c>
      <c r="C1402" t="inlineStr">
        <is>
          <t>Föryngringsavverkning</t>
        </is>
      </c>
      <c r="D1402" s="1" t="n">
        <v>45461</v>
      </c>
      <c r="E1402" s="1" t="n">
        <v>46292</v>
      </c>
      <c r="F1402" t="inlineStr">
        <is>
          <t>GÄVLEBORGS LÄN</t>
        </is>
      </c>
      <c r="G1402" t="inlineStr">
        <is>
          <t>LJUSDAL</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13505-2025</t>
        </is>
      </c>
      <c r="B1403" t="inlineStr">
        <is>
          <t>avverkningsanmälan</t>
        </is>
      </c>
      <c r="C1403" t="inlineStr">
        <is>
          <t>Föryngringsavverkning</t>
        </is>
      </c>
      <c r="D1403" s="1" t="n">
        <v>45736</v>
      </c>
      <c r="E1403" s="1" t="n">
        <v>46292</v>
      </c>
      <c r="F1403" t="inlineStr">
        <is>
          <t>GÄVLEBORGS LÄN</t>
        </is>
      </c>
      <c r="G1403" t="inlineStr">
        <is>
          <t>LJUSDAL</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23985-2022</t>
        </is>
      </c>
      <c r="B1404" t="inlineStr">
        <is>
          <t>avverkningsanmälan</t>
        </is>
      </c>
      <c r="C1404" t="inlineStr">
        <is>
          <t>Föryngringsavverkning</t>
        </is>
      </c>
      <c r="D1404" s="1" t="n">
        <v>44722</v>
      </c>
      <c r="E1404" s="1" t="n">
        <v>46292</v>
      </c>
      <c r="F1404" t="inlineStr">
        <is>
          <t>GÄVLEBORGS LÄN</t>
        </is>
      </c>
      <c r="G1404" t="inlineStr">
        <is>
          <t>LJUSDAL</t>
        </is>
      </c>
      <c r="I1404" t="n">
        <v>6.6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57110-2022</t>
        </is>
      </c>
      <c r="B1405" t="inlineStr">
        <is>
          <t>avverkningsanmälan</t>
        </is>
      </c>
      <c r="C1405" t="inlineStr">
        <is>
          <t>Föryngringsavverkning</t>
        </is>
      </c>
      <c r="D1405" s="1" t="n">
        <v>44895</v>
      </c>
      <c r="E1405" s="1" t="n">
        <v>46292</v>
      </c>
      <c r="F1405" t="inlineStr">
        <is>
          <t>GÄVLEBORGS LÄN</t>
        </is>
      </c>
      <c r="G1405" t="inlineStr">
        <is>
          <t>LJUSDAL</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34447-2022</t>
        </is>
      </c>
      <c r="B1406" t="inlineStr">
        <is>
          <t>avverkningsanmälan</t>
        </is>
      </c>
      <c r="C1406" t="inlineStr">
        <is>
          <t>Föryngringsavverkning</t>
        </is>
      </c>
      <c r="D1406" s="1" t="n">
        <v>44792</v>
      </c>
      <c r="E1406" s="1" t="n">
        <v>46292</v>
      </c>
      <c r="F1406" t="inlineStr">
        <is>
          <t>GÄVLEBORGS LÄN</t>
        </is>
      </c>
      <c r="G1406" t="inlineStr">
        <is>
          <t>LJUSDAL</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59710-2022</t>
        </is>
      </c>
      <c r="B1407" t="inlineStr">
        <is>
          <t>avverkningsanmälan</t>
        </is>
      </c>
      <c r="C1407" t="inlineStr">
        <is>
          <t>Föryngringsavverkning</t>
        </is>
      </c>
      <c r="D1407" s="1" t="n">
        <v>44908</v>
      </c>
      <c r="E1407" s="1" t="n">
        <v>46292</v>
      </c>
      <c r="F1407" t="inlineStr">
        <is>
          <t>GÄVLEBORGS LÄN</t>
        </is>
      </c>
      <c r="G1407" t="inlineStr">
        <is>
          <t>LJUSDAL</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50169-2024</t>
        </is>
      </c>
      <c r="B1408" t="inlineStr">
        <is>
          <t>avverkningsanmälan</t>
        </is>
      </c>
      <c r="C1408" t="inlineStr">
        <is>
          <t>Föryngringsavverkning</t>
        </is>
      </c>
      <c r="D1408" s="1" t="n">
        <v>45600</v>
      </c>
      <c r="E1408" s="1" t="n">
        <v>46292</v>
      </c>
      <c r="F1408" t="inlineStr">
        <is>
          <t>GÄVLEBORGS LÄN</t>
        </is>
      </c>
      <c r="G1408" t="inlineStr">
        <is>
          <t>LJUSDAL</t>
        </is>
      </c>
      <c r="H1408" t="inlineStr">
        <is>
          <t>Sveaskog</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51725-2024</t>
        </is>
      </c>
      <c r="B1409" t="inlineStr">
        <is>
          <t>avverkningsanmälan</t>
        </is>
      </c>
      <c r="C1409" t="inlineStr">
        <is>
          <t>Föryngringsavverkning</t>
        </is>
      </c>
      <c r="D1409" s="1" t="n">
        <v>45607</v>
      </c>
      <c r="E1409" s="1" t="n">
        <v>46292</v>
      </c>
      <c r="F1409" t="inlineStr">
        <is>
          <t>GÄVLEBORGS LÄN</t>
        </is>
      </c>
      <c r="G1409" t="inlineStr">
        <is>
          <t>LJUSDAL</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19954-2023</t>
        </is>
      </c>
      <c r="B1410" t="inlineStr">
        <is>
          <t>avverkningsanmälan</t>
        </is>
      </c>
      <c r="C1410" t="inlineStr">
        <is>
          <t>Föryngringsavverkning</t>
        </is>
      </c>
      <c r="D1410" s="1" t="n">
        <v>45054</v>
      </c>
      <c r="E1410" s="1" t="n">
        <v>46292</v>
      </c>
      <c r="F1410" t="inlineStr">
        <is>
          <t>GÄVLEBORGS LÄN</t>
        </is>
      </c>
      <c r="G1410" t="inlineStr">
        <is>
          <t>LJUSDAL</t>
        </is>
      </c>
      <c r="H1410" t="inlineStr">
        <is>
          <t>Holmen skog AB</t>
        </is>
      </c>
      <c r="I1410" t="n">
        <v>6.1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28460-2022</t>
        </is>
      </c>
      <c r="B1411" t="inlineStr">
        <is>
          <t>avverkningsanmälan</t>
        </is>
      </c>
      <c r="C1411" t="inlineStr">
        <is>
          <t>Föryngringsavverkning</t>
        </is>
      </c>
      <c r="D1411" s="1" t="n">
        <v>44747</v>
      </c>
      <c r="E1411" s="1" t="n">
        <v>46292</v>
      </c>
      <c r="F1411" t="inlineStr">
        <is>
          <t>GÄVLEBORGS LÄN</t>
        </is>
      </c>
      <c r="G1411" t="inlineStr">
        <is>
          <t>LJUSDAL</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54820-2024</t>
        </is>
      </c>
      <c r="B1412" t="inlineStr">
        <is>
          <t>avverkningsanmälan</t>
        </is>
      </c>
      <c r="C1412" t="inlineStr">
        <is>
          <t>Föryngringsavverkning</t>
        </is>
      </c>
      <c r="D1412" s="1" t="n">
        <v>45618</v>
      </c>
      <c r="E1412" s="1" t="n">
        <v>46292</v>
      </c>
      <c r="F1412" t="inlineStr">
        <is>
          <t>GÄVLEBORGS LÄN</t>
        </is>
      </c>
      <c r="G1412" t="inlineStr">
        <is>
          <t>LJUSDAL</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15285-2023</t>
        </is>
      </c>
      <c r="B1413" t="inlineStr">
        <is>
          <t>avverkningsanmälan</t>
        </is>
      </c>
      <c r="C1413" t="inlineStr">
        <is>
          <t>Föryngringsavverkning</t>
        </is>
      </c>
      <c r="D1413" s="1" t="n">
        <v>45019</v>
      </c>
      <c r="E1413" s="1" t="n">
        <v>46292</v>
      </c>
      <c r="F1413" t="inlineStr">
        <is>
          <t>GÄVLEBORGS LÄN</t>
        </is>
      </c>
      <c r="G1413" t="inlineStr">
        <is>
          <t>LJUSDAL</t>
        </is>
      </c>
      <c r="H1413" t="inlineStr">
        <is>
          <t>Holmen skog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41730-2024</t>
        </is>
      </c>
      <c r="B1414" t="inlineStr">
        <is>
          <t>avverkningsanmälan</t>
        </is>
      </c>
      <c r="C1414" t="inlineStr">
        <is>
          <t>Föryngringsavverkning</t>
        </is>
      </c>
      <c r="D1414" s="1" t="n">
        <v>45560</v>
      </c>
      <c r="E1414" s="1" t="n">
        <v>46292</v>
      </c>
      <c r="F1414" t="inlineStr">
        <is>
          <t>GÄVLEBORGS LÄN</t>
        </is>
      </c>
      <c r="G1414" t="inlineStr">
        <is>
          <t>LJUSDAL</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34989-2024</t>
        </is>
      </c>
      <c r="B1415" t="inlineStr">
        <is>
          <t>avverkningsanmälan</t>
        </is>
      </c>
      <c r="C1415" t="inlineStr">
        <is>
          <t>Föryngringsavverkning</t>
        </is>
      </c>
      <c r="D1415" s="1" t="n">
        <v>45527</v>
      </c>
      <c r="E1415" s="1" t="n">
        <v>46292</v>
      </c>
      <c r="F1415" t="inlineStr">
        <is>
          <t>GÄVLEBORGS LÄN</t>
        </is>
      </c>
      <c r="G1415" t="inlineStr">
        <is>
          <t>LJUSDAL</t>
        </is>
      </c>
      <c r="H1415" t="inlineStr">
        <is>
          <t>Sveaskog</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33389-2024</t>
        </is>
      </c>
      <c r="B1416" t="inlineStr">
        <is>
          <t>avverkningsanmälan</t>
        </is>
      </c>
      <c r="C1416" t="inlineStr">
        <is>
          <t>Föryngringsavverkning</t>
        </is>
      </c>
      <c r="D1416" s="1" t="n">
        <v>45519</v>
      </c>
      <c r="E1416" s="1" t="n">
        <v>46292</v>
      </c>
      <c r="F1416" t="inlineStr">
        <is>
          <t>GÄVLEBORGS LÄN</t>
        </is>
      </c>
      <c r="G1416" t="inlineStr">
        <is>
          <t>LJUSDAL</t>
        </is>
      </c>
      <c r="H1416" t="inlineStr">
        <is>
          <t>Sveaskog</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39927-2024</t>
        </is>
      </c>
      <c r="B1417" t="inlineStr">
        <is>
          <t>avverkningsanmälan</t>
        </is>
      </c>
      <c r="C1417" t="inlineStr">
        <is>
          <t>Föryngringsavverkning</t>
        </is>
      </c>
      <c r="D1417" s="1" t="n">
        <v>45553</v>
      </c>
      <c r="E1417" s="1" t="n">
        <v>46292</v>
      </c>
      <c r="F1417" t="inlineStr">
        <is>
          <t>GÄVLEBORGS LÄN</t>
        </is>
      </c>
      <c r="G1417" t="inlineStr">
        <is>
          <t>LJUSDAL</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26510-2023</t>
        </is>
      </c>
      <c r="B1418" t="inlineStr">
        <is>
          <t>avverkningsanmälan</t>
        </is>
      </c>
      <c r="C1418" t="inlineStr">
        <is>
          <t>Föryngringsavverkning</t>
        </is>
      </c>
      <c r="D1418" s="1" t="n">
        <v>45092</v>
      </c>
      <c r="E1418" s="1" t="n">
        <v>46292</v>
      </c>
      <c r="F1418" t="inlineStr">
        <is>
          <t>GÄVLEBORGS LÄN</t>
        </is>
      </c>
      <c r="G1418" t="inlineStr">
        <is>
          <t>LJUSDAL</t>
        </is>
      </c>
      <c r="H1418" t="inlineStr">
        <is>
          <t>Sveaskog</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2412-2025</t>
        </is>
      </c>
      <c r="B1419" t="inlineStr">
        <is>
          <t>avverkningsanmälan</t>
        </is>
      </c>
      <c r="C1419" t="inlineStr">
        <is>
          <t>Avverkning för annat ändamål</t>
        </is>
      </c>
      <c r="D1419" s="1" t="n">
        <v>45674</v>
      </c>
      <c r="E1419" s="1" t="n">
        <v>46292</v>
      </c>
      <c r="F1419" t="inlineStr">
        <is>
          <t>GÄVLEBORGS LÄN</t>
        </is>
      </c>
      <c r="G1419" t="inlineStr">
        <is>
          <t>LJUSDAL</t>
        </is>
      </c>
      <c r="H1419" t="inlineStr">
        <is>
          <t>Sveaskog</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18123-2025</t>
        </is>
      </c>
      <c r="B1420" t="inlineStr">
        <is>
          <t>avverkningsanmälan</t>
        </is>
      </c>
      <c r="C1420" t="inlineStr">
        <is>
          <t>Föryngringsavverkning</t>
        </is>
      </c>
      <c r="D1420" s="1" t="n">
        <v>45761</v>
      </c>
      <c r="E1420" s="1" t="n">
        <v>46292</v>
      </c>
      <c r="F1420" t="inlineStr">
        <is>
          <t>GÄVLEBORGS LÄN</t>
        </is>
      </c>
      <c r="G1420" t="inlineStr">
        <is>
          <t>LJUSDAL</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67923-2021</t>
        </is>
      </c>
      <c r="B1421" t="inlineStr">
        <is>
          <t>avverkningsanmälan</t>
        </is>
      </c>
      <c r="C1421" t="inlineStr">
        <is>
          <t>Föryngringsavverkning</t>
        </is>
      </c>
      <c r="D1421" s="1" t="n">
        <v>44525</v>
      </c>
      <c r="E1421" s="1" t="n">
        <v>46292</v>
      </c>
      <c r="F1421" t="inlineStr">
        <is>
          <t>GÄVLEBORGS LÄN</t>
        </is>
      </c>
      <c r="G1421" t="inlineStr">
        <is>
          <t>LJUSDAL</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5440-2023</t>
        </is>
      </c>
      <c r="B1422" t="inlineStr">
        <is>
          <t>avverkningsanmälan</t>
        </is>
      </c>
      <c r="C1422" t="inlineStr">
        <is>
          <t>Föryngringsavverkning</t>
        </is>
      </c>
      <c r="D1422" s="1" t="n">
        <v>44959</v>
      </c>
      <c r="E1422" s="1" t="n">
        <v>46292</v>
      </c>
      <c r="F1422" t="inlineStr">
        <is>
          <t>GÄVLEBORGS LÄN</t>
        </is>
      </c>
      <c r="G1422" t="inlineStr">
        <is>
          <t>LJUSDAL</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55781-2022</t>
        </is>
      </c>
      <c r="B1423" t="inlineStr">
        <is>
          <t>avverkningsanmälan</t>
        </is>
      </c>
      <c r="C1423" t="inlineStr">
        <is>
          <t>Föryngringsavverkning</t>
        </is>
      </c>
      <c r="D1423" s="1" t="n">
        <v>44888</v>
      </c>
      <c r="E1423" s="1" t="n">
        <v>46292</v>
      </c>
      <c r="F1423" t="inlineStr">
        <is>
          <t>GÄVLEBORGS LÄN</t>
        </is>
      </c>
      <c r="G1423" t="inlineStr">
        <is>
          <t>LJUSDAL</t>
        </is>
      </c>
      <c r="H1423" t="inlineStr">
        <is>
          <t>Kommuner</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37202-2023</t>
        </is>
      </c>
      <c r="B1424" t="inlineStr">
        <is>
          <t>avverkningsanmälan</t>
        </is>
      </c>
      <c r="C1424" t="inlineStr">
        <is>
          <t>Föryngringsavverkning</t>
        </is>
      </c>
      <c r="D1424" s="1" t="n">
        <v>45155</v>
      </c>
      <c r="E1424" s="1" t="n">
        <v>46292</v>
      </c>
      <c r="F1424" t="inlineStr">
        <is>
          <t>GÄVLEBORGS LÄN</t>
        </is>
      </c>
      <c r="G1424" t="inlineStr">
        <is>
          <t>LJUSDAL</t>
        </is>
      </c>
      <c r="H1424" t="inlineStr">
        <is>
          <t>Sveaskog</t>
        </is>
      </c>
      <c r="I1424" t="n">
        <v>7.1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53857-2023</t>
        </is>
      </c>
      <c r="B1425" t="inlineStr">
        <is>
          <t>avverkningsanmälan</t>
        </is>
      </c>
      <c r="C1425" t="inlineStr">
        <is>
          <t>Föryngringsavverkning</t>
        </is>
      </c>
      <c r="D1425" s="1" t="n">
        <v>45231</v>
      </c>
      <c r="E1425" s="1" t="n">
        <v>46292</v>
      </c>
      <c r="F1425" t="inlineStr">
        <is>
          <t>GÄVLEBORGS LÄN</t>
        </is>
      </c>
      <c r="G1425" t="inlineStr">
        <is>
          <t>LJUSDAL</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19064-2025</t>
        </is>
      </c>
      <c r="B1426" t="inlineStr">
        <is>
          <t>avverkningsanmälan</t>
        </is>
      </c>
      <c r="C1426" t="inlineStr">
        <is>
          <t>Föryngringsavverkning</t>
        </is>
      </c>
      <c r="D1426" s="1" t="n">
        <v>45765</v>
      </c>
      <c r="E1426" s="1" t="n">
        <v>46292</v>
      </c>
      <c r="F1426" t="inlineStr">
        <is>
          <t>GÄVLEBORGS LÄN</t>
        </is>
      </c>
      <c r="G1426" t="inlineStr">
        <is>
          <t>LJUSDAL</t>
        </is>
      </c>
      <c r="H1426" t="inlineStr">
        <is>
          <t>SCA</t>
        </is>
      </c>
      <c r="I1426" t="n">
        <v>6.9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58173-2024</t>
        </is>
      </c>
      <c r="B1427" t="inlineStr">
        <is>
          <t>avverkningsanmälan</t>
        </is>
      </c>
      <c r="C1427" t="inlineStr">
        <is>
          <t>Föryngringsavverkning</t>
        </is>
      </c>
      <c r="D1427" s="1" t="n">
        <v>45632</v>
      </c>
      <c r="E1427" s="1" t="n">
        <v>46292</v>
      </c>
      <c r="F1427" t="inlineStr">
        <is>
          <t>GÄVLEBORGS LÄN</t>
        </is>
      </c>
      <c r="G1427" t="inlineStr">
        <is>
          <t>LJUSDAL</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24512-2024</t>
        </is>
      </c>
      <c r="B1428" t="inlineStr">
        <is>
          <t>avverkningsanmälan</t>
        </is>
      </c>
      <c r="C1428" t="inlineStr">
        <is>
          <t>Föryngringsavverkning</t>
        </is>
      </c>
      <c r="D1428" s="1" t="n">
        <v>45460</v>
      </c>
      <c r="E1428" s="1" t="n">
        <v>46292</v>
      </c>
      <c r="F1428" t="inlineStr">
        <is>
          <t>GÄVLEBORGS LÄN</t>
        </is>
      </c>
      <c r="G1428" t="inlineStr">
        <is>
          <t>LJUSDAL</t>
        </is>
      </c>
      <c r="I1428" t="n">
        <v>13.7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56356-2024</t>
        </is>
      </c>
      <c r="B1429" t="inlineStr">
        <is>
          <t>avverkningsanmälan</t>
        </is>
      </c>
      <c r="C1429" t="inlineStr">
        <is>
          <t>Föryngringsavverkning</t>
        </is>
      </c>
      <c r="D1429" s="1" t="n">
        <v>45624</v>
      </c>
      <c r="E1429" s="1" t="n">
        <v>46292</v>
      </c>
      <c r="F1429" t="inlineStr">
        <is>
          <t>GÄVLEBORGS LÄN</t>
        </is>
      </c>
      <c r="G1429" t="inlineStr">
        <is>
          <t>LJUSDAL</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22678-2023</t>
        </is>
      </c>
      <c r="B1430" t="inlineStr">
        <is>
          <t>avverkningsanmälan</t>
        </is>
      </c>
      <c r="C1430" t="inlineStr">
        <is>
          <t>Avverkning för annat ändamål</t>
        </is>
      </c>
      <c r="D1430" s="1" t="n">
        <v>45071</v>
      </c>
      <c r="E1430" s="1" t="n">
        <v>46292</v>
      </c>
      <c r="F1430" t="inlineStr">
        <is>
          <t>GÄVLEBORGS LÄN</t>
        </is>
      </c>
      <c r="G1430" t="inlineStr">
        <is>
          <t>LJUSDAL</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13094-2023</t>
        </is>
      </c>
      <c r="B1431" t="inlineStr">
        <is>
          <t>avverkningsanmälan</t>
        </is>
      </c>
      <c r="C1431" t="inlineStr">
        <is>
          <t>Föryngringsavverkning</t>
        </is>
      </c>
      <c r="D1431" s="1" t="n">
        <v>45002</v>
      </c>
      <c r="E1431" s="1" t="n">
        <v>46292</v>
      </c>
      <c r="F1431" t="inlineStr">
        <is>
          <t>GÄVLEBORGS LÄN</t>
        </is>
      </c>
      <c r="G1431" t="inlineStr">
        <is>
          <t>LJUSDAL</t>
        </is>
      </c>
      <c r="H1431" t="inlineStr">
        <is>
          <t>Holmen skog AB</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57189-2024</t>
        </is>
      </c>
      <c r="B1432" t="inlineStr">
        <is>
          <t>avverkningsanmälan</t>
        </is>
      </c>
      <c r="C1432" t="inlineStr">
        <is>
          <t>Avverkning för annat ändamål</t>
        </is>
      </c>
      <c r="D1432" s="1" t="n">
        <v>45629</v>
      </c>
      <c r="E1432" s="1" t="n">
        <v>46292</v>
      </c>
      <c r="F1432" t="inlineStr">
        <is>
          <t>GÄVLEBORGS LÄN</t>
        </is>
      </c>
      <c r="G1432" t="inlineStr">
        <is>
          <t>LJUSDAL</t>
        </is>
      </c>
      <c r="H1432" t="inlineStr">
        <is>
          <t>Holmen skog AB</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31673-2024</t>
        </is>
      </c>
      <c r="B1433" t="inlineStr">
        <is>
          <t>avverkningsanmälan</t>
        </is>
      </c>
      <c r="C1433" t="inlineStr">
        <is>
          <t>Föryngringsavverkning</t>
        </is>
      </c>
      <c r="D1433" s="1" t="n">
        <v>45506</v>
      </c>
      <c r="E1433" s="1" t="n">
        <v>46292</v>
      </c>
      <c r="F1433" t="inlineStr">
        <is>
          <t>GÄVLEBORGS LÄN</t>
        </is>
      </c>
      <c r="G1433" t="inlineStr">
        <is>
          <t>LJUSDAL</t>
        </is>
      </c>
      <c r="H1433" t="inlineStr">
        <is>
          <t>SCA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33819-2023</t>
        </is>
      </c>
      <c r="B1434" t="inlineStr">
        <is>
          <t>avverkningsanmälan</t>
        </is>
      </c>
      <c r="C1434" t="inlineStr">
        <is>
          <t>Föryngringsavverkning</t>
        </is>
      </c>
      <c r="D1434" s="1" t="n">
        <v>45133</v>
      </c>
      <c r="E1434" s="1" t="n">
        <v>46292</v>
      </c>
      <c r="F1434" t="inlineStr">
        <is>
          <t>GÄVLEBORGS LÄN</t>
        </is>
      </c>
      <c r="G1434" t="inlineStr">
        <is>
          <t>LJUSDAL</t>
        </is>
      </c>
      <c r="H1434" t="inlineStr">
        <is>
          <t>Holmen skog AB</t>
        </is>
      </c>
      <c r="I1434" t="n">
        <v>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52057-2023</t>
        </is>
      </c>
      <c r="B1435" t="inlineStr">
        <is>
          <t>avverkningsanmälan</t>
        </is>
      </c>
      <c r="C1435" t="inlineStr">
        <is>
          <t>Föryngringsavverkning</t>
        </is>
      </c>
      <c r="D1435" s="1" t="n">
        <v>45223</v>
      </c>
      <c r="E1435" s="1" t="n">
        <v>46292</v>
      </c>
      <c r="F1435" t="inlineStr">
        <is>
          <t>GÄVLEBORGS LÄN</t>
        </is>
      </c>
      <c r="G1435" t="inlineStr">
        <is>
          <t>LJUSDAL</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20756-2022</t>
        </is>
      </c>
      <c r="B1436" t="inlineStr">
        <is>
          <t>avverkningsanmälan</t>
        </is>
      </c>
      <c r="C1436" t="inlineStr">
        <is>
          <t>Föryngringsavverkning</t>
        </is>
      </c>
      <c r="D1436" s="1" t="n">
        <v>44701</v>
      </c>
      <c r="E1436" s="1" t="n">
        <v>46292</v>
      </c>
      <c r="F1436" t="inlineStr">
        <is>
          <t>GÄVLEBORGS LÄN</t>
        </is>
      </c>
      <c r="G1436" t="inlineStr">
        <is>
          <t>LJUSDAL</t>
        </is>
      </c>
      <c r="H1436" t="inlineStr">
        <is>
          <t>Sveaskog</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10514-2024</t>
        </is>
      </c>
      <c r="B1437" t="inlineStr">
        <is>
          <t>avverkningsanmälan</t>
        </is>
      </c>
      <c r="C1437" t="inlineStr">
        <is>
          <t>Föryngringsavverkning</t>
        </is>
      </c>
      <c r="D1437" s="1" t="n">
        <v>45366</v>
      </c>
      <c r="E1437" s="1" t="n">
        <v>46292</v>
      </c>
      <c r="F1437" t="inlineStr">
        <is>
          <t>GÄVLEBORGS LÄN</t>
        </is>
      </c>
      <c r="G1437" t="inlineStr">
        <is>
          <t>LJUSDAL</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4043-2024</t>
        </is>
      </c>
      <c r="B1438" t="inlineStr">
        <is>
          <t>avverkningsanmälan</t>
        </is>
      </c>
      <c r="C1438" t="inlineStr">
        <is>
          <t>Föryngringsavverkning</t>
        </is>
      </c>
      <c r="D1438" s="1" t="n">
        <v>45323</v>
      </c>
      <c r="E1438" s="1" t="n">
        <v>46292</v>
      </c>
      <c r="F1438" t="inlineStr">
        <is>
          <t>GÄVLEBORGS LÄN</t>
        </is>
      </c>
      <c r="G1438" t="inlineStr">
        <is>
          <t>LJUSDAL</t>
        </is>
      </c>
      <c r="I1438" t="n">
        <v>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14002-2025</t>
        </is>
      </c>
      <c r="B1439" t="inlineStr">
        <is>
          <t>avverkningsanmälan</t>
        </is>
      </c>
      <c r="C1439" t="inlineStr">
        <is>
          <t>Föryngringsavverkning</t>
        </is>
      </c>
      <c r="D1439" s="1" t="n">
        <v>45740</v>
      </c>
      <c r="E1439" s="1" t="n">
        <v>46292</v>
      </c>
      <c r="F1439" t="inlineStr">
        <is>
          <t>GÄVLEBORGS LÄN</t>
        </is>
      </c>
      <c r="G1439" t="inlineStr">
        <is>
          <t>LJUSDAL</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50385-2023</t>
        </is>
      </c>
      <c r="B1440" t="inlineStr">
        <is>
          <t>avverkningsanmälan</t>
        </is>
      </c>
      <c r="C1440" t="inlineStr">
        <is>
          <t>Föryngringsavverkning</t>
        </is>
      </c>
      <c r="D1440" s="1" t="n">
        <v>45216</v>
      </c>
      <c r="E1440" s="1" t="n">
        <v>46292</v>
      </c>
      <c r="F1440" t="inlineStr">
        <is>
          <t>GÄVLEBORGS LÄN</t>
        </is>
      </c>
      <c r="G1440" t="inlineStr">
        <is>
          <t>LJUSDAL</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38232-2024</t>
        </is>
      </c>
      <c r="B1441" t="inlineStr">
        <is>
          <t>avverkningsanmälan</t>
        </is>
      </c>
      <c r="C1441" t="inlineStr">
        <is>
          <t>Föryngringsavverkning</t>
        </is>
      </c>
      <c r="D1441" s="1" t="n">
        <v>45545</v>
      </c>
      <c r="E1441" s="1" t="n">
        <v>46292</v>
      </c>
      <c r="F1441" t="inlineStr">
        <is>
          <t>GÄVLEBORGS LÄN</t>
        </is>
      </c>
      <c r="G1441" t="inlineStr">
        <is>
          <t>LJUSDAL</t>
        </is>
      </c>
      <c r="H1441" t="inlineStr">
        <is>
          <t>Sveaskog</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52099-2024</t>
        </is>
      </c>
      <c r="B1442" t="inlineStr">
        <is>
          <t>avverkningsanmälan</t>
        </is>
      </c>
      <c r="C1442" t="inlineStr">
        <is>
          <t>Avverkning för annat ändamål</t>
        </is>
      </c>
      <c r="D1442" s="1" t="n">
        <v>45608</v>
      </c>
      <c r="E1442" s="1" t="n">
        <v>46292</v>
      </c>
      <c r="F1442" t="inlineStr">
        <is>
          <t>GÄVLEBORGS LÄN</t>
        </is>
      </c>
      <c r="G1442" t="inlineStr">
        <is>
          <t>LJUSDAL</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27460-2023</t>
        </is>
      </c>
      <c r="B1443" t="inlineStr">
        <is>
          <t>avverkningsanmälan</t>
        </is>
      </c>
      <c r="C1443" t="inlineStr">
        <is>
          <t>Föryngringsavverkning</t>
        </is>
      </c>
      <c r="D1443" s="1" t="n">
        <v>45097</v>
      </c>
      <c r="E1443" s="1" t="n">
        <v>46292</v>
      </c>
      <c r="F1443" t="inlineStr">
        <is>
          <t>GÄVLEBORGS LÄN</t>
        </is>
      </c>
      <c r="G1443" t="inlineStr">
        <is>
          <t>LJUSDAL</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50271-2023</t>
        </is>
      </c>
      <c r="B1444" t="inlineStr">
        <is>
          <t>avverkningsanmälan</t>
        </is>
      </c>
      <c r="C1444" t="inlineStr">
        <is>
          <t>Föryngringsavverkning</t>
        </is>
      </c>
      <c r="D1444" s="1" t="n">
        <v>45216</v>
      </c>
      <c r="E1444" s="1" t="n">
        <v>46292</v>
      </c>
      <c r="F1444" t="inlineStr">
        <is>
          <t>GÄVLEBORGS LÄN</t>
        </is>
      </c>
      <c r="G1444" t="inlineStr">
        <is>
          <t>LJUSDAL</t>
        </is>
      </c>
      <c r="I1444" t="n">
        <v>27.4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31890-2023</t>
        </is>
      </c>
      <c r="B1445" t="inlineStr">
        <is>
          <t>avverkningsanmälan</t>
        </is>
      </c>
      <c r="C1445" t="inlineStr">
        <is>
          <t>Föryngringsavverkning</t>
        </is>
      </c>
      <c r="D1445" s="1" t="n">
        <v>45118</v>
      </c>
      <c r="E1445" s="1" t="n">
        <v>46292</v>
      </c>
      <c r="F1445" t="inlineStr">
        <is>
          <t>GÄVLEBORGS LÄN</t>
        </is>
      </c>
      <c r="G1445" t="inlineStr">
        <is>
          <t>LJUSDAL</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58322-2024</t>
        </is>
      </c>
      <c r="B1446" t="inlineStr">
        <is>
          <t>avverkningsanmälan</t>
        </is>
      </c>
      <c r="C1446" t="inlineStr">
        <is>
          <t>Föryngringsavverkning</t>
        </is>
      </c>
      <c r="D1446" s="1" t="n">
        <v>45632</v>
      </c>
      <c r="E1446" s="1" t="n">
        <v>46292</v>
      </c>
      <c r="F1446" t="inlineStr">
        <is>
          <t>GÄVLEBORGS LÄN</t>
        </is>
      </c>
      <c r="G1446" t="inlineStr">
        <is>
          <t>LJUSDAL</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5779-2023</t>
        </is>
      </c>
      <c r="B1447" t="inlineStr">
        <is>
          <t>avverkningsanmälan</t>
        </is>
      </c>
      <c r="C1447" t="inlineStr">
        <is>
          <t>Föryngringsavverkning</t>
        </is>
      </c>
      <c r="D1447" s="1" t="n">
        <v>44963</v>
      </c>
      <c r="E1447" s="1" t="n">
        <v>46292</v>
      </c>
      <c r="F1447" t="inlineStr">
        <is>
          <t>GÄVLEBORGS LÄN</t>
        </is>
      </c>
      <c r="G1447" t="inlineStr">
        <is>
          <t>LJUSDAL</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23374-2024</t>
        </is>
      </c>
      <c r="B1448" t="inlineStr">
        <is>
          <t>avverkningsanmälan</t>
        </is>
      </c>
      <c r="C1448" t="inlineStr">
        <is>
          <t>Föryngringsavverkning</t>
        </is>
      </c>
      <c r="D1448" s="1" t="n">
        <v>45453</v>
      </c>
      <c r="E1448" s="1" t="n">
        <v>46292</v>
      </c>
      <c r="F1448" t="inlineStr">
        <is>
          <t>GÄVLEBORGS LÄN</t>
        </is>
      </c>
      <c r="G1448" t="inlineStr">
        <is>
          <t>LJUSDAL</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23386-2024</t>
        </is>
      </c>
      <c r="B1449" t="inlineStr">
        <is>
          <t>avverkningsanmälan</t>
        </is>
      </c>
      <c r="C1449" t="inlineStr">
        <is>
          <t>Föryngringsavverkning</t>
        </is>
      </c>
      <c r="D1449" s="1" t="n">
        <v>45453</v>
      </c>
      <c r="E1449" s="1" t="n">
        <v>46292</v>
      </c>
      <c r="F1449" t="inlineStr">
        <is>
          <t>GÄVLEBORGS LÄN</t>
        </is>
      </c>
      <c r="G1449" t="inlineStr">
        <is>
          <t>LJUSDAL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26721-2024</t>
        </is>
      </c>
      <c r="B1450" t="inlineStr">
        <is>
          <t>avverkningsanmälan</t>
        </is>
      </c>
      <c r="C1450" t="inlineStr">
        <is>
          <t>Föryngringsavverkning</t>
        </is>
      </c>
      <c r="D1450" s="1" t="n">
        <v>45470</v>
      </c>
      <c r="E1450" s="1" t="n">
        <v>46292</v>
      </c>
      <c r="F1450" t="inlineStr">
        <is>
          <t>GÄVLEBORGS LÄN</t>
        </is>
      </c>
      <c r="G1450" t="inlineStr">
        <is>
          <t>LJUSDAL</t>
        </is>
      </c>
      <c r="H1450" t="inlineStr">
        <is>
          <t>Bergvik skog väst AB</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24691-2024</t>
        </is>
      </c>
      <c r="B1451" t="inlineStr">
        <is>
          <t>avverkningsanmälan</t>
        </is>
      </c>
      <c r="C1451" t="inlineStr">
        <is>
          <t>Föryngringsavverkning</t>
        </is>
      </c>
      <c r="D1451" s="1" t="n">
        <v>45460</v>
      </c>
      <c r="E1451" s="1" t="n">
        <v>46292</v>
      </c>
      <c r="F1451" t="inlineStr">
        <is>
          <t>GÄVLEBORGS LÄN</t>
        </is>
      </c>
      <c r="G1451" t="inlineStr">
        <is>
          <t>LJUSDAL</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21346-2024</t>
        </is>
      </c>
      <c r="B1452" t="inlineStr">
        <is>
          <t>avverkningsanmälan</t>
        </is>
      </c>
      <c r="C1452" t="inlineStr">
        <is>
          <t>Föryngringsavverkning</t>
        </is>
      </c>
      <c r="D1452" s="1" t="n">
        <v>45440</v>
      </c>
      <c r="E1452" s="1" t="n">
        <v>46292</v>
      </c>
      <c r="F1452" t="inlineStr">
        <is>
          <t>GÄVLEBORGS LÄN</t>
        </is>
      </c>
      <c r="G1452" t="inlineStr">
        <is>
          <t>LJUSDAL</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45241-2024</t>
        </is>
      </c>
      <c r="B1453" t="inlineStr">
        <is>
          <t>avverkningsanmälan</t>
        </is>
      </c>
      <c r="C1453" t="inlineStr">
        <is>
          <t>Föryngringsavverkning</t>
        </is>
      </c>
      <c r="D1453" s="1" t="n">
        <v>45575</v>
      </c>
      <c r="E1453" s="1" t="n">
        <v>46292</v>
      </c>
      <c r="F1453" t="inlineStr">
        <is>
          <t>GÄVLEBORGS LÄN</t>
        </is>
      </c>
      <c r="G1453" t="inlineStr">
        <is>
          <t>LJUSDAL</t>
        </is>
      </c>
      <c r="H1453" t="inlineStr">
        <is>
          <t>Sveaskog</t>
        </is>
      </c>
      <c r="I1453" t="n">
        <v>14.4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9139-2025</t>
        </is>
      </c>
      <c r="B1454" t="inlineStr">
        <is>
          <t>avverkningsanmälan</t>
        </is>
      </c>
      <c r="C1454" t="inlineStr">
        <is>
          <t>Föryngringsavverkning</t>
        </is>
      </c>
      <c r="D1454" s="1" t="n">
        <v>45714</v>
      </c>
      <c r="E1454" s="1" t="n">
        <v>46292</v>
      </c>
      <c r="F1454" t="inlineStr">
        <is>
          <t>GÄVLEBORGS LÄN</t>
        </is>
      </c>
      <c r="G1454" t="inlineStr">
        <is>
          <t>LJUSDAL</t>
        </is>
      </c>
      <c r="I1454" t="n">
        <v>5.2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57886-2024</t>
        </is>
      </c>
      <c r="B1455" t="inlineStr">
        <is>
          <t>avverkningsanmälan</t>
        </is>
      </c>
      <c r="C1455" t="inlineStr">
        <is>
          <t>Föryngringsavverkning</t>
        </is>
      </c>
      <c r="D1455" s="1" t="n">
        <v>45631</v>
      </c>
      <c r="E1455" s="1" t="n">
        <v>46292</v>
      </c>
      <c r="F1455" t="inlineStr">
        <is>
          <t>GÄVLEBORGS LÄN</t>
        </is>
      </c>
      <c r="G1455" t="inlineStr">
        <is>
          <t>LJUSDAL</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3464-2023</t>
        </is>
      </c>
      <c r="B1456" t="inlineStr">
        <is>
          <t>avverkningsanmälan</t>
        </is>
      </c>
      <c r="C1456" t="inlineStr">
        <is>
          <t>Föryngringsavverkning</t>
        </is>
      </c>
      <c r="D1456" s="1" t="n">
        <v>44949</v>
      </c>
      <c r="E1456" s="1" t="n">
        <v>46292</v>
      </c>
      <c r="F1456" t="inlineStr">
        <is>
          <t>GÄVLEBORGS LÄN</t>
        </is>
      </c>
      <c r="G1456" t="inlineStr">
        <is>
          <t>LJUSDAL</t>
        </is>
      </c>
      <c r="I1456" t="n">
        <v>18.6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4686-2023</t>
        </is>
      </c>
      <c r="B1457" t="inlineStr">
        <is>
          <t>avverkningsanmälan</t>
        </is>
      </c>
      <c r="C1457" t="inlineStr">
        <is>
          <t>Föryngringsavverkning</t>
        </is>
      </c>
      <c r="D1457" s="1" t="n">
        <v>44957</v>
      </c>
      <c r="E1457" s="1" t="n">
        <v>46292</v>
      </c>
      <c r="F1457" t="inlineStr">
        <is>
          <t>GÄVLEBORGS LÄN</t>
        </is>
      </c>
      <c r="G1457" t="inlineStr">
        <is>
          <t>LJUSDAL</t>
        </is>
      </c>
      <c r="H1457" t="inlineStr">
        <is>
          <t>Holmen skog AB</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7569-2023</t>
        </is>
      </c>
      <c r="B1458" t="inlineStr">
        <is>
          <t>avverkningsanmälan</t>
        </is>
      </c>
      <c r="C1458" t="inlineStr">
        <is>
          <t>Föryngringsavverkning</t>
        </is>
      </c>
      <c r="D1458" s="1" t="n">
        <v>44972</v>
      </c>
      <c r="E1458" s="1" t="n">
        <v>46292</v>
      </c>
      <c r="F1458" t="inlineStr">
        <is>
          <t>GÄVLEBORGS LÄN</t>
        </is>
      </c>
      <c r="G1458" t="inlineStr">
        <is>
          <t>LJUSDAL</t>
        </is>
      </c>
      <c r="H1458" t="inlineStr">
        <is>
          <t>Kommuner</t>
        </is>
      </c>
      <c r="I1458" t="n">
        <v>6.9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60118-2022</t>
        </is>
      </c>
      <c r="B1459" t="inlineStr">
        <is>
          <t>avverkningsanmälan</t>
        </is>
      </c>
      <c r="C1459" t="inlineStr">
        <is>
          <t>Föryngringsavverkning</t>
        </is>
      </c>
      <c r="D1459" s="1" t="n">
        <v>44909</v>
      </c>
      <c r="E1459" s="1" t="n">
        <v>46292</v>
      </c>
      <c r="F1459" t="inlineStr">
        <is>
          <t>GÄVLEBORGS LÄN</t>
        </is>
      </c>
      <c r="G1459" t="inlineStr">
        <is>
          <t>LJUSDAL</t>
        </is>
      </c>
      <c r="H1459" t="inlineStr">
        <is>
          <t>Bergvik skog väst AB</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13849-2025</t>
        </is>
      </c>
      <c r="B1460" t="inlineStr">
        <is>
          <t>avverkningsanmälan</t>
        </is>
      </c>
      <c r="C1460" t="inlineStr">
        <is>
          <t>Föryngringsavverkning</t>
        </is>
      </c>
      <c r="D1460" s="1" t="n">
        <v>45737</v>
      </c>
      <c r="E1460" s="1" t="n">
        <v>46292</v>
      </c>
      <c r="F1460" t="inlineStr">
        <is>
          <t>GÄVLEBORGS LÄN</t>
        </is>
      </c>
      <c r="G1460" t="inlineStr">
        <is>
          <t>LJUSDAL</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43673-2023</t>
        </is>
      </c>
      <c r="B1461" t="inlineStr">
        <is>
          <t>avverkningsanmälan</t>
        </is>
      </c>
      <c r="C1461" t="inlineStr">
        <is>
          <t>Föryngringsavverkning</t>
        </is>
      </c>
      <c r="D1461" s="1" t="n">
        <v>45187</v>
      </c>
      <c r="E1461" s="1" t="n">
        <v>46292</v>
      </c>
      <c r="F1461" t="inlineStr">
        <is>
          <t>GÄVLEBORGS LÄN</t>
        </is>
      </c>
      <c r="G1461" t="inlineStr">
        <is>
          <t>LJUSDAL</t>
        </is>
      </c>
      <c r="H1461" t="inlineStr">
        <is>
          <t>Bergvik skog väst AB</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205-2025</t>
        </is>
      </c>
      <c r="B1462" t="inlineStr">
        <is>
          <t>avverkningsanmälan</t>
        </is>
      </c>
      <c r="C1462" t="inlineStr">
        <is>
          <t>Föryngringsavverkning</t>
        </is>
      </c>
      <c r="D1462" s="1" t="n">
        <v>45660</v>
      </c>
      <c r="E1462" s="1" t="n">
        <v>46292</v>
      </c>
      <c r="F1462" t="inlineStr">
        <is>
          <t>GÄVLEBORGS LÄN</t>
        </is>
      </c>
      <c r="G1462" t="inlineStr">
        <is>
          <t>LJUSDAL</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4230-2024</t>
        </is>
      </c>
      <c r="B1463" t="inlineStr">
        <is>
          <t>avverkningsanmälan</t>
        </is>
      </c>
      <c r="C1463" t="inlineStr">
        <is>
          <t>Föryngringsavverkning</t>
        </is>
      </c>
      <c r="D1463" s="1" t="n">
        <v>45324</v>
      </c>
      <c r="E1463" s="1" t="n">
        <v>46292</v>
      </c>
      <c r="F1463" t="inlineStr">
        <is>
          <t>GÄVLEBORGS LÄN</t>
        </is>
      </c>
      <c r="G1463" t="inlineStr">
        <is>
          <t>LJUSDAL</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15295-2025</t>
        </is>
      </c>
      <c r="B1464" t="inlineStr">
        <is>
          <t>avverkningsanmälan</t>
        </is>
      </c>
      <c r="C1464" t="inlineStr">
        <is>
          <t>Föryngringsavverkning</t>
        </is>
      </c>
      <c r="D1464" s="1" t="n">
        <v>45745</v>
      </c>
      <c r="E1464" s="1" t="n">
        <v>46292</v>
      </c>
      <c r="F1464" t="inlineStr">
        <is>
          <t>GÄVLEBORGS LÄN</t>
        </is>
      </c>
      <c r="G1464" t="inlineStr">
        <is>
          <t>LJUSDAL</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48148-2024</t>
        </is>
      </c>
      <c r="B1465" t="inlineStr">
        <is>
          <t>avverkningsanmälan</t>
        </is>
      </c>
      <c r="C1465" t="inlineStr">
        <is>
          <t>Föryngringsavverkning</t>
        </is>
      </c>
      <c r="D1465" s="1" t="n">
        <v>45589</v>
      </c>
      <c r="E1465" s="1" t="n">
        <v>46292</v>
      </c>
      <c r="F1465" t="inlineStr">
        <is>
          <t>GÄVLEBORGS LÄN</t>
        </is>
      </c>
      <c r="G1465" t="inlineStr">
        <is>
          <t>LJUSDAL</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20032-2024</t>
        </is>
      </c>
      <c r="B1466" t="inlineStr">
        <is>
          <t>avverkningsanmälan</t>
        </is>
      </c>
      <c r="C1466" t="inlineStr">
        <is>
          <t>Föryngringsavverkning</t>
        </is>
      </c>
      <c r="D1466" s="1" t="n">
        <v>45434</v>
      </c>
      <c r="E1466" s="1" t="n">
        <v>46292</v>
      </c>
      <c r="F1466" t="inlineStr">
        <is>
          <t>GÄVLEBORGS LÄN</t>
        </is>
      </c>
      <c r="G1466" t="inlineStr">
        <is>
          <t>LJUSDAL</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11920-2025</t>
        </is>
      </c>
      <c r="B1467" t="inlineStr">
        <is>
          <t>avverkningsanmälan</t>
        </is>
      </c>
      <c r="C1467" t="inlineStr">
        <is>
          <t>Föryngringsavverkning</t>
        </is>
      </c>
      <c r="D1467" s="1" t="n">
        <v>45728</v>
      </c>
      <c r="E1467" s="1" t="n">
        <v>46292</v>
      </c>
      <c r="F1467" t="inlineStr">
        <is>
          <t>GÄVLEBORGS LÄN</t>
        </is>
      </c>
      <c r="G1467" t="inlineStr">
        <is>
          <t>LJUSDAL</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12768-2025</t>
        </is>
      </c>
      <c r="B1468" t="inlineStr">
        <is>
          <t>avverkningsanmälan</t>
        </is>
      </c>
      <c r="C1468" t="inlineStr">
        <is>
          <t>Föryngringsavverkning</t>
        </is>
      </c>
      <c r="D1468" s="1" t="n">
        <v>45733</v>
      </c>
      <c r="E1468" s="1" t="n">
        <v>46292</v>
      </c>
      <c r="F1468" t="inlineStr">
        <is>
          <t>GÄVLEBORGS LÄN</t>
        </is>
      </c>
      <c r="G1468" t="inlineStr">
        <is>
          <t>LJUSDAL</t>
        </is>
      </c>
      <c r="I1468" t="n">
        <v>5.4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15645-2025</t>
        </is>
      </c>
      <c r="B1469" t="inlineStr">
        <is>
          <t>avverkningsanmälan</t>
        </is>
      </c>
      <c r="C1469" t="inlineStr">
        <is>
          <t>Föryngringsavverkning</t>
        </is>
      </c>
      <c r="D1469" s="1" t="n">
        <v>45748</v>
      </c>
      <c r="E1469" s="1" t="n">
        <v>46292</v>
      </c>
      <c r="F1469" t="inlineStr">
        <is>
          <t>GÄVLEBORGS LÄN</t>
        </is>
      </c>
      <c r="G1469" t="inlineStr">
        <is>
          <t>LJUSDAL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59931-2023</t>
        </is>
      </c>
      <c r="B1470" t="inlineStr">
        <is>
          <t>avverkningsanmälan</t>
        </is>
      </c>
      <c r="C1470" t="inlineStr">
        <is>
          <t>Föryngringsavverkning</t>
        </is>
      </c>
      <c r="D1470" s="1" t="n">
        <v>45257</v>
      </c>
      <c r="E1470" s="1" t="n">
        <v>46292</v>
      </c>
      <c r="F1470" t="inlineStr">
        <is>
          <t>GÄVLEBORGS LÄN</t>
        </is>
      </c>
      <c r="G1470" t="inlineStr">
        <is>
          <t>LJUSDAL</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2909-2024</t>
        </is>
      </c>
      <c r="B1471" t="inlineStr">
        <is>
          <t>avverkningsanmälan</t>
        </is>
      </c>
      <c r="C1471" t="inlineStr">
        <is>
          <t>Föryngringsavverkning</t>
        </is>
      </c>
      <c r="D1471" s="1" t="n">
        <v>45315</v>
      </c>
      <c r="E1471" s="1" t="n">
        <v>46292</v>
      </c>
      <c r="F1471" t="inlineStr">
        <is>
          <t>GÄVLEBORGS LÄN</t>
        </is>
      </c>
      <c r="G1471" t="inlineStr">
        <is>
          <t>LJUSDAL</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42726-2024</t>
        </is>
      </c>
      <c r="B1472" t="inlineStr">
        <is>
          <t>avverkningsanmälan</t>
        </is>
      </c>
      <c r="C1472" t="inlineStr">
        <is>
          <t>Avverkning för annat ändamål</t>
        </is>
      </c>
      <c r="D1472" s="1" t="n">
        <v>45566</v>
      </c>
      <c r="E1472" s="1" t="n">
        <v>46292</v>
      </c>
      <c r="F1472" t="inlineStr">
        <is>
          <t>GÄVLEBORGS LÄN</t>
        </is>
      </c>
      <c r="G1472" t="inlineStr">
        <is>
          <t>LJUSDAL</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41922-2024</t>
        </is>
      </c>
      <c r="B1473" t="inlineStr">
        <is>
          <t>avverkningsanmälan</t>
        </is>
      </c>
      <c r="C1473" t="inlineStr">
        <is>
          <t>Föryngringsavverkning</t>
        </is>
      </c>
      <c r="D1473" s="1" t="n">
        <v>45561</v>
      </c>
      <c r="E1473" s="1" t="n">
        <v>46292</v>
      </c>
      <c r="F1473" t="inlineStr">
        <is>
          <t>GÄVLEBORGS LÄN</t>
        </is>
      </c>
      <c r="G1473" t="inlineStr">
        <is>
          <t>LJUSDAL</t>
        </is>
      </c>
      <c r="H1473" t="inlineStr">
        <is>
          <t>Sveaskog</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29790-2023</t>
        </is>
      </c>
      <c r="B1474" t="inlineStr">
        <is>
          <t>avverkningsanmälan</t>
        </is>
      </c>
      <c r="C1474" t="inlineStr">
        <is>
          <t>Föryngringsavverkning</t>
        </is>
      </c>
      <c r="D1474" s="1" t="n">
        <v>45107</v>
      </c>
      <c r="E1474" s="1" t="n">
        <v>46292</v>
      </c>
      <c r="F1474" t="inlineStr">
        <is>
          <t>GÄVLEBORGS LÄN</t>
        </is>
      </c>
      <c r="G1474" t="inlineStr">
        <is>
          <t>LJUSDAL</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204-2025</t>
        </is>
      </c>
      <c r="B1475" t="inlineStr">
        <is>
          <t>avverkningsanmälan</t>
        </is>
      </c>
      <c r="C1475" t="inlineStr">
        <is>
          <t>Föryngringsavverkning</t>
        </is>
      </c>
      <c r="D1475" s="1" t="n">
        <v>45660</v>
      </c>
      <c r="E1475" s="1" t="n">
        <v>46292</v>
      </c>
      <c r="F1475" t="inlineStr">
        <is>
          <t>GÄVLEBORGS LÄN</t>
        </is>
      </c>
      <c r="G1475" t="inlineStr">
        <is>
          <t>LJUSDAL</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2396-2024</t>
        </is>
      </c>
      <c r="B1476" t="inlineStr">
        <is>
          <t>avverkningsanmälan</t>
        </is>
      </c>
      <c r="C1476" t="inlineStr">
        <is>
          <t>Föryngringsavverkning</t>
        </is>
      </c>
      <c r="D1476" s="1" t="n">
        <v>45310</v>
      </c>
      <c r="E1476" s="1" t="n">
        <v>46292</v>
      </c>
      <c r="F1476" t="inlineStr">
        <is>
          <t>GÄVLEBORGS LÄN</t>
        </is>
      </c>
      <c r="G1476" t="inlineStr">
        <is>
          <t>LJUSDAL</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21098-2025</t>
        </is>
      </c>
      <c r="B1477" t="inlineStr">
        <is>
          <t>avverkningsanmälan</t>
        </is>
      </c>
      <c r="C1477" t="inlineStr">
        <is>
          <t>Föryngringsavverkning</t>
        </is>
      </c>
      <c r="D1477" s="1" t="n">
        <v>45777</v>
      </c>
      <c r="E1477" s="1" t="n">
        <v>46292</v>
      </c>
      <c r="F1477" t="inlineStr">
        <is>
          <t>GÄVLEBORGS LÄN</t>
        </is>
      </c>
      <c r="G1477" t="inlineStr">
        <is>
          <t>LJUSDAL</t>
        </is>
      </c>
      <c r="H1477" t="inlineStr">
        <is>
          <t>Sveaskog</t>
        </is>
      </c>
      <c r="I1477" t="n">
        <v>30.7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21588-2025</t>
        </is>
      </c>
      <c r="B1478" t="inlineStr">
        <is>
          <t>avverkningsanmälan</t>
        </is>
      </c>
      <c r="C1478" t="inlineStr">
        <is>
          <t>Föryngringsavverkning</t>
        </is>
      </c>
      <c r="D1478" s="1" t="n">
        <v>45783</v>
      </c>
      <c r="E1478" s="1" t="n">
        <v>46292</v>
      </c>
      <c r="F1478" t="inlineStr">
        <is>
          <t>GÄVLEBORGS LÄN</t>
        </is>
      </c>
      <c r="G1478" t="inlineStr">
        <is>
          <t>LJUSDAL</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21957-2025</t>
        </is>
      </c>
      <c r="B1479" t="inlineStr">
        <is>
          <t>avverkningsanmälan</t>
        </is>
      </c>
      <c r="C1479" t="inlineStr">
        <is>
          <t>Föryngringsavverkning</t>
        </is>
      </c>
      <c r="D1479" s="1" t="n">
        <v>45784</v>
      </c>
      <c r="E1479" s="1" t="n">
        <v>46292</v>
      </c>
      <c r="F1479" t="inlineStr">
        <is>
          <t>GÄVLEBORGS LÄN</t>
        </is>
      </c>
      <c r="G1479" t="inlineStr">
        <is>
          <t>LJUSDAL</t>
        </is>
      </c>
      <c r="I1479" t="n">
        <v>5.5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21940-2025</t>
        </is>
      </c>
      <c r="B1480" t="inlineStr">
        <is>
          <t>avverkningsanmälan</t>
        </is>
      </c>
      <c r="C1480" t="inlineStr">
        <is>
          <t>Föryngringsavverkning</t>
        </is>
      </c>
      <c r="D1480" s="1" t="n">
        <v>45784</v>
      </c>
      <c r="E1480" s="1" t="n">
        <v>46292</v>
      </c>
      <c r="F1480" t="inlineStr">
        <is>
          <t>GÄVLEBORGS LÄN</t>
        </is>
      </c>
      <c r="G1480" t="inlineStr">
        <is>
          <t>LJUSDAL</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22713-2024</t>
        </is>
      </c>
      <c r="B1481" t="inlineStr">
        <is>
          <t>avverkningsanmälan</t>
        </is>
      </c>
      <c r="C1481" t="inlineStr">
        <is>
          <t>Föryngringsavverkning</t>
        </is>
      </c>
      <c r="D1481" s="1" t="n">
        <v>45448</v>
      </c>
      <c r="E1481" s="1" t="n">
        <v>46292</v>
      </c>
      <c r="F1481" t="inlineStr">
        <is>
          <t>GÄVLEBORGS LÄN</t>
        </is>
      </c>
      <c r="G1481" t="inlineStr">
        <is>
          <t>LJUSDAL</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7179-2025</t>
        </is>
      </c>
      <c r="B1482" t="inlineStr">
        <is>
          <t>avverkningsanmälan</t>
        </is>
      </c>
      <c r="C1482" t="inlineStr">
        <is>
          <t>Föryngringsavverkning</t>
        </is>
      </c>
      <c r="D1482" s="1" t="n">
        <v>45702</v>
      </c>
      <c r="E1482" s="1" t="n">
        <v>46292</v>
      </c>
      <c r="F1482" t="inlineStr">
        <is>
          <t>GÄVLEBORGS LÄN</t>
        </is>
      </c>
      <c r="G1482" t="inlineStr">
        <is>
          <t>LJUSDAL</t>
        </is>
      </c>
      <c r="H1482" t="inlineStr">
        <is>
          <t>Kommuner</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33947-2024</t>
        </is>
      </c>
      <c r="B1483" t="inlineStr">
        <is>
          <t>avverkningsanmälan</t>
        </is>
      </c>
      <c r="C1483" t="inlineStr">
        <is>
          <t>Föryngringsavverkning</t>
        </is>
      </c>
      <c r="D1483" s="1" t="n">
        <v>45523</v>
      </c>
      <c r="E1483" s="1" t="n">
        <v>46292</v>
      </c>
      <c r="F1483" t="inlineStr">
        <is>
          <t>GÄVLEBORGS LÄN</t>
        </is>
      </c>
      <c r="G1483" t="inlineStr">
        <is>
          <t>LJUSDAL</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33199-2024</t>
        </is>
      </c>
      <c r="B1484" t="inlineStr">
        <is>
          <t>avverkningsanmälan</t>
        </is>
      </c>
      <c r="C1484" t="inlineStr">
        <is>
          <t>Föryngringsavverkning</t>
        </is>
      </c>
      <c r="D1484" s="1" t="n">
        <v>45518</v>
      </c>
      <c r="E1484" s="1" t="n">
        <v>46292</v>
      </c>
      <c r="F1484" t="inlineStr">
        <is>
          <t>GÄVLEBORGS LÄN</t>
        </is>
      </c>
      <c r="G1484" t="inlineStr">
        <is>
          <t>LJUSDAL</t>
        </is>
      </c>
      <c r="H1484" t="inlineStr">
        <is>
          <t>Bergvik skog väst AB</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41525-2022</t>
        </is>
      </c>
      <c r="B1485" t="inlineStr">
        <is>
          <t>avverkningsanmälan</t>
        </is>
      </c>
      <c r="C1485" t="inlineStr">
        <is>
          <t>Föryngringsavverkning</t>
        </is>
      </c>
      <c r="D1485" s="1" t="n">
        <v>44827</v>
      </c>
      <c r="E1485" s="1" t="n">
        <v>46292</v>
      </c>
      <c r="F1485" t="inlineStr">
        <is>
          <t>GÄVLEBORGS LÄN</t>
        </is>
      </c>
      <c r="G1485" t="inlineStr">
        <is>
          <t>LJUSDAL</t>
        </is>
      </c>
      <c r="H1485" t="inlineStr">
        <is>
          <t>Holmen skog AB</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22194-2025</t>
        </is>
      </c>
      <c r="B1486" t="inlineStr">
        <is>
          <t>avverkningsanmälan</t>
        </is>
      </c>
      <c r="C1486" t="inlineStr">
        <is>
          <t>Föryngringsavverkning</t>
        </is>
      </c>
      <c r="D1486" s="1" t="n">
        <v>45785</v>
      </c>
      <c r="E1486" s="1" t="n">
        <v>46292</v>
      </c>
      <c r="F1486" t="inlineStr">
        <is>
          <t>GÄVLEBORGS LÄN</t>
        </is>
      </c>
      <c r="G1486" t="inlineStr">
        <is>
          <t>LJUSDAL</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20897-2024</t>
        </is>
      </c>
      <c r="B1487" t="inlineStr">
        <is>
          <t>avverkningsanmälan</t>
        </is>
      </c>
      <c r="C1487" t="inlineStr">
        <is>
          <t>Föryngringsavverkning</t>
        </is>
      </c>
      <c r="D1487" s="1" t="n">
        <v>45439</v>
      </c>
      <c r="E1487" s="1" t="n">
        <v>46292</v>
      </c>
      <c r="F1487" t="inlineStr">
        <is>
          <t>GÄVLEBORGS LÄN</t>
        </is>
      </c>
      <c r="G1487" t="inlineStr">
        <is>
          <t>LJUSDAL</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41385-2024</t>
        </is>
      </c>
      <c r="B1488" t="inlineStr">
        <is>
          <t>avverkningsanmälan</t>
        </is>
      </c>
      <c r="C1488" t="inlineStr">
        <is>
          <t>Föryngringsavverkning</t>
        </is>
      </c>
      <c r="D1488" s="1" t="n">
        <v>45560</v>
      </c>
      <c r="E1488" s="1" t="n">
        <v>46292</v>
      </c>
      <c r="F1488" t="inlineStr">
        <is>
          <t>GÄVLEBORGS LÄN</t>
        </is>
      </c>
      <c r="G1488" t="inlineStr">
        <is>
          <t>LJUSDAL</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6964-2025</t>
        </is>
      </c>
      <c r="B1489" t="inlineStr">
        <is>
          <t>avverkningsanmälan</t>
        </is>
      </c>
      <c r="C1489" t="inlineStr">
        <is>
          <t>Föryngringsavverkning</t>
        </is>
      </c>
      <c r="D1489" s="1" t="n">
        <v>45701</v>
      </c>
      <c r="E1489" s="1" t="n">
        <v>46292</v>
      </c>
      <c r="F1489" t="inlineStr">
        <is>
          <t>GÄVLEBORGS LÄN</t>
        </is>
      </c>
      <c r="G1489" t="inlineStr">
        <is>
          <t>LJUSDAL</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35789-2024</t>
        </is>
      </c>
      <c r="B1490" t="inlineStr">
        <is>
          <t>avverkningsanmälan</t>
        </is>
      </c>
      <c r="C1490" t="inlineStr">
        <is>
          <t>Föryngringsavverkning</t>
        </is>
      </c>
      <c r="D1490" s="1" t="n">
        <v>45532</v>
      </c>
      <c r="E1490" s="1" t="n">
        <v>46292</v>
      </c>
      <c r="F1490" t="inlineStr">
        <is>
          <t>GÄVLEBORGS LÄN</t>
        </is>
      </c>
      <c r="G1490" t="inlineStr">
        <is>
          <t>LJUSDAL</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22163-2025</t>
        </is>
      </c>
      <c r="B1491" t="inlineStr">
        <is>
          <t>avverkningsanmälan</t>
        </is>
      </c>
      <c r="C1491" t="inlineStr">
        <is>
          <t>Föryngringsavverkning</t>
        </is>
      </c>
      <c r="D1491" s="1" t="n">
        <v>45785</v>
      </c>
      <c r="E1491" s="1" t="n">
        <v>46292</v>
      </c>
      <c r="F1491" t="inlineStr">
        <is>
          <t>GÄVLEBORGS LÄN</t>
        </is>
      </c>
      <c r="G1491" t="inlineStr">
        <is>
          <t>LJUSDAL</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23016-2025</t>
        </is>
      </c>
      <c r="B1492" t="inlineStr">
        <is>
          <t>avverkningsanmälan</t>
        </is>
      </c>
      <c r="C1492" t="inlineStr">
        <is>
          <t>Föryngringsavverkning</t>
        </is>
      </c>
      <c r="D1492" s="1" t="n">
        <v>45790</v>
      </c>
      <c r="E1492" s="1" t="n">
        <v>46292</v>
      </c>
      <c r="F1492" t="inlineStr">
        <is>
          <t>GÄVLEBORGS LÄN</t>
        </is>
      </c>
      <c r="G1492" t="inlineStr">
        <is>
          <t>LJUSDAL</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9359-2024</t>
        </is>
      </c>
      <c r="B1493" t="inlineStr">
        <is>
          <t>avverkningsanmälan</t>
        </is>
      </c>
      <c r="C1493" t="inlineStr">
        <is>
          <t>Föryngringsavverkning</t>
        </is>
      </c>
      <c r="D1493" s="1" t="n">
        <v>45359</v>
      </c>
      <c r="E1493" s="1" t="n">
        <v>46292</v>
      </c>
      <c r="F1493" t="inlineStr">
        <is>
          <t>GÄVLEBORGS LÄN</t>
        </is>
      </c>
      <c r="G1493" t="inlineStr">
        <is>
          <t>LJUSDAL</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23036-2025</t>
        </is>
      </c>
      <c r="B1494" t="inlineStr">
        <is>
          <t>avverkningsanmälan</t>
        </is>
      </c>
      <c r="C1494" t="inlineStr">
        <is>
          <t>Föryngringsavverkning</t>
        </is>
      </c>
      <c r="D1494" s="1" t="n">
        <v>45790</v>
      </c>
      <c r="E1494" s="1" t="n">
        <v>46292</v>
      </c>
      <c r="F1494" t="inlineStr">
        <is>
          <t>GÄVLEBORGS LÄN</t>
        </is>
      </c>
      <c r="G1494" t="inlineStr">
        <is>
          <t>LJUSDAL</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44041-2022</t>
        </is>
      </c>
      <c r="B1495" t="inlineStr">
        <is>
          <t>avverkningsanmälan</t>
        </is>
      </c>
      <c r="C1495" t="inlineStr">
        <is>
          <t>Föryngringsavverkning</t>
        </is>
      </c>
      <c r="D1495" s="1" t="n">
        <v>44838</v>
      </c>
      <c r="E1495" s="1" t="n">
        <v>46292</v>
      </c>
      <c r="F1495" t="inlineStr">
        <is>
          <t>GÄVLEBORGS LÄN</t>
        </is>
      </c>
      <c r="G1495" t="inlineStr">
        <is>
          <t>LJUSDAL</t>
        </is>
      </c>
      <c r="H1495" t="inlineStr">
        <is>
          <t>Naturvårdsverket</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23353-2025</t>
        </is>
      </c>
      <c r="B1496" t="inlineStr">
        <is>
          <t>avverkningsanmälan</t>
        </is>
      </c>
      <c r="C1496" t="inlineStr">
        <is>
          <t>Föryngringsavverkning</t>
        </is>
      </c>
      <c r="D1496" s="1" t="n">
        <v>45791</v>
      </c>
      <c r="E1496" s="1" t="n">
        <v>46292</v>
      </c>
      <c r="F1496" t="inlineStr">
        <is>
          <t>GÄVLEBORGS LÄN</t>
        </is>
      </c>
      <c r="G1496" t="inlineStr">
        <is>
          <t>LJUSDAL</t>
        </is>
      </c>
      <c r="H1496" t="inlineStr">
        <is>
          <t>Bergvik skog väst AB</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23603-2025</t>
        </is>
      </c>
      <c r="B1497" t="inlineStr">
        <is>
          <t>avverkningsanmälan</t>
        </is>
      </c>
      <c r="C1497" t="inlineStr">
        <is>
          <t>Föryngringsavverkning</t>
        </is>
      </c>
      <c r="D1497" s="1" t="n">
        <v>45792</v>
      </c>
      <c r="E1497" s="1" t="n">
        <v>46292</v>
      </c>
      <c r="F1497" t="inlineStr">
        <is>
          <t>GÄVLEBORGS LÄN</t>
        </is>
      </c>
      <c r="G1497" t="inlineStr">
        <is>
          <t>LJUSDAL</t>
        </is>
      </c>
      <c r="H1497" t="inlineStr">
        <is>
          <t>Bergvik skog väst AB</t>
        </is>
      </c>
      <c r="I1497" t="n">
        <v>5.6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23594-2025</t>
        </is>
      </c>
      <c r="B1498" t="inlineStr">
        <is>
          <t>avverkningsanmälan</t>
        </is>
      </c>
      <c r="C1498" t="inlineStr">
        <is>
          <t>Föryngringsavverkning</t>
        </is>
      </c>
      <c r="D1498" s="1" t="n">
        <v>45792</v>
      </c>
      <c r="E1498" s="1" t="n">
        <v>46292</v>
      </c>
      <c r="F1498" t="inlineStr">
        <is>
          <t>GÄVLEBORGS LÄN</t>
        </is>
      </c>
      <c r="G1498" t="inlineStr">
        <is>
          <t>LJUSDAL</t>
        </is>
      </c>
      <c r="H1498" t="inlineStr">
        <is>
          <t>Bergvik skog väst AB</t>
        </is>
      </c>
      <c r="I1498" t="n">
        <v>10.6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23340-2025</t>
        </is>
      </c>
      <c r="B1499" t="inlineStr">
        <is>
          <t>avverkningsanmälan</t>
        </is>
      </c>
      <c r="C1499" t="inlineStr">
        <is>
          <t>Föryngringsavverkning</t>
        </is>
      </c>
      <c r="D1499" s="1" t="n">
        <v>45791</v>
      </c>
      <c r="E1499" s="1" t="n">
        <v>46292</v>
      </c>
      <c r="F1499" t="inlineStr">
        <is>
          <t>GÄVLEBORGS LÄN</t>
        </is>
      </c>
      <c r="G1499" t="inlineStr">
        <is>
          <t>LJUSDAL</t>
        </is>
      </c>
      <c r="H1499" t="inlineStr">
        <is>
          <t>Bergvik skog väst AB</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23350-2025</t>
        </is>
      </c>
      <c r="B1500" t="inlineStr">
        <is>
          <t>avverkningsanmälan</t>
        </is>
      </c>
      <c r="C1500" t="inlineStr">
        <is>
          <t>Föryngringsavverkning</t>
        </is>
      </c>
      <c r="D1500" s="1" t="n">
        <v>45791</v>
      </c>
      <c r="E1500" s="1" t="n">
        <v>46292</v>
      </c>
      <c r="F1500" t="inlineStr">
        <is>
          <t>GÄVLEBORGS LÄN</t>
        </is>
      </c>
      <c r="G1500" t="inlineStr">
        <is>
          <t>LJUSDAL</t>
        </is>
      </c>
      <c r="H1500" t="inlineStr">
        <is>
          <t>Bergvik skog väst AB</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338-2023</t>
        </is>
      </c>
      <c r="B1501" t="inlineStr">
        <is>
          <t>samrådsanmälan</t>
        </is>
      </c>
      <c r="C1501" t="inlineStr">
        <is>
          <t>Annan skogsbruksåtgärd</t>
        </is>
      </c>
      <c r="D1501" s="1" t="n">
        <v>44960</v>
      </c>
      <c r="E1501" s="1" t="n">
        <v>46292</v>
      </c>
      <c r="F1501" t="inlineStr">
        <is>
          <t>GÄVLEBORGS LÄN</t>
        </is>
      </c>
      <c r="G1501" t="inlineStr">
        <is>
          <t>LJUSDAL</t>
        </is>
      </c>
      <c r="H1501" t="inlineStr">
        <is>
          <t>Allmännings- och besparingsskogar</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1834-2022</t>
        </is>
      </c>
      <c r="B1502" t="inlineStr">
        <is>
          <t>samrådsanmälan</t>
        </is>
      </c>
      <c r="C1502" t="inlineStr">
        <is>
          <t>Annan skogsbruksåtgärd</t>
        </is>
      </c>
      <c r="D1502" s="1" t="n">
        <v>44657</v>
      </c>
      <c r="E1502" s="1" t="n">
        <v>46292</v>
      </c>
      <c r="F1502" t="inlineStr">
        <is>
          <t>GÄVLEBORGS LÄN</t>
        </is>
      </c>
      <c r="G1502" t="inlineStr">
        <is>
          <t>LJUSDAL</t>
        </is>
      </c>
      <c r="H1502" t="inlineStr">
        <is>
          <t>Bergvik skog väst AB</t>
        </is>
      </c>
      <c r="I1502" t="n">
        <v>34.4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133-2022</t>
        </is>
      </c>
      <c r="B1503" t="inlineStr">
        <is>
          <t>samrådsanmälan</t>
        </is>
      </c>
      <c r="C1503" t="inlineStr">
        <is>
          <t>Skogsgödsling</t>
        </is>
      </c>
      <c r="D1503" s="1" t="n">
        <v>44566</v>
      </c>
      <c r="E1503" s="1" t="n">
        <v>46292</v>
      </c>
      <c r="F1503" t="inlineStr">
        <is>
          <t>GÄVLEBORGS LÄN</t>
        </is>
      </c>
      <c r="G1503" t="inlineStr">
        <is>
          <t>LJUSDAL</t>
        </is>
      </c>
      <c r="H1503" t="inlineStr">
        <is>
          <t>Bergvik skog väst AB</t>
        </is>
      </c>
      <c r="I1503" t="n">
        <v>24.3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141-2022</t>
        </is>
      </c>
      <c r="B1504" t="inlineStr">
        <is>
          <t>samrådsanmälan</t>
        </is>
      </c>
      <c r="C1504" t="inlineStr">
        <is>
          <t>Skogsgödsling</t>
        </is>
      </c>
      <c r="D1504" s="1" t="n">
        <v>44566</v>
      </c>
      <c r="E1504" s="1" t="n">
        <v>46292</v>
      </c>
      <c r="F1504" t="inlineStr">
        <is>
          <t>GÄVLEBORGS LÄN</t>
        </is>
      </c>
      <c r="G1504" t="inlineStr">
        <is>
          <t>LJUSDAL</t>
        </is>
      </c>
      <c r="H1504" t="inlineStr">
        <is>
          <t>Bergvik skog väst AB</t>
        </is>
      </c>
      <c r="I1504" t="n">
        <v>32.9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140-2022</t>
        </is>
      </c>
      <c r="B1505" t="inlineStr">
        <is>
          <t>samrådsanmälan</t>
        </is>
      </c>
      <c r="C1505" t="inlineStr">
        <is>
          <t>Skogsgödsling</t>
        </is>
      </c>
      <c r="D1505" s="1" t="n">
        <v>44566</v>
      </c>
      <c r="E1505" s="1" t="n">
        <v>46292</v>
      </c>
      <c r="F1505" t="inlineStr">
        <is>
          <t>GÄVLEBORGS LÄN</t>
        </is>
      </c>
      <c r="G1505" t="inlineStr">
        <is>
          <t>LJUSDAL</t>
        </is>
      </c>
      <c r="H1505" t="inlineStr">
        <is>
          <t>Bergvik skog väst AB</t>
        </is>
      </c>
      <c r="I1505" t="n">
        <v>35.8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93-2022</t>
        </is>
      </c>
      <c r="B1506" t="inlineStr">
        <is>
          <t>samrådsanmälan</t>
        </is>
      </c>
      <c r="C1506" t="inlineStr">
        <is>
          <t>Skogsgödsling</t>
        </is>
      </c>
      <c r="D1506" s="1" t="n">
        <v>44566</v>
      </c>
      <c r="E1506" s="1" t="n">
        <v>46292</v>
      </c>
      <c r="F1506" t="inlineStr">
        <is>
          <t>GÄVLEBORGS LÄN</t>
        </is>
      </c>
      <c r="G1506" t="inlineStr">
        <is>
          <t>LJUSDAL</t>
        </is>
      </c>
      <c r="H1506" t="inlineStr">
        <is>
          <t>Bergvik skog väst AB</t>
        </is>
      </c>
      <c r="I1506" t="n">
        <v>46.7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390-2022</t>
        </is>
      </c>
      <c r="B1507" t="inlineStr">
        <is>
          <t>samrådsanmälan</t>
        </is>
      </c>
      <c r="C1507" t="inlineStr">
        <is>
          <t>Skogsgödsling</t>
        </is>
      </c>
      <c r="D1507" s="1" t="n">
        <v>44582</v>
      </c>
      <c r="E1507" s="1" t="n">
        <v>46292</v>
      </c>
      <c r="F1507" t="inlineStr">
        <is>
          <t>GÄVLEBORGS LÄN</t>
        </is>
      </c>
      <c r="G1507" t="inlineStr">
        <is>
          <t>LJUSDAL</t>
        </is>
      </c>
      <c r="H1507" t="inlineStr">
        <is>
          <t>Sveaskog</t>
        </is>
      </c>
      <c r="I1507" t="n">
        <v>501.1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146-2022</t>
        </is>
      </c>
      <c r="B1508" t="inlineStr">
        <is>
          <t>samrådsanmälan</t>
        </is>
      </c>
      <c r="C1508" t="inlineStr">
        <is>
          <t>Skogsgödsling</t>
        </is>
      </c>
      <c r="D1508" s="1" t="n">
        <v>44566</v>
      </c>
      <c r="E1508" s="1" t="n">
        <v>46292</v>
      </c>
      <c r="F1508" t="inlineStr">
        <is>
          <t>GÄVLEBORGS LÄN</t>
        </is>
      </c>
      <c r="G1508" t="inlineStr">
        <is>
          <t>LJUSDAL</t>
        </is>
      </c>
      <c r="H1508" t="inlineStr">
        <is>
          <t>Bergvik skog väst AB</t>
        </is>
      </c>
      <c r="I1508" t="n">
        <v>69.3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129-2022</t>
        </is>
      </c>
      <c r="B1509" t="inlineStr">
        <is>
          <t>samrådsanmälan</t>
        </is>
      </c>
      <c r="C1509" t="inlineStr">
        <is>
          <t>Skogsgödsling</t>
        </is>
      </c>
      <c r="D1509" s="1" t="n">
        <v>44566</v>
      </c>
      <c r="E1509" s="1" t="n">
        <v>46292</v>
      </c>
      <c r="F1509" t="inlineStr">
        <is>
          <t>GÄVLEBORGS LÄN</t>
        </is>
      </c>
      <c r="G1509" t="inlineStr">
        <is>
          <t>LJUSDAL</t>
        </is>
      </c>
      <c r="H1509" t="inlineStr">
        <is>
          <t>Bergvik skog väst AB</t>
        </is>
      </c>
      <c r="I1509" t="n">
        <v>65.8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132-2022</t>
        </is>
      </c>
      <c r="B1510" t="inlineStr">
        <is>
          <t>samrådsanmälan</t>
        </is>
      </c>
      <c r="C1510" t="inlineStr">
        <is>
          <t>Skogsgödsling</t>
        </is>
      </c>
      <c r="D1510" s="1" t="n">
        <v>44566</v>
      </c>
      <c r="E1510" s="1" t="n">
        <v>46292</v>
      </c>
      <c r="F1510" t="inlineStr">
        <is>
          <t>GÄVLEBORGS LÄN</t>
        </is>
      </c>
      <c r="G1510" t="inlineStr">
        <is>
          <t>LJUSDAL</t>
        </is>
      </c>
      <c r="H1510" t="inlineStr">
        <is>
          <t>Bergvik skog väst AB</t>
        </is>
      </c>
      <c r="I1510" t="n">
        <v>74.3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393-2022</t>
        </is>
      </c>
      <c r="B1511" t="inlineStr">
        <is>
          <t>samrådsanmälan</t>
        </is>
      </c>
      <c r="C1511" t="inlineStr">
        <is>
          <t>Skogsgödsling</t>
        </is>
      </c>
      <c r="D1511" s="1" t="n">
        <v>44582</v>
      </c>
      <c r="E1511" s="1" t="n">
        <v>46292</v>
      </c>
      <c r="F1511" t="inlineStr">
        <is>
          <t>GÄVLEBORGS LÄN</t>
        </is>
      </c>
      <c r="G1511" t="inlineStr">
        <is>
          <t>LJUSDAL</t>
        </is>
      </c>
      <c r="H1511" t="inlineStr">
        <is>
          <t>Sveaskog</t>
        </is>
      </c>
      <c r="I1511" t="n">
        <v>161.7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135-2022</t>
        </is>
      </c>
      <c r="B1512" t="inlineStr">
        <is>
          <t>samrådsanmälan</t>
        </is>
      </c>
      <c r="C1512" t="inlineStr">
        <is>
          <t>Skogsgödsling</t>
        </is>
      </c>
      <c r="D1512" s="1" t="n">
        <v>44566</v>
      </c>
      <c r="E1512" s="1" t="n">
        <v>46292</v>
      </c>
      <c r="F1512" t="inlineStr">
        <is>
          <t>GÄVLEBORGS LÄN</t>
        </is>
      </c>
      <c r="G1512" t="inlineStr">
        <is>
          <t>LJUSDAL</t>
        </is>
      </c>
      <c r="H1512" t="inlineStr">
        <is>
          <t>Bergvik skog väst AB</t>
        </is>
      </c>
      <c r="I1512" t="n">
        <v>50.5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1601-2023</t>
        </is>
      </c>
      <c r="B1513" t="inlineStr">
        <is>
          <t>samrådsanmälan</t>
        </is>
      </c>
      <c r="C1513" t="inlineStr">
        <is>
          <t>Skogsgödsling</t>
        </is>
      </c>
      <c r="D1513" s="1" t="n">
        <v>45056</v>
      </c>
      <c r="E1513" s="1" t="n">
        <v>46292</v>
      </c>
      <c r="F1513" t="inlineStr">
        <is>
          <t>GÄVLEBORGS LÄN</t>
        </is>
      </c>
      <c r="G1513" t="inlineStr">
        <is>
          <t>LJUSDAL</t>
        </is>
      </c>
      <c r="I1513" t="n">
        <v>27.1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1669-2023</t>
        </is>
      </c>
      <c r="B1514" t="inlineStr">
        <is>
          <t>samrådsanmälan</t>
        </is>
      </c>
      <c r="C1514" t="inlineStr">
        <is>
          <t>Skogsgödsling</t>
        </is>
      </c>
      <c r="D1514" s="1" t="n">
        <v>45065</v>
      </c>
      <c r="E1514" s="1" t="n">
        <v>46292</v>
      </c>
      <c r="F1514" t="inlineStr">
        <is>
          <t>GÄVLEBORGS LÄN</t>
        </is>
      </c>
      <c r="G1514" t="inlineStr">
        <is>
          <t>LJUSDAL</t>
        </is>
      </c>
      <c r="I1514" t="n">
        <v>12.4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1583-2023</t>
        </is>
      </c>
      <c r="B1515" t="inlineStr">
        <is>
          <t>samrådsanmälan</t>
        </is>
      </c>
      <c r="C1515" t="inlineStr">
        <is>
          <t>Skogsgödsling</t>
        </is>
      </c>
      <c r="D1515" s="1" t="n">
        <v>45058</v>
      </c>
      <c r="E1515" s="1" t="n">
        <v>46292</v>
      </c>
      <c r="F1515" t="inlineStr">
        <is>
          <t>GÄVLEBORGS LÄN</t>
        </is>
      </c>
      <c r="G1515" t="inlineStr">
        <is>
          <t>LJUSDAL</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1598-2023</t>
        </is>
      </c>
      <c r="B1516" t="inlineStr">
        <is>
          <t>samrådsanmälan</t>
        </is>
      </c>
      <c r="C1516" t="inlineStr">
        <is>
          <t>Skogsgödsling</t>
        </is>
      </c>
      <c r="D1516" s="1" t="n">
        <v>45056</v>
      </c>
      <c r="E1516" s="1" t="n">
        <v>46292</v>
      </c>
      <c r="F1516" t="inlineStr">
        <is>
          <t>GÄVLEBORGS LÄN</t>
        </is>
      </c>
      <c r="G1516" t="inlineStr">
        <is>
          <t>LJUSDAL</t>
        </is>
      </c>
      <c r="I1516" t="n">
        <v>13.5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1589-2023</t>
        </is>
      </c>
      <c r="B1517" t="inlineStr">
        <is>
          <t>samrådsanmälan</t>
        </is>
      </c>
      <c r="C1517" t="inlineStr">
        <is>
          <t>Skogsgödsling</t>
        </is>
      </c>
      <c r="D1517" s="1" t="n">
        <v>45058</v>
      </c>
      <c r="E1517" s="1" t="n">
        <v>46292</v>
      </c>
      <c r="F1517" t="inlineStr">
        <is>
          <t>GÄVLEBORGS LÄN</t>
        </is>
      </c>
      <c r="G1517" t="inlineStr">
        <is>
          <t>LJUSDAL</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135-2025</t>
        </is>
      </c>
      <c r="B1518" t="inlineStr">
        <is>
          <t>samrådsanmälan</t>
        </is>
      </c>
      <c r="C1518" t="inlineStr">
        <is>
          <t>Skogsgödsling</t>
        </is>
      </c>
      <c r="D1518" s="1" t="n">
        <v>45670</v>
      </c>
      <c r="E1518" s="1" t="n">
        <v>46292</v>
      </c>
      <c r="F1518" t="inlineStr">
        <is>
          <t>GÄVLEBORGS LÄN</t>
        </is>
      </c>
      <c r="G1518" t="inlineStr">
        <is>
          <t>LJUSDAL</t>
        </is>
      </c>
      <c r="H1518" t="inlineStr">
        <is>
          <t>Holmen skog AB</t>
        </is>
      </c>
      <c r="I1518" t="n">
        <v>37.1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4-2024</t>
        </is>
      </c>
      <c r="B1519" t="inlineStr">
        <is>
          <t>samrådsanmälan</t>
        </is>
      </c>
      <c r="C1519" t="inlineStr">
        <is>
          <t>Skogsgödsling</t>
        </is>
      </c>
      <c r="D1519" s="1" t="n">
        <v>45293</v>
      </c>
      <c r="E1519" s="1" t="n">
        <v>46292</v>
      </c>
      <c r="F1519" t="inlineStr">
        <is>
          <t>GÄVLEBORGS LÄN</t>
        </is>
      </c>
      <c r="G1519" t="inlineStr">
        <is>
          <t>LJUSDAL</t>
        </is>
      </c>
      <c r="H1519" t="inlineStr">
        <is>
          <t>Bergvik skog väst AB</t>
        </is>
      </c>
      <c r="I1519" t="n">
        <v>19.7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24-2024</t>
        </is>
      </c>
      <c r="B1520" t="inlineStr">
        <is>
          <t>samrådsanmälan</t>
        </is>
      </c>
      <c r="C1520" t="inlineStr">
        <is>
          <t>Skogsgödsling</t>
        </is>
      </c>
      <c r="D1520" s="1" t="n">
        <v>45293</v>
      </c>
      <c r="E1520" s="1" t="n">
        <v>46292</v>
      </c>
      <c r="F1520" t="inlineStr">
        <is>
          <t>GÄVLEBORGS LÄN</t>
        </is>
      </c>
      <c r="G1520" t="inlineStr">
        <is>
          <t>LJUSDAL</t>
        </is>
      </c>
      <c r="H1520" t="inlineStr">
        <is>
          <t>Bergvik skog väst AB</t>
        </is>
      </c>
      <c r="I1520" t="n">
        <v>32.6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900-2024</t>
        </is>
      </c>
      <c r="B1521" t="inlineStr">
        <is>
          <t>samrådsanmälan</t>
        </is>
      </c>
      <c r="C1521" t="inlineStr">
        <is>
          <t>Skogsgödsling</t>
        </is>
      </c>
      <c r="D1521" s="1" t="n">
        <v>45376</v>
      </c>
      <c r="E1521" s="1" t="n">
        <v>46292</v>
      </c>
      <c r="F1521" t="inlineStr">
        <is>
          <t>GÄVLEBORGS LÄN</t>
        </is>
      </c>
      <c r="G1521" t="inlineStr">
        <is>
          <t>LJUSDAL</t>
        </is>
      </c>
      <c r="H1521" t="inlineStr">
        <is>
          <t>Bergvik skog väst AB</t>
        </is>
      </c>
      <c r="I1521" t="n">
        <v>22.8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1603-2023</t>
        </is>
      </c>
      <c r="B1522" t="inlineStr">
        <is>
          <t>samrådsanmälan</t>
        </is>
      </c>
      <c r="C1522" t="inlineStr">
        <is>
          <t>Skogsgödsling</t>
        </is>
      </c>
      <c r="D1522" s="1" t="n">
        <v>45061</v>
      </c>
      <c r="E1522" s="1" t="n">
        <v>46292</v>
      </c>
      <c r="F1522" t="inlineStr">
        <is>
          <t>GÄVLEBORGS LÄN</t>
        </is>
      </c>
      <c r="G1522" t="inlineStr">
        <is>
          <t>LJUSDAL</t>
        </is>
      </c>
      <c r="I1522" t="n">
        <v>9.6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8-2024</t>
        </is>
      </c>
      <c r="B1523" t="inlineStr">
        <is>
          <t>samrådsanmälan</t>
        </is>
      </c>
      <c r="C1523" t="inlineStr">
        <is>
          <t>Skogsgödsling</t>
        </is>
      </c>
      <c r="D1523" s="1" t="n">
        <v>45293</v>
      </c>
      <c r="E1523" s="1" t="n">
        <v>46292</v>
      </c>
      <c r="F1523" t="inlineStr">
        <is>
          <t>GÄVLEBORGS LÄN</t>
        </is>
      </c>
      <c r="G1523" t="inlineStr">
        <is>
          <t>LJUSDAL</t>
        </is>
      </c>
      <c r="H1523" t="inlineStr">
        <is>
          <t>Bergvik skog väst AB</t>
        </is>
      </c>
      <c r="I1523" t="n">
        <v>56.4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1588-2023</t>
        </is>
      </c>
      <c r="B1524" t="inlineStr">
        <is>
          <t>samrådsanmälan</t>
        </is>
      </c>
      <c r="C1524" t="inlineStr">
        <is>
          <t>Skogsgödsling</t>
        </is>
      </c>
      <c r="D1524" s="1" t="n">
        <v>45058</v>
      </c>
      <c r="E1524" s="1" t="n">
        <v>46292</v>
      </c>
      <c r="F1524" t="inlineStr">
        <is>
          <t>GÄVLEBORGS LÄN</t>
        </is>
      </c>
      <c r="G1524" t="inlineStr">
        <is>
          <t>LJUSDAL</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1510-2023</t>
        </is>
      </c>
      <c r="B1525" t="inlineStr">
        <is>
          <t>samrådsanmälan</t>
        </is>
      </c>
      <c r="C1525" t="inlineStr">
        <is>
          <t>Skogsgödsling</t>
        </is>
      </c>
      <c r="D1525" s="1" t="n">
        <v>45054</v>
      </c>
      <c r="E1525" s="1" t="n">
        <v>46292</v>
      </c>
      <c r="F1525" t="inlineStr">
        <is>
          <t>GÄVLEBORGS LÄN</t>
        </is>
      </c>
      <c r="G1525" t="inlineStr">
        <is>
          <t>LJUSDAL</t>
        </is>
      </c>
      <c r="I1525" t="n">
        <v>15.4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1676-2023</t>
        </is>
      </c>
      <c r="B1526" t="inlineStr">
        <is>
          <t>samrådsanmälan</t>
        </is>
      </c>
      <c r="C1526" t="inlineStr">
        <is>
          <t>Skogsgödsling</t>
        </is>
      </c>
      <c r="D1526" s="1" t="n">
        <v>45065</v>
      </c>
      <c r="E1526" s="1" t="n">
        <v>46292</v>
      </c>
      <c r="F1526" t="inlineStr">
        <is>
          <t>GÄVLEBORGS LÄN</t>
        </is>
      </c>
      <c r="G1526" t="inlineStr">
        <is>
          <t>LJUSDAL</t>
        </is>
      </c>
      <c r="I1526" t="n">
        <v>10.1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3-2024</t>
        </is>
      </c>
      <c r="B1527" t="inlineStr">
        <is>
          <t>samrådsanmälan</t>
        </is>
      </c>
      <c r="C1527" t="inlineStr">
        <is>
          <t>Skogsgödsling</t>
        </is>
      </c>
      <c r="D1527" s="1" t="n">
        <v>45293</v>
      </c>
      <c r="E1527" s="1" t="n">
        <v>46292</v>
      </c>
      <c r="F1527" t="inlineStr">
        <is>
          <t>GÄVLEBORGS LÄN</t>
        </is>
      </c>
      <c r="G1527" t="inlineStr">
        <is>
          <t>LJUSDAL</t>
        </is>
      </c>
      <c r="H1527" t="inlineStr">
        <is>
          <t>Bergvik skog väst AB</t>
        </is>
      </c>
      <c r="I1527" t="n">
        <v>112.3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22-2024</t>
        </is>
      </c>
      <c r="B1528" t="inlineStr">
        <is>
          <t>samrådsanmälan</t>
        </is>
      </c>
      <c r="C1528" t="inlineStr">
        <is>
          <t>Skogsgödsling</t>
        </is>
      </c>
      <c r="D1528" s="1" t="n">
        <v>45293</v>
      </c>
      <c r="E1528" s="1" t="n">
        <v>46292</v>
      </c>
      <c r="F1528" t="inlineStr">
        <is>
          <t>GÄVLEBORGS LÄN</t>
        </is>
      </c>
      <c r="G1528" t="inlineStr">
        <is>
          <t>LJUSDAL</t>
        </is>
      </c>
      <c r="H1528" t="inlineStr">
        <is>
          <t>Bergvik skog väst AB</t>
        </is>
      </c>
      <c r="I1528" t="n">
        <v>6.2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23-2024</t>
        </is>
      </c>
      <c r="B1529" t="inlineStr">
        <is>
          <t>samrådsanmälan</t>
        </is>
      </c>
      <c r="C1529" t="inlineStr">
        <is>
          <t>Skogsgödsling</t>
        </is>
      </c>
      <c r="D1529" s="1" t="n">
        <v>45293</v>
      </c>
      <c r="E1529" s="1" t="n">
        <v>46292</v>
      </c>
      <c r="F1529" t="inlineStr">
        <is>
          <t>GÄVLEBORGS LÄN</t>
        </is>
      </c>
      <c r="G1529" t="inlineStr">
        <is>
          <t>LJUSDAL</t>
        </is>
      </c>
      <c r="H1529" t="inlineStr">
        <is>
          <t>Bergvik skog väst AB</t>
        </is>
      </c>
      <c r="I1529" t="n">
        <v>52.2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2-2024</t>
        </is>
      </c>
      <c r="B1530" t="inlineStr">
        <is>
          <t>samrådsanmälan</t>
        </is>
      </c>
      <c r="C1530" t="inlineStr">
        <is>
          <t>Skogsgödsling</t>
        </is>
      </c>
      <c r="D1530" s="1" t="n">
        <v>45293</v>
      </c>
      <c r="E1530" s="1" t="n">
        <v>46292</v>
      </c>
      <c r="F1530" t="inlineStr">
        <is>
          <t>GÄVLEBORGS LÄN</t>
        </is>
      </c>
      <c r="G1530" t="inlineStr">
        <is>
          <t>LJUSDAL</t>
        </is>
      </c>
      <c r="H1530" t="inlineStr">
        <is>
          <t>Bergvik skog väst AB</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1597-2023</t>
        </is>
      </c>
      <c r="B1531" t="inlineStr">
        <is>
          <t>samrådsanmälan</t>
        </is>
      </c>
      <c r="C1531" t="inlineStr">
        <is>
          <t>Skogsgödsling</t>
        </is>
      </c>
      <c r="D1531" s="1" t="n">
        <v>45056</v>
      </c>
      <c r="E1531" s="1" t="n">
        <v>46292</v>
      </c>
      <c r="F1531" t="inlineStr">
        <is>
          <t>GÄVLEBORGS LÄN</t>
        </is>
      </c>
      <c r="G1531" t="inlineStr">
        <is>
          <t>LJUSDAL</t>
        </is>
      </c>
      <c r="I1531" t="n">
        <v>19.8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134-2025</t>
        </is>
      </c>
      <c r="B1532" t="inlineStr">
        <is>
          <t>samrådsanmälan</t>
        </is>
      </c>
      <c r="C1532" t="inlineStr">
        <is>
          <t>Skogsgödsling</t>
        </is>
      </c>
      <c r="D1532" s="1" t="n">
        <v>45670</v>
      </c>
      <c r="E1532" s="1" t="n">
        <v>46292</v>
      </c>
      <c r="F1532" t="inlineStr">
        <is>
          <t>GÄVLEBORGS LÄN</t>
        </is>
      </c>
      <c r="G1532" t="inlineStr">
        <is>
          <t>LJUSDAL</t>
        </is>
      </c>
      <c r="H1532" t="inlineStr">
        <is>
          <t>Holmen skog AB</t>
        </is>
      </c>
      <c r="I1532" t="n">
        <v>15.7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891-2024</t>
        </is>
      </c>
      <c r="B1533" t="inlineStr">
        <is>
          <t>samrådsanmälan</t>
        </is>
      </c>
      <c r="C1533" t="inlineStr">
        <is>
          <t>Annan skogsbruksåtgärd</t>
        </is>
      </c>
      <c r="D1533" s="1" t="n">
        <v>45349</v>
      </c>
      <c r="E1533" s="1" t="n">
        <v>46292</v>
      </c>
      <c r="F1533" t="inlineStr">
        <is>
          <t>GÄVLEBORGS LÄN</t>
        </is>
      </c>
      <c r="G1533" t="inlineStr">
        <is>
          <t>LJUSDAL</t>
        </is>
      </c>
      <c r="H1533" t="inlineStr">
        <is>
          <t>Bergvik skog väst AB</t>
        </is>
      </c>
      <c r="I1533" t="n">
        <v>83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1600-2023</t>
        </is>
      </c>
      <c r="B1534" t="inlineStr">
        <is>
          <t>samrådsanmälan</t>
        </is>
      </c>
      <c r="C1534" t="inlineStr">
        <is>
          <t>Skogsgödsling</t>
        </is>
      </c>
      <c r="D1534" s="1" t="n">
        <v>45056</v>
      </c>
      <c r="E1534" s="1" t="n">
        <v>46292</v>
      </c>
      <c r="F1534" t="inlineStr">
        <is>
          <t>GÄVLEBORGS LÄN</t>
        </is>
      </c>
      <c r="G1534" t="inlineStr">
        <is>
          <t>LJUSDAL</t>
        </is>
      </c>
      <c r="I1534" t="n">
        <v>8.6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11-2024</t>
        </is>
      </c>
      <c r="B1535" t="inlineStr">
        <is>
          <t>samrådsanmälan</t>
        </is>
      </c>
      <c r="C1535" t="inlineStr">
        <is>
          <t>Skogsgödsling</t>
        </is>
      </c>
      <c r="D1535" s="1" t="n">
        <v>45293</v>
      </c>
      <c r="E1535" s="1" t="n">
        <v>46292</v>
      </c>
      <c r="F1535" t="inlineStr">
        <is>
          <t>GÄVLEBORGS LÄN</t>
        </is>
      </c>
      <c r="G1535" t="inlineStr">
        <is>
          <t>LJUSDAL</t>
        </is>
      </c>
      <c r="H1535" t="inlineStr">
        <is>
          <t>Bergvik skog väst AB</t>
        </is>
      </c>
      <c r="I1535" t="n">
        <v>13.4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20-2024</t>
        </is>
      </c>
      <c r="B1536" t="inlineStr">
        <is>
          <t>samrådsanmälan</t>
        </is>
      </c>
      <c r="C1536" t="inlineStr">
        <is>
          <t>Skogsgödsling</t>
        </is>
      </c>
      <c r="D1536" s="1" t="n">
        <v>45293</v>
      </c>
      <c r="E1536" s="1" t="n">
        <v>46292</v>
      </c>
      <c r="F1536" t="inlineStr">
        <is>
          <t>GÄVLEBORGS LÄN</t>
        </is>
      </c>
      <c r="G1536" t="inlineStr">
        <is>
          <t>LJUSDAL</t>
        </is>
      </c>
      <c r="H1536" t="inlineStr">
        <is>
          <t>Bergvik skog väst AB</t>
        </is>
      </c>
      <c r="I1536" t="n">
        <v>35.2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4002-2023</t>
        </is>
      </c>
      <c r="B1537" t="inlineStr">
        <is>
          <t>samrådsanmälan</t>
        </is>
      </c>
      <c r="C1537" t="inlineStr">
        <is>
          <t>Skogsgödsling</t>
        </is>
      </c>
      <c r="D1537" s="1" t="n">
        <v>45237</v>
      </c>
      <c r="E1537" s="1" t="n">
        <v>46292</v>
      </c>
      <c r="F1537" t="inlineStr">
        <is>
          <t>GÄVLEBORGS LÄN</t>
        </is>
      </c>
      <c r="G1537" t="inlineStr">
        <is>
          <t>LJUSDAL</t>
        </is>
      </c>
      <c r="H1537" t="inlineStr">
        <is>
          <t>Holmen skog AB</t>
        </is>
      </c>
      <c r="I1537" t="n">
        <v>74.40000000000001</v>
      </c>
      <c r="J1537" t="n">
        <v>0</v>
      </c>
      <c r="K1537" t="n">
        <v>0</v>
      </c>
      <c r="L1537" t="n">
        <v>0</v>
      </c>
      <c r="M1537" t="n">
        <v>0</v>
      </c>
      <c r="N1537" t="n">
        <v>0</v>
      </c>
      <c r="O1537" t="n">
        <v>0</v>
      </c>
      <c r="P1537" t="n">
        <v>0</v>
      </c>
      <c r="Q1537" t="n">
        <v>0</v>
      </c>
      <c r="R1537" t="n">
        <v>0</v>
      </c>
      <c r="S1537" t="n">
        <v>0</v>
      </c>
      <c r="T1537" t="n">
        <v>0</v>
      </c>
      <c r="U1537" t="n">
        <v>0</v>
      </c>
      <c r="V1537" s="2" t="inlineStr"/>
      <c r="Z1537">
        <f>HYPERLINK("https://klasma.github.io/Logging_2161/knärot/S 4002-2023 karta knärot.png", "S 4002-2023")</f>
        <v/>
      </c>
      <c r="AA1537">
        <f>HYPERLINK("https://klasma.github.io/Logging_2161/klagomål/S 4002-2023 FSC-klagomål.docx", "S 4002-2023")</f>
        <v/>
      </c>
      <c r="AB1537">
        <f>HYPERLINK("https://klasma.github.io/Logging_2161/klagomålsmail/S 4002-2023 FSC-klagomål mail.docx", "S 4002-2023")</f>
        <v/>
      </c>
      <c r="AC1537">
        <f>HYPERLINK("https://klasma.github.io/Logging_2161/tillsyn/S 4002-2023 tillsynsbegäran.docx", "S 4002-2023")</f>
        <v/>
      </c>
      <c r="AD1537">
        <f>HYPERLINK("https://klasma.github.io/Logging_2161/tillsynsmail/S 4002-2023 tillsynsbegäran mail.docx", "S 4002-2023")</f>
        <v/>
      </c>
    </row>
    <row r="1538" ht="15" customHeight="1">
      <c r="A1538" t="inlineStr">
        <is>
          <t>S 1604-2023</t>
        </is>
      </c>
      <c r="B1538" t="inlineStr">
        <is>
          <t>samrådsanmälan</t>
        </is>
      </c>
      <c r="C1538" t="inlineStr">
        <is>
          <t>Skogsgödsling</t>
        </is>
      </c>
      <c r="D1538" s="1" t="n">
        <v>45056</v>
      </c>
      <c r="E1538" s="1" t="n">
        <v>46292</v>
      </c>
      <c r="F1538" t="inlineStr">
        <is>
          <t>GÄVLEBORGS LÄN</t>
        </is>
      </c>
      <c r="G1538" t="inlineStr">
        <is>
          <t>LJUSDAL</t>
        </is>
      </c>
      <c r="I1538" t="n">
        <v>7.8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833-2024</t>
        </is>
      </c>
      <c r="B1539" t="inlineStr">
        <is>
          <t>samrådsanmälan</t>
        </is>
      </c>
      <c r="C1539" t="inlineStr">
        <is>
          <t>Skogsgödsling</t>
        </is>
      </c>
      <c r="D1539" s="1" t="n">
        <v>45372</v>
      </c>
      <c r="E1539" s="1" t="n">
        <v>46292</v>
      </c>
      <c r="F1539" t="inlineStr">
        <is>
          <t>GÄVLEBORGS LÄN</t>
        </is>
      </c>
      <c r="G1539" t="inlineStr">
        <is>
          <t>LJUSDAL</t>
        </is>
      </c>
      <c r="I1539" t="n">
        <v>20.9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133-2025</t>
        </is>
      </c>
      <c r="B1540" t="inlineStr">
        <is>
          <t>samrådsanmälan</t>
        </is>
      </c>
      <c r="C1540" t="inlineStr">
        <is>
          <t>Skogsgödsling</t>
        </is>
      </c>
      <c r="D1540" s="1" t="n">
        <v>45670</v>
      </c>
      <c r="E1540" s="1" t="n">
        <v>46292</v>
      </c>
      <c r="F1540" t="inlineStr">
        <is>
          <t>GÄVLEBORGS LÄN</t>
        </is>
      </c>
      <c r="G1540" t="inlineStr">
        <is>
          <t>LJUSDAL</t>
        </is>
      </c>
      <c r="H1540" t="inlineStr">
        <is>
          <t>Holmen skog AB</t>
        </is>
      </c>
      <c r="I1540" t="n">
        <v>34.8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1493-2023</t>
        </is>
      </c>
      <c r="B1541" t="inlineStr">
        <is>
          <t>samrådsanmälan</t>
        </is>
      </c>
      <c r="C1541" t="inlineStr">
        <is>
          <t>Skogsgödsling</t>
        </is>
      </c>
      <c r="D1541" s="1" t="n">
        <v>45054</v>
      </c>
      <c r="E1541" s="1" t="n">
        <v>46292</v>
      </c>
      <c r="F1541" t="inlineStr">
        <is>
          <t>GÄVLEBORGS LÄN</t>
        </is>
      </c>
      <c r="G1541" t="inlineStr">
        <is>
          <t>LJUSDAL</t>
        </is>
      </c>
      <c r="I1541" t="n">
        <v>10</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4004-2023</t>
        </is>
      </c>
      <c r="B1542" t="inlineStr">
        <is>
          <t>samrådsanmälan</t>
        </is>
      </c>
      <c r="C1542" t="inlineStr">
        <is>
          <t>Skogsgödsling</t>
        </is>
      </c>
      <c r="D1542" s="1" t="n">
        <v>45237</v>
      </c>
      <c r="E1542" s="1" t="n">
        <v>46292</v>
      </c>
      <c r="F1542" t="inlineStr">
        <is>
          <t>GÄVLEBORGS LÄN</t>
        </is>
      </c>
      <c r="G1542" t="inlineStr">
        <is>
          <t>LJUSDAL</t>
        </is>
      </c>
      <c r="H1542" t="inlineStr">
        <is>
          <t>Holmen skog AB</t>
        </is>
      </c>
      <c r="I1542" t="n">
        <v>28.3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1606-2023</t>
        </is>
      </c>
      <c r="B1543" t="inlineStr">
        <is>
          <t>samrådsanmälan</t>
        </is>
      </c>
      <c r="C1543" t="inlineStr">
        <is>
          <t>Skogsgödsling</t>
        </is>
      </c>
      <c r="D1543" s="1" t="n">
        <v>45056</v>
      </c>
      <c r="E1543" s="1" t="n">
        <v>46292</v>
      </c>
      <c r="F1543" t="inlineStr">
        <is>
          <t>GÄVLEBORGS LÄN</t>
        </is>
      </c>
      <c r="G1543" t="inlineStr">
        <is>
          <t>LJUSDAL</t>
        </is>
      </c>
      <c r="I1543" t="n">
        <v>10.8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1607-2023</t>
        </is>
      </c>
      <c r="B1544" t="inlineStr">
        <is>
          <t>samrådsanmälan</t>
        </is>
      </c>
      <c r="C1544" t="inlineStr">
        <is>
          <t>Skogsgödsling</t>
        </is>
      </c>
      <c r="D1544" s="1" t="n">
        <v>45056</v>
      </c>
      <c r="E1544" s="1" t="n">
        <v>46292</v>
      </c>
      <c r="F1544" t="inlineStr">
        <is>
          <t>GÄVLEBORGS LÄN</t>
        </is>
      </c>
      <c r="G1544" t="inlineStr">
        <is>
          <t>LJUSDAL</t>
        </is>
      </c>
      <c r="I1544" t="n">
        <v>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1671-2023</t>
        </is>
      </c>
      <c r="B1545" t="inlineStr">
        <is>
          <t>samrådsanmälan</t>
        </is>
      </c>
      <c r="C1545" t="inlineStr">
        <is>
          <t>Skogsgödsling</t>
        </is>
      </c>
      <c r="D1545" s="1" t="n">
        <v>45065</v>
      </c>
      <c r="E1545" s="1" t="n">
        <v>46292</v>
      </c>
      <c r="F1545" t="inlineStr">
        <is>
          <t>GÄVLEBORGS LÄN</t>
        </is>
      </c>
      <c r="G1545" t="inlineStr">
        <is>
          <t>LJUSDAL</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1582-2023</t>
        </is>
      </c>
      <c r="B1546" t="inlineStr">
        <is>
          <t>samrådsanmälan</t>
        </is>
      </c>
      <c r="C1546" t="inlineStr">
        <is>
          <t>Skogsgödsling</t>
        </is>
      </c>
      <c r="D1546" s="1" t="n">
        <v>45058</v>
      </c>
      <c r="E1546" s="1" t="n">
        <v>46292</v>
      </c>
      <c r="F1546" t="inlineStr">
        <is>
          <t>GÄVLEBORGS LÄN</t>
        </is>
      </c>
      <c r="G1546" t="inlineStr">
        <is>
          <t>LJUSDAL</t>
        </is>
      </c>
      <c r="I1546" t="n">
        <v>10.3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537-2025</t>
        </is>
      </c>
      <c r="B1547" t="inlineStr">
        <is>
          <t>samrådsanmälan</t>
        </is>
      </c>
      <c r="C1547" t="inlineStr">
        <is>
          <t>Skogsgödsling</t>
        </is>
      </c>
      <c r="D1547" s="1" t="n">
        <v>45708</v>
      </c>
      <c r="E1547" s="1" t="n">
        <v>46292</v>
      </c>
      <c r="F1547" t="inlineStr">
        <is>
          <t>GÄVLEBORGS LÄN</t>
        </is>
      </c>
      <c r="G1547" t="inlineStr">
        <is>
          <t>LJUSDAL</t>
        </is>
      </c>
      <c r="H1547" t="inlineStr">
        <is>
          <t>Bergvik skog väst AB</t>
        </is>
      </c>
      <c r="I1547" t="n">
        <v>35.7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40-2025</t>
        </is>
      </c>
      <c r="B1548" t="inlineStr">
        <is>
          <t>samrådsanmälan</t>
        </is>
      </c>
      <c r="C1548" t="inlineStr">
        <is>
          <t>Skogsgödsling</t>
        </is>
      </c>
      <c r="D1548" s="1" t="n">
        <v>45665</v>
      </c>
      <c r="E1548" s="1" t="n">
        <v>46292</v>
      </c>
      <c r="F1548" t="inlineStr">
        <is>
          <t>GÄVLEBORGS LÄN</t>
        </is>
      </c>
      <c r="G1548" t="inlineStr">
        <is>
          <t>LJUSDAL</t>
        </is>
      </c>
      <c r="H1548" t="inlineStr">
        <is>
          <t>Bergvik skog väst AB</t>
        </is>
      </c>
      <c r="I1548" t="n">
        <v>325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589-2025</t>
        </is>
      </c>
      <c r="B1549" t="inlineStr">
        <is>
          <t>samrådsanmälan</t>
        </is>
      </c>
      <c r="C1549" t="inlineStr">
        <is>
          <t>Skogsgödsling</t>
        </is>
      </c>
      <c r="D1549" s="1" t="n">
        <v>45712</v>
      </c>
      <c r="E1549" s="1" t="n">
        <v>46292</v>
      </c>
      <c r="F1549" t="inlineStr">
        <is>
          <t>GÄVLEBORGS LÄN</t>
        </is>
      </c>
      <c r="G1549" t="inlineStr">
        <is>
          <t>LJUSDAL</t>
        </is>
      </c>
      <c r="H1549" t="inlineStr">
        <is>
          <t>Allmännings- och besparingsskogar</t>
        </is>
      </c>
      <c r="I1549" t="n">
        <v>42.3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4002-2024</t>
        </is>
      </c>
      <c r="B1550" t="inlineStr">
        <is>
          <t>samrådsanmälan</t>
        </is>
      </c>
      <c r="C1550" t="inlineStr">
        <is>
          <t>Annan skogsbruksåtgärd</t>
        </is>
      </c>
      <c r="D1550" s="1" t="n">
        <v>45569</v>
      </c>
      <c r="E1550" s="1" t="n">
        <v>46292</v>
      </c>
      <c r="F1550" t="inlineStr">
        <is>
          <t>GÄVLEBORGS LÄN</t>
        </is>
      </c>
      <c r="G1550" t="inlineStr">
        <is>
          <t>LJUSDAL</t>
        </is>
      </c>
      <c r="H1550" t="inlineStr">
        <is>
          <t>Bergvik skog väst AB</t>
        </is>
      </c>
      <c r="I1550" t="n">
        <v>14.2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1342-2025</t>
        </is>
      </c>
      <c r="B1551" t="inlineStr">
        <is>
          <t>samrådsanmälan</t>
        </is>
      </c>
      <c r="C1551" t="inlineStr">
        <is>
          <t>Annan skogsbruksåtgärd</t>
        </is>
      </c>
      <c r="D1551" s="1" t="n">
        <v>45771</v>
      </c>
      <c r="E1551" s="1" t="n">
        <v>46292</v>
      </c>
      <c r="F1551" t="inlineStr">
        <is>
          <t>GÄVLEBORGS LÄN</t>
        </is>
      </c>
      <c r="G1551" t="inlineStr">
        <is>
          <t>LJUSDAL</t>
        </is>
      </c>
      <c r="H1551" t="inlineStr">
        <is>
          <t>Sveaskog</t>
        </is>
      </c>
      <c r="I1551" t="n">
        <v>7.7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1640-2025</t>
        </is>
      </c>
      <c r="B1552" t="inlineStr">
        <is>
          <t>samrådsanmälan</t>
        </is>
      </c>
      <c r="C1552" t="inlineStr">
        <is>
          <t>Skogsgödsling</t>
        </is>
      </c>
      <c r="D1552" s="1" t="n">
        <v>45799</v>
      </c>
      <c r="E1552" s="1" t="n">
        <v>46292</v>
      </c>
      <c r="F1552" t="inlineStr">
        <is>
          <t>GÄVLEBORGS LÄN</t>
        </is>
      </c>
      <c r="G1552" t="inlineStr">
        <is>
          <t>LJUSDAL</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2019-2025</t>
        </is>
      </c>
      <c r="B1553" t="inlineStr">
        <is>
          <t>samrådsanmälan</t>
        </is>
      </c>
      <c r="C1553" t="inlineStr">
        <is>
          <t>Annan skogsbruksåtgärd</t>
        </is>
      </c>
      <c r="D1553" s="1" t="n">
        <v>45835</v>
      </c>
      <c r="E1553" s="1" t="n">
        <v>46292</v>
      </c>
      <c r="F1553" t="inlineStr">
        <is>
          <t>GÄVLEBORGS LÄN</t>
        </is>
      </c>
      <c r="G1553" t="inlineStr">
        <is>
          <t>LJUSDAL</t>
        </is>
      </c>
      <c r="H1553" t="inlineStr">
        <is>
          <t>Sveaskog</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2266-2025</t>
        </is>
      </c>
      <c r="B1554" t="inlineStr">
        <is>
          <t>samrådsanmälan</t>
        </is>
      </c>
      <c r="C1554" t="inlineStr">
        <is>
          <t>Annan skogsbruksåtgärd</t>
        </is>
      </c>
      <c r="D1554" s="1" t="n">
        <v>45874</v>
      </c>
      <c r="E1554" s="1" t="n">
        <v>46292</v>
      </c>
      <c r="F1554" t="inlineStr">
        <is>
          <t>GÄVLEBORGS LÄN</t>
        </is>
      </c>
      <c r="G1554" t="inlineStr">
        <is>
          <t>LJUSDAL</t>
        </is>
      </c>
      <c r="H1554" t="inlineStr">
        <is>
          <t>Sveaskog</t>
        </is>
      </c>
      <c r="I1554" t="n">
        <v>6.2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2696-2025</t>
        </is>
      </c>
      <c r="B1555" t="inlineStr">
        <is>
          <t>samrådsanmälan</t>
        </is>
      </c>
      <c r="C1555" t="inlineStr">
        <is>
          <t>Annan skogsbruksåtgärd</t>
        </is>
      </c>
      <c r="D1555" s="1" t="n">
        <v>45926</v>
      </c>
      <c r="E1555" s="1" t="n">
        <v>46292</v>
      </c>
      <c r="F1555" t="inlineStr">
        <is>
          <t>GÄVLEBORGS LÄN</t>
        </is>
      </c>
      <c r="G1555" t="inlineStr">
        <is>
          <t>LJUSDAL</t>
        </is>
      </c>
      <c r="H1555" t="inlineStr">
        <is>
          <t>Sveaskog</t>
        </is>
      </c>
      <c r="I1555" t="n">
        <v>21.1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2842-2025</t>
        </is>
      </c>
      <c r="B1556" t="inlineStr">
        <is>
          <t>samrådsanmälan</t>
        </is>
      </c>
      <c r="C1556" t="inlineStr">
        <is>
          <t>Skogsgödsling</t>
        </is>
      </c>
      <c r="D1556" s="1" t="n">
        <v>45939</v>
      </c>
      <c r="E1556" s="1" t="n">
        <v>46292</v>
      </c>
      <c r="F1556" t="inlineStr">
        <is>
          <t>GÄVLEBORGS LÄN</t>
        </is>
      </c>
      <c r="G1556" t="inlineStr">
        <is>
          <t>LJUSDAL</t>
        </is>
      </c>
      <c r="H1556" t="inlineStr">
        <is>
          <t>Allmännings- och besparingsskogar</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2820-2025</t>
        </is>
      </c>
      <c r="B1557" t="inlineStr">
        <is>
          <t>samrådsanmälan</t>
        </is>
      </c>
      <c r="C1557" t="inlineStr">
        <is>
          <t>Skogsgödsling</t>
        </is>
      </c>
      <c r="D1557" s="1" t="n">
        <v>45939</v>
      </c>
      <c r="E1557" s="1" t="n">
        <v>46292</v>
      </c>
      <c r="F1557" t="inlineStr">
        <is>
          <t>GÄVLEBORGS LÄN</t>
        </is>
      </c>
      <c r="G1557" t="inlineStr">
        <is>
          <t>LJUSDAL</t>
        </is>
      </c>
      <c r="H1557" t="inlineStr">
        <is>
          <t>Allmännings- och besparingsskogar</t>
        </is>
      </c>
      <c r="I1557" t="n">
        <v>11.5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2829-2025</t>
        </is>
      </c>
      <c r="B1558" t="inlineStr">
        <is>
          <t>samrådsanmälan</t>
        </is>
      </c>
      <c r="C1558" t="inlineStr">
        <is>
          <t>Skogsgödsling</t>
        </is>
      </c>
      <c r="D1558" s="1" t="n">
        <v>45939</v>
      </c>
      <c r="E1558" s="1" t="n">
        <v>46292</v>
      </c>
      <c r="F1558" t="inlineStr">
        <is>
          <t>GÄVLEBORGS LÄN</t>
        </is>
      </c>
      <c r="G1558" t="inlineStr">
        <is>
          <t>LJUSDAL</t>
        </is>
      </c>
      <c r="H1558" t="inlineStr">
        <is>
          <t>Allmännings- och besparingsskogar</t>
        </is>
      </c>
      <c r="I1558" t="n">
        <v>60.2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2822-2025</t>
        </is>
      </c>
      <c r="B1559" t="inlineStr">
        <is>
          <t>samrådsanmälan</t>
        </is>
      </c>
      <c r="C1559" t="inlineStr">
        <is>
          <t>Skogsgödsling</t>
        </is>
      </c>
      <c r="D1559" s="1" t="n">
        <v>45939</v>
      </c>
      <c r="E1559" s="1" t="n">
        <v>46292</v>
      </c>
      <c r="F1559" t="inlineStr">
        <is>
          <t>GÄVLEBORGS LÄN</t>
        </is>
      </c>
      <c r="G1559" t="inlineStr">
        <is>
          <t>LJUSDAL</t>
        </is>
      </c>
      <c r="H1559" t="inlineStr">
        <is>
          <t>Allmännings- och besparingsskogar</t>
        </is>
      </c>
      <c r="I1559" t="n">
        <v>39.8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2830-2025</t>
        </is>
      </c>
      <c r="B1560" t="inlineStr">
        <is>
          <t>samrådsanmälan</t>
        </is>
      </c>
      <c r="C1560" t="inlineStr">
        <is>
          <t>Skogsgödsling</t>
        </is>
      </c>
      <c r="D1560" s="1" t="n">
        <v>45939</v>
      </c>
      <c r="E1560" s="1" t="n">
        <v>46292</v>
      </c>
      <c r="F1560" t="inlineStr">
        <is>
          <t>GÄVLEBORGS LÄN</t>
        </is>
      </c>
      <c r="G1560" t="inlineStr">
        <is>
          <t>LJUSDAL</t>
        </is>
      </c>
      <c r="H1560" t="inlineStr">
        <is>
          <t>Allmännings- och besparingsskogar</t>
        </is>
      </c>
      <c r="I1560" t="n">
        <v>23.4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2828-2025</t>
        </is>
      </c>
      <c r="B1561" t="inlineStr">
        <is>
          <t>samrådsanmälan</t>
        </is>
      </c>
      <c r="C1561" t="inlineStr">
        <is>
          <t>Skogsgödsling</t>
        </is>
      </c>
      <c r="D1561" s="1" t="n">
        <v>45939</v>
      </c>
      <c r="E1561" s="1" t="n">
        <v>46292</v>
      </c>
      <c r="F1561" t="inlineStr">
        <is>
          <t>GÄVLEBORGS LÄN</t>
        </is>
      </c>
      <c r="G1561" t="inlineStr">
        <is>
          <t>LJUSDAL</t>
        </is>
      </c>
      <c r="H1561" t="inlineStr">
        <is>
          <t>Allmännings- och besparingsskogar</t>
        </is>
      </c>
      <c r="I1561" t="n">
        <v>5.5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2825-2025</t>
        </is>
      </c>
      <c r="B1562" t="inlineStr">
        <is>
          <t>samrådsanmälan</t>
        </is>
      </c>
      <c r="C1562" t="inlineStr">
        <is>
          <t>Skogsgödsling</t>
        </is>
      </c>
      <c r="D1562" s="1" t="n">
        <v>45939</v>
      </c>
      <c r="E1562" s="1" t="n">
        <v>46292</v>
      </c>
      <c r="F1562" t="inlineStr">
        <is>
          <t>GÄVLEBORGS LÄN</t>
        </is>
      </c>
      <c r="G1562" t="inlineStr">
        <is>
          <t>LJUSDAL</t>
        </is>
      </c>
      <c r="H1562" t="inlineStr">
        <is>
          <t>Allmännings- och besparingsskogar</t>
        </is>
      </c>
      <c r="I1562" t="n">
        <v>55.9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3377-2025</t>
        </is>
      </c>
      <c r="B1563" t="inlineStr">
        <is>
          <t>samrådsanmälan</t>
        </is>
      </c>
      <c r="C1563" t="inlineStr">
        <is>
          <t>Skogsgödsling</t>
        </is>
      </c>
      <c r="D1563" s="1" t="n">
        <v>45993</v>
      </c>
      <c r="E1563" s="1" t="n">
        <v>46292</v>
      </c>
      <c r="F1563" t="inlineStr">
        <is>
          <t>GÄVLEBORGS LÄN</t>
        </is>
      </c>
      <c r="G1563" t="inlineStr">
        <is>
          <t>LJUSDAL</t>
        </is>
      </c>
      <c r="H1563" t="inlineStr">
        <is>
          <t>Holmen skog AB</t>
        </is>
      </c>
      <c r="I1563" t="n">
        <v>25.8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3375-2025</t>
        </is>
      </c>
      <c r="B1564" t="inlineStr">
        <is>
          <t>samrådsanmälan</t>
        </is>
      </c>
      <c r="C1564" t="inlineStr">
        <is>
          <t>Skogsgödsling</t>
        </is>
      </c>
      <c r="D1564" s="1" t="n">
        <v>45993</v>
      </c>
      <c r="E1564" s="1" t="n">
        <v>46292</v>
      </c>
      <c r="F1564" t="inlineStr">
        <is>
          <t>GÄVLEBORGS LÄN</t>
        </is>
      </c>
      <c r="G1564" t="inlineStr">
        <is>
          <t>LJUSDAL</t>
        </is>
      </c>
      <c r="H1564" t="inlineStr">
        <is>
          <t>Holmen skog AB</t>
        </is>
      </c>
      <c r="I1564" t="n">
        <v>223.3</v>
      </c>
      <c r="J1564" t="n">
        <v>0</v>
      </c>
      <c r="K1564" t="n">
        <v>0</v>
      </c>
      <c r="L1564" t="n">
        <v>0</v>
      </c>
      <c r="M1564" t="n">
        <v>0</v>
      </c>
      <c r="N1564" t="n">
        <v>0</v>
      </c>
      <c r="O1564" t="n">
        <v>0</v>
      </c>
      <c r="P1564" t="n">
        <v>0</v>
      </c>
      <c r="Q1564" t="n">
        <v>0</v>
      </c>
      <c r="R1564" t="n">
        <v>0</v>
      </c>
      <c r="S1564" t="n">
        <v>0</v>
      </c>
      <c r="T1564" t="n">
        <v>0</v>
      </c>
      <c r="U1564" t="n">
        <v>0</v>
      </c>
      <c r="V1564" s="2" t="inlineStr"/>
      <c r="Z1564">
        <f>HYPERLINK("https://klasma.github.io/Logging_2161/knärot/S 3375-2025 karta knärot.png", "S 3375-2025")</f>
        <v/>
      </c>
      <c r="AA1564">
        <f>HYPERLINK("https://klasma.github.io/Logging_2161/klagomål/S 3375-2025 FSC-klagomål.docx", "S 3375-2025")</f>
        <v/>
      </c>
      <c r="AB1564">
        <f>HYPERLINK("https://klasma.github.io/Logging_2161/klagomålsmail/S 3375-2025 FSC-klagomål mail.docx", "S 3375-2025")</f>
        <v/>
      </c>
      <c r="AC1564">
        <f>HYPERLINK("https://klasma.github.io/Logging_2161/tillsyn/S 3375-2025 tillsynsbegäran.docx", "S 3375-2025")</f>
        <v/>
      </c>
      <c r="AD1564">
        <f>HYPERLINK("https://klasma.github.io/Logging_2161/tillsynsmail/S 3375-2025 tillsynsbegäran mail.docx", "S 3375-2025")</f>
        <v/>
      </c>
    </row>
    <row r="1565" ht="15" customHeight="1">
      <c r="A1565" t="inlineStr">
        <is>
          <t>S 3378-2025</t>
        </is>
      </c>
      <c r="B1565" t="inlineStr">
        <is>
          <t>samrådsanmälan</t>
        </is>
      </c>
      <c r="C1565" t="inlineStr">
        <is>
          <t>Skogsgödsling</t>
        </is>
      </c>
      <c r="D1565" s="1" t="n">
        <v>45993</v>
      </c>
      <c r="E1565" s="1" t="n">
        <v>46292</v>
      </c>
      <c r="F1565" t="inlineStr">
        <is>
          <t>GÄVLEBORGS LÄN</t>
        </is>
      </c>
      <c r="G1565" t="inlineStr">
        <is>
          <t>LJUSDAL</t>
        </is>
      </c>
      <c r="H1565" t="inlineStr">
        <is>
          <t>Holmen skog AB</t>
        </is>
      </c>
      <c r="I1565" t="n">
        <v>76.5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3381-2025</t>
        </is>
      </c>
      <c r="B1566" t="inlineStr">
        <is>
          <t>samrådsanmälan</t>
        </is>
      </c>
      <c r="C1566" t="inlineStr">
        <is>
          <t>Skogsgödsling</t>
        </is>
      </c>
      <c r="D1566" s="1" t="n">
        <v>45993</v>
      </c>
      <c r="E1566" s="1" t="n">
        <v>46292</v>
      </c>
      <c r="F1566" t="inlineStr">
        <is>
          <t>GÄVLEBORGS LÄN</t>
        </is>
      </c>
      <c r="G1566" t="inlineStr">
        <is>
          <t>LJUSDAL</t>
        </is>
      </c>
      <c r="H1566" t="inlineStr">
        <is>
          <t>Holmen skog AB</t>
        </is>
      </c>
      <c r="I1566" t="n">
        <v>42.3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3382-2025</t>
        </is>
      </c>
      <c r="B1567" t="inlineStr">
        <is>
          <t>samrådsanmälan</t>
        </is>
      </c>
      <c r="C1567" t="inlineStr">
        <is>
          <t>Skogsgödsling</t>
        </is>
      </c>
      <c r="D1567" s="1" t="n">
        <v>45993</v>
      </c>
      <c r="E1567" s="1" t="n">
        <v>46292</v>
      </c>
      <c r="F1567" t="inlineStr">
        <is>
          <t>GÄVLEBORGS LÄN</t>
        </is>
      </c>
      <c r="G1567" t="inlineStr">
        <is>
          <t>LJUSDAL</t>
        </is>
      </c>
      <c r="H1567" t="inlineStr">
        <is>
          <t>Holmen skog AB</t>
        </is>
      </c>
      <c r="I1567" t="n">
        <v>108.8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3456-2025</t>
        </is>
      </c>
      <c r="B1568" t="inlineStr">
        <is>
          <t>samrådsanmälan</t>
        </is>
      </c>
      <c r="C1568" t="inlineStr">
        <is>
          <t>Annan skogsbruksåtgärd</t>
        </is>
      </c>
      <c r="D1568" s="1" t="n">
        <v>45999</v>
      </c>
      <c r="E1568" s="1" t="n">
        <v>46292</v>
      </c>
      <c r="F1568" t="inlineStr">
        <is>
          <t>GÄVLEBORGS LÄN</t>
        </is>
      </c>
      <c r="G1568" t="inlineStr">
        <is>
          <t>LJUSDAL</t>
        </is>
      </c>
      <c r="H1568" t="inlineStr">
        <is>
          <t>Allmännings- och besparingsskogar</t>
        </is>
      </c>
      <c r="I1568" t="n">
        <v>20.6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217-2025</t>
        </is>
      </c>
      <c r="B1569" t="inlineStr">
        <is>
          <t>samrådsanmälan</t>
        </is>
      </c>
      <c r="C1569" t="inlineStr">
        <is>
          <t>Skogsgödsling</t>
        </is>
      </c>
      <c r="D1569" s="1" t="n">
        <v>45679</v>
      </c>
      <c r="E1569" s="1" t="n">
        <v>46292</v>
      </c>
      <c r="F1569" t="inlineStr">
        <is>
          <t>GÄVLEBORGS LÄN</t>
        </is>
      </c>
      <c r="G1569" t="inlineStr">
        <is>
          <t>LJUSDAL</t>
        </is>
      </c>
      <c r="I1569" t="n">
        <v>12.7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896-2026</t>
        </is>
      </c>
      <c r="B1570" t="inlineStr">
        <is>
          <t>samrådsanmälan</t>
        </is>
      </c>
      <c r="C1570" t="inlineStr">
        <is>
          <t>Annan skogsbruksåtgärd</t>
        </is>
      </c>
      <c r="D1570" s="1" t="n">
        <v>46108</v>
      </c>
      <c r="E1570" s="1" t="n">
        <v>46292</v>
      </c>
      <c r="F1570" t="inlineStr">
        <is>
          <t>GÄVLEBORGS LÄN</t>
        </is>
      </c>
      <c r="G1570" t="inlineStr">
        <is>
          <t>LJUSDAL</t>
        </is>
      </c>
      <c r="I1570" t="n">
        <v>5.9</v>
      </c>
      <c r="J1570" t="n">
        <v>0</v>
      </c>
      <c r="K1570" t="n">
        <v>0</v>
      </c>
      <c r="L1570" t="n">
        <v>0</v>
      </c>
      <c r="M1570" t="n">
        <v>0</v>
      </c>
      <c r="N1570" t="n">
        <v>0</v>
      </c>
      <c r="O1570" t="n">
        <v>0</v>
      </c>
      <c r="P1570" t="n">
        <v>0</v>
      </c>
      <c r="Q1570" t="n">
        <v>0</v>
      </c>
      <c r="R1570" t="n">
        <v>0</v>
      </c>
      <c r="S1570" t="n">
        <v>0</v>
      </c>
      <c r="T1570" t="n">
        <v>0</v>
      </c>
      <c r="U1570" t="n">
        <v>0</v>
      </c>
      <c r="V1570" s="2" t="inlineStr"/>
    </row>
    <row r="1571">
      <c r="A1571" t="inlineStr">
        <is>
          <t>S 2039-2026</t>
        </is>
      </c>
      <c r="B1571" t="inlineStr">
        <is>
          <t>samrådsanmälan</t>
        </is>
      </c>
      <c r="C1571" t="inlineStr">
        <is>
          <t>Annan skogsbruksåtgärd</t>
        </is>
      </c>
      <c r="D1571" s="1" t="n">
        <v>46211</v>
      </c>
      <c r="E1571" s="1" t="n">
        <v>46292</v>
      </c>
      <c r="F1571" t="inlineStr">
        <is>
          <t>GÄVLEBORGS LÄN</t>
        </is>
      </c>
      <c r="G1571" t="inlineStr">
        <is>
          <t>LJUSDAL</t>
        </is>
      </c>
      <c r="H1571" t="inlineStr">
        <is>
          <t>Kyrkan</t>
        </is>
      </c>
      <c r="I1571" t="n">
        <v>1.6</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2039-2026 karta knärot.png", "S 2039-2026")</f>
        <v/>
      </c>
      <c r="AA1571">
        <f>HYPERLINK("https://klasma.github.io/Logging_2161/klagomål/S 2039-2026 FSC-klagomål.docx", "S 2039-2026")</f>
        <v/>
      </c>
      <c r="AB1571">
        <f>HYPERLINK("https://klasma.github.io/Logging_2161/klagomålsmail/S 2039-2026 FSC-klagomål mail.docx", "S 2039-2026")</f>
        <v/>
      </c>
      <c r="AC1571">
        <f>HYPERLINK("https://klasma.github.io/Logging_2161/tillsyn/S 2039-2026 tillsynsbegäran.docx", "S 2039-2026")</f>
        <v/>
      </c>
      <c r="AD1571">
        <f>HYPERLINK("https://klasma.github.io/Logging_2161/tillsynsmail/S 2039-2026 tillsynsbegäran mail.docx", "S 2039-2026")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2026-09-27T02:01:29Z</dcterms:created>
  <dcterms:modified xmlns:dcterms="http://purl.org/dc/terms/" xmlns:xsi="http://www.w3.org/2001/XMLSchema-instance" xsi:type="dcterms:W3CDTF">2026-09-27T02:01:31Z</dcterms:modified>
</cp:coreProperties>
</file>