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45725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45725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45725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45725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45725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45725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45725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45725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45725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45725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45725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45725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45725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45725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45725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45725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45725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45725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45725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45725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45725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45725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45725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45725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45725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45725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45725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45725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45725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45725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45725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45725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45725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45725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45725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45725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45725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45725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45725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45725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45725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45725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45725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45725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45725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45725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45725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45725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45725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45725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45725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45725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45725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45725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45725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45725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45725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45725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45725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45725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45725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45725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45725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45725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45725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45725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45725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45725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45725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45725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45725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45725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45725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45725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11000-2025</t>
        </is>
      </c>
      <c r="B163" s="1" t="n">
        <v>45723</v>
      </c>
      <c r="C163" s="1" t="n">
        <v>45725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10.8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Garnlav
Fläcknycklar</t>
        </is>
      </c>
      <c r="S163">
        <f>HYPERLINK("https://klasma.github.io/Logging_2161/artfynd/A 11000-2025 artfynd.xlsx", "A 11000-2025")</f>
        <v/>
      </c>
      <c r="T163">
        <f>HYPERLINK("https://klasma.github.io/Logging_2161/kartor/A 11000-2025 karta.png", "A 11000-2025")</f>
        <v/>
      </c>
      <c r="V163">
        <f>HYPERLINK("https://klasma.github.io/Logging_2161/klagomål/A 11000-2025 FSC-klagomål.docx", "A 11000-2025")</f>
        <v/>
      </c>
      <c r="W163">
        <f>HYPERLINK("https://klasma.github.io/Logging_2161/klagomålsmail/A 11000-2025 FSC-klagomål mail.docx", "A 11000-2025")</f>
        <v/>
      </c>
      <c r="X163">
        <f>HYPERLINK("https://klasma.github.io/Logging_2161/tillsyn/A 11000-2025 tillsynsbegäran.docx", "A 11000-2025")</f>
        <v/>
      </c>
      <c r="Y163">
        <f>HYPERLINK("https://klasma.github.io/Logging_2161/tillsynsmail/A 11000-2025 tillsynsbegäran mail.docx", "A 11000-2025")</f>
        <v/>
      </c>
    </row>
    <row r="164" ht="15" customHeight="1">
      <c r="A164" t="inlineStr">
        <is>
          <t>A 17966-2019</t>
        </is>
      </c>
      <c r="B164" s="1" t="n">
        <v>43557</v>
      </c>
      <c r="C164" s="1" t="n">
        <v>45725</v>
      </c>
      <c r="D164" t="inlineStr">
        <is>
          <t>GÄVLEBORGS LÄN</t>
        </is>
      </c>
      <c r="E164" t="inlineStr">
        <is>
          <t>LJUSDAL</t>
        </is>
      </c>
      <c r="G164" t="n">
        <v>0.7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HYPERLINK("https://klasma.github.io/Logging_2161/artfynd/A 17966-2019 artfynd.xlsx", "A 17966-2019")</f>
        <v/>
      </c>
      <c r="T164">
        <f>HYPERLINK("https://klasma.github.io/Logging_2161/kartor/A 17966-2019 karta.png", "A 17966-2019")</f>
        <v/>
      </c>
      <c r="V164">
        <f>HYPERLINK("https://klasma.github.io/Logging_2161/klagomål/A 17966-2019 FSC-klagomål.docx", "A 17966-2019")</f>
        <v/>
      </c>
      <c r="W164">
        <f>HYPERLINK("https://klasma.github.io/Logging_2161/klagomålsmail/A 17966-2019 FSC-klagomål mail.docx", "A 17966-2019")</f>
        <v/>
      </c>
      <c r="X164">
        <f>HYPERLINK("https://klasma.github.io/Logging_2161/tillsyn/A 17966-2019 tillsynsbegäran.docx", "A 17966-2019")</f>
        <v/>
      </c>
      <c r="Y164">
        <f>HYPERLINK("https://klasma.github.io/Logging_2161/tillsynsmail/A 17966-2019 tillsynsbegäran mail.docx", "A 17966-2019")</f>
        <v/>
      </c>
      <c r="Z164">
        <f>HYPERLINK("https://klasma.github.io/Logging_2161/fåglar/A 17966-2019 prioriterade fågelarter.docx", "A 17966-2019")</f>
        <v/>
      </c>
    </row>
    <row r="165" ht="15" customHeight="1">
      <c r="A165" t="inlineStr">
        <is>
          <t>A 67154-2019</t>
        </is>
      </c>
      <c r="B165" s="1" t="n">
        <v>43811</v>
      </c>
      <c r="C165" s="1" t="n">
        <v>45725</v>
      </c>
      <c r="D165" t="inlineStr">
        <is>
          <t>GÄVLEBORGS LÄN</t>
        </is>
      </c>
      <c r="E165" t="inlineStr">
        <is>
          <t>LJUSDAL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Rosenticka</t>
        </is>
      </c>
      <c r="S165">
        <f>HYPERLINK("https://klasma.github.io/Logging_2161/artfynd/A 67154-2019 artfynd.xlsx", "A 67154-2019")</f>
        <v/>
      </c>
      <c r="T165">
        <f>HYPERLINK("https://klasma.github.io/Logging_2161/kartor/A 67154-2019 karta.png", "A 67154-2019")</f>
        <v/>
      </c>
      <c r="V165">
        <f>HYPERLINK("https://klasma.github.io/Logging_2161/klagomål/A 67154-2019 FSC-klagomål.docx", "A 67154-2019")</f>
        <v/>
      </c>
      <c r="W165">
        <f>HYPERLINK("https://klasma.github.io/Logging_2161/klagomålsmail/A 67154-2019 FSC-klagomål mail.docx", "A 67154-2019")</f>
        <v/>
      </c>
      <c r="X165">
        <f>HYPERLINK("https://klasma.github.io/Logging_2161/tillsyn/A 67154-2019 tillsynsbegäran.docx", "A 67154-2019")</f>
        <v/>
      </c>
      <c r="Y165">
        <f>HYPERLINK("https://klasma.github.io/Logging_2161/tillsynsmail/A 67154-2019 tillsynsbegäran mail.docx", "A 67154-2019")</f>
        <v/>
      </c>
    </row>
    <row r="166" ht="15" customHeight="1">
      <c r="A166" t="inlineStr">
        <is>
          <t>A 7560-2020</t>
        </is>
      </c>
      <c r="B166" s="1" t="n">
        <v>43872</v>
      </c>
      <c r="C166" s="1" t="n">
        <v>45725</v>
      </c>
      <c r="D166" t="inlineStr">
        <is>
          <t>GÄVLEBORGS LÄN</t>
        </is>
      </c>
      <c r="E166" t="inlineStr">
        <is>
          <t>LJUSDAL</t>
        </is>
      </c>
      <c r="G166" t="n">
        <v>3.9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Blanksvart spiklav</t>
        </is>
      </c>
      <c r="S166">
        <f>HYPERLINK("https://klasma.github.io/Logging_2161/artfynd/A 7560-2020 artfynd.xlsx", "A 7560-2020")</f>
        <v/>
      </c>
      <c r="T166">
        <f>HYPERLINK("https://klasma.github.io/Logging_2161/kartor/A 7560-2020 karta.png", "A 7560-2020")</f>
        <v/>
      </c>
      <c r="V166">
        <f>HYPERLINK("https://klasma.github.io/Logging_2161/klagomål/A 7560-2020 FSC-klagomål.docx", "A 7560-2020")</f>
        <v/>
      </c>
      <c r="W166">
        <f>HYPERLINK("https://klasma.github.io/Logging_2161/klagomålsmail/A 7560-2020 FSC-klagomål mail.docx", "A 7560-2020")</f>
        <v/>
      </c>
      <c r="X166">
        <f>HYPERLINK("https://klasma.github.io/Logging_2161/tillsyn/A 7560-2020 tillsynsbegäran.docx", "A 7560-2020")</f>
        <v/>
      </c>
      <c r="Y166">
        <f>HYPERLINK("https://klasma.github.io/Logging_2161/tillsynsmail/A 7560-2020 tillsynsbegäran mail.docx", "A 7560-2020")</f>
        <v/>
      </c>
    </row>
    <row r="167" ht="15" customHeight="1">
      <c r="A167" t="inlineStr">
        <is>
          <t>A 19023-2020</t>
        </is>
      </c>
      <c r="B167" s="1" t="n">
        <v>43936</v>
      </c>
      <c r="C167" s="1" t="n">
        <v>45725</v>
      </c>
      <c r="D167" t="inlineStr">
        <is>
          <t>GÄVLEBORGS LÄN</t>
        </is>
      </c>
      <c r="E167" t="inlineStr">
        <is>
          <t>LJUSDAL</t>
        </is>
      </c>
      <c r="G167" t="n">
        <v>5.9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Violettgrå tagellav</t>
        </is>
      </c>
      <c r="S167">
        <f>HYPERLINK("https://klasma.github.io/Logging_2161/artfynd/A 19023-2020 artfynd.xlsx", "A 19023-2020")</f>
        <v/>
      </c>
      <c r="T167">
        <f>HYPERLINK("https://klasma.github.io/Logging_2161/kartor/A 19023-2020 karta.png", "A 19023-2020")</f>
        <v/>
      </c>
      <c r="V167">
        <f>HYPERLINK("https://klasma.github.io/Logging_2161/klagomål/A 19023-2020 FSC-klagomål.docx", "A 19023-2020")</f>
        <v/>
      </c>
      <c r="W167">
        <f>HYPERLINK("https://klasma.github.io/Logging_2161/klagomålsmail/A 19023-2020 FSC-klagomål mail.docx", "A 19023-2020")</f>
        <v/>
      </c>
      <c r="X167">
        <f>HYPERLINK("https://klasma.github.io/Logging_2161/tillsyn/A 19023-2020 tillsynsbegäran.docx", "A 19023-2020")</f>
        <v/>
      </c>
      <c r="Y167">
        <f>HYPERLINK("https://klasma.github.io/Logging_2161/tillsynsmail/A 19023-2020 tillsynsbegäran mail.docx", "A 19023-2020")</f>
        <v/>
      </c>
    </row>
    <row r="168" ht="15" customHeight="1">
      <c r="A168" t="inlineStr">
        <is>
          <t>A 25005-2020</t>
        </is>
      </c>
      <c r="B168" s="1" t="n">
        <v>43979</v>
      </c>
      <c r="C168" s="1" t="n">
        <v>45725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HYPERLINK("https://klasma.github.io/Logging_2161/artfynd/A 25005-2020 artfynd.xlsx", "A 25005-2020")</f>
        <v/>
      </c>
      <c r="T168">
        <f>HYPERLINK("https://klasma.github.io/Logging_2161/kartor/A 25005-2020 karta.png", "A 25005-2020")</f>
        <v/>
      </c>
      <c r="V168">
        <f>HYPERLINK("https://klasma.github.io/Logging_2161/klagomål/A 25005-2020 FSC-klagomål.docx", "A 25005-2020")</f>
        <v/>
      </c>
      <c r="W168">
        <f>HYPERLINK("https://klasma.github.io/Logging_2161/klagomålsmail/A 25005-2020 FSC-klagomål mail.docx", "A 25005-2020")</f>
        <v/>
      </c>
      <c r="X168">
        <f>HYPERLINK("https://klasma.github.io/Logging_2161/tillsyn/A 25005-2020 tillsynsbegäran.docx", "A 25005-2020")</f>
        <v/>
      </c>
      <c r="Y168">
        <f>HYPERLINK("https://klasma.github.io/Logging_2161/tillsynsmail/A 25005-2020 tillsynsbegäran mail.docx", "A 25005-2020")</f>
        <v/>
      </c>
    </row>
    <row r="169" ht="15" customHeight="1">
      <c r="A169" t="inlineStr">
        <is>
          <t>A 38855-2020</t>
        </is>
      </c>
      <c r="B169" s="1" t="n">
        <v>44062</v>
      </c>
      <c r="C169" s="1" t="n">
        <v>45725</v>
      </c>
      <c r="D169" t="inlineStr">
        <is>
          <t>GÄVLEBORGS LÄN</t>
        </is>
      </c>
      <c r="E169" t="inlineStr">
        <is>
          <t>LJUSDAL</t>
        </is>
      </c>
      <c r="F169" t="inlineStr">
        <is>
          <t>Holmen skog AB</t>
        </is>
      </c>
      <c r="G169" t="n">
        <v>3.8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38855-2020 artfynd.xlsx", "A 38855-2020")</f>
        <v/>
      </c>
      <c r="T169">
        <f>HYPERLINK("https://klasma.github.io/Logging_2161/kartor/A 38855-2020 karta.png", "A 38855-2020")</f>
        <v/>
      </c>
      <c r="U169">
        <f>HYPERLINK("https://klasma.github.io/Logging_2161/knärot/A 38855-2020 karta knärot.png", "A 38855-2020")</f>
        <v/>
      </c>
      <c r="V169">
        <f>HYPERLINK("https://klasma.github.io/Logging_2161/klagomål/A 38855-2020 FSC-klagomål.docx", "A 38855-2020")</f>
        <v/>
      </c>
      <c r="W169">
        <f>HYPERLINK("https://klasma.github.io/Logging_2161/klagomålsmail/A 38855-2020 FSC-klagomål mail.docx", "A 38855-2020")</f>
        <v/>
      </c>
      <c r="X169">
        <f>HYPERLINK("https://klasma.github.io/Logging_2161/tillsyn/A 38855-2020 tillsynsbegäran.docx", "A 38855-2020")</f>
        <v/>
      </c>
      <c r="Y169">
        <f>HYPERLINK("https://klasma.github.io/Logging_2161/tillsynsmail/A 38855-2020 tillsynsbegäran mail.docx", "A 38855-2020")</f>
        <v/>
      </c>
    </row>
    <row r="170" ht="15" customHeight="1">
      <c r="A170" t="inlineStr">
        <is>
          <t>A 40597-2020</t>
        </is>
      </c>
      <c r="B170" s="1" t="n">
        <v>44069</v>
      </c>
      <c r="C170" s="1" t="n">
        <v>45725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40597-2020 artfynd.xlsx", "A 40597-2020")</f>
        <v/>
      </c>
      <c r="T170">
        <f>HYPERLINK("https://klasma.github.io/Logging_2161/kartor/A 40597-2020 karta.png", "A 40597-2020")</f>
        <v/>
      </c>
      <c r="V170">
        <f>HYPERLINK("https://klasma.github.io/Logging_2161/klagomål/A 40597-2020 FSC-klagomål.docx", "A 40597-2020")</f>
        <v/>
      </c>
      <c r="W170">
        <f>HYPERLINK("https://klasma.github.io/Logging_2161/klagomålsmail/A 40597-2020 FSC-klagomål mail.docx", "A 40597-2020")</f>
        <v/>
      </c>
      <c r="X170">
        <f>HYPERLINK("https://klasma.github.io/Logging_2161/tillsyn/A 40597-2020 tillsynsbegäran.docx", "A 40597-2020")</f>
        <v/>
      </c>
      <c r="Y170">
        <f>HYPERLINK("https://klasma.github.io/Logging_2161/tillsynsmail/A 40597-2020 tillsynsbegäran mail.docx", "A 40597-2020")</f>
        <v/>
      </c>
    </row>
    <row r="171" ht="15" customHeight="1">
      <c r="A171" t="inlineStr">
        <is>
          <t>A 52294-2020</t>
        </is>
      </c>
      <c r="B171" s="1" t="n">
        <v>44117</v>
      </c>
      <c r="C171" s="1" t="n">
        <v>45725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52294-2020 artfynd.xlsx", "A 52294-2020")</f>
        <v/>
      </c>
      <c r="T171">
        <f>HYPERLINK("https://klasma.github.io/Logging_2161/kartor/A 52294-2020 karta.png", "A 52294-2020")</f>
        <v/>
      </c>
      <c r="U171">
        <f>HYPERLINK("https://klasma.github.io/Logging_2161/knärot/A 52294-2020 karta knärot.png", "A 52294-2020")</f>
        <v/>
      </c>
      <c r="V171">
        <f>HYPERLINK("https://klasma.github.io/Logging_2161/klagomål/A 52294-2020 FSC-klagomål.docx", "A 52294-2020")</f>
        <v/>
      </c>
      <c r="W171">
        <f>HYPERLINK("https://klasma.github.io/Logging_2161/klagomålsmail/A 52294-2020 FSC-klagomål mail.docx", "A 52294-2020")</f>
        <v/>
      </c>
      <c r="X171">
        <f>HYPERLINK("https://klasma.github.io/Logging_2161/tillsyn/A 52294-2020 tillsynsbegäran.docx", "A 52294-2020")</f>
        <v/>
      </c>
      <c r="Y171">
        <f>HYPERLINK("https://klasma.github.io/Logging_2161/tillsynsmail/A 52294-2020 tillsynsbegäran mail.docx", "A 52294-2020")</f>
        <v/>
      </c>
    </row>
    <row r="172" ht="15" customHeight="1">
      <c r="A172" t="inlineStr">
        <is>
          <t>A 25490-2021</t>
        </is>
      </c>
      <c r="B172" s="1" t="n">
        <v>44342</v>
      </c>
      <c r="C172" s="1" t="n">
        <v>45725</v>
      </c>
      <c r="D172" t="inlineStr">
        <is>
          <t>GÄVLEBORGS LÄN</t>
        </is>
      </c>
      <c r="E172" t="inlineStr">
        <is>
          <t>LJUSDAL</t>
        </is>
      </c>
      <c r="G172" t="n">
        <v>6.3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HYPERLINK("https://klasma.github.io/Logging_2161/artfynd/A 25490-2021 artfynd.xlsx", "A 25490-2021")</f>
        <v/>
      </c>
      <c r="T172">
        <f>HYPERLINK("https://klasma.github.io/Logging_2161/kartor/A 25490-2021 karta.png", "A 25490-2021")</f>
        <v/>
      </c>
      <c r="U172">
        <f>HYPERLINK("https://klasma.github.io/Logging_2161/knärot/A 25490-2021 karta knärot.png", "A 25490-2021")</f>
        <v/>
      </c>
      <c r="V172">
        <f>HYPERLINK("https://klasma.github.io/Logging_2161/klagomål/A 25490-2021 FSC-klagomål.docx", "A 25490-2021")</f>
        <v/>
      </c>
      <c r="W172">
        <f>HYPERLINK("https://klasma.github.io/Logging_2161/klagomålsmail/A 25490-2021 FSC-klagomål mail.docx", "A 25490-2021")</f>
        <v/>
      </c>
      <c r="X172">
        <f>HYPERLINK("https://klasma.github.io/Logging_2161/tillsyn/A 25490-2021 tillsynsbegäran.docx", "A 25490-2021")</f>
        <v/>
      </c>
      <c r="Y172">
        <f>HYPERLINK("https://klasma.github.io/Logging_2161/tillsynsmail/A 25490-2021 tillsynsbegäran mail.docx", "A 25490-2021")</f>
        <v/>
      </c>
      <c r="Z172">
        <f>HYPERLINK("https://klasma.github.io/Logging_2161/fåglar/A 25490-2021 prioriterade fågelarter.docx", "A 25490-2021")</f>
        <v/>
      </c>
    </row>
    <row r="173" ht="15" customHeight="1">
      <c r="A173" t="inlineStr">
        <is>
          <t>A 34192-2021</t>
        </is>
      </c>
      <c r="B173" s="1" t="n">
        <v>44379</v>
      </c>
      <c r="C173" s="1" t="n">
        <v>45725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14.6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HYPERLINK("https://klasma.github.io/Logging_2161/artfynd/A 34192-2021 artfynd.xlsx", "A 34192-2021")</f>
        <v/>
      </c>
      <c r="T173">
        <f>HYPERLINK("https://klasma.github.io/Logging_2161/kartor/A 34192-2021 karta.png", "A 34192-2021")</f>
        <v/>
      </c>
      <c r="V173">
        <f>HYPERLINK("https://klasma.github.io/Logging_2161/klagomål/A 34192-2021 FSC-klagomål.docx", "A 34192-2021")</f>
        <v/>
      </c>
      <c r="W173">
        <f>HYPERLINK("https://klasma.github.io/Logging_2161/klagomålsmail/A 34192-2021 FSC-klagomål mail.docx", "A 34192-2021")</f>
        <v/>
      </c>
      <c r="X173">
        <f>HYPERLINK("https://klasma.github.io/Logging_2161/tillsyn/A 34192-2021 tillsynsbegäran.docx", "A 34192-2021")</f>
        <v/>
      </c>
      <c r="Y173">
        <f>HYPERLINK("https://klasma.github.io/Logging_2161/tillsynsmail/A 34192-2021 tillsynsbegäran mail.docx", "A 34192-2021")</f>
        <v/>
      </c>
    </row>
    <row r="174" ht="15" customHeight="1">
      <c r="A174" t="inlineStr">
        <is>
          <t>A 38115-2021</t>
        </is>
      </c>
      <c r="B174" s="1" t="n">
        <v>44405</v>
      </c>
      <c r="C174" s="1" t="n">
        <v>45725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2.7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HYPERLINK("https://klasma.github.io/Logging_2161/artfynd/A 38115-2021 artfynd.xlsx", "A 38115-2021")</f>
        <v/>
      </c>
      <c r="T174">
        <f>HYPERLINK("https://klasma.github.io/Logging_2161/kartor/A 38115-2021 karta.png", "A 38115-2021")</f>
        <v/>
      </c>
      <c r="U174">
        <f>HYPERLINK("https://klasma.github.io/Logging_2161/knärot/A 38115-2021 karta knärot.png", "A 38115-2021")</f>
        <v/>
      </c>
      <c r="V174">
        <f>HYPERLINK("https://klasma.github.io/Logging_2161/klagomål/A 38115-2021 FSC-klagomål.docx", "A 38115-2021")</f>
        <v/>
      </c>
      <c r="W174">
        <f>HYPERLINK("https://klasma.github.io/Logging_2161/klagomålsmail/A 38115-2021 FSC-klagomål mail.docx", "A 38115-2021")</f>
        <v/>
      </c>
      <c r="X174">
        <f>HYPERLINK("https://klasma.github.io/Logging_2161/tillsyn/A 38115-2021 tillsynsbegäran.docx", "A 38115-2021")</f>
        <v/>
      </c>
      <c r="Y174">
        <f>HYPERLINK("https://klasma.github.io/Logging_2161/tillsynsmail/A 38115-2021 tillsynsbegäran mail.docx", "A 38115-2021")</f>
        <v/>
      </c>
    </row>
    <row r="175" ht="15" customHeight="1">
      <c r="A175" t="inlineStr">
        <is>
          <t>A 38388-2021</t>
        </is>
      </c>
      <c r="B175" s="1" t="n">
        <v>44406</v>
      </c>
      <c r="C175" s="1" t="n">
        <v>45725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9.199999999999999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Mosippa</t>
        </is>
      </c>
      <c r="S175">
        <f>HYPERLINK("https://klasma.github.io/Logging_2161/artfynd/A 38388-2021 artfynd.xlsx", "A 38388-2021")</f>
        <v/>
      </c>
      <c r="T175">
        <f>HYPERLINK("https://klasma.github.io/Logging_2161/kartor/A 38388-2021 karta.png", "A 38388-2021")</f>
        <v/>
      </c>
      <c r="V175">
        <f>HYPERLINK("https://klasma.github.io/Logging_2161/klagomål/A 38388-2021 FSC-klagomål.docx", "A 38388-2021")</f>
        <v/>
      </c>
      <c r="W175">
        <f>HYPERLINK("https://klasma.github.io/Logging_2161/klagomålsmail/A 38388-2021 FSC-klagomål mail.docx", "A 38388-2021")</f>
        <v/>
      </c>
      <c r="X175">
        <f>HYPERLINK("https://klasma.github.io/Logging_2161/tillsyn/A 38388-2021 tillsynsbegäran.docx", "A 38388-2021")</f>
        <v/>
      </c>
      <c r="Y175">
        <f>HYPERLINK("https://klasma.github.io/Logging_2161/tillsynsmail/A 38388-2021 tillsynsbegäran mail.docx", "A 38388-2021")</f>
        <v/>
      </c>
    </row>
    <row r="176" ht="15" customHeight="1">
      <c r="A176" t="inlineStr">
        <is>
          <t>A 43383-2021</t>
        </is>
      </c>
      <c r="B176" s="1" t="n">
        <v>44432</v>
      </c>
      <c r="C176" s="1" t="n">
        <v>45725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HYPERLINK("https://klasma.github.io/Logging_2161/artfynd/A 43383-2021 artfynd.xlsx", "A 43383-2021")</f>
        <v/>
      </c>
      <c r="T176">
        <f>HYPERLINK("https://klasma.github.io/Logging_2161/kartor/A 43383-2021 karta.png", "A 43383-2021")</f>
        <v/>
      </c>
      <c r="V176">
        <f>HYPERLINK("https://klasma.github.io/Logging_2161/klagomål/A 43383-2021 FSC-klagomål.docx", "A 43383-2021")</f>
        <v/>
      </c>
      <c r="W176">
        <f>HYPERLINK("https://klasma.github.io/Logging_2161/klagomålsmail/A 43383-2021 FSC-klagomål mail.docx", "A 43383-2021")</f>
        <v/>
      </c>
      <c r="X176">
        <f>HYPERLINK("https://klasma.github.io/Logging_2161/tillsyn/A 43383-2021 tillsynsbegäran.docx", "A 43383-2021")</f>
        <v/>
      </c>
      <c r="Y176">
        <f>HYPERLINK("https://klasma.github.io/Logging_2161/tillsynsmail/A 43383-2021 tillsynsbegäran mail.docx", "A 43383-2021")</f>
        <v/>
      </c>
    </row>
    <row r="177" ht="15" customHeight="1">
      <c r="A177" t="inlineStr">
        <is>
          <t>A 44694-2021</t>
        </is>
      </c>
      <c r="B177" s="1" t="n">
        <v>44438</v>
      </c>
      <c r="C177" s="1" t="n">
        <v>45725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Granticka</t>
        </is>
      </c>
      <c r="S177">
        <f>HYPERLINK("https://klasma.github.io/Logging_2161/artfynd/A 44694-2021 artfynd.xlsx", "A 44694-2021")</f>
        <v/>
      </c>
      <c r="T177">
        <f>HYPERLINK("https://klasma.github.io/Logging_2161/kartor/A 44694-2021 karta.png", "A 44694-2021")</f>
        <v/>
      </c>
      <c r="V177">
        <f>HYPERLINK("https://klasma.github.io/Logging_2161/klagomål/A 44694-2021 FSC-klagomål.docx", "A 44694-2021")</f>
        <v/>
      </c>
      <c r="W177">
        <f>HYPERLINK("https://klasma.github.io/Logging_2161/klagomålsmail/A 44694-2021 FSC-klagomål mail.docx", "A 44694-2021")</f>
        <v/>
      </c>
      <c r="X177">
        <f>HYPERLINK("https://klasma.github.io/Logging_2161/tillsyn/A 44694-2021 tillsynsbegäran.docx", "A 44694-2021")</f>
        <v/>
      </c>
      <c r="Y177">
        <f>HYPERLINK("https://klasma.github.io/Logging_2161/tillsynsmail/A 44694-2021 tillsynsbegäran mail.docx", "A 44694-2021")</f>
        <v/>
      </c>
    </row>
    <row r="178" ht="15" customHeight="1">
      <c r="A178" t="inlineStr">
        <is>
          <t>A 48180-2021</t>
        </is>
      </c>
      <c r="B178" s="1" t="n">
        <v>44449</v>
      </c>
      <c r="C178" s="1" t="n">
        <v>45725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HYPERLINK("https://klasma.github.io/Logging_2161/artfynd/A 48180-2021 artfynd.xlsx", "A 48180-2021")</f>
        <v/>
      </c>
      <c r="T178">
        <f>HYPERLINK("https://klasma.github.io/Logging_2161/kartor/A 48180-2021 karta.png", "A 48180-2021")</f>
        <v/>
      </c>
      <c r="V178">
        <f>HYPERLINK("https://klasma.github.io/Logging_2161/klagomål/A 48180-2021 FSC-klagomål.docx", "A 48180-2021")</f>
        <v/>
      </c>
      <c r="W178">
        <f>HYPERLINK("https://klasma.github.io/Logging_2161/klagomålsmail/A 48180-2021 FSC-klagomål mail.docx", "A 48180-2021")</f>
        <v/>
      </c>
      <c r="X178">
        <f>HYPERLINK("https://klasma.github.io/Logging_2161/tillsyn/A 48180-2021 tillsynsbegäran.docx", "A 48180-2021")</f>
        <v/>
      </c>
      <c r="Y178">
        <f>HYPERLINK("https://klasma.github.io/Logging_2161/tillsynsmail/A 48180-2021 tillsynsbegäran mail.docx", "A 48180-2021")</f>
        <v/>
      </c>
    </row>
    <row r="179" ht="15" customHeight="1">
      <c r="A179" t="inlineStr">
        <is>
          <t>A 56589-2021</t>
        </is>
      </c>
      <c r="B179" s="1" t="n">
        <v>44480</v>
      </c>
      <c r="C179" s="1" t="n">
        <v>45725</v>
      </c>
      <c r="D179" t="inlineStr">
        <is>
          <t>GÄVLEBORGS LÄN</t>
        </is>
      </c>
      <c r="E179" t="inlineStr">
        <is>
          <t>LJUSDAL</t>
        </is>
      </c>
      <c r="G179" t="n">
        <v>11.4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Tallbit</t>
        </is>
      </c>
      <c r="S179">
        <f>HYPERLINK("https://klasma.github.io/Logging_2161/artfynd/A 56589-2021 artfynd.xlsx", "A 56589-2021")</f>
        <v/>
      </c>
      <c r="T179">
        <f>HYPERLINK("https://klasma.github.io/Logging_2161/kartor/A 56589-2021 karta.png", "A 56589-2021")</f>
        <v/>
      </c>
      <c r="V179">
        <f>HYPERLINK("https://klasma.github.io/Logging_2161/klagomål/A 56589-2021 FSC-klagomål.docx", "A 56589-2021")</f>
        <v/>
      </c>
      <c r="W179">
        <f>HYPERLINK("https://klasma.github.io/Logging_2161/klagomålsmail/A 56589-2021 FSC-klagomål mail.docx", "A 56589-2021")</f>
        <v/>
      </c>
      <c r="X179">
        <f>HYPERLINK("https://klasma.github.io/Logging_2161/tillsyn/A 56589-2021 tillsynsbegäran.docx", "A 56589-2021")</f>
        <v/>
      </c>
      <c r="Y179">
        <f>HYPERLINK("https://klasma.github.io/Logging_2161/tillsynsmail/A 56589-2021 tillsynsbegäran mail.docx", "A 56589-2021")</f>
        <v/>
      </c>
      <c r="Z179">
        <f>HYPERLINK("https://klasma.github.io/Logging_2161/fåglar/A 56589-2021 prioriterade fågelarter.docx", "A 56589-2021")</f>
        <v/>
      </c>
    </row>
    <row r="180" ht="15" customHeight="1">
      <c r="A180" t="inlineStr">
        <is>
          <t>A 58900-2021</t>
        </is>
      </c>
      <c r="B180" s="1" t="n">
        <v>44489</v>
      </c>
      <c r="C180" s="1" t="n">
        <v>45725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5.2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Skuggblåslav</t>
        </is>
      </c>
      <c r="S180">
        <f>HYPERLINK("https://klasma.github.io/Logging_2161/artfynd/A 58900-2021 artfynd.xlsx", "A 58900-2021")</f>
        <v/>
      </c>
      <c r="T180">
        <f>HYPERLINK("https://klasma.github.io/Logging_2161/kartor/A 58900-2021 karta.png", "A 58900-2021")</f>
        <v/>
      </c>
      <c r="V180">
        <f>HYPERLINK("https://klasma.github.io/Logging_2161/klagomål/A 58900-2021 FSC-klagomål.docx", "A 58900-2021")</f>
        <v/>
      </c>
      <c r="W180">
        <f>HYPERLINK("https://klasma.github.io/Logging_2161/klagomålsmail/A 58900-2021 FSC-klagomål mail.docx", "A 58900-2021")</f>
        <v/>
      </c>
      <c r="X180">
        <f>HYPERLINK("https://klasma.github.io/Logging_2161/tillsyn/A 58900-2021 tillsynsbegäran.docx", "A 58900-2021")</f>
        <v/>
      </c>
      <c r="Y180">
        <f>HYPERLINK("https://klasma.github.io/Logging_2161/tillsynsmail/A 58900-2021 tillsynsbegäran mail.docx", "A 58900-2021")</f>
        <v/>
      </c>
    </row>
    <row r="181" ht="15" customHeight="1">
      <c r="A181" t="inlineStr">
        <is>
          <t>A 59607-2021</t>
        </is>
      </c>
      <c r="B181" s="1" t="n">
        <v>44491</v>
      </c>
      <c r="C181" s="1" t="n">
        <v>45725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59607-2021 artfynd.xlsx", "A 59607-2021")</f>
        <v/>
      </c>
      <c r="T181">
        <f>HYPERLINK("https://klasma.github.io/Logging_2161/kartor/A 59607-2021 karta.png", "A 59607-2021")</f>
        <v/>
      </c>
      <c r="U181">
        <f>HYPERLINK("https://klasma.github.io/Logging_2161/knärot/A 59607-2021 karta knärot.png", "A 59607-2021")</f>
        <v/>
      </c>
      <c r="V181">
        <f>HYPERLINK("https://klasma.github.io/Logging_2161/klagomål/A 59607-2021 FSC-klagomål.docx", "A 59607-2021")</f>
        <v/>
      </c>
      <c r="W181">
        <f>HYPERLINK("https://klasma.github.io/Logging_2161/klagomålsmail/A 59607-2021 FSC-klagomål mail.docx", "A 59607-2021")</f>
        <v/>
      </c>
      <c r="X181">
        <f>HYPERLINK("https://klasma.github.io/Logging_2161/tillsyn/A 59607-2021 tillsynsbegäran.docx", "A 59607-2021")</f>
        <v/>
      </c>
      <c r="Y181">
        <f>HYPERLINK("https://klasma.github.io/Logging_2161/tillsynsmail/A 59607-2021 tillsynsbegäran mail.docx", "A 59607-2021")</f>
        <v/>
      </c>
    </row>
    <row r="182" ht="15" customHeight="1">
      <c r="A182" t="inlineStr">
        <is>
          <t>A 15470-2022</t>
        </is>
      </c>
      <c r="B182" s="1" t="n">
        <v>44662</v>
      </c>
      <c r="C182" s="1" t="n">
        <v>45725</v>
      </c>
      <c r="D182" t="inlineStr">
        <is>
          <t>GÄVLEBORGS LÄN</t>
        </is>
      </c>
      <c r="E182" t="inlineStr">
        <is>
          <t>LJUSDAL</t>
        </is>
      </c>
      <c r="F182" t="inlineStr">
        <is>
          <t>Kyrkan</t>
        </is>
      </c>
      <c r="G182" t="n">
        <v>35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HYPERLINK("https://klasma.github.io/Logging_2161/artfynd/A 15470-2022 artfynd.xlsx", "A 15470-2022")</f>
        <v/>
      </c>
      <c r="T182">
        <f>HYPERLINK("https://klasma.github.io/Logging_2161/kartor/A 15470-2022 karta.png", "A 15470-2022")</f>
        <v/>
      </c>
      <c r="U182">
        <f>HYPERLINK("https://klasma.github.io/Logging_2161/knärot/A 15470-2022 karta knärot.png", "A 15470-2022")</f>
        <v/>
      </c>
      <c r="V182">
        <f>HYPERLINK("https://klasma.github.io/Logging_2161/klagomål/A 15470-2022 FSC-klagomål.docx", "A 15470-2022")</f>
        <v/>
      </c>
      <c r="W182">
        <f>HYPERLINK("https://klasma.github.io/Logging_2161/klagomålsmail/A 15470-2022 FSC-klagomål mail.docx", "A 15470-2022")</f>
        <v/>
      </c>
      <c r="X182">
        <f>HYPERLINK("https://klasma.github.io/Logging_2161/tillsyn/A 15470-2022 tillsynsbegäran.docx", "A 15470-2022")</f>
        <v/>
      </c>
      <c r="Y182">
        <f>HYPERLINK("https://klasma.github.io/Logging_2161/tillsynsmail/A 15470-2022 tillsynsbegäran mail.docx", "A 15470-2022")</f>
        <v/>
      </c>
    </row>
    <row r="183" ht="15" customHeight="1">
      <c r="A183" t="inlineStr">
        <is>
          <t>A 18058-2022</t>
        </is>
      </c>
      <c r="B183" s="1" t="n">
        <v>44684</v>
      </c>
      <c r="C183" s="1" t="n">
        <v>45725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HYPERLINK("https://klasma.github.io/Logging_2161/artfynd/A 18058-2022 artfynd.xlsx", "A 18058-2022")</f>
        <v/>
      </c>
      <c r="T183">
        <f>HYPERLINK("https://klasma.github.io/Logging_2161/kartor/A 18058-2022 karta.png", "A 18058-2022")</f>
        <v/>
      </c>
      <c r="V183">
        <f>HYPERLINK("https://klasma.github.io/Logging_2161/klagomål/A 18058-2022 FSC-klagomål.docx", "A 18058-2022")</f>
        <v/>
      </c>
      <c r="W183">
        <f>HYPERLINK("https://klasma.github.io/Logging_2161/klagomålsmail/A 18058-2022 FSC-klagomål mail.docx", "A 18058-2022")</f>
        <v/>
      </c>
      <c r="X183">
        <f>HYPERLINK("https://klasma.github.io/Logging_2161/tillsyn/A 18058-2022 tillsynsbegäran.docx", "A 18058-2022")</f>
        <v/>
      </c>
      <c r="Y183">
        <f>HYPERLINK("https://klasma.github.io/Logging_2161/tillsynsmail/A 18058-2022 tillsynsbegäran mail.docx", "A 18058-2022")</f>
        <v/>
      </c>
    </row>
    <row r="184" ht="15" customHeight="1">
      <c r="A184" t="inlineStr">
        <is>
          <t>A 20211-2022</t>
        </is>
      </c>
      <c r="B184" s="1" t="n">
        <v>44698</v>
      </c>
      <c r="C184" s="1" t="n">
        <v>45725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HYPERLINK("https://klasma.github.io/Logging_2161/artfynd/A 20211-2022 artfynd.xlsx", "A 20211-2022")</f>
        <v/>
      </c>
      <c r="T184">
        <f>HYPERLINK("https://klasma.github.io/Logging_2161/kartor/A 20211-2022 karta.png", "A 20211-2022")</f>
        <v/>
      </c>
      <c r="V184">
        <f>HYPERLINK("https://klasma.github.io/Logging_2161/klagomål/A 20211-2022 FSC-klagomål.docx", "A 20211-2022")</f>
        <v/>
      </c>
      <c r="W184">
        <f>HYPERLINK("https://klasma.github.io/Logging_2161/klagomålsmail/A 20211-2022 FSC-klagomål mail.docx", "A 20211-2022")</f>
        <v/>
      </c>
      <c r="X184">
        <f>HYPERLINK("https://klasma.github.io/Logging_2161/tillsyn/A 20211-2022 tillsynsbegäran.docx", "A 20211-2022")</f>
        <v/>
      </c>
      <c r="Y184">
        <f>HYPERLINK("https://klasma.github.io/Logging_2161/tillsynsmail/A 20211-2022 tillsynsbegäran mail.docx", "A 20211-2022")</f>
        <v/>
      </c>
    </row>
    <row r="185" ht="15" customHeight="1">
      <c r="A185" t="inlineStr">
        <is>
          <t>A 21786-2022</t>
        </is>
      </c>
      <c r="B185" s="1" t="n">
        <v>44708</v>
      </c>
      <c r="C185" s="1" t="n">
        <v>45725</v>
      </c>
      <c r="D185" t="inlineStr">
        <is>
          <t>GÄVLEBORGS LÄN</t>
        </is>
      </c>
      <c r="E185" t="inlineStr">
        <is>
          <t>LJUSDAL</t>
        </is>
      </c>
      <c r="F185" t="inlineStr">
        <is>
          <t>Holmen skog AB</t>
        </is>
      </c>
      <c r="G185" t="n">
        <v>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Vågbandad barkbock</t>
        </is>
      </c>
      <c r="S185">
        <f>HYPERLINK("https://klasma.github.io/Logging_2161/artfynd/A 21786-2022 artfynd.xlsx", "A 21786-2022")</f>
        <v/>
      </c>
      <c r="T185">
        <f>HYPERLINK("https://klasma.github.io/Logging_2161/kartor/A 21786-2022 karta.png", "A 21786-2022")</f>
        <v/>
      </c>
      <c r="V185">
        <f>HYPERLINK("https://klasma.github.io/Logging_2161/klagomål/A 21786-2022 FSC-klagomål.docx", "A 21786-2022")</f>
        <v/>
      </c>
      <c r="W185">
        <f>HYPERLINK("https://klasma.github.io/Logging_2161/klagomålsmail/A 21786-2022 FSC-klagomål mail.docx", "A 21786-2022")</f>
        <v/>
      </c>
      <c r="X185">
        <f>HYPERLINK("https://klasma.github.io/Logging_2161/tillsyn/A 21786-2022 tillsynsbegäran.docx", "A 21786-2022")</f>
        <v/>
      </c>
      <c r="Y185">
        <f>HYPERLINK("https://klasma.github.io/Logging_2161/tillsynsmail/A 21786-2022 tillsynsbegäran mail.docx", "A 21786-2022")</f>
        <v/>
      </c>
    </row>
    <row r="186" ht="15" customHeight="1">
      <c r="A186" t="inlineStr">
        <is>
          <t>A 23857-2022</t>
        </is>
      </c>
      <c r="B186" s="1" t="n">
        <v>44722</v>
      </c>
      <c r="C186" s="1" t="n">
        <v>45725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23857-2022 artfynd.xlsx", "A 23857-2022")</f>
        <v/>
      </c>
      <c r="T186">
        <f>HYPERLINK("https://klasma.github.io/Logging_2161/kartor/A 23857-2022 karta.png", "A 23857-2022")</f>
        <v/>
      </c>
      <c r="V186">
        <f>HYPERLINK("https://klasma.github.io/Logging_2161/klagomål/A 23857-2022 FSC-klagomål.docx", "A 23857-2022")</f>
        <v/>
      </c>
      <c r="W186">
        <f>HYPERLINK("https://klasma.github.io/Logging_2161/klagomålsmail/A 23857-2022 FSC-klagomål mail.docx", "A 23857-2022")</f>
        <v/>
      </c>
      <c r="X186">
        <f>HYPERLINK("https://klasma.github.io/Logging_2161/tillsyn/A 23857-2022 tillsynsbegäran.docx", "A 23857-2022")</f>
        <v/>
      </c>
      <c r="Y186">
        <f>HYPERLINK("https://klasma.github.io/Logging_2161/tillsynsmail/A 23857-2022 tillsynsbegäran mail.docx", "A 23857-2022")</f>
        <v/>
      </c>
    </row>
    <row r="187" ht="15" customHeight="1">
      <c r="A187" t="inlineStr">
        <is>
          <t>A 24444-2022</t>
        </is>
      </c>
      <c r="B187" s="1" t="n">
        <v>44726</v>
      </c>
      <c r="C187" s="1" t="n">
        <v>45725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24444-2022 artfynd.xlsx", "A 24444-2022")</f>
        <v/>
      </c>
      <c r="T187">
        <f>HYPERLINK("https://klasma.github.io/Logging_2161/kartor/A 24444-2022 karta.png", "A 24444-2022")</f>
        <v/>
      </c>
      <c r="V187">
        <f>HYPERLINK("https://klasma.github.io/Logging_2161/klagomål/A 24444-2022 FSC-klagomål.docx", "A 24444-2022")</f>
        <v/>
      </c>
      <c r="W187">
        <f>HYPERLINK("https://klasma.github.io/Logging_2161/klagomålsmail/A 24444-2022 FSC-klagomål mail.docx", "A 24444-2022")</f>
        <v/>
      </c>
      <c r="X187">
        <f>HYPERLINK("https://klasma.github.io/Logging_2161/tillsyn/A 24444-2022 tillsynsbegäran.docx", "A 24444-2022")</f>
        <v/>
      </c>
      <c r="Y187">
        <f>HYPERLINK("https://klasma.github.io/Logging_2161/tillsynsmail/A 24444-2022 tillsynsbegäran mail.docx", "A 24444-2022")</f>
        <v/>
      </c>
    </row>
    <row r="188" ht="15" customHeight="1">
      <c r="A188" t="inlineStr">
        <is>
          <t>A 27508-2022</t>
        </is>
      </c>
      <c r="B188" s="1" t="n">
        <v>44742</v>
      </c>
      <c r="C188" s="1" t="n">
        <v>45725</v>
      </c>
      <c r="D188" t="inlineStr">
        <is>
          <t>GÄVLEBORGS LÄN</t>
        </is>
      </c>
      <c r="E188" t="inlineStr">
        <is>
          <t>LJUSDAL</t>
        </is>
      </c>
      <c r="F188" t="inlineStr">
        <is>
          <t>Kommuner</t>
        </is>
      </c>
      <c r="G188" t="n">
        <v>1.8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Violettgrå tagellav</t>
        </is>
      </c>
      <c r="S188">
        <f>HYPERLINK("https://klasma.github.io/Logging_2161/artfynd/A 27508-2022 artfynd.xlsx", "A 27508-2022")</f>
        <v/>
      </c>
      <c r="T188">
        <f>HYPERLINK("https://klasma.github.io/Logging_2161/kartor/A 27508-2022 karta.png", "A 27508-2022")</f>
        <v/>
      </c>
      <c r="V188">
        <f>HYPERLINK("https://klasma.github.io/Logging_2161/klagomål/A 27508-2022 FSC-klagomål.docx", "A 27508-2022")</f>
        <v/>
      </c>
      <c r="W188">
        <f>HYPERLINK("https://klasma.github.io/Logging_2161/klagomålsmail/A 27508-2022 FSC-klagomål mail.docx", "A 27508-2022")</f>
        <v/>
      </c>
      <c r="X188">
        <f>HYPERLINK("https://klasma.github.io/Logging_2161/tillsyn/A 27508-2022 tillsynsbegäran.docx", "A 27508-2022")</f>
        <v/>
      </c>
      <c r="Y188">
        <f>HYPERLINK("https://klasma.github.io/Logging_2161/tillsynsmail/A 27508-2022 tillsynsbegäran mail.docx", "A 27508-2022")</f>
        <v/>
      </c>
    </row>
    <row r="189" ht="15" customHeight="1">
      <c r="A189" t="inlineStr">
        <is>
          <t>A 27896-2022</t>
        </is>
      </c>
      <c r="B189" s="1" t="n">
        <v>44743</v>
      </c>
      <c r="C189" s="1" t="n">
        <v>45725</v>
      </c>
      <c r="D189" t="inlineStr">
        <is>
          <t>GÄVLEBORGS LÄN</t>
        </is>
      </c>
      <c r="E189" t="inlineStr">
        <is>
          <t>LJUSDAL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Stiftgelélav</t>
        </is>
      </c>
      <c r="S189">
        <f>HYPERLINK("https://klasma.github.io/Logging_2161/artfynd/A 27896-2022 artfynd.xlsx", "A 27896-2022")</f>
        <v/>
      </c>
      <c r="T189">
        <f>HYPERLINK("https://klasma.github.io/Logging_2161/kartor/A 27896-2022 karta.png", "A 27896-2022")</f>
        <v/>
      </c>
      <c r="V189">
        <f>HYPERLINK("https://klasma.github.io/Logging_2161/klagomål/A 27896-2022 FSC-klagomål.docx", "A 27896-2022")</f>
        <v/>
      </c>
      <c r="W189">
        <f>HYPERLINK("https://klasma.github.io/Logging_2161/klagomålsmail/A 27896-2022 FSC-klagomål mail.docx", "A 27896-2022")</f>
        <v/>
      </c>
      <c r="X189">
        <f>HYPERLINK("https://klasma.github.io/Logging_2161/tillsyn/A 27896-2022 tillsynsbegäran.docx", "A 27896-2022")</f>
        <v/>
      </c>
      <c r="Y189">
        <f>HYPERLINK("https://klasma.github.io/Logging_2161/tillsynsmail/A 27896-2022 tillsynsbegäran mail.docx", "A 27896-2022")</f>
        <v/>
      </c>
    </row>
    <row r="190" ht="15" customHeight="1">
      <c r="A190" t="inlineStr">
        <is>
          <t>A 32036-2022</t>
        </is>
      </c>
      <c r="B190" s="1" t="n">
        <v>44778</v>
      </c>
      <c r="C190" s="1" t="n">
        <v>45725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HYPERLINK("https://klasma.github.io/Logging_2161/artfynd/A 32036-2022 artfynd.xlsx", "A 32036-2022")</f>
        <v/>
      </c>
      <c r="T190">
        <f>HYPERLINK("https://klasma.github.io/Logging_2161/kartor/A 32036-2022 karta.png", "A 32036-2022")</f>
        <v/>
      </c>
      <c r="V190">
        <f>HYPERLINK("https://klasma.github.io/Logging_2161/klagomål/A 32036-2022 FSC-klagomål.docx", "A 32036-2022")</f>
        <v/>
      </c>
      <c r="W190">
        <f>HYPERLINK("https://klasma.github.io/Logging_2161/klagomålsmail/A 32036-2022 FSC-klagomål mail.docx", "A 32036-2022")</f>
        <v/>
      </c>
      <c r="X190">
        <f>HYPERLINK("https://klasma.github.io/Logging_2161/tillsyn/A 32036-2022 tillsynsbegäran.docx", "A 32036-2022")</f>
        <v/>
      </c>
      <c r="Y190">
        <f>HYPERLINK("https://klasma.github.io/Logging_2161/tillsynsmail/A 32036-2022 tillsynsbegäran mail.docx", "A 32036-2022")</f>
        <v/>
      </c>
    </row>
    <row r="191" ht="15" customHeight="1">
      <c r="A191" t="inlineStr">
        <is>
          <t>A 35582-2022</t>
        </is>
      </c>
      <c r="B191" s="1" t="n">
        <v>44799</v>
      </c>
      <c r="C191" s="1" t="n">
        <v>45725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35582-2022 artfynd.xlsx", "A 35582-2022")</f>
        <v/>
      </c>
      <c r="T191">
        <f>HYPERLINK("https://klasma.github.io/Logging_2161/kartor/A 35582-2022 karta.png", "A 35582-2022")</f>
        <v/>
      </c>
      <c r="V191">
        <f>HYPERLINK("https://klasma.github.io/Logging_2161/klagomål/A 35582-2022 FSC-klagomål.docx", "A 35582-2022")</f>
        <v/>
      </c>
      <c r="W191">
        <f>HYPERLINK("https://klasma.github.io/Logging_2161/klagomålsmail/A 35582-2022 FSC-klagomål mail.docx", "A 35582-2022")</f>
        <v/>
      </c>
      <c r="X191">
        <f>HYPERLINK("https://klasma.github.io/Logging_2161/tillsyn/A 35582-2022 tillsynsbegäran.docx", "A 35582-2022")</f>
        <v/>
      </c>
      <c r="Y191">
        <f>HYPERLINK("https://klasma.github.io/Logging_2161/tillsynsmail/A 35582-2022 tillsynsbegäran mail.docx", "A 35582-2022")</f>
        <v/>
      </c>
    </row>
    <row r="192" ht="15" customHeight="1">
      <c r="A192" t="inlineStr">
        <is>
          <t>A 42937-2022</t>
        </is>
      </c>
      <c r="B192" s="1" t="n">
        <v>44833</v>
      </c>
      <c r="C192" s="1" t="n">
        <v>45725</v>
      </c>
      <c r="D192" t="inlineStr">
        <is>
          <t>GÄVLEBORGS LÄN</t>
        </is>
      </c>
      <c r="E192" t="inlineStr">
        <is>
          <t>LJUSDAL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42937-2022 artfynd.xlsx", "A 42937-2022")</f>
        <v/>
      </c>
      <c r="T192">
        <f>HYPERLINK("https://klasma.github.io/Logging_2161/kartor/A 42937-2022 karta.png", "A 42937-2022")</f>
        <v/>
      </c>
      <c r="V192">
        <f>HYPERLINK("https://klasma.github.io/Logging_2161/klagomål/A 42937-2022 FSC-klagomål.docx", "A 42937-2022")</f>
        <v/>
      </c>
      <c r="W192">
        <f>HYPERLINK("https://klasma.github.io/Logging_2161/klagomålsmail/A 42937-2022 FSC-klagomål mail.docx", "A 42937-2022")</f>
        <v/>
      </c>
      <c r="X192">
        <f>HYPERLINK("https://klasma.github.io/Logging_2161/tillsyn/A 42937-2022 tillsynsbegäran.docx", "A 42937-2022")</f>
        <v/>
      </c>
      <c r="Y192">
        <f>HYPERLINK("https://klasma.github.io/Logging_2161/tillsynsmail/A 42937-2022 tillsynsbegäran mail.docx", "A 42937-2022")</f>
        <v/>
      </c>
    </row>
    <row r="193" ht="15" customHeight="1">
      <c r="A193" t="inlineStr">
        <is>
          <t>A 53487-2022</t>
        </is>
      </c>
      <c r="B193" s="1" t="n">
        <v>44879</v>
      </c>
      <c r="C193" s="1" t="n">
        <v>45725</v>
      </c>
      <c r="D193" t="inlineStr">
        <is>
          <t>GÄVLEBORGS LÄN</t>
        </is>
      </c>
      <c r="E193" t="inlineStr">
        <is>
          <t>LJUSDAL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53487-2022 artfynd.xlsx", "A 53487-2022")</f>
        <v/>
      </c>
      <c r="T193">
        <f>HYPERLINK("https://klasma.github.io/Logging_2161/kartor/A 53487-2022 karta.png", "A 53487-2022")</f>
        <v/>
      </c>
      <c r="V193">
        <f>HYPERLINK("https://klasma.github.io/Logging_2161/klagomål/A 53487-2022 FSC-klagomål.docx", "A 53487-2022")</f>
        <v/>
      </c>
      <c r="W193">
        <f>HYPERLINK("https://klasma.github.io/Logging_2161/klagomålsmail/A 53487-2022 FSC-klagomål mail.docx", "A 53487-2022")</f>
        <v/>
      </c>
      <c r="X193">
        <f>HYPERLINK("https://klasma.github.io/Logging_2161/tillsyn/A 53487-2022 tillsynsbegäran.docx", "A 53487-2022")</f>
        <v/>
      </c>
      <c r="Y193">
        <f>HYPERLINK("https://klasma.github.io/Logging_2161/tillsynsmail/A 53487-2022 tillsynsbegäran mail.docx", "A 53487-2022")</f>
        <v/>
      </c>
    </row>
    <row r="194" ht="15" customHeight="1">
      <c r="A194" t="inlineStr">
        <is>
          <t>A 53457-2022</t>
        </is>
      </c>
      <c r="B194" s="1" t="n">
        <v>44879</v>
      </c>
      <c r="C194" s="1" t="n">
        <v>45725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53457-2022 artfynd.xlsx", "A 53457-2022")</f>
        <v/>
      </c>
      <c r="T194">
        <f>HYPERLINK("https://klasma.github.io/Logging_2161/kartor/A 53457-2022 karta.png", "A 53457-2022")</f>
        <v/>
      </c>
      <c r="V194">
        <f>HYPERLINK("https://klasma.github.io/Logging_2161/klagomål/A 53457-2022 FSC-klagomål.docx", "A 53457-2022")</f>
        <v/>
      </c>
      <c r="W194">
        <f>HYPERLINK("https://klasma.github.io/Logging_2161/klagomålsmail/A 53457-2022 FSC-klagomål mail.docx", "A 53457-2022")</f>
        <v/>
      </c>
      <c r="X194">
        <f>HYPERLINK("https://klasma.github.io/Logging_2161/tillsyn/A 53457-2022 tillsynsbegäran.docx", "A 53457-2022")</f>
        <v/>
      </c>
      <c r="Y194">
        <f>HYPERLINK("https://klasma.github.io/Logging_2161/tillsynsmail/A 53457-2022 tillsynsbegäran mail.docx", "A 53457-2022")</f>
        <v/>
      </c>
    </row>
    <row r="195" ht="15" customHeight="1">
      <c r="A195" t="inlineStr">
        <is>
          <t>A 53926-2022</t>
        </is>
      </c>
      <c r="B195" s="1" t="n">
        <v>44880</v>
      </c>
      <c r="C195" s="1" t="n">
        <v>45725</v>
      </c>
      <c r="D195" t="inlineStr">
        <is>
          <t>GÄVLEBORGS LÄN</t>
        </is>
      </c>
      <c r="E195" t="inlineStr">
        <is>
          <t>LJUSDAL</t>
        </is>
      </c>
      <c r="F195" t="inlineStr">
        <is>
          <t>Naturvårdsverket</t>
        </is>
      </c>
      <c r="G195" t="n">
        <v>9.1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HYPERLINK("https://klasma.github.io/Logging_2161/artfynd/A 53926-2022 artfynd.xlsx", "A 53926-2022")</f>
        <v/>
      </c>
      <c r="T195">
        <f>HYPERLINK("https://klasma.github.io/Logging_2161/kartor/A 53926-2022 karta.png", "A 53926-2022")</f>
        <v/>
      </c>
      <c r="V195">
        <f>HYPERLINK("https://klasma.github.io/Logging_2161/klagomål/A 53926-2022 FSC-klagomål.docx", "A 53926-2022")</f>
        <v/>
      </c>
      <c r="W195">
        <f>HYPERLINK("https://klasma.github.io/Logging_2161/klagomålsmail/A 53926-2022 FSC-klagomål mail.docx", "A 53926-2022")</f>
        <v/>
      </c>
      <c r="X195">
        <f>HYPERLINK("https://klasma.github.io/Logging_2161/tillsyn/A 53926-2022 tillsynsbegäran.docx", "A 53926-2022")</f>
        <v/>
      </c>
      <c r="Y195">
        <f>HYPERLINK("https://klasma.github.io/Logging_2161/tillsynsmail/A 53926-2022 tillsynsbegäran mail.docx", "A 53926-2022")</f>
        <v/>
      </c>
      <c r="Z195">
        <f>HYPERLINK("https://klasma.github.io/Logging_2161/fåglar/A 53926-2022 prioriterade fågelarter.docx", "A 53926-2022")</f>
        <v/>
      </c>
    </row>
    <row r="196" ht="15" customHeight="1">
      <c r="A196" t="inlineStr">
        <is>
          <t>A 55216-2022</t>
        </is>
      </c>
      <c r="B196" s="1" t="n">
        <v>44886</v>
      </c>
      <c r="C196" s="1" t="n">
        <v>45725</v>
      </c>
      <c r="D196" t="inlineStr">
        <is>
          <t>GÄVLEBORGS LÄN</t>
        </is>
      </c>
      <c r="E196" t="inlineStr">
        <is>
          <t>LJUSDAL</t>
        </is>
      </c>
      <c r="F196" t="inlineStr">
        <is>
          <t>SCA</t>
        </is>
      </c>
      <c r="G196" t="n">
        <v>10.1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Kungsfågel</t>
        </is>
      </c>
      <c r="S196">
        <f>HYPERLINK("https://klasma.github.io/Logging_2161/artfynd/A 55216-2022 artfynd.xlsx", "A 55216-2022")</f>
        <v/>
      </c>
      <c r="T196">
        <f>HYPERLINK("https://klasma.github.io/Logging_2161/kartor/A 55216-2022 karta.png", "A 55216-2022")</f>
        <v/>
      </c>
      <c r="V196">
        <f>HYPERLINK("https://klasma.github.io/Logging_2161/klagomål/A 55216-2022 FSC-klagomål.docx", "A 55216-2022")</f>
        <v/>
      </c>
      <c r="W196">
        <f>HYPERLINK("https://klasma.github.io/Logging_2161/klagomålsmail/A 55216-2022 FSC-klagomål mail.docx", "A 55216-2022")</f>
        <v/>
      </c>
      <c r="X196">
        <f>HYPERLINK("https://klasma.github.io/Logging_2161/tillsyn/A 55216-2022 tillsynsbegäran.docx", "A 55216-2022")</f>
        <v/>
      </c>
      <c r="Y196">
        <f>HYPERLINK("https://klasma.github.io/Logging_2161/tillsynsmail/A 55216-2022 tillsynsbegäran mail.docx", "A 55216-2022")</f>
        <v/>
      </c>
      <c r="Z196">
        <f>HYPERLINK("https://klasma.github.io/Logging_2161/fåglar/A 55216-2022 prioriterade fågelarter.docx", "A 55216-2022")</f>
        <v/>
      </c>
    </row>
    <row r="197" ht="15" customHeight="1">
      <c r="A197" t="inlineStr">
        <is>
          <t>A 4696-2023</t>
        </is>
      </c>
      <c r="B197" s="1" t="n">
        <v>44957</v>
      </c>
      <c r="C197" s="1" t="n">
        <v>45725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7.3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4696-2023 artfynd.xlsx", "A 4696-2023")</f>
        <v/>
      </c>
      <c r="T197">
        <f>HYPERLINK("https://klasma.github.io/Logging_2161/kartor/A 4696-2023 karta.png", "A 4696-2023")</f>
        <v/>
      </c>
      <c r="V197">
        <f>HYPERLINK("https://klasma.github.io/Logging_2161/klagomål/A 4696-2023 FSC-klagomål.docx", "A 4696-2023")</f>
        <v/>
      </c>
      <c r="W197">
        <f>HYPERLINK("https://klasma.github.io/Logging_2161/klagomålsmail/A 4696-2023 FSC-klagomål mail.docx", "A 4696-2023")</f>
        <v/>
      </c>
      <c r="X197">
        <f>HYPERLINK("https://klasma.github.io/Logging_2161/tillsyn/A 4696-2023 tillsynsbegäran.docx", "A 4696-2023")</f>
        <v/>
      </c>
      <c r="Y197">
        <f>HYPERLINK("https://klasma.github.io/Logging_2161/tillsynsmail/A 4696-2023 tillsynsbegäran mail.docx", "A 4696-2023")</f>
        <v/>
      </c>
    </row>
    <row r="198" ht="15" customHeight="1">
      <c r="A198" t="inlineStr">
        <is>
          <t>A 7148-2023</t>
        </is>
      </c>
      <c r="B198" s="1" t="n">
        <v>44970</v>
      </c>
      <c r="C198" s="1" t="n">
        <v>45725</v>
      </c>
      <c r="D198" t="inlineStr">
        <is>
          <t>GÄVLEBORGS LÄN</t>
        </is>
      </c>
      <c r="E198" t="inlineStr">
        <is>
          <t>LJUSDAL</t>
        </is>
      </c>
      <c r="F198" t="inlineStr">
        <is>
          <t>Holmen skog AB</t>
        </is>
      </c>
      <c r="G198" t="n">
        <v>4.9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Vedticka</t>
        </is>
      </c>
      <c r="S198">
        <f>HYPERLINK("https://klasma.github.io/Logging_2161/artfynd/A 7148-2023 artfynd.xlsx", "A 7148-2023")</f>
        <v/>
      </c>
      <c r="T198">
        <f>HYPERLINK("https://klasma.github.io/Logging_2161/kartor/A 7148-2023 karta.png", "A 7148-2023")</f>
        <v/>
      </c>
      <c r="V198">
        <f>HYPERLINK("https://klasma.github.io/Logging_2161/klagomål/A 7148-2023 FSC-klagomål.docx", "A 7148-2023")</f>
        <v/>
      </c>
      <c r="W198">
        <f>HYPERLINK("https://klasma.github.io/Logging_2161/klagomålsmail/A 7148-2023 FSC-klagomål mail.docx", "A 7148-2023")</f>
        <v/>
      </c>
      <c r="X198">
        <f>HYPERLINK("https://klasma.github.io/Logging_2161/tillsyn/A 7148-2023 tillsynsbegäran.docx", "A 7148-2023")</f>
        <v/>
      </c>
      <c r="Y198">
        <f>HYPERLINK("https://klasma.github.io/Logging_2161/tillsynsmail/A 7148-2023 tillsynsbegäran mail.docx", "A 7148-2023")</f>
        <v/>
      </c>
    </row>
    <row r="199" ht="15" customHeight="1">
      <c r="A199" t="inlineStr">
        <is>
          <t>A 8078-2023</t>
        </is>
      </c>
      <c r="B199" s="1" t="n">
        <v>44974</v>
      </c>
      <c r="C199" s="1" t="n">
        <v>45725</v>
      </c>
      <c r="D199" t="inlineStr">
        <is>
          <t>GÄVLEBORGS LÄN</t>
        </is>
      </c>
      <c r="E199" t="inlineStr">
        <is>
          <t>LJUSDAL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Gräddporing</t>
        </is>
      </c>
      <c r="S199">
        <f>HYPERLINK("https://klasma.github.io/Logging_2161/artfynd/A 8078-2023 artfynd.xlsx", "A 8078-2023")</f>
        <v/>
      </c>
      <c r="T199">
        <f>HYPERLINK("https://klasma.github.io/Logging_2161/kartor/A 8078-2023 karta.png", "A 8078-2023")</f>
        <v/>
      </c>
      <c r="V199">
        <f>HYPERLINK("https://klasma.github.io/Logging_2161/klagomål/A 8078-2023 FSC-klagomål.docx", "A 8078-2023")</f>
        <v/>
      </c>
      <c r="W199">
        <f>HYPERLINK("https://klasma.github.io/Logging_2161/klagomålsmail/A 8078-2023 FSC-klagomål mail.docx", "A 8078-2023")</f>
        <v/>
      </c>
      <c r="X199">
        <f>HYPERLINK("https://klasma.github.io/Logging_2161/tillsyn/A 8078-2023 tillsynsbegäran.docx", "A 8078-2023")</f>
        <v/>
      </c>
      <c r="Y199">
        <f>HYPERLINK("https://klasma.github.io/Logging_2161/tillsynsmail/A 8078-2023 tillsynsbegäran mail.docx", "A 8078-2023")</f>
        <v/>
      </c>
    </row>
    <row r="200" ht="15" customHeight="1">
      <c r="A200" t="inlineStr">
        <is>
          <t>A 10646-2023</t>
        </is>
      </c>
      <c r="B200" s="1" t="n">
        <v>44988</v>
      </c>
      <c r="C200" s="1" t="n">
        <v>45725</v>
      </c>
      <c r="D200" t="inlineStr">
        <is>
          <t>GÄVLEBORGS LÄN</t>
        </is>
      </c>
      <c r="E200" t="inlineStr">
        <is>
          <t>LJUSDAL</t>
        </is>
      </c>
      <c r="G200" t="n">
        <v>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10646-2023 artfynd.xlsx", "A 10646-2023")</f>
        <v/>
      </c>
      <c r="T200">
        <f>HYPERLINK("https://klasma.github.io/Logging_2161/kartor/A 10646-2023 karta.png", "A 10646-2023")</f>
        <v/>
      </c>
      <c r="V200">
        <f>HYPERLINK("https://klasma.github.io/Logging_2161/klagomål/A 10646-2023 FSC-klagomål.docx", "A 10646-2023")</f>
        <v/>
      </c>
      <c r="W200">
        <f>HYPERLINK("https://klasma.github.io/Logging_2161/klagomålsmail/A 10646-2023 FSC-klagomål mail.docx", "A 10646-2023")</f>
        <v/>
      </c>
      <c r="X200">
        <f>HYPERLINK("https://klasma.github.io/Logging_2161/tillsyn/A 10646-2023 tillsynsbegäran.docx", "A 10646-2023")</f>
        <v/>
      </c>
      <c r="Y200">
        <f>HYPERLINK("https://klasma.github.io/Logging_2161/tillsynsmail/A 10646-2023 tillsynsbegäran mail.docx", "A 10646-2023")</f>
        <v/>
      </c>
    </row>
    <row r="201" ht="15" customHeight="1">
      <c r="A201" t="inlineStr">
        <is>
          <t>A 22973-2023</t>
        </is>
      </c>
      <c r="B201" s="1" t="n">
        <v>45072</v>
      </c>
      <c r="C201" s="1" t="n">
        <v>45725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20.4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22973-2023 artfynd.xlsx", "A 22973-2023")</f>
        <v/>
      </c>
      <c r="T201">
        <f>HYPERLINK("https://klasma.github.io/Logging_2161/kartor/A 22973-2023 karta.png", "A 22973-2023")</f>
        <v/>
      </c>
      <c r="V201">
        <f>HYPERLINK("https://klasma.github.io/Logging_2161/klagomål/A 22973-2023 FSC-klagomål.docx", "A 22973-2023")</f>
        <v/>
      </c>
      <c r="W201">
        <f>HYPERLINK("https://klasma.github.io/Logging_2161/klagomålsmail/A 22973-2023 FSC-klagomål mail.docx", "A 22973-2023")</f>
        <v/>
      </c>
      <c r="X201">
        <f>HYPERLINK("https://klasma.github.io/Logging_2161/tillsyn/A 22973-2023 tillsynsbegäran.docx", "A 22973-2023")</f>
        <v/>
      </c>
      <c r="Y201">
        <f>HYPERLINK("https://klasma.github.io/Logging_2161/tillsynsmail/A 22973-2023 tillsynsbegäran mail.docx", "A 22973-2023")</f>
        <v/>
      </c>
    </row>
    <row r="202" ht="15" customHeight="1">
      <c r="A202" t="inlineStr">
        <is>
          <t>A 23560-2023</t>
        </is>
      </c>
      <c r="B202" s="1" t="n">
        <v>45077</v>
      </c>
      <c r="C202" s="1" t="n">
        <v>45725</v>
      </c>
      <c r="D202" t="inlineStr">
        <is>
          <t>GÄVLEBORGS LÄN</t>
        </is>
      </c>
      <c r="E202" t="inlineStr">
        <is>
          <t>LJUSDAL</t>
        </is>
      </c>
      <c r="F202" t="inlineStr">
        <is>
          <t>Allmännings- och besparingsskogar</t>
        </is>
      </c>
      <c r="G202" t="n">
        <v>21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23560-2023 artfynd.xlsx", "A 23560-2023")</f>
        <v/>
      </c>
      <c r="T202">
        <f>HYPERLINK("https://klasma.github.io/Logging_2161/kartor/A 23560-2023 karta.png", "A 23560-2023")</f>
        <v/>
      </c>
      <c r="V202">
        <f>HYPERLINK("https://klasma.github.io/Logging_2161/klagomål/A 23560-2023 FSC-klagomål.docx", "A 23560-2023")</f>
        <v/>
      </c>
      <c r="W202">
        <f>HYPERLINK("https://klasma.github.io/Logging_2161/klagomålsmail/A 23560-2023 FSC-klagomål mail.docx", "A 23560-2023")</f>
        <v/>
      </c>
      <c r="X202">
        <f>HYPERLINK("https://klasma.github.io/Logging_2161/tillsyn/A 23560-2023 tillsynsbegäran.docx", "A 23560-2023")</f>
        <v/>
      </c>
      <c r="Y202">
        <f>HYPERLINK("https://klasma.github.io/Logging_2161/tillsynsmail/A 23560-2023 tillsynsbegäran mail.docx", "A 23560-2023")</f>
        <v/>
      </c>
    </row>
    <row r="203" ht="15" customHeight="1">
      <c r="A203" t="inlineStr">
        <is>
          <t>A 25114-2023</t>
        </is>
      </c>
      <c r="B203" s="1" t="n">
        <v>45086</v>
      </c>
      <c r="C203" s="1" t="n">
        <v>45725</v>
      </c>
      <c r="D203" t="inlineStr">
        <is>
          <t>GÄVLEBORGS LÄN</t>
        </is>
      </c>
      <c r="E203" t="inlineStr">
        <is>
          <t>LJUSDAL</t>
        </is>
      </c>
      <c r="G203" t="n">
        <v>0.9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25114-2023 artfynd.xlsx", "A 25114-2023")</f>
        <v/>
      </c>
      <c r="T203">
        <f>HYPERLINK("https://klasma.github.io/Logging_2161/kartor/A 25114-2023 karta.png", "A 25114-2023")</f>
        <v/>
      </c>
      <c r="U203">
        <f>HYPERLINK("https://klasma.github.io/Logging_2161/knärot/A 25114-2023 karta knärot.png", "A 25114-2023")</f>
        <v/>
      </c>
      <c r="V203">
        <f>HYPERLINK("https://klasma.github.io/Logging_2161/klagomål/A 25114-2023 FSC-klagomål.docx", "A 25114-2023")</f>
        <v/>
      </c>
      <c r="W203">
        <f>HYPERLINK("https://klasma.github.io/Logging_2161/klagomålsmail/A 25114-2023 FSC-klagomål mail.docx", "A 25114-2023")</f>
        <v/>
      </c>
      <c r="X203">
        <f>HYPERLINK("https://klasma.github.io/Logging_2161/tillsyn/A 25114-2023 tillsynsbegäran.docx", "A 25114-2023")</f>
        <v/>
      </c>
      <c r="Y203">
        <f>HYPERLINK("https://klasma.github.io/Logging_2161/tillsynsmail/A 25114-2023 tillsynsbegäran mail.docx", "A 25114-2023")</f>
        <v/>
      </c>
    </row>
    <row r="204" ht="15" customHeight="1">
      <c r="A204" t="inlineStr">
        <is>
          <t>A 26003-2023</t>
        </is>
      </c>
      <c r="B204" s="1" t="n">
        <v>45090</v>
      </c>
      <c r="C204" s="1" t="n">
        <v>45725</v>
      </c>
      <c r="D204" t="inlineStr">
        <is>
          <t>GÄVLEBORGS LÄN</t>
        </is>
      </c>
      <c r="E204" t="inlineStr">
        <is>
          <t>LJUSDAL</t>
        </is>
      </c>
      <c r="F204" t="inlineStr">
        <is>
          <t>SCA</t>
        </is>
      </c>
      <c r="G204" t="n">
        <v>19.8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26003-2023 artfynd.xlsx", "A 26003-2023")</f>
        <v/>
      </c>
      <c r="T204">
        <f>HYPERLINK("https://klasma.github.io/Logging_2161/kartor/A 26003-2023 karta.png", "A 26003-2023")</f>
        <v/>
      </c>
      <c r="V204">
        <f>HYPERLINK("https://klasma.github.io/Logging_2161/klagomål/A 26003-2023 FSC-klagomål.docx", "A 26003-2023")</f>
        <v/>
      </c>
      <c r="W204">
        <f>HYPERLINK("https://klasma.github.io/Logging_2161/klagomålsmail/A 26003-2023 FSC-klagomål mail.docx", "A 26003-2023")</f>
        <v/>
      </c>
      <c r="X204">
        <f>HYPERLINK("https://klasma.github.io/Logging_2161/tillsyn/A 26003-2023 tillsynsbegäran.docx", "A 26003-2023")</f>
        <v/>
      </c>
      <c r="Y204">
        <f>HYPERLINK("https://klasma.github.io/Logging_2161/tillsynsmail/A 26003-2023 tillsynsbegäran mail.docx", "A 26003-2023")</f>
        <v/>
      </c>
    </row>
    <row r="205" ht="15" customHeight="1">
      <c r="A205" t="inlineStr">
        <is>
          <t>A 26526-2023</t>
        </is>
      </c>
      <c r="B205" s="1" t="n">
        <v>45092</v>
      </c>
      <c r="C205" s="1" t="n">
        <v>45725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26526-2023 artfynd.xlsx", "A 26526-2023")</f>
        <v/>
      </c>
      <c r="T205">
        <f>HYPERLINK("https://klasma.github.io/Logging_2161/kartor/A 26526-2023 karta.png", "A 26526-2023")</f>
        <v/>
      </c>
      <c r="V205">
        <f>HYPERLINK("https://klasma.github.io/Logging_2161/klagomål/A 26526-2023 FSC-klagomål.docx", "A 26526-2023")</f>
        <v/>
      </c>
      <c r="W205">
        <f>HYPERLINK("https://klasma.github.io/Logging_2161/klagomålsmail/A 26526-2023 FSC-klagomål mail.docx", "A 26526-2023")</f>
        <v/>
      </c>
      <c r="X205">
        <f>HYPERLINK("https://klasma.github.io/Logging_2161/tillsyn/A 26526-2023 tillsynsbegäran.docx", "A 26526-2023")</f>
        <v/>
      </c>
      <c r="Y205">
        <f>HYPERLINK("https://klasma.github.io/Logging_2161/tillsynsmail/A 26526-2023 tillsynsbegäran mail.docx", "A 26526-2023")</f>
        <v/>
      </c>
    </row>
    <row r="206" ht="15" customHeight="1">
      <c r="A206" t="inlineStr">
        <is>
          <t>A 26538-2023</t>
        </is>
      </c>
      <c r="B206" s="1" t="n">
        <v>45092</v>
      </c>
      <c r="C206" s="1" t="n">
        <v>45725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26538-2023 artfynd.xlsx", "A 26538-2023")</f>
        <v/>
      </c>
      <c r="T206">
        <f>HYPERLINK("https://klasma.github.io/Logging_2161/kartor/A 26538-2023 karta.png", "A 26538-2023")</f>
        <v/>
      </c>
      <c r="V206">
        <f>HYPERLINK("https://klasma.github.io/Logging_2161/klagomål/A 26538-2023 FSC-klagomål.docx", "A 26538-2023")</f>
        <v/>
      </c>
      <c r="W206">
        <f>HYPERLINK("https://klasma.github.io/Logging_2161/klagomålsmail/A 26538-2023 FSC-klagomål mail.docx", "A 26538-2023")</f>
        <v/>
      </c>
      <c r="X206">
        <f>HYPERLINK("https://klasma.github.io/Logging_2161/tillsyn/A 26538-2023 tillsynsbegäran.docx", "A 26538-2023")</f>
        <v/>
      </c>
      <c r="Y206">
        <f>HYPERLINK("https://klasma.github.io/Logging_2161/tillsynsmail/A 26538-2023 tillsynsbegäran mail.docx", "A 26538-2023")</f>
        <v/>
      </c>
    </row>
    <row r="207" ht="15" customHeight="1">
      <c r="A207" t="inlineStr">
        <is>
          <t>A 29464-2023</t>
        </is>
      </c>
      <c r="B207" s="1" t="n">
        <v>45106</v>
      </c>
      <c r="C207" s="1" t="n">
        <v>45725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Orre</t>
        </is>
      </c>
      <c r="S207">
        <f>HYPERLINK("https://klasma.github.io/Logging_2161/artfynd/A 29464-2023 artfynd.xlsx", "A 29464-2023")</f>
        <v/>
      </c>
      <c r="T207">
        <f>HYPERLINK("https://klasma.github.io/Logging_2161/kartor/A 29464-2023 karta.png", "A 29464-2023")</f>
        <v/>
      </c>
      <c r="V207">
        <f>HYPERLINK("https://klasma.github.io/Logging_2161/klagomål/A 29464-2023 FSC-klagomål.docx", "A 29464-2023")</f>
        <v/>
      </c>
      <c r="W207">
        <f>HYPERLINK("https://klasma.github.io/Logging_2161/klagomålsmail/A 29464-2023 FSC-klagomål mail.docx", "A 29464-2023")</f>
        <v/>
      </c>
      <c r="X207">
        <f>HYPERLINK("https://klasma.github.io/Logging_2161/tillsyn/A 29464-2023 tillsynsbegäran.docx", "A 29464-2023")</f>
        <v/>
      </c>
      <c r="Y207">
        <f>HYPERLINK("https://klasma.github.io/Logging_2161/tillsynsmail/A 29464-2023 tillsynsbegäran mail.docx", "A 29464-2023")</f>
        <v/>
      </c>
      <c r="Z207">
        <f>HYPERLINK("https://klasma.github.io/Logging_2161/fåglar/A 29464-2023 prioriterade fågelarter.docx", "A 29464-2023")</f>
        <v/>
      </c>
    </row>
    <row r="208" ht="15" customHeight="1">
      <c r="A208" t="inlineStr">
        <is>
          <t>A 29784-2023</t>
        </is>
      </c>
      <c r="B208" s="1" t="n">
        <v>45107</v>
      </c>
      <c r="C208" s="1" t="n">
        <v>45725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17.1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HYPERLINK("https://klasma.github.io/Logging_2161/artfynd/A 29784-2023 artfynd.xlsx", "A 29784-2023")</f>
        <v/>
      </c>
      <c r="T208">
        <f>HYPERLINK("https://klasma.github.io/Logging_2161/kartor/A 29784-2023 karta.png", "A 29784-2023")</f>
        <v/>
      </c>
      <c r="V208">
        <f>HYPERLINK("https://klasma.github.io/Logging_2161/klagomål/A 29784-2023 FSC-klagomål.docx", "A 29784-2023")</f>
        <v/>
      </c>
      <c r="W208">
        <f>HYPERLINK("https://klasma.github.io/Logging_2161/klagomålsmail/A 29784-2023 FSC-klagomål mail.docx", "A 29784-2023")</f>
        <v/>
      </c>
      <c r="X208">
        <f>HYPERLINK("https://klasma.github.io/Logging_2161/tillsyn/A 29784-2023 tillsynsbegäran.docx", "A 29784-2023")</f>
        <v/>
      </c>
      <c r="Y208">
        <f>HYPERLINK("https://klasma.github.io/Logging_2161/tillsynsmail/A 29784-2023 tillsynsbegäran mail.docx", "A 29784-2023")</f>
        <v/>
      </c>
    </row>
    <row r="209" ht="15" customHeight="1">
      <c r="A209" t="inlineStr">
        <is>
          <t>A 32171-2023</t>
        </is>
      </c>
      <c r="B209" s="1" t="n">
        <v>45107</v>
      </c>
      <c r="C209" s="1" t="n">
        <v>45725</v>
      </c>
      <c r="D209" t="inlineStr">
        <is>
          <t>GÄVLEBORGS LÄN</t>
        </is>
      </c>
      <c r="E209" t="inlineStr">
        <is>
          <t>LJUSDAL</t>
        </is>
      </c>
      <c r="G209" t="n">
        <v>1.5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HYPERLINK("https://klasma.github.io/Logging_2161/artfynd/A 32171-2023 artfynd.xlsx", "A 32171-2023")</f>
        <v/>
      </c>
      <c r="T209">
        <f>HYPERLINK("https://klasma.github.io/Logging_2161/kartor/A 32171-2023 karta.png", "A 32171-2023")</f>
        <v/>
      </c>
      <c r="V209">
        <f>HYPERLINK("https://klasma.github.io/Logging_2161/klagomål/A 32171-2023 FSC-klagomål.docx", "A 32171-2023")</f>
        <v/>
      </c>
      <c r="W209">
        <f>HYPERLINK("https://klasma.github.io/Logging_2161/klagomålsmail/A 32171-2023 FSC-klagomål mail.docx", "A 32171-2023")</f>
        <v/>
      </c>
      <c r="X209">
        <f>HYPERLINK("https://klasma.github.io/Logging_2161/tillsyn/A 32171-2023 tillsynsbegäran.docx", "A 32171-2023")</f>
        <v/>
      </c>
      <c r="Y209">
        <f>HYPERLINK("https://klasma.github.io/Logging_2161/tillsynsmail/A 32171-2023 tillsynsbegäran mail.docx", "A 32171-2023")</f>
        <v/>
      </c>
      <c r="Z209">
        <f>HYPERLINK("https://klasma.github.io/Logging_2161/fåglar/A 32171-2023 prioriterade fågelarter.docx", "A 32171-2023")</f>
        <v/>
      </c>
    </row>
    <row r="210" ht="15" customHeight="1">
      <c r="A210" t="inlineStr">
        <is>
          <t>A 30245-2023</t>
        </is>
      </c>
      <c r="B210" s="1" t="n">
        <v>45110</v>
      </c>
      <c r="C210" s="1" t="n">
        <v>45725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32.1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HYPERLINK("https://klasma.github.io/Logging_2161/artfynd/A 30245-2023 artfynd.xlsx", "A 30245-2023")</f>
        <v/>
      </c>
      <c r="T210">
        <f>HYPERLINK("https://klasma.github.io/Logging_2161/kartor/A 30245-2023 karta.png", "A 30245-2023")</f>
        <v/>
      </c>
      <c r="V210">
        <f>HYPERLINK("https://klasma.github.io/Logging_2161/klagomål/A 30245-2023 FSC-klagomål.docx", "A 30245-2023")</f>
        <v/>
      </c>
      <c r="W210">
        <f>HYPERLINK("https://klasma.github.io/Logging_2161/klagomålsmail/A 30245-2023 FSC-klagomål mail.docx", "A 30245-2023")</f>
        <v/>
      </c>
      <c r="X210">
        <f>HYPERLINK("https://klasma.github.io/Logging_2161/tillsyn/A 30245-2023 tillsynsbegäran.docx", "A 30245-2023")</f>
        <v/>
      </c>
      <c r="Y210">
        <f>HYPERLINK("https://klasma.github.io/Logging_2161/tillsynsmail/A 30245-2023 tillsynsbegäran mail.docx", "A 30245-2023")</f>
        <v/>
      </c>
    </row>
    <row r="211" ht="15" customHeight="1">
      <c r="A211" t="inlineStr">
        <is>
          <t>A 30610-2023</t>
        </is>
      </c>
      <c r="B211" s="1" t="n">
        <v>45112</v>
      </c>
      <c r="C211" s="1" t="n">
        <v>45725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30610-2023 artfynd.xlsx", "A 30610-2023")</f>
        <v/>
      </c>
      <c r="T211">
        <f>HYPERLINK("https://klasma.github.io/Logging_2161/kartor/A 30610-2023 karta.png", "A 30610-2023")</f>
        <v/>
      </c>
      <c r="U211">
        <f>HYPERLINK("https://klasma.github.io/Logging_2161/knärot/A 30610-2023 karta knärot.png", "A 30610-2023")</f>
        <v/>
      </c>
      <c r="V211">
        <f>HYPERLINK("https://klasma.github.io/Logging_2161/klagomål/A 30610-2023 FSC-klagomål.docx", "A 30610-2023")</f>
        <v/>
      </c>
      <c r="W211">
        <f>HYPERLINK("https://klasma.github.io/Logging_2161/klagomålsmail/A 30610-2023 FSC-klagomål mail.docx", "A 30610-2023")</f>
        <v/>
      </c>
      <c r="X211">
        <f>HYPERLINK("https://klasma.github.io/Logging_2161/tillsyn/A 30610-2023 tillsynsbegäran.docx", "A 30610-2023")</f>
        <v/>
      </c>
      <c r="Y211">
        <f>HYPERLINK("https://klasma.github.io/Logging_2161/tillsynsmail/A 30610-2023 tillsynsbegäran mail.docx", "A 30610-2023")</f>
        <v/>
      </c>
    </row>
    <row r="212" ht="15" customHeight="1">
      <c r="A212" t="inlineStr">
        <is>
          <t>A 31125-2023</t>
        </is>
      </c>
      <c r="B212" s="1" t="n">
        <v>45113</v>
      </c>
      <c r="C212" s="1" t="n">
        <v>45725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1.8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Stuplav</t>
        </is>
      </c>
      <c r="S212">
        <f>HYPERLINK("https://klasma.github.io/Logging_2161/artfynd/A 31125-2023 artfynd.xlsx", "A 31125-2023")</f>
        <v/>
      </c>
      <c r="T212">
        <f>HYPERLINK("https://klasma.github.io/Logging_2161/kartor/A 31125-2023 karta.png", "A 31125-2023")</f>
        <v/>
      </c>
      <c r="V212">
        <f>HYPERLINK("https://klasma.github.io/Logging_2161/klagomål/A 31125-2023 FSC-klagomål.docx", "A 31125-2023")</f>
        <v/>
      </c>
      <c r="W212">
        <f>HYPERLINK("https://klasma.github.io/Logging_2161/klagomålsmail/A 31125-2023 FSC-klagomål mail.docx", "A 31125-2023")</f>
        <v/>
      </c>
      <c r="X212">
        <f>HYPERLINK("https://klasma.github.io/Logging_2161/tillsyn/A 31125-2023 tillsynsbegäran.docx", "A 31125-2023")</f>
        <v/>
      </c>
      <c r="Y212">
        <f>HYPERLINK("https://klasma.github.io/Logging_2161/tillsynsmail/A 31125-2023 tillsynsbegäran mail.docx", "A 31125-2023")</f>
        <v/>
      </c>
    </row>
    <row r="213" ht="15" customHeight="1">
      <c r="A213" t="inlineStr">
        <is>
          <t>A 31127-2023</t>
        </is>
      </c>
      <c r="B213" s="1" t="n">
        <v>45113</v>
      </c>
      <c r="C213" s="1" t="n">
        <v>45725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6.8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HYPERLINK("https://klasma.github.io/Logging_2161/artfynd/A 31127-2023 artfynd.xlsx", "A 31127-2023")</f>
        <v/>
      </c>
      <c r="T213">
        <f>HYPERLINK("https://klasma.github.io/Logging_2161/kartor/A 31127-2023 karta.png", "A 31127-2023")</f>
        <v/>
      </c>
      <c r="V213">
        <f>HYPERLINK("https://klasma.github.io/Logging_2161/klagomål/A 31127-2023 FSC-klagomål.docx", "A 31127-2023")</f>
        <v/>
      </c>
      <c r="W213">
        <f>HYPERLINK("https://klasma.github.io/Logging_2161/klagomålsmail/A 31127-2023 FSC-klagomål mail.docx", "A 31127-2023")</f>
        <v/>
      </c>
      <c r="X213">
        <f>HYPERLINK("https://klasma.github.io/Logging_2161/tillsyn/A 31127-2023 tillsynsbegäran.docx", "A 31127-2023")</f>
        <v/>
      </c>
      <c r="Y213">
        <f>HYPERLINK("https://klasma.github.io/Logging_2161/tillsynsmail/A 31127-2023 tillsynsbegäran mail.docx", "A 31127-2023")</f>
        <v/>
      </c>
    </row>
    <row r="214" ht="15" customHeight="1">
      <c r="A214" t="inlineStr">
        <is>
          <t>A 32499-2023</t>
        </is>
      </c>
      <c r="B214" s="1" t="n">
        <v>45121</v>
      </c>
      <c r="C214" s="1" t="n">
        <v>45725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32499-2023 artfynd.xlsx", "A 32499-2023")</f>
        <v/>
      </c>
      <c r="T214">
        <f>HYPERLINK("https://klasma.github.io/Logging_2161/kartor/A 32499-2023 karta.png", "A 32499-2023")</f>
        <v/>
      </c>
      <c r="U214">
        <f>HYPERLINK("https://klasma.github.io/Logging_2161/knärot/A 32499-2023 karta knärot.png", "A 32499-2023")</f>
        <v/>
      </c>
      <c r="V214">
        <f>HYPERLINK("https://klasma.github.io/Logging_2161/klagomål/A 32499-2023 FSC-klagomål.docx", "A 32499-2023")</f>
        <v/>
      </c>
      <c r="W214">
        <f>HYPERLINK("https://klasma.github.io/Logging_2161/klagomålsmail/A 32499-2023 FSC-klagomål mail.docx", "A 32499-2023")</f>
        <v/>
      </c>
      <c r="X214">
        <f>HYPERLINK("https://klasma.github.io/Logging_2161/tillsyn/A 32499-2023 tillsynsbegäran.docx", "A 32499-2023")</f>
        <v/>
      </c>
      <c r="Y214">
        <f>HYPERLINK("https://klasma.github.io/Logging_2161/tillsynsmail/A 32499-2023 tillsynsbegäran mail.docx", "A 32499-2023")</f>
        <v/>
      </c>
    </row>
    <row r="215" ht="15" customHeight="1">
      <c r="A215" t="inlineStr">
        <is>
          <t>A 32497-2023</t>
        </is>
      </c>
      <c r="B215" s="1" t="n">
        <v>45121</v>
      </c>
      <c r="C215" s="1" t="n">
        <v>45725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2.6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32497-2023 artfynd.xlsx", "A 32497-2023")</f>
        <v/>
      </c>
      <c r="T215">
        <f>HYPERLINK("https://klasma.github.io/Logging_2161/kartor/A 32497-2023 karta.png", "A 32497-2023")</f>
        <v/>
      </c>
      <c r="U215">
        <f>HYPERLINK("https://klasma.github.io/Logging_2161/knärot/A 32497-2023 karta knärot.png", "A 32497-2023")</f>
        <v/>
      </c>
      <c r="V215">
        <f>HYPERLINK("https://klasma.github.io/Logging_2161/klagomål/A 32497-2023 FSC-klagomål.docx", "A 32497-2023")</f>
        <v/>
      </c>
      <c r="W215">
        <f>HYPERLINK("https://klasma.github.io/Logging_2161/klagomålsmail/A 32497-2023 FSC-klagomål mail.docx", "A 32497-2023")</f>
        <v/>
      </c>
      <c r="X215">
        <f>HYPERLINK("https://klasma.github.io/Logging_2161/tillsyn/A 32497-2023 tillsynsbegäran.docx", "A 32497-2023")</f>
        <v/>
      </c>
      <c r="Y215">
        <f>HYPERLINK("https://klasma.github.io/Logging_2161/tillsynsmail/A 32497-2023 tillsynsbegäran mail.docx", "A 32497-2023")</f>
        <v/>
      </c>
    </row>
    <row r="216" ht="15" customHeight="1">
      <c r="A216" t="inlineStr">
        <is>
          <t>A 35086-2023</t>
        </is>
      </c>
      <c r="B216" s="1" t="n">
        <v>45145</v>
      </c>
      <c r="C216" s="1" t="n">
        <v>45725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35086-2023 artfynd.xlsx", "A 35086-2023")</f>
        <v/>
      </c>
      <c r="T216">
        <f>HYPERLINK("https://klasma.github.io/Logging_2161/kartor/A 35086-2023 karta.png", "A 35086-2023")</f>
        <v/>
      </c>
      <c r="V216">
        <f>HYPERLINK("https://klasma.github.io/Logging_2161/klagomål/A 35086-2023 FSC-klagomål.docx", "A 35086-2023")</f>
        <v/>
      </c>
      <c r="W216">
        <f>HYPERLINK("https://klasma.github.io/Logging_2161/klagomålsmail/A 35086-2023 FSC-klagomål mail.docx", "A 35086-2023")</f>
        <v/>
      </c>
      <c r="X216">
        <f>HYPERLINK("https://klasma.github.io/Logging_2161/tillsyn/A 35086-2023 tillsynsbegäran.docx", "A 35086-2023")</f>
        <v/>
      </c>
      <c r="Y216">
        <f>HYPERLINK("https://klasma.github.io/Logging_2161/tillsynsmail/A 35086-2023 tillsynsbegäran mail.docx", "A 35086-2023")</f>
        <v/>
      </c>
    </row>
    <row r="217" ht="15" customHeight="1">
      <c r="A217" t="inlineStr">
        <is>
          <t>A 35080-2023</t>
        </is>
      </c>
      <c r="B217" s="1" t="n">
        <v>45145</v>
      </c>
      <c r="C217" s="1" t="n">
        <v>45725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Vedflamlav</t>
        </is>
      </c>
      <c r="S217">
        <f>HYPERLINK("https://klasma.github.io/Logging_2161/artfynd/A 35080-2023 artfynd.xlsx", "A 35080-2023")</f>
        <v/>
      </c>
      <c r="T217">
        <f>HYPERLINK("https://klasma.github.io/Logging_2161/kartor/A 35080-2023 karta.png", "A 35080-2023")</f>
        <v/>
      </c>
      <c r="V217">
        <f>HYPERLINK("https://klasma.github.io/Logging_2161/klagomål/A 35080-2023 FSC-klagomål.docx", "A 35080-2023")</f>
        <v/>
      </c>
      <c r="W217">
        <f>HYPERLINK("https://klasma.github.io/Logging_2161/klagomålsmail/A 35080-2023 FSC-klagomål mail.docx", "A 35080-2023")</f>
        <v/>
      </c>
      <c r="X217">
        <f>HYPERLINK("https://klasma.github.io/Logging_2161/tillsyn/A 35080-2023 tillsynsbegäran.docx", "A 35080-2023")</f>
        <v/>
      </c>
      <c r="Y217">
        <f>HYPERLINK("https://klasma.github.io/Logging_2161/tillsynsmail/A 35080-2023 tillsynsbegäran mail.docx", "A 35080-2023")</f>
        <v/>
      </c>
    </row>
    <row r="218" ht="15" customHeight="1">
      <c r="A218" t="inlineStr">
        <is>
          <t>A 36101-2023</t>
        </is>
      </c>
      <c r="B218" s="1" t="n">
        <v>45149</v>
      </c>
      <c r="C218" s="1" t="n">
        <v>45725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36101-2023 artfynd.xlsx", "A 36101-2023")</f>
        <v/>
      </c>
      <c r="T218">
        <f>HYPERLINK("https://klasma.github.io/Logging_2161/kartor/A 36101-2023 karta.png", "A 36101-2023")</f>
        <v/>
      </c>
      <c r="V218">
        <f>HYPERLINK("https://klasma.github.io/Logging_2161/klagomål/A 36101-2023 FSC-klagomål.docx", "A 36101-2023")</f>
        <v/>
      </c>
      <c r="W218">
        <f>HYPERLINK("https://klasma.github.io/Logging_2161/klagomålsmail/A 36101-2023 FSC-klagomål mail.docx", "A 36101-2023")</f>
        <v/>
      </c>
      <c r="X218">
        <f>HYPERLINK("https://klasma.github.io/Logging_2161/tillsyn/A 36101-2023 tillsynsbegäran.docx", "A 36101-2023")</f>
        <v/>
      </c>
      <c r="Y218">
        <f>HYPERLINK("https://klasma.github.io/Logging_2161/tillsynsmail/A 36101-2023 tillsynsbegäran mail.docx", "A 36101-2023")</f>
        <v/>
      </c>
    </row>
    <row r="219" ht="15" customHeight="1">
      <c r="A219" t="inlineStr">
        <is>
          <t>A 36184-2023</t>
        </is>
      </c>
      <c r="B219" s="1" t="n">
        <v>45149</v>
      </c>
      <c r="C219" s="1" t="n">
        <v>45725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36184-2023 artfynd.xlsx", "A 36184-2023")</f>
        <v/>
      </c>
      <c r="T219">
        <f>HYPERLINK("https://klasma.github.io/Logging_2161/kartor/A 36184-2023 karta.png", "A 36184-2023")</f>
        <v/>
      </c>
      <c r="V219">
        <f>HYPERLINK("https://klasma.github.io/Logging_2161/klagomål/A 36184-2023 FSC-klagomål.docx", "A 36184-2023")</f>
        <v/>
      </c>
      <c r="W219">
        <f>HYPERLINK("https://klasma.github.io/Logging_2161/klagomålsmail/A 36184-2023 FSC-klagomål mail.docx", "A 36184-2023")</f>
        <v/>
      </c>
      <c r="X219">
        <f>HYPERLINK("https://klasma.github.io/Logging_2161/tillsyn/A 36184-2023 tillsynsbegäran.docx", "A 36184-2023")</f>
        <v/>
      </c>
      <c r="Y219">
        <f>HYPERLINK("https://klasma.github.io/Logging_2161/tillsynsmail/A 36184-2023 tillsynsbegäran mail.docx", "A 36184-2023")</f>
        <v/>
      </c>
    </row>
    <row r="220" ht="15" customHeight="1">
      <c r="A220" t="inlineStr">
        <is>
          <t>A 37610-2023</t>
        </is>
      </c>
      <c r="B220" s="1" t="n">
        <v>45159</v>
      </c>
      <c r="C220" s="1" t="n">
        <v>45725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37610-2023 artfynd.xlsx", "A 37610-2023")</f>
        <v/>
      </c>
      <c r="T220">
        <f>HYPERLINK("https://klasma.github.io/Logging_2161/kartor/A 37610-2023 karta.png", "A 37610-2023")</f>
        <v/>
      </c>
      <c r="V220">
        <f>HYPERLINK("https://klasma.github.io/Logging_2161/klagomål/A 37610-2023 FSC-klagomål.docx", "A 37610-2023")</f>
        <v/>
      </c>
      <c r="W220">
        <f>HYPERLINK("https://klasma.github.io/Logging_2161/klagomålsmail/A 37610-2023 FSC-klagomål mail.docx", "A 37610-2023")</f>
        <v/>
      </c>
      <c r="X220">
        <f>HYPERLINK("https://klasma.github.io/Logging_2161/tillsyn/A 37610-2023 tillsynsbegäran.docx", "A 37610-2023")</f>
        <v/>
      </c>
      <c r="Y220">
        <f>HYPERLINK("https://klasma.github.io/Logging_2161/tillsynsmail/A 37610-2023 tillsynsbegäran mail.docx", "A 37610-2023")</f>
        <v/>
      </c>
    </row>
    <row r="221" ht="15" customHeight="1">
      <c r="A221" t="inlineStr">
        <is>
          <t>A 37660-2023</t>
        </is>
      </c>
      <c r="B221" s="1" t="n">
        <v>45159</v>
      </c>
      <c r="C221" s="1" t="n">
        <v>45725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37660-2023 artfynd.xlsx", "A 37660-2023")</f>
        <v/>
      </c>
      <c r="T221">
        <f>HYPERLINK("https://klasma.github.io/Logging_2161/kartor/A 37660-2023 karta.png", "A 37660-2023")</f>
        <v/>
      </c>
      <c r="V221">
        <f>HYPERLINK("https://klasma.github.io/Logging_2161/klagomål/A 37660-2023 FSC-klagomål.docx", "A 37660-2023")</f>
        <v/>
      </c>
      <c r="W221">
        <f>HYPERLINK("https://klasma.github.io/Logging_2161/klagomålsmail/A 37660-2023 FSC-klagomål mail.docx", "A 37660-2023")</f>
        <v/>
      </c>
      <c r="X221">
        <f>HYPERLINK("https://klasma.github.io/Logging_2161/tillsyn/A 37660-2023 tillsynsbegäran.docx", "A 37660-2023")</f>
        <v/>
      </c>
      <c r="Y221">
        <f>HYPERLINK("https://klasma.github.io/Logging_2161/tillsynsmail/A 37660-2023 tillsynsbegäran mail.docx", "A 37660-2023")</f>
        <v/>
      </c>
    </row>
    <row r="222" ht="15" customHeight="1">
      <c r="A222" t="inlineStr">
        <is>
          <t>A 38400-2023</t>
        </is>
      </c>
      <c r="B222" s="1" t="n">
        <v>45162</v>
      </c>
      <c r="C222" s="1" t="n">
        <v>45725</v>
      </c>
      <c r="D222" t="inlineStr">
        <is>
          <t>GÄVLEBORGS LÄN</t>
        </is>
      </c>
      <c r="E222" t="inlineStr">
        <is>
          <t>LJUSDAL</t>
        </is>
      </c>
      <c r="G222" t="n">
        <v>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HYPERLINK("https://klasma.github.io/Logging_2161/artfynd/A 38400-2023 artfynd.xlsx", "A 38400-2023")</f>
        <v/>
      </c>
      <c r="T222">
        <f>HYPERLINK("https://klasma.github.io/Logging_2161/kartor/A 38400-2023 karta.png", "A 38400-2023")</f>
        <v/>
      </c>
      <c r="U222">
        <f>HYPERLINK("https://klasma.github.io/Logging_2161/knärot/A 38400-2023 karta knärot.png", "A 38400-2023")</f>
        <v/>
      </c>
      <c r="V222">
        <f>HYPERLINK("https://klasma.github.io/Logging_2161/klagomål/A 38400-2023 FSC-klagomål.docx", "A 38400-2023")</f>
        <v/>
      </c>
      <c r="W222">
        <f>HYPERLINK("https://klasma.github.io/Logging_2161/klagomålsmail/A 38400-2023 FSC-klagomål mail.docx", "A 38400-2023")</f>
        <v/>
      </c>
      <c r="X222">
        <f>HYPERLINK("https://klasma.github.io/Logging_2161/tillsyn/A 38400-2023 tillsynsbegäran.docx", "A 38400-2023")</f>
        <v/>
      </c>
      <c r="Y222">
        <f>HYPERLINK("https://klasma.github.io/Logging_2161/tillsynsmail/A 38400-2023 tillsynsbegäran mail.docx", "A 38400-2023")</f>
        <v/>
      </c>
    </row>
    <row r="223" ht="15" customHeight="1">
      <c r="A223" t="inlineStr">
        <is>
          <t>A 40943-2023</t>
        </is>
      </c>
      <c r="B223" s="1" t="n">
        <v>45173</v>
      </c>
      <c r="C223" s="1" t="n">
        <v>45725</v>
      </c>
      <c r="D223" t="inlineStr">
        <is>
          <t>GÄVLEBORGS LÄN</t>
        </is>
      </c>
      <c r="E223" t="inlineStr">
        <is>
          <t>LJUSDAL</t>
        </is>
      </c>
      <c r="G223" t="n">
        <v>5.8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HYPERLINK("https://klasma.github.io/Logging_2161/artfynd/A 40943-2023 artfynd.xlsx", "A 40943-2023")</f>
        <v/>
      </c>
      <c r="T223">
        <f>HYPERLINK("https://klasma.github.io/Logging_2161/kartor/A 40943-2023 karta.png", "A 40943-2023")</f>
        <v/>
      </c>
      <c r="V223">
        <f>HYPERLINK("https://klasma.github.io/Logging_2161/klagomål/A 40943-2023 FSC-klagomål.docx", "A 40943-2023")</f>
        <v/>
      </c>
      <c r="W223">
        <f>HYPERLINK("https://klasma.github.io/Logging_2161/klagomålsmail/A 40943-2023 FSC-klagomål mail.docx", "A 40943-2023")</f>
        <v/>
      </c>
      <c r="X223">
        <f>HYPERLINK("https://klasma.github.io/Logging_2161/tillsyn/A 40943-2023 tillsynsbegäran.docx", "A 40943-2023")</f>
        <v/>
      </c>
      <c r="Y223">
        <f>HYPERLINK("https://klasma.github.io/Logging_2161/tillsynsmail/A 40943-2023 tillsynsbegäran mail.docx", "A 40943-2023")</f>
        <v/>
      </c>
    </row>
    <row r="224" ht="15" customHeight="1">
      <c r="A224" t="inlineStr">
        <is>
          <t>A 45204-2023</t>
        </is>
      </c>
      <c r="B224" s="1" t="n">
        <v>45191</v>
      </c>
      <c r="C224" s="1" t="n">
        <v>45725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45204-2023 artfynd.xlsx", "A 45204-2023")</f>
        <v/>
      </c>
      <c r="T224">
        <f>HYPERLINK("https://klasma.github.io/Logging_2161/kartor/A 45204-2023 karta.png", "A 45204-2023")</f>
        <v/>
      </c>
      <c r="V224">
        <f>HYPERLINK("https://klasma.github.io/Logging_2161/klagomål/A 45204-2023 FSC-klagomål.docx", "A 45204-2023")</f>
        <v/>
      </c>
      <c r="W224">
        <f>HYPERLINK("https://klasma.github.io/Logging_2161/klagomålsmail/A 45204-2023 FSC-klagomål mail.docx", "A 45204-2023")</f>
        <v/>
      </c>
      <c r="X224">
        <f>HYPERLINK("https://klasma.github.io/Logging_2161/tillsyn/A 45204-2023 tillsynsbegäran.docx", "A 45204-2023")</f>
        <v/>
      </c>
      <c r="Y224">
        <f>HYPERLINK("https://klasma.github.io/Logging_2161/tillsynsmail/A 45204-2023 tillsynsbegäran mail.docx", "A 45204-2023")</f>
        <v/>
      </c>
    </row>
    <row r="225" ht="15" customHeight="1">
      <c r="A225" t="inlineStr">
        <is>
          <t>A 47717-2023</t>
        </is>
      </c>
      <c r="B225" s="1" t="n">
        <v>45203</v>
      </c>
      <c r="C225" s="1" t="n">
        <v>45725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47717-2023 artfynd.xlsx", "A 47717-2023")</f>
        <v/>
      </c>
      <c r="T225">
        <f>HYPERLINK("https://klasma.github.io/Logging_2161/kartor/A 47717-2023 karta.png", "A 47717-2023")</f>
        <v/>
      </c>
      <c r="V225">
        <f>HYPERLINK("https://klasma.github.io/Logging_2161/klagomål/A 47717-2023 FSC-klagomål.docx", "A 47717-2023")</f>
        <v/>
      </c>
      <c r="W225">
        <f>HYPERLINK("https://klasma.github.io/Logging_2161/klagomålsmail/A 47717-2023 FSC-klagomål mail.docx", "A 47717-2023")</f>
        <v/>
      </c>
      <c r="X225">
        <f>HYPERLINK("https://klasma.github.io/Logging_2161/tillsyn/A 47717-2023 tillsynsbegäran.docx", "A 47717-2023")</f>
        <v/>
      </c>
      <c r="Y225">
        <f>HYPERLINK("https://klasma.github.io/Logging_2161/tillsynsmail/A 47717-2023 tillsynsbegäran mail.docx", "A 47717-2023")</f>
        <v/>
      </c>
    </row>
    <row r="226" ht="15" customHeight="1">
      <c r="A226" t="inlineStr">
        <is>
          <t>A 50257-2023</t>
        </is>
      </c>
      <c r="B226" s="1" t="n">
        <v>45216</v>
      </c>
      <c r="C226" s="1" t="n">
        <v>45725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50257-2023 artfynd.xlsx", "A 50257-2023")</f>
        <v/>
      </c>
      <c r="T226">
        <f>HYPERLINK("https://klasma.github.io/Logging_2161/kartor/A 50257-2023 karta.png", "A 50257-2023")</f>
        <v/>
      </c>
      <c r="V226">
        <f>HYPERLINK("https://klasma.github.io/Logging_2161/klagomål/A 50257-2023 FSC-klagomål.docx", "A 50257-2023")</f>
        <v/>
      </c>
      <c r="W226">
        <f>HYPERLINK("https://klasma.github.io/Logging_2161/klagomålsmail/A 50257-2023 FSC-klagomål mail.docx", "A 50257-2023")</f>
        <v/>
      </c>
      <c r="X226">
        <f>HYPERLINK("https://klasma.github.io/Logging_2161/tillsyn/A 50257-2023 tillsynsbegäran.docx", "A 50257-2023")</f>
        <v/>
      </c>
      <c r="Y226">
        <f>HYPERLINK("https://klasma.github.io/Logging_2161/tillsynsmail/A 50257-2023 tillsynsbegäran mail.docx", "A 50257-2023")</f>
        <v/>
      </c>
    </row>
    <row r="227" ht="15" customHeight="1">
      <c r="A227" t="inlineStr">
        <is>
          <t>A 51232-2023</t>
        </is>
      </c>
      <c r="B227" s="1" t="n">
        <v>45219</v>
      </c>
      <c r="C227" s="1" t="n">
        <v>45725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51232-2023 artfynd.xlsx", "A 51232-2023")</f>
        <v/>
      </c>
      <c r="T227">
        <f>HYPERLINK("https://klasma.github.io/Logging_2161/kartor/A 51232-2023 karta.png", "A 51232-2023")</f>
        <v/>
      </c>
      <c r="V227">
        <f>HYPERLINK("https://klasma.github.io/Logging_2161/klagomål/A 51232-2023 FSC-klagomål.docx", "A 51232-2023")</f>
        <v/>
      </c>
      <c r="W227">
        <f>HYPERLINK("https://klasma.github.io/Logging_2161/klagomålsmail/A 51232-2023 FSC-klagomål mail.docx", "A 51232-2023")</f>
        <v/>
      </c>
      <c r="X227">
        <f>HYPERLINK("https://klasma.github.io/Logging_2161/tillsyn/A 51232-2023 tillsynsbegäran.docx", "A 51232-2023")</f>
        <v/>
      </c>
      <c r="Y227">
        <f>HYPERLINK("https://klasma.github.io/Logging_2161/tillsynsmail/A 51232-2023 tillsynsbegäran mail.docx", "A 51232-2023")</f>
        <v/>
      </c>
    </row>
    <row r="228" ht="15" customHeight="1">
      <c r="A228" t="inlineStr">
        <is>
          <t>A 51498-2023</t>
        </is>
      </c>
      <c r="B228" s="1" t="n">
        <v>45222</v>
      </c>
      <c r="C228" s="1" t="n">
        <v>45725</v>
      </c>
      <c r="D228" t="inlineStr">
        <is>
          <t>GÄVLEBORGS LÄN</t>
        </is>
      </c>
      <c r="E228" t="inlineStr">
        <is>
          <t>LJUSDAL</t>
        </is>
      </c>
      <c r="G228" t="n">
        <v>4.9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Tvåblad</t>
        </is>
      </c>
      <c r="S228">
        <f>HYPERLINK("https://klasma.github.io/Logging_2161/artfynd/A 51498-2023 artfynd.xlsx", "A 51498-2023")</f>
        <v/>
      </c>
      <c r="T228">
        <f>HYPERLINK("https://klasma.github.io/Logging_2161/kartor/A 51498-2023 karta.png", "A 51498-2023")</f>
        <v/>
      </c>
      <c r="V228">
        <f>HYPERLINK("https://klasma.github.io/Logging_2161/klagomål/A 51498-2023 FSC-klagomål.docx", "A 51498-2023")</f>
        <v/>
      </c>
      <c r="W228">
        <f>HYPERLINK("https://klasma.github.io/Logging_2161/klagomålsmail/A 51498-2023 FSC-klagomål mail.docx", "A 51498-2023")</f>
        <v/>
      </c>
      <c r="X228">
        <f>HYPERLINK("https://klasma.github.io/Logging_2161/tillsyn/A 51498-2023 tillsynsbegäran.docx", "A 51498-2023")</f>
        <v/>
      </c>
      <c r="Y228">
        <f>HYPERLINK("https://klasma.github.io/Logging_2161/tillsynsmail/A 51498-2023 tillsynsbegäran mail.docx", "A 51498-2023")</f>
        <v/>
      </c>
    </row>
    <row r="229" ht="15" customHeight="1">
      <c r="A229" t="inlineStr">
        <is>
          <t>A 53286-2023</t>
        </is>
      </c>
      <c r="B229" s="1" t="n">
        <v>45229</v>
      </c>
      <c r="C229" s="1" t="n">
        <v>45725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HYPERLINK("https://klasma.github.io/Logging_2161/artfynd/A 53286-2023 artfynd.xlsx", "A 53286-2023")</f>
        <v/>
      </c>
      <c r="T229">
        <f>HYPERLINK("https://klasma.github.io/Logging_2161/kartor/A 53286-2023 karta.png", "A 53286-2023")</f>
        <v/>
      </c>
      <c r="V229">
        <f>HYPERLINK("https://klasma.github.io/Logging_2161/klagomål/A 53286-2023 FSC-klagomål.docx", "A 53286-2023")</f>
        <v/>
      </c>
      <c r="W229">
        <f>HYPERLINK("https://klasma.github.io/Logging_2161/klagomålsmail/A 53286-2023 FSC-klagomål mail.docx", "A 53286-2023")</f>
        <v/>
      </c>
      <c r="X229">
        <f>HYPERLINK("https://klasma.github.io/Logging_2161/tillsyn/A 53286-2023 tillsynsbegäran.docx", "A 53286-2023")</f>
        <v/>
      </c>
      <c r="Y229">
        <f>HYPERLINK("https://klasma.github.io/Logging_2161/tillsynsmail/A 53286-2023 tillsynsbegäran mail.docx", "A 53286-2023")</f>
        <v/>
      </c>
    </row>
    <row r="230" ht="15" customHeight="1">
      <c r="A230" t="inlineStr">
        <is>
          <t>A 53858-2023</t>
        </is>
      </c>
      <c r="B230" s="1" t="n">
        <v>45231</v>
      </c>
      <c r="C230" s="1" t="n">
        <v>45725</v>
      </c>
      <c r="D230" t="inlineStr">
        <is>
          <t>GÄVLEBORGS LÄN</t>
        </is>
      </c>
      <c r="E230" t="inlineStr">
        <is>
          <t>LJUSDAL</t>
        </is>
      </c>
      <c r="F230" t="inlineStr">
        <is>
          <t>Allmännings- och besparingsskogar</t>
        </is>
      </c>
      <c r="G230" t="n">
        <v>2.3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Mellanlummer</t>
        </is>
      </c>
      <c r="S230">
        <f>HYPERLINK("https://klasma.github.io/Logging_2161/artfynd/A 53858-2023 artfynd.xlsx", "A 53858-2023")</f>
        <v/>
      </c>
      <c r="T230">
        <f>HYPERLINK("https://klasma.github.io/Logging_2161/kartor/A 53858-2023 karta.png", "A 53858-2023")</f>
        <v/>
      </c>
      <c r="V230">
        <f>HYPERLINK("https://klasma.github.io/Logging_2161/klagomål/A 53858-2023 FSC-klagomål.docx", "A 53858-2023")</f>
        <v/>
      </c>
      <c r="W230">
        <f>HYPERLINK("https://klasma.github.io/Logging_2161/klagomålsmail/A 53858-2023 FSC-klagomål mail.docx", "A 53858-2023")</f>
        <v/>
      </c>
      <c r="X230">
        <f>HYPERLINK("https://klasma.github.io/Logging_2161/tillsyn/A 53858-2023 tillsynsbegäran.docx", "A 53858-2023")</f>
        <v/>
      </c>
      <c r="Y230">
        <f>HYPERLINK("https://klasma.github.io/Logging_2161/tillsynsmail/A 53858-2023 tillsynsbegäran mail.docx", "A 53858-2023")</f>
        <v/>
      </c>
    </row>
    <row r="231" ht="15" customHeight="1">
      <c r="A231" t="inlineStr">
        <is>
          <t>A 56782-2023</t>
        </is>
      </c>
      <c r="B231" s="1" t="n">
        <v>45244</v>
      </c>
      <c r="C231" s="1" t="n">
        <v>45725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Järpe</t>
        </is>
      </c>
      <c r="S231">
        <f>HYPERLINK("https://klasma.github.io/Logging_2161/artfynd/A 56782-2023 artfynd.xlsx", "A 56782-2023")</f>
        <v/>
      </c>
      <c r="T231">
        <f>HYPERLINK("https://klasma.github.io/Logging_2161/kartor/A 56782-2023 karta.png", "A 56782-2023")</f>
        <v/>
      </c>
      <c r="U231">
        <f>HYPERLINK("https://klasma.github.io/Logging_2161/knärot/A 56782-2023 karta knärot.png", "A 56782-2023")</f>
        <v/>
      </c>
      <c r="V231">
        <f>HYPERLINK("https://klasma.github.io/Logging_2161/klagomål/A 56782-2023 FSC-klagomål.docx", "A 56782-2023")</f>
        <v/>
      </c>
      <c r="W231">
        <f>HYPERLINK("https://klasma.github.io/Logging_2161/klagomålsmail/A 56782-2023 FSC-klagomål mail.docx", "A 56782-2023")</f>
        <v/>
      </c>
      <c r="X231">
        <f>HYPERLINK("https://klasma.github.io/Logging_2161/tillsyn/A 56782-2023 tillsynsbegäran.docx", "A 56782-2023")</f>
        <v/>
      </c>
      <c r="Y231">
        <f>HYPERLINK("https://klasma.github.io/Logging_2161/tillsynsmail/A 56782-2023 tillsynsbegäran mail.docx", "A 56782-2023")</f>
        <v/>
      </c>
      <c r="Z231">
        <f>HYPERLINK("https://klasma.github.io/Logging_2161/fåglar/A 56782-2023 prioriterade fågelarter.docx", "A 56782-2023")</f>
        <v/>
      </c>
    </row>
    <row r="232" ht="15" customHeight="1">
      <c r="A232" t="inlineStr">
        <is>
          <t>A 63166-2023</t>
        </is>
      </c>
      <c r="B232" s="1" t="n">
        <v>45273</v>
      </c>
      <c r="C232" s="1" t="n">
        <v>45725</v>
      </c>
      <c r="D232" t="inlineStr">
        <is>
          <t>GÄVLEBORGS LÄN</t>
        </is>
      </c>
      <c r="E232" t="inlineStr">
        <is>
          <t>LJUSDAL</t>
        </is>
      </c>
      <c r="G232" t="n">
        <v>3.1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HYPERLINK("https://klasma.github.io/Logging_2161/artfynd/A 63166-2023 artfynd.xlsx", "A 63166-2023")</f>
        <v/>
      </c>
      <c r="T232">
        <f>HYPERLINK("https://klasma.github.io/Logging_2161/kartor/A 63166-2023 karta.png", "A 63166-2023")</f>
        <v/>
      </c>
      <c r="V232">
        <f>HYPERLINK("https://klasma.github.io/Logging_2161/klagomål/A 63166-2023 FSC-klagomål.docx", "A 63166-2023")</f>
        <v/>
      </c>
      <c r="W232">
        <f>HYPERLINK("https://klasma.github.io/Logging_2161/klagomålsmail/A 63166-2023 FSC-klagomål mail.docx", "A 63166-2023")</f>
        <v/>
      </c>
      <c r="X232">
        <f>HYPERLINK("https://klasma.github.io/Logging_2161/tillsyn/A 63166-2023 tillsynsbegäran.docx", "A 63166-2023")</f>
        <v/>
      </c>
      <c r="Y232">
        <f>HYPERLINK("https://klasma.github.io/Logging_2161/tillsynsmail/A 63166-2023 tillsynsbegäran mail.docx", "A 63166-2023")</f>
        <v/>
      </c>
    </row>
    <row r="233" ht="15" customHeight="1">
      <c r="A233" t="inlineStr">
        <is>
          <t>A 4839-2024</t>
        </is>
      </c>
      <c r="B233" s="1" t="n">
        <v>45329</v>
      </c>
      <c r="C233" s="1" t="n">
        <v>45725</v>
      </c>
      <c r="D233" t="inlineStr">
        <is>
          <t>GÄVLEBORGS LÄN</t>
        </is>
      </c>
      <c r="E233" t="inlineStr">
        <is>
          <t>LJUSDAL</t>
        </is>
      </c>
      <c r="G233" t="n">
        <v>2.5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Ävjepilört</t>
        </is>
      </c>
      <c r="S233">
        <f>HYPERLINK("https://klasma.github.io/Logging_2161/artfynd/A 4839-2024 artfynd.xlsx", "A 4839-2024")</f>
        <v/>
      </c>
      <c r="T233">
        <f>HYPERLINK("https://klasma.github.io/Logging_2161/kartor/A 4839-2024 karta.png", "A 4839-2024")</f>
        <v/>
      </c>
      <c r="V233">
        <f>HYPERLINK("https://klasma.github.io/Logging_2161/klagomål/A 4839-2024 FSC-klagomål.docx", "A 4839-2024")</f>
        <v/>
      </c>
      <c r="W233">
        <f>HYPERLINK("https://klasma.github.io/Logging_2161/klagomålsmail/A 4839-2024 FSC-klagomål mail.docx", "A 4839-2024")</f>
        <v/>
      </c>
      <c r="X233">
        <f>HYPERLINK("https://klasma.github.io/Logging_2161/tillsyn/A 4839-2024 tillsynsbegäran.docx", "A 4839-2024")</f>
        <v/>
      </c>
      <c r="Y233">
        <f>HYPERLINK("https://klasma.github.io/Logging_2161/tillsynsmail/A 4839-2024 tillsynsbegäran mail.docx", "A 4839-2024")</f>
        <v/>
      </c>
    </row>
    <row r="234" ht="15" customHeight="1">
      <c r="A234" t="inlineStr">
        <is>
          <t>A 5445-2024</t>
        </is>
      </c>
      <c r="B234" s="1" t="n">
        <v>45331</v>
      </c>
      <c r="C234" s="1" t="n">
        <v>45725</v>
      </c>
      <c r="D234" t="inlineStr">
        <is>
          <t>GÄVLEBORGS LÄN</t>
        </is>
      </c>
      <c r="E234" t="inlineStr">
        <is>
          <t>LJUSDAL</t>
        </is>
      </c>
      <c r="F234" t="inlineStr">
        <is>
          <t>SCA</t>
        </is>
      </c>
      <c r="G234" t="n">
        <v>14.8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HYPERLINK("https://klasma.github.io/Logging_2161/artfynd/A 5445-2024 artfynd.xlsx", "A 5445-2024")</f>
        <v/>
      </c>
      <c r="T234">
        <f>HYPERLINK("https://klasma.github.io/Logging_2161/kartor/A 5445-2024 karta.png", "A 5445-2024")</f>
        <v/>
      </c>
      <c r="V234">
        <f>HYPERLINK("https://klasma.github.io/Logging_2161/klagomål/A 5445-2024 FSC-klagomål.docx", "A 5445-2024")</f>
        <v/>
      </c>
      <c r="W234">
        <f>HYPERLINK("https://klasma.github.io/Logging_2161/klagomålsmail/A 5445-2024 FSC-klagomål mail.docx", "A 5445-2024")</f>
        <v/>
      </c>
      <c r="X234">
        <f>HYPERLINK("https://klasma.github.io/Logging_2161/tillsyn/A 5445-2024 tillsynsbegäran.docx", "A 5445-2024")</f>
        <v/>
      </c>
      <c r="Y234">
        <f>HYPERLINK("https://klasma.github.io/Logging_2161/tillsynsmail/A 5445-2024 tillsynsbegäran mail.docx", "A 5445-2024")</f>
        <v/>
      </c>
    </row>
    <row r="235" ht="15" customHeight="1">
      <c r="A235" t="inlineStr">
        <is>
          <t>A 19406-2024</t>
        </is>
      </c>
      <c r="B235" s="1" t="n">
        <v>45429</v>
      </c>
      <c r="C235" s="1" t="n">
        <v>45725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Blåsippa</t>
        </is>
      </c>
      <c r="S235">
        <f>HYPERLINK("https://klasma.github.io/Logging_2161/artfynd/A 19406-2024 artfynd.xlsx", "A 19406-2024")</f>
        <v/>
      </c>
      <c r="T235">
        <f>HYPERLINK("https://klasma.github.io/Logging_2161/kartor/A 19406-2024 karta.png", "A 19406-2024")</f>
        <v/>
      </c>
      <c r="V235">
        <f>HYPERLINK("https://klasma.github.io/Logging_2161/klagomål/A 19406-2024 FSC-klagomål.docx", "A 19406-2024")</f>
        <v/>
      </c>
      <c r="W235">
        <f>HYPERLINK("https://klasma.github.io/Logging_2161/klagomålsmail/A 19406-2024 FSC-klagomål mail.docx", "A 19406-2024")</f>
        <v/>
      </c>
      <c r="X235">
        <f>HYPERLINK("https://klasma.github.io/Logging_2161/tillsyn/A 19406-2024 tillsynsbegäran.docx", "A 19406-2024")</f>
        <v/>
      </c>
      <c r="Y235">
        <f>HYPERLINK("https://klasma.github.io/Logging_2161/tillsynsmail/A 19406-2024 tillsynsbegäran mail.docx", "A 19406-2024")</f>
        <v/>
      </c>
    </row>
    <row r="236" ht="15" customHeight="1">
      <c r="A236" t="inlineStr">
        <is>
          <t>A 20051-2024</t>
        </is>
      </c>
      <c r="B236" s="1" t="n">
        <v>45434</v>
      </c>
      <c r="C236" s="1" t="n">
        <v>45725</v>
      </c>
      <c r="D236" t="inlineStr">
        <is>
          <t>GÄVLEBORGS LÄN</t>
        </is>
      </c>
      <c r="E236" t="inlineStr">
        <is>
          <t>LJUSDAL</t>
        </is>
      </c>
      <c r="G236" t="n">
        <v>8.699999999999999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HYPERLINK("https://klasma.github.io/Logging_2161/artfynd/A 20051-2024 artfynd.xlsx", "A 20051-2024")</f>
        <v/>
      </c>
      <c r="T236">
        <f>HYPERLINK("https://klasma.github.io/Logging_2161/kartor/A 20051-2024 karta.png", "A 20051-2024")</f>
        <v/>
      </c>
      <c r="V236">
        <f>HYPERLINK("https://klasma.github.io/Logging_2161/klagomål/A 20051-2024 FSC-klagomål.docx", "A 20051-2024")</f>
        <v/>
      </c>
      <c r="W236">
        <f>HYPERLINK("https://klasma.github.io/Logging_2161/klagomålsmail/A 20051-2024 FSC-klagomål mail.docx", "A 20051-2024")</f>
        <v/>
      </c>
      <c r="X236">
        <f>HYPERLINK("https://klasma.github.io/Logging_2161/tillsyn/A 20051-2024 tillsynsbegäran.docx", "A 20051-2024")</f>
        <v/>
      </c>
      <c r="Y236">
        <f>HYPERLINK("https://klasma.github.io/Logging_2161/tillsynsmail/A 20051-2024 tillsynsbegäran mail.docx", "A 20051-2024")</f>
        <v/>
      </c>
    </row>
    <row r="237" ht="15" customHeight="1">
      <c r="A237" t="inlineStr">
        <is>
          <t>A 20381-2024</t>
        </is>
      </c>
      <c r="B237" s="1" t="n">
        <v>45435</v>
      </c>
      <c r="C237" s="1" t="n">
        <v>45725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10.8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20381-2024 artfynd.xlsx", "A 20381-2024")</f>
        <v/>
      </c>
      <c r="T237">
        <f>HYPERLINK("https://klasma.github.io/Logging_2161/kartor/A 20381-2024 karta.png", "A 20381-2024")</f>
        <v/>
      </c>
      <c r="U237">
        <f>HYPERLINK("https://klasma.github.io/Logging_2161/knärot/A 20381-2024 karta knärot.png", "A 20381-2024")</f>
        <v/>
      </c>
      <c r="V237">
        <f>HYPERLINK("https://klasma.github.io/Logging_2161/klagomål/A 20381-2024 FSC-klagomål.docx", "A 20381-2024")</f>
        <v/>
      </c>
      <c r="W237">
        <f>HYPERLINK("https://klasma.github.io/Logging_2161/klagomålsmail/A 20381-2024 FSC-klagomål mail.docx", "A 20381-2024")</f>
        <v/>
      </c>
      <c r="X237">
        <f>HYPERLINK("https://klasma.github.io/Logging_2161/tillsyn/A 20381-2024 tillsynsbegäran.docx", "A 20381-2024")</f>
        <v/>
      </c>
      <c r="Y237">
        <f>HYPERLINK("https://klasma.github.io/Logging_2161/tillsynsmail/A 20381-2024 tillsynsbegäran mail.docx", "A 20381-2024")</f>
        <v/>
      </c>
    </row>
    <row r="238" ht="15" customHeight="1">
      <c r="A238" t="inlineStr">
        <is>
          <t>A 20656-2024</t>
        </is>
      </c>
      <c r="B238" s="1" t="n">
        <v>45436</v>
      </c>
      <c r="C238" s="1" t="n">
        <v>45725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20656-2024 artfynd.xlsx", "A 20656-2024")</f>
        <v/>
      </c>
      <c r="T238">
        <f>HYPERLINK("https://klasma.github.io/Logging_2161/kartor/A 20656-2024 karta.png", "A 20656-2024")</f>
        <v/>
      </c>
      <c r="V238">
        <f>HYPERLINK("https://klasma.github.io/Logging_2161/klagomål/A 20656-2024 FSC-klagomål.docx", "A 20656-2024")</f>
        <v/>
      </c>
      <c r="W238">
        <f>HYPERLINK("https://klasma.github.io/Logging_2161/klagomålsmail/A 20656-2024 FSC-klagomål mail.docx", "A 20656-2024")</f>
        <v/>
      </c>
      <c r="X238">
        <f>HYPERLINK("https://klasma.github.io/Logging_2161/tillsyn/A 20656-2024 tillsynsbegäran.docx", "A 20656-2024")</f>
        <v/>
      </c>
      <c r="Y238">
        <f>HYPERLINK("https://klasma.github.io/Logging_2161/tillsynsmail/A 20656-2024 tillsynsbegäran mail.docx", "A 20656-2024")</f>
        <v/>
      </c>
    </row>
    <row r="239" ht="15" customHeight="1">
      <c r="A239" t="inlineStr">
        <is>
          <t>A 21900-2024</t>
        </is>
      </c>
      <c r="B239" s="1" t="n">
        <v>45443</v>
      </c>
      <c r="C239" s="1" t="n">
        <v>45725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21900-2024 artfynd.xlsx", "A 21900-2024")</f>
        <v/>
      </c>
      <c r="T239">
        <f>HYPERLINK("https://klasma.github.io/Logging_2161/kartor/A 21900-2024 karta.png", "A 21900-2024")</f>
        <v/>
      </c>
      <c r="U239">
        <f>HYPERLINK("https://klasma.github.io/Logging_2161/knärot/A 21900-2024 karta knärot.png", "A 21900-2024")</f>
        <v/>
      </c>
      <c r="V239">
        <f>HYPERLINK("https://klasma.github.io/Logging_2161/klagomål/A 21900-2024 FSC-klagomål.docx", "A 21900-2024")</f>
        <v/>
      </c>
      <c r="W239">
        <f>HYPERLINK("https://klasma.github.io/Logging_2161/klagomålsmail/A 21900-2024 FSC-klagomål mail.docx", "A 21900-2024")</f>
        <v/>
      </c>
      <c r="X239">
        <f>HYPERLINK("https://klasma.github.io/Logging_2161/tillsyn/A 21900-2024 tillsynsbegäran.docx", "A 21900-2024")</f>
        <v/>
      </c>
      <c r="Y239">
        <f>HYPERLINK("https://klasma.github.io/Logging_2161/tillsynsmail/A 21900-2024 tillsynsbegäran mail.docx", "A 21900-2024")</f>
        <v/>
      </c>
    </row>
    <row r="240" ht="15" customHeight="1">
      <c r="A240" t="inlineStr">
        <is>
          <t>A 22247-2024</t>
        </is>
      </c>
      <c r="B240" s="1" t="n">
        <v>45446</v>
      </c>
      <c r="C240" s="1" t="n">
        <v>45725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22247-2024 artfynd.xlsx", "A 22247-2024")</f>
        <v/>
      </c>
      <c r="T240">
        <f>HYPERLINK("https://klasma.github.io/Logging_2161/kartor/A 22247-2024 karta.png", "A 22247-2024")</f>
        <v/>
      </c>
      <c r="V240">
        <f>HYPERLINK("https://klasma.github.io/Logging_2161/klagomål/A 22247-2024 FSC-klagomål.docx", "A 22247-2024")</f>
        <v/>
      </c>
      <c r="W240">
        <f>HYPERLINK("https://klasma.github.io/Logging_2161/klagomålsmail/A 22247-2024 FSC-klagomål mail.docx", "A 22247-2024")</f>
        <v/>
      </c>
      <c r="X240">
        <f>HYPERLINK("https://klasma.github.io/Logging_2161/tillsyn/A 22247-2024 tillsynsbegäran.docx", "A 22247-2024")</f>
        <v/>
      </c>
      <c r="Y240">
        <f>HYPERLINK("https://klasma.github.io/Logging_2161/tillsynsmail/A 22247-2024 tillsynsbegäran mail.docx", "A 22247-2024")</f>
        <v/>
      </c>
    </row>
    <row r="241" ht="15" customHeight="1">
      <c r="A241" t="inlineStr">
        <is>
          <t>A 22470-2024</t>
        </is>
      </c>
      <c r="B241" s="1" t="n">
        <v>45446</v>
      </c>
      <c r="C241" s="1" t="n">
        <v>45725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22470-2024 artfynd.xlsx", "A 22470-2024")</f>
        <v/>
      </c>
      <c r="T241">
        <f>HYPERLINK("https://klasma.github.io/Logging_2161/kartor/A 22470-2024 karta.png", "A 22470-2024")</f>
        <v/>
      </c>
      <c r="U241">
        <f>HYPERLINK("https://klasma.github.io/Logging_2161/knärot/A 22470-2024 karta knärot.png", "A 22470-2024")</f>
        <v/>
      </c>
      <c r="V241">
        <f>HYPERLINK("https://klasma.github.io/Logging_2161/klagomål/A 22470-2024 FSC-klagomål.docx", "A 22470-2024")</f>
        <v/>
      </c>
      <c r="W241">
        <f>HYPERLINK("https://klasma.github.io/Logging_2161/klagomålsmail/A 22470-2024 FSC-klagomål mail.docx", "A 22470-2024")</f>
        <v/>
      </c>
      <c r="X241">
        <f>HYPERLINK("https://klasma.github.io/Logging_2161/tillsyn/A 22470-2024 tillsynsbegäran.docx", "A 22470-2024")</f>
        <v/>
      </c>
      <c r="Y241">
        <f>HYPERLINK("https://klasma.github.io/Logging_2161/tillsynsmail/A 22470-2024 tillsynsbegäran mail.docx", "A 22470-2024")</f>
        <v/>
      </c>
    </row>
    <row r="242" ht="15" customHeight="1">
      <c r="A242" t="inlineStr">
        <is>
          <t>A 22667-2024</t>
        </is>
      </c>
      <c r="B242" s="1" t="n">
        <v>45448</v>
      </c>
      <c r="C242" s="1" t="n">
        <v>45725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22667-2024 artfynd.xlsx", "A 22667-2024")</f>
        <v/>
      </c>
      <c r="T242">
        <f>HYPERLINK("https://klasma.github.io/Logging_2161/kartor/A 22667-2024 karta.png", "A 22667-2024")</f>
        <v/>
      </c>
      <c r="U242">
        <f>HYPERLINK("https://klasma.github.io/Logging_2161/knärot/A 22667-2024 karta knärot.png", "A 22667-2024")</f>
        <v/>
      </c>
      <c r="V242">
        <f>HYPERLINK("https://klasma.github.io/Logging_2161/klagomål/A 22667-2024 FSC-klagomål.docx", "A 22667-2024")</f>
        <v/>
      </c>
      <c r="W242">
        <f>HYPERLINK("https://klasma.github.io/Logging_2161/klagomålsmail/A 22667-2024 FSC-klagomål mail.docx", "A 22667-2024")</f>
        <v/>
      </c>
      <c r="X242">
        <f>HYPERLINK("https://klasma.github.io/Logging_2161/tillsyn/A 22667-2024 tillsynsbegäran.docx", "A 22667-2024")</f>
        <v/>
      </c>
      <c r="Y242">
        <f>HYPERLINK("https://klasma.github.io/Logging_2161/tillsynsmail/A 22667-2024 tillsynsbegäran mail.docx", "A 22667-2024")</f>
        <v/>
      </c>
    </row>
    <row r="243" ht="15" customHeight="1">
      <c r="A243" t="inlineStr">
        <is>
          <t>A 23651-2024</t>
        </is>
      </c>
      <c r="B243" s="1" t="n">
        <v>45454</v>
      </c>
      <c r="C243" s="1" t="n">
        <v>45725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23651-2024 artfynd.xlsx", "A 23651-2024")</f>
        <v/>
      </c>
      <c r="T243">
        <f>HYPERLINK("https://klasma.github.io/Logging_2161/kartor/A 23651-2024 karta.png", "A 23651-2024")</f>
        <v/>
      </c>
      <c r="V243">
        <f>HYPERLINK("https://klasma.github.io/Logging_2161/klagomål/A 23651-2024 FSC-klagomål.docx", "A 23651-2024")</f>
        <v/>
      </c>
      <c r="W243">
        <f>HYPERLINK("https://klasma.github.io/Logging_2161/klagomålsmail/A 23651-2024 FSC-klagomål mail.docx", "A 23651-2024")</f>
        <v/>
      </c>
      <c r="X243">
        <f>HYPERLINK("https://klasma.github.io/Logging_2161/tillsyn/A 23651-2024 tillsynsbegäran.docx", "A 23651-2024")</f>
        <v/>
      </c>
      <c r="Y243">
        <f>HYPERLINK("https://klasma.github.io/Logging_2161/tillsynsmail/A 23651-2024 tillsynsbegäran mail.docx", "A 23651-2024")</f>
        <v/>
      </c>
    </row>
    <row r="244" ht="15" customHeight="1">
      <c r="A244" t="inlineStr">
        <is>
          <t>A 23644-2024</t>
        </is>
      </c>
      <c r="B244" s="1" t="n">
        <v>45454</v>
      </c>
      <c r="C244" s="1" t="n">
        <v>45725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26.6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23644-2024 artfynd.xlsx", "A 23644-2024")</f>
        <v/>
      </c>
      <c r="T244">
        <f>HYPERLINK("https://klasma.github.io/Logging_2161/kartor/A 23644-2024 karta.png", "A 23644-2024")</f>
        <v/>
      </c>
      <c r="V244">
        <f>HYPERLINK("https://klasma.github.io/Logging_2161/klagomål/A 23644-2024 FSC-klagomål.docx", "A 23644-2024")</f>
        <v/>
      </c>
      <c r="W244">
        <f>HYPERLINK("https://klasma.github.io/Logging_2161/klagomålsmail/A 23644-2024 FSC-klagomål mail.docx", "A 23644-2024")</f>
        <v/>
      </c>
      <c r="X244">
        <f>HYPERLINK("https://klasma.github.io/Logging_2161/tillsyn/A 23644-2024 tillsynsbegäran.docx", "A 23644-2024")</f>
        <v/>
      </c>
      <c r="Y244">
        <f>HYPERLINK("https://klasma.github.io/Logging_2161/tillsynsmail/A 23644-2024 tillsynsbegäran mail.docx", "A 23644-2024")</f>
        <v/>
      </c>
    </row>
    <row r="245" ht="15" customHeight="1">
      <c r="A245" t="inlineStr">
        <is>
          <t>A 24831-2024</t>
        </is>
      </c>
      <c r="B245" s="1" t="n">
        <v>45461</v>
      </c>
      <c r="C245" s="1" t="n">
        <v>45725</v>
      </c>
      <c r="D245" t="inlineStr">
        <is>
          <t>GÄVLEBORGS LÄN</t>
        </is>
      </c>
      <c r="E245" t="inlineStr">
        <is>
          <t>LJUSDAL</t>
        </is>
      </c>
      <c r="G245" t="n">
        <v>4.9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24831-2024 artfynd.xlsx", "A 24831-2024")</f>
        <v/>
      </c>
      <c r="T245">
        <f>HYPERLINK("https://klasma.github.io/Logging_2161/kartor/A 24831-2024 karta.png", "A 24831-2024")</f>
        <v/>
      </c>
      <c r="V245">
        <f>HYPERLINK("https://klasma.github.io/Logging_2161/klagomål/A 24831-2024 FSC-klagomål.docx", "A 24831-2024")</f>
        <v/>
      </c>
      <c r="W245">
        <f>HYPERLINK("https://klasma.github.io/Logging_2161/klagomålsmail/A 24831-2024 FSC-klagomål mail.docx", "A 24831-2024")</f>
        <v/>
      </c>
      <c r="X245">
        <f>HYPERLINK("https://klasma.github.io/Logging_2161/tillsyn/A 24831-2024 tillsynsbegäran.docx", "A 24831-2024")</f>
        <v/>
      </c>
      <c r="Y245">
        <f>HYPERLINK("https://klasma.github.io/Logging_2161/tillsynsmail/A 24831-2024 tillsynsbegäran mail.docx", "A 24831-2024")</f>
        <v/>
      </c>
    </row>
    <row r="246" ht="15" customHeight="1">
      <c r="A246" t="inlineStr">
        <is>
          <t>A 24903-2024</t>
        </is>
      </c>
      <c r="B246" s="1" t="n">
        <v>45461</v>
      </c>
      <c r="C246" s="1" t="n">
        <v>45725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24903-2024 artfynd.xlsx", "A 24903-2024")</f>
        <v/>
      </c>
      <c r="T246">
        <f>HYPERLINK("https://klasma.github.io/Logging_2161/kartor/A 24903-2024 karta.png", "A 24903-2024")</f>
        <v/>
      </c>
      <c r="V246">
        <f>HYPERLINK("https://klasma.github.io/Logging_2161/klagomål/A 24903-2024 FSC-klagomål.docx", "A 24903-2024")</f>
        <v/>
      </c>
      <c r="W246">
        <f>HYPERLINK("https://klasma.github.io/Logging_2161/klagomålsmail/A 24903-2024 FSC-klagomål mail.docx", "A 24903-2024")</f>
        <v/>
      </c>
      <c r="X246">
        <f>HYPERLINK("https://klasma.github.io/Logging_2161/tillsyn/A 24903-2024 tillsynsbegäran.docx", "A 24903-2024")</f>
        <v/>
      </c>
      <c r="Y246">
        <f>HYPERLINK("https://klasma.github.io/Logging_2161/tillsynsmail/A 24903-2024 tillsynsbegäran mail.docx", "A 24903-2024")</f>
        <v/>
      </c>
    </row>
    <row r="247" ht="15" customHeight="1">
      <c r="A247" t="inlineStr">
        <is>
          <t>A 26386-2024</t>
        </is>
      </c>
      <c r="B247" s="1" t="n">
        <v>45469</v>
      </c>
      <c r="C247" s="1" t="n">
        <v>45725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26386-2024 artfynd.xlsx", "A 26386-2024")</f>
        <v/>
      </c>
      <c r="T247">
        <f>HYPERLINK("https://klasma.github.io/Logging_2161/kartor/A 26386-2024 karta.png", "A 26386-2024")</f>
        <v/>
      </c>
      <c r="V247">
        <f>HYPERLINK("https://klasma.github.io/Logging_2161/klagomål/A 26386-2024 FSC-klagomål.docx", "A 26386-2024")</f>
        <v/>
      </c>
      <c r="W247">
        <f>HYPERLINK("https://klasma.github.io/Logging_2161/klagomålsmail/A 26386-2024 FSC-klagomål mail.docx", "A 26386-2024")</f>
        <v/>
      </c>
      <c r="X247">
        <f>HYPERLINK("https://klasma.github.io/Logging_2161/tillsyn/A 26386-2024 tillsynsbegäran.docx", "A 26386-2024")</f>
        <v/>
      </c>
      <c r="Y247">
        <f>HYPERLINK("https://klasma.github.io/Logging_2161/tillsynsmail/A 26386-2024 tillsynsbegäran mail.docx", "A 26386-2024")</f>
        <v/>
      </c>
    </row>
    <row r="248" ht="15" customHeight="1">
      <c r="A248" t="inlineStr">
        <is>
          <t>A 26976-2024</t>
        </is>
      </c>
      <c r="B248" s="1" t="n">
        <v>45471</v>
      </c>
      <c r="C248" s="1" t="n">
        <v>45725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26976-2024 artfynd.xlsx", "A 26976-2024")</f>
        <v/>
      </c>
      <c r="T248">
        <f>HYPERLINK("https://klasma.github.io/Logging_2161/kartor/A 26976-2024 karta.png", "A 26976-2024")</f>
        <v/>
      </c>
      <c r="V248">
        <f>HYPERLINK("https://klasma.github.io/Logging_2161/klagomål/A 26976-2024 FSC-klagomål.docx", "A 26976-2024")</f>
        <v/>
      </c>
      <c r="W248">
        <f>HYPERLINK("https://klasma.github.io/Logging_2161/klagomålsmail/A 26976-2024 FSC-klagomål mail.docx", "A 26976-2024")</f>
        <v/>
      </c>
      <c r="X248">
        <f>HYPERLINK("https://klasma.github.io/Logging_2161/tillsyn/A 26976-2024 tillsynsbegäran.docx", "A 26976-2024")</f>
        <v/>
      </c>
      <c r="Y248">
        <f>HYPERLINK("https://klasma.github.io/Logging_2161/tillsynsmail/A 26976-2024 tillsynsbegäran mail.docx", "A 26976-2024")</f>
        <v/>
      </c>
    </row>
    <row r="249" ht="15" customHeight="1">
      <c r="A249" t="inlineStr">
        <is>
          <t>A 30115-2024</t>
        </is>
      </c>
      <c r="B249" s="1" t="n">
        <v>45489</v>
      </c>
      <c r="C249" s="1" t="n">
        <v>45725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30115-2024 artfynd.xlsx", "A 30115-2024")</f>
        <v/>
      </c>
      <c r="T249">
        <f>HYPERLINK("https://klasma.github.io/Logging_2161/kartor/A 30115-2024 karta.png", "A 30115-2024")</f>
        <v/>
      </c>
      <c r="V249">
        <f>HYPERLINK("https://klasma.github.io/Logging_2161/klagomål/A 30115-2024 FSC-klagomål.docx", "A 30115-2024")</f>
        <v/>
      </c>
      <c r="W249">
        <f>HYPERLINK("https://klasma.github.io/Logging_2161/klagomålsmail/A 30115-2024 FSC-klagomål mail.docx", "A 30115-2024")</f>
        <v/>
      </c>
      <c r="X249">
        <f>HYPERLINK("https://klasma.github.io/Logging_2161/tillsyn/A 30115-2024 tillsynsbegäran.docx", "A 30115-2024")</f>
        <v/>
      </c>
      <c r="Y249">
        <f>HYPERLINK("https://klasma.github.io/Logging_2161/tillsynsmail/A 30115-2024 tillsynsbegäran mail.docx", "A 30115-2024")</f>
        <v/>
      </c>
    </row>
    <row r="250" ht="15" customHeight="1">
      <c r="A250" t="inlineStr">
        <is>
          <t>A 31420-2024</t>
        </is>
      </c>
      <c r="B250" s="1" t="n">
        <v>45505</v>
      </c>
      <c r="C250" s="1" t="n">
        <v>45725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31420-2024 artfynd.xlsx", "A 31420-2024")</f>
        <v/>
      </c>
      <c r="T250">
        <f>HYPERLINK("https://klasma.github.io/Logging_2161/kartor/A 31420-2024 karta.png", "A 31420-2024")</f>
        <v/>
      </c>
      <c r="V250">
        <f>HYPERLINK("https://klasma.github.io/Logging_2161/klagomål/A 31420-2024 FSC-klagomål.docx", "A 31420-2024")</f>
        <v/>
      </c>
      <c r="W250">
        <f>HYPERLINK("https://klasma.github.io/Logging_2161/klagomålsmail/A 31420-2024 FSC-klagomål mail.docx", "A 31420-2024")</f>
        <v/>
      </c>
      <c r="X250">
        <f>HYPERLINK("https://klasma.github.io/Logging_2161/tillsyn/A 31420-2024 tillsynsbegäran.docx", "A 31420-2024")</f>
        <v/>
      </c>
      <c r="Y250">
        <f>HYPERLINK("https://klasma.github.io/Logging_2161/tillsynsmail/A 31420-2024 tillsynsbegäran mail.docx", "A 31420-2024")</f>
        <v/>
      </c>
    </row>
    <row r="251" ht="15" customHeight="1">
      <c r="A251" t="inlineStr">
        <is>
          <t>A 31417-2024</t>
        </is>
      </c>
      <c r="B251" s="1" t="n">
        <v>45505</v>
      </c>
      <c r="C251" s="1" t="n">
        <v>45725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31417-2024 artfynd.xlsx", "A 31417-2024")</f>
        <v/>
      </c>
      <c r="T251">
        <f>HYPERLINK("https://klasma.github.io/Logging_2161/kartor/A 31417-2024 karta.png", "A 31417-2024")</f>
        <v/>
      </c>
      <c r="V251">
        <f>HYPERLINK("https://klasma.github.io/Logging_2161/klagomål/A 31417-2024 FSC-klagomål.docx", "A 31417-2024")</f>
        <v/>
      </c>
      <c r="W251">
        <f>HYPERLINK("https://klasma.github.io/Logging_2161/klagomålsmail/A 31417-2024 FSC-klagomål mail.docx", "A 31417-2024")</f>
        <v/>
      </c>
      <c r="X251">
        <f>HYPERLINK("https://klasma.github.io/Logging_2161/tillsyn/A 31417-2024 tillsynsbegäran.docx", "A 31417-2024")</f>
        <v/>
      </c>
      <c r="Y251">
        <f>HYPERLINK("https://klasma.github.io/Logging_2161/tillsynsmail/A 31417-2024 tillsynsbegäran mail.docx", "A 31417-2024")</f>
        <v/>
      </c>
    </row>
    <row r="252" ht="15" customHeight="1">
      <c r="A252" t="inlineStr">
        <is>
          <t>A 32398-2024</t>
        </is>
      </c>
      <c r="B252" s="1" t="n">
        <v>45512</v>
      </c>
      <c r="C252" s="1" t="n">
        <v>45725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Granticka</t>
        </is>
      </c>
      <c r="S252">
        <f>HYPERLINK("https://klasma.github.io/Logging_2161/artfynd/A 32398-2024 artfynd.xlsx", "A 32398-2024")</f>
        <v/>
      </c>
      <c r="T252">
        <f>HYPERLINK("https://klasma.github.io/Logging_2161/kartor/A 32398-2024 karta.png", "A 32398-2024")</f>
        <v/>
      </c>
      <c r="V252">
        <f>HYPERLINK("https://klasma.github.io/Logging_2161/klagomål/A 32398-2024 FSC-klagomål.docx", "A 32398-2024")</f>
        <v/>
      </c>
      <c r="W252">
        <f>HYPERLINK("https://klasma.github.io/Logging_2161/klagomålsmail/A 32398-2024 FSC-klagomål mail.docx", "A 32398-2024")</f>
        <v/>
      </c>
      <c r="X252">
        <f>HYPERLINK("https://klasma.github.io/Logging_2161/tillsyn/A 32398-2024 tillsynsbegäran.docx", "A 32398-2024")</f>
        <v/>
      </c>
      <c r="Y252">
        <f>HYPERLINK("https://klasma.github.io/Logging_2161/tillsynsmail/A 32398-2024 tillsynsbegäran mail.docx", "A 32398-2024")</f>
        <v/>
      </c>
    </row>
    <row r="253" ht="15" customHeight="1">
      <c r="A253" t="inlineStr">
        <is>
          <t>A 32807-2024</t>
        </is>
      </c>
      <c r="B253" s="1" t="n">
        <v>45516</v>
      </c>
      <c r="C253" s="1" t="n">
        <v>45725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32807-2024 artfynd.xlsx", "A 32807-2024")</f>
        <v/>
      </c>
      <c r="T253">
        <f>HYPERLINK("https://klasma.github.io/Logging_2161/kartor/A 32807-2024 karta.png", "A 32807-2024")</f>
        <v/>
      </c>
      <c r="V253">
        <f>HYPERLINK("https://klasma.github.io/Logging_2161/klagomål/A 32807-2024 FSC-klagomål.docx", "A 32807-2024")</f>
        <v/>
      </c>
      <c r="W253">
        <f>HYPERLINK("https://klasma.github.io/Logging_2161/klagomålsmail/A 32807-2024 FSC-klagomål mail.docx", "A 32807-2024")</f>
        <v/>
      </c>
      <c r="X253">
        <f>HYPERLINK("https://klasma.github.io/Logging_2161/tillsyn/A 32807-2024 tillsynsbegäran.docx", "A 32807-2024")</f>
        <v/>
      </c>
      <c r="Y253">
        <f>HYPERLINK("https://klasma.github.io/Logging_2161/tillsynsmail/A 32807-2024 tillsynsbegäran mail.docx", "A 32807-2024")</f>
        <v/>
      </c>
    </row>
    <row r="254" ht="15" customHeight="1">
      <c r="A254" t="inlineStr">
        <is>
          <t>A 33950-2024</t>
        </is>
      </c>
      <c r="B254" s="1" t="n">
        <v>45523</v>
      </c>
      <c r="C254" s="1" t="n">
        <v>45725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33950-2024 artfynd.xlsx", "A 33950-2024")</f>
        <v/>
      </c>
      <c r="T254">
        <f>HYPERLINK("https://klasma.github.io/Logging_2161/kartor/A 33950-2024 karta.png", "A 33950-2024")</f>
        <v/>
      </c>
      <c r="V254">
        <f>HYPERLINK("https://klasma.github.io/Logging_2161/klagomål/A 33950-2024 FSC-klagomål.docx", "A 33950-2024")</f>
        <v/>
      </c>
      <c r="W254">
        <f>HYPERLINK("https://klasma.github.io/Logging_2161/klagomålsmail/A 33950-2024 FSC-klagomål mail.docx", "A 33950-2024")</f>
        <v/>
      </c>
      <c r="X254">
        <f>HYPERLINK("https://klasma.github.io/Logging_2161/tillsyn/A 33950-2024 tillsynsbegäran.docx", "A 33950-2024")</f>
        <v/>
      </c>
      <c r="Y254">
        <f>HYPERLINK("https://klasma.github.io/Logging_2161/tillsynsmail/A 33950-2024 tillsynsbegäran mail.docx", "A 33950-2024")</f>
        <v/>
      </c>
    </row>
    <row r="255" ht="15" customHeight="1">
      <c r="A255" t="inlineStr">
        <is>
          <t>A 34233-2024</t>
        </is>
      </c>
      <c r="B255" s="1" t="n">
        <v>45524</v>
      </c>
      <c r="C255" s="1" t="n">
        <v>45725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7.5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34233-2024 artfynd.xlsx", "A 34233-2024")</f>
        <v/>
      </c>
      <c r="T255">
        <f>HYPERLINK("https://klasma.github.io/Logging_2161/kartor/A 34233-2024 karta.png", "A 34233-2024")</f>
        <v/>
      </c>
      <c r="V255">
        <f>HYPERLINK("https://klasma.github.io/Logging_2161/klagomål/A 34233-2024 FSC-klagomål.docx", "A 34233-2024")</f>
        <v/>
      </c>
      <c r="W255">
        <f>HYPERLINK("https://klasma.github.io/Logging_2161/klagomålsmail/A 34233-2024 FSC-klagomål mail.docx", "A 34233-2024")</f>
        <v/>
      </c>
      <c r="X255">
        <f>HYPERLINK("https://klasma.github.io/Logging_2161/tillsyn/A 34233-2024 tillsynsbegäran.docx", "A 34233-2024")</f>
        <v/>
      </c>
      <c r="Y255">
        <f>HYPERLINK("https://klasma.github.io/Logging_2161/tillsynsmail/A 34233-2024 tillsynsbegäran mail.docx", "A 34233-2024")</f>
        <v/>
      </c>
    </row>
    <row r="256" ht="15" customHeight="1">
      <c r="A256" t="inlineStr">
        <is>
          <t>A 34235-2024</t>
        </is>
      </c>
      <c r="B256" s="1" t="n">
        <v>45524</v>
      </c>
      <c r="C256" s="1" t="n">
        <v>45725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34235-2024 artfynd.xlsx", "A 34235-2024")</f>
        <v/>
      </c>
      <c r="T256">
        <f>HYPERLINK("https://klasma.github.io/Logging_2161/kartor/A 34235-2024 karta.png", "A 34235-2024")</f>
        <v/>
      </c>
      <c r="V256">
        <f>HYPERLINK("https://klasma.github.io/Logging_2161/klagomål/A 34235-2024 FSC-klagomål.docx", "A 34235-2024")</f>
        <v/>
      </c>
      <c r="W256">
        <f>HYPERLINK("https://klasma.github.io/Logging_2161/klagomålsmail/A 34235-2024 FSC-klagomål mail.docx", "A 34235-2024")</f>
        <v/>
      </c>
      <c r="X256">
        <f>HYPERLINK("https://klasma.github.io/Logging_2161/tillsyn/A 34235-2024 tillsynsbegäran.docx", "A 34235-2024")</f>
        <v/>
      </c>
      <c r="Y256">
        <f>HYPERLINK("https://klasma.github.io/Logging_2161/tillsynsmail/A 34235-2024 tillsynsbegäran mail.docx", "A 34235-2024")</f>
        <v/>
      </c>
    </row>
    <row r="257" ht="15" customHeight="1">
      <c r="A257" t="inlineStr">
        <is>
          <t>A 34346-2024</t>
        </is>
      </c>
      <c r="B257" s="1" t="n">
        <v>45525</v>
      </c>
      <c r="C257" s="1" t="n">
        <v>45725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6.8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HYPERLINK("https://klasma.github.io/Logging_2161/artfynd/A 34346-2024 artfynd.xlsx", "A 34346-2024")</f>
        <v/>
      </c>
      <c r="T257">
        <f>HYPERLINK("https://klasma.github.io/Logging_2161/kartor/A 34346-2024 karta.png", "A 34346-2024")</f>
        <v/>
      </c>
      <c r="V257">
        <f>HYPERLINK("https://klasma.github.io/Logging_2161/klagomål/A 34346-2024 FSC-klagomål.docx", "A 34346-2024")</f>
        <v/>
      </c>
      <c r="W257">
        <f>HYPERLINK("https://klasma.github.io/Logging_2161/klagomålsmail/A 34346-2024 FSC-klagomål mail.docx", "A 34346-2024")</f>
        <v/>
      </c>
      <c r="X257">
        <f>HYPERLINK("https://klasma.github.io/Logging_2161/tillsyn/A 34346-2024 tillsynsbegäran.docx", "A 34346-2024")</f>
        <v/>
      </c>
      <c r="Y257">
        <f>HYPERLINK("https://klasma.github.io/Logging_2161/tillsynsmail/A 34346-2024 tillsynsbegäran mail.docx", "A 34346-2024")</f>
        <v/>
      </c>
      <c r="Z257">
        <f>HYPERLINK("https://klasma.github.io/Logging_2161/fåglar/A 34346-2024 prioriterade fågelarter.docx", "A 34346-2024")</f>
        <v/>
      </c>
    </row>
    <row r="258" ht="15" customHeight="1">
      <c r="A258" t="inlineStr">
        <is>
          <t>A 34597-2024</t>
        </is>
      </c>
      <c r="B258" s="1" t="n">
        <v>45526</v>
      </c>
      <c r="C258" s="1" t="n">
        <v>45725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34597-2024 artfynd.xlsx", "A 34597-2024")</f>
        <v/>
      </c>
      <c r="T258">
        <f>HYPERLINK("https://klasma.github.io/Logging_2161/kartor/A 34597-2024 karta.png", "A 34597-2024")</f>
        <v/>
      </c>
      <c r="V258">
        <f>HYPERLINK("https://klasma.github.io/Logging_2161/klagomål/A 34597-2024 FSC-klagomål.docx", "A 34597-2024")</f>
        <v/>
      </c>
      <c r="W258">
        <f>HYPERLINK("https://klasma.github.io/Logging_2161/klagomålsmail/A 34597-2024 FSC-klagomål mail.docx", "A 34597-2024")</f>
        <v/>
      </c>
      <c r="X258">
        <f>HYPERLINK("https://klasma.github.io/Logging_2161/tillsyn/A 34597-2024 tillsynsbegäran.docx", "A 34597-2024")</f>
        <v/>
      </c>
      <c r="Y258">
        <f>HYPERLINK("https://klasma.github.io/Logging_2161/tillsynsmail/A 34597-2024 tillsynsbegäran mail.docx", "A 34597-2024")</f>
        <v/>
      </c>
    </row>
    <row r="259" ht="15" customHeight="1">
      <c r="A259" t="inlineStr">
        <is>
          <t>A 34748-2024</t>
        </is>
      </c>
      <c r="B259" s="1" t="n">
        <v>45526</v>
      </c>
      <c r="C259" s="1" t="n">
        <v>45725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Kolflarnlav</t>
        </is>
      </c>
      <c r="S259">
        <f>HYPERLINK("https://klasma.github.io/Logging_2161/artfynd/A 34748-2024 artfynd.xlsx", "A 34748-2024")</f>
        <v/>
      </c>
      <c r="T259">
        <f>HYPERLINK("https://klasma.github.io/Logging_2161/kartor/A 34748-2024 karta.png", "A 34748-2024")</f>
        <v/>
      </c>
      <c r="V259">
        <f>HYPERLINK("https://klasma.github.io/Logging_2161/klagomål/A 34748-2024 FSC-klagomål.docx", "A 34748-2024")</f>
        <v/>
      </c>
      <c r="W259">
        <f>HYPERLINK("https://klasma.github.io/Logging_2161/klagomålsmail/A 34748-2024 FSC-klagomål mail.docx", "A 34748-2024")</f>
        <v/>
      </c>
      <c r="X259">
        <f>HYPERLINK("https://klasma.github.io/Logging_2161/tillsyn/A 34748-2024 tillsynsbegäran.docx", "A 34748-2024")</f>
        <v/>
      </c>
      <c r="Y259">
        <f>HYPERLINK("https://klasma.github.io/Logging_2161/tillsynsmail/A 34748-2024 tillsynsbegäran mail.docx", "A 34748-2024")</f>
        <v/>
      </c>
    </row>
    <row r="260" ht="15" customHeight="1">
      <c r="A260" t="inlineStr">
        <is>
          <t>A 34744-2024</t>
        </is>
      </c>
      <c r="B260" s="1" t="n">
        <v>45526</v>
      </c>
      <c r="C260" s="1" t="n">
        <v>45725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9.9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34744-2024 artfynd.xlsx", "A 34744-2024")</f>
        <v/>
      </c>
      <c r="T260">
        <f>HYPERLINK("https://klasma.github.io/Logging_2161/kartor/A 34744-2024 karta.png", "A 34744-2024")</f>
        <v/>
      </c>
      <c r="V260">
        <f>HYPERLINK("https://klasma.github.io/Logging_2161/klagomål/A 34744-2024 FSC-klagomål.docx", "A 34744-2024")</f>
        <v/>
      </c>
      <c r="W260">
        <f>HYPERLINK("https://klasma.github.io/Logging_2161/klagomålsmail/A 34744-2024 FSC-klagomål mail.docx", "A 34744-2024")</f>
        <v/>
      </c>
      <c r="X260">
        <f>HYPERLINK("https://klasma.github.io/Logging_2161/tillsyn/A 34744-2024 tillsynsbegäran.docx", "A 34744-2024")</f>
        <v/>
      </c>
      <c r="Y260">
        <f>HYPERLINK("https://klasma.github.io/Logging_2161/tillsynsmail/A 34744-2024 tillsynsbegäran mail.docx", "A 34744-2024")</f>
        <v/>
      </c>
    </row>
    <row r="261" ht="15" customHeight="1">
      <c r="A261" t="inlineStr">
        <is>
          <t>A 34974-2024</t>
        </is>
      </c>
      <c r="B261" s="1" t="n">
        <v>45527</v>
      </c>
      <c r="C261" s="1" t="n">
        <v>45725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Kolflarnlav</t>
        </is>
      </c>
      <c r="S261">
        <f>HYPERLINK("https://klasma.github.io/Logging_2161/artfynd/A 34974-2024 artfynd.xlsx", "A 34974-2024")</f>
        <v/>
      </c>
      <c r="T261">
        <f>HYPERLINK("https://klasma.github.io/Logging_2161/kartor/A 34974-2024 karta.png", "A 34974-2024")</f>
        <v/>
      </c>
      <c r="V261">
        <f>HYPERLINK("https://klasma.github.io/Logging_2161/klagomål/A 34974-2024 FSC-klagomål.docx", "A 34974-2024")</f>
        <v/>
      </c>
      <c r="W261">
        <f>HYPERLINK("https://klasma.github.io/Logging_2161/klagomålsmail/A 34974-2024 FSC-klagomål mail.docx", "A 34974-2024")</f>
        <v/>
      </c>
      <c r="X261">
        <f>HYPERLINK("https://klasma.github.io/Logging_2161/tillsyn/A 34974-2024 tillsynsbegäran.docx", "A 34974-2024")</f>
        <v/>
      </c>
      <c r="Y261">
        <f>HYPERLINK("https://klasma.github.io/Logging_2161/tillsynsmail/A 34974-2024 tillsynsbegäran mail.docx", "A 34974-2024")</f>
        <v/>
      </c>
    </row>
    <row r="262" ht="15" customHeight="1">
      <c r="A262" t="inlineStr">
        <is>
          <t>A 37090-2024</t>
        </is>
      </c>
      <c r="B262" s="1" t="n">
        <v>45539</v>
      </c>
      <c r="C262" s="1" t="n">
        <v>45725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Skrovellav</t>
        </is>
      </c>
      <c r="S262">
        <f>HYPERLINK("https://klasma.github.io/Logging_2161/artfynd/A 37090-2024 artfynd.xlsx", "A 37090-2024")</f>
        <v/>
      </c>
      <c r="T262">
        <f>HYPERLINK("https://klasma.github.io/Logging_2161/kartor/A 37090-2024 karta.png", "A 37090-2024")</f>
        <v/>
      </c>
      <c r="V262">
        <f>HYPERLINK("https://klasma.github.io/Logging_2161/klagomål/A 37090-2024 FSC-klagomål.docx", "A 37090-2024")</f>
        <v/>
      </c>
      <c r="W262">
        <f>HYPERLINK("https://klasma.github.io/Logging_2161/klagomålsmail/A 37090-2024 FSC-klagomål mail.docx", "A 37090-2024")</f>
        <v/>
      </c>
      <c r="X262">
        <f>HYPERLINK("https://klasma.github.io/Logging_2161/tillsyn/A 37090-2024 tillsynsbegäran.docx", "A 37090-2024")</f>
        <v/>
      </c>
      <c r="Y262">
        <f>HYPERLINK("https://klasma.github.io/Logging_2161/tillsynsmail/A 37090-2024 tillsynsbegäran mail.docx", "A 37090-2024")</f>
        <v/>
      </c>
    </row>
    <row r="263" ht="15" customHeight="1">
      <c r="A263" t="inlineStr">
        <is>
          <t>A 37435-2024</t>
        </is>
      </c>
      <c r="B263" s="1" t="n">
        <v>45540</v>
      </c>
      <c r="C263" s="1" t="n">
        <v>45725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37435-2024 artfynd.xlsx", "A 37435-2024")</f>
        <v/>
      </c>
      <c r="T263">
        <f>HYPERLINK("https://klasma.github.io/Logging_2161/kartor/A 37435-2024 karta.png", "A 37435-2024")</f>
        <v/>
      </c>
      <c r="V263">
        <f>HYPERLINK("https://klasma.github.io/Logging_2161/klagomål/A 37435-2024 FSC-klagomål.docx", "A 37435-2024")</f>
        <v/>
      </c>
      <c r="W263">
        <f>HYPERLINK("https://klasma.github.io/Logging_2161/klagomålsmail/A 37435-2024 FSC-klagomål mail.docx", "A 37435-2024")</f>
        <v/>
      </c>
      <c r="X263">
        <f>HYPERLINK("https://klasma.github.io/Logging_2161/tillsyn/A 37435-2024 tillsynsbegäran.docx", "A 37435-2024")</f>
        <v/>
      </c>
      <c r="Y263">
        <f>HYPERLINK("https://klasma.github.io/Logging_2161/tillsynsmail/A 37435-2024 tillsynsbegäran mail.docx", "A 37435-2024")</f>
        <v/>
      </c>
    </row>
    <row r="264" ht="15" customHeight="1">
      <c r="A264" t="inlineStr">
        <is>
          <t>A 38152-2024</t>
        </is>
      </c>
      <c r="B264" s="1" t="n">
        <v>45545</v>
      </c>
      <c r="C264" s="1" t="n">
        <v>45725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3.6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HYPERLINK("https://klasma.github.io/Logging_2161/artfynd/A 38152-2024 artfynd.xlsx", "A 38152-2024")</f>
        <v/>
      </c>
      <c r="T264">
        <f>HYPERLINK("https://klasma.github.io/Logging_2161/kartor/A 38152-2024 karta.png", "A 38152-2024")</f>
        <v/>
      </c>
      <c r="U264">
        <f>HYPERLINK("https://klasma.github.io/Logging_2161/knärot/A 38152-2024 karta knärot.png", "A 38152-2024")</f>
        <v/>
      </c>
      <c r="V264">
        <f>HYPERLINK("https://klasma.github.io/Logging_2161/klagomål/A 38152-2024 FSC-klagomål.docx", "A 38152-2024")</f>
        <v/>
      </c>
      <c r="W264">
        <f>HYPERLINK("https://klasma.github.io/Logging_2161/klagomålsmail/A 38152-2024 FSC-klagomål mail.docx", "A 38152-2024")</f>
        <v/>
      </c>
      <c r="X264">
        <f>HYPERLINK("https://klasma.github.io/Logging_2161/tillsyn/A 38152-2024 tillsynsbegäran.docx", "A 38152-2024")</f>
        <v/>
      </c>
      <c r="Y264">
        <f>HYPERLINK("https://klasma.github.io/Logging_2161/tillsynsmail/A 38152-2024 tillsynsbegäran mail.docx", "A 38152-2024")</f>
        <v/>
      </c>
    </row>
    <row r="265" ht="15" customHeight="1">
      <c r="A265" t="inlineStr">
        <is>
          <t>A 39024-2024</t>
        </is>
      </c>
      <c r="B265" s="1" t="n">
        <v>45548</v>
      </c>
      <c r="C265" s="1" t="n">
        <v>45725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39024-2024 artfynd.xlsx", "A 39024-2024")</f>
        <v/>
      </c>
      <c r="T265">
        <f>HYPERLINK("https://klasma.github.io/Logging_2161/kartor/A 39024-2024 karta.png", "A 39024-2024")</f>
        <v/>
      </c>
      <c r="V265">
        <f>HYPERLINK("https://klasma.github.io/Logging_2161/klagomål/A 39024-2024 FSC-klagomål.docx", "A 39024-2024")</f>
        <v/>
      </c>
      <c r="W265">
        <f>HYPERLINK("https://klasma.github.io/Logging_2161/klagomålsmail/A 39024-2024 FSC-klagomål mail.docx", "A 39024-2024")</f>
        <v/>
      </c>
      <c r="X265">
        <f>HYPERLINK("https://klasma.github.io/Logging_2161/tillsyn/A 39024-2024 tillsynsbegäran.docx", "A 39024-2024")</f>
        <v/>
      </c>
      <c r="Y265">
        <f>HYPERLINK("https://klasma.github.io/Logging_2161/tillsynsmail/A 39024-2024 tillsynsbegäran mail.docx", "A 39024-2024")</f>
        <v/>
      </c>
    </row>
    <row r="266" ht="15" customHeight="1">
      <c r="A266" t="inlineStr">
        <is>
          <t>A 39838-2024</t>
        </is>
      </c>
      <c r="B266" s="1" t="n">
        <v>45553</v>
      </c>
      <c r="C266" s="1" t="n">
        <v>45725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39838-2024 artfynd.xlsx", "A 39838-2024")</f>
        <v/>
      </c>
      <c r="T266">
        <f>HYPERLINK("https://klasma.github.io/Logging_2161/kartor/A 39838-2024 karta.png", "A 39838-2024")</f>
        <v/>
      </c>
      <c r="U266">
        <f>HYPERLINK("https://klasma.github.io/Logging_2161/knärot/A 39838-2024 karta knärot.png", "A 39838-2024")</f>
        <v/>
      </c>
      <c r="V266">
        <f>HYPERLINK("https://klasma.github.io/Logging_2161/klagomål/A 39838-2024 FSC-klagomål.docx", "A 39838-2024")</f>
        <v/>
      </c>
      <c r="W266">
        <f>HYPERLINK("https://klasma.github.io/Logging_2161/klagomålsmail/A 39838-2024 FSC-klagomål mail.docx", "A 39838-2024")</f>
        <v/>
      </c>
      <c r="X266">
        <f>HYPERLINK("https://klasma.github.io/Logging_2161/tillsyn/A 39838-2024 tillsynsbegäran.docx", "A 39838-2024")</f>
        <v/>
      </c>
      <c r="Y266">
        <f>HYPERLINK("https://klasma.github.io/Logging_2161/tillsynsmail/A 39838-2024 tillsynsbegäran mail.docx", "A 39838-2024")</f>
        <v/>
      </c>
    </row>
    <row r="267" ht="15" customHeight="1">
      <c r="A267" t="inlineStr">
        <is>
          <t>A 40904-2024</t>
        </is>
      </c>
      <c r="B267" s="1" t="n">
        <v>45558</v>
      </c>
      <c r="C267" s="1" t="n">
        <v>45725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40904-2024 artfynd.xlsx", "A 40904-2024")</f>
        <v/>
      </c>
      <c r="T267">
        <f>HYPERLINK("https://klasma.github.io/Logging_2161/kartor/A 40904-2024 karta.png", "A 40904-2024")</f>
        <v/>
      </c>
      <c r="U267">
        <f>HYPERLINK("https://klasma.github.io/Logging_2161/knärot/A 40904-2024 karta knärot.png", "A 40904-2024")</f>
        <v/>
      </c>
      <c r="V267">
        <f>HYPERLINK("https://klasma.github.io/Logging_2161/klagomål/A 40904-2024 FSC-klagomål.docx", "A 40904-2024")</f>
        <v/>
      </c>
      <c r="W267">
        <f>HYPERLINK("https://klasma.github.io/Logging_2161/klagomålsmail/A 40904-2024 FSC-klagomål mail.docx", "A 40904-2024")</f>
        <v/>
      </c>
      <c r="X267">
        <f>HYPERLINK("https://klasma.github.io/Logging_2161/tillsyn/A 40904-2024 tillsynsbegäran.docx", "A 40904-2024")</f>
        <v/>
      </c>
      <c r="Y267">
        <f>HYPERLINK("https://klasma.github.io/Logging_2161/tillsynsmail/A 40904-2024 tillsynsbegäran mail.docx", "A 40904-2024")</f>
        <v/>
      </c>
    </row>
    <row r="268" ht="15" customHeight="1">
      <c r="A268" t="inlineStr">
        <is>
          <t>A 41388-2024</t>
        </is>
      </c>
      <c r="B268" s="1" t="n">
        <v>45560</v>
      </c>
      <c r="C268" s="1" t="n">
        <v>45725</v>
      </c>
      <c r="D268" t="inlineStr">
        <is>
          <t>GÄVLEBORGS LÄN</t>
        </is>
      </c>
      <c r="E268" t="inlineStr">
        <is>
          <t>LJUSDAL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41388-2024 artfynd.xlsx", "A 41388-2024")</f>
        <v/>
      </c>
      <c r="T268">
        <f>HYPERLINK("https://klasma.github.io/Logging_2161/kartor/A 41388-2024 karta.png", "A 41388-2024")</f>
        <v/>
      </c>
      <c r="V268">
        <f>HYPERLINK("https://klasma.github.io/Logging_2161/klagomål/A 41388-2024 FSC-klagomål.docx", "A 41388-2024")</f>
        <v/>
      </c>
      <c r="W268">
        <f>HYPERLINK("https://klasma.github.io/Logging_2161/klagomålsmail/A 41388-2024 FSC-klagomål mail.docx", "A 41388-2024")</f>
        <v/>
      </c>
      <c r="X268">
        <f>HYPERLINK("https://klasma.github.io/Logging_2161/tillsyn/A 41388-2024 tillsynsbegäran.docx", "A 41388-2024")</f>
        <v/>
      </c>
      <c r="Y268">
        <f>HYPERLINK("https://klasma.github.io/Logging_2161/tillsynsmail/A 41388-2024 tillsynsbegäran mail.docx", "A 41388-2024")</f>
        <v/>
      </c>
    </row>
    <row r="269" ht="15" customHeight="1">
      <c r="A269" t="inlineStr">
        <is>
          <t>A 49862-2024</t>
        </is>
      </c>
      <c r="B269" s="1" t="n">
        <v>45597</v>
      </c>
      <c r="C269" s="1" t="n">
        <v>45725</v>
      </c>
      <c r="D269" t="inlineStr">
        <is>
          <t>GÄVLEBORGS LÄN</t>
        </is>
      </c>
      <c r="E269" t="inlineStr">
        <is>
          <t>LJUSDAL</t>
        </is>
      </c>
      <c r="F269" t="inlineStr">
        <is>
          <t>Bergvik skog väst AB</t>
        </is>
      </c>
      <c r="G269" t="n">
        <v>8.800000000000001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Mindre vattensalamander</t>
        </is>
      </c>
      <c r="S269">
        <f>HYPERLINK("https://klasma.github.io/Logging_2161/artfynd/A 49862-2024 artfynd.xlsx", "A 49862-2024")</f>
        <v/>
      </c>
      <c r="T269">
        <f>HYPERLINK("https://klasma.github.io/Logging_2161/kartor/A 49862-2024 karta.png", "A 49862-2024")</f>
        <v/>
      </c>
      <c r="V269">
        <f>HYPERLINK("https://klasma.github.io/Logging_2161/klagomål/A 49862-2024 FSC-klagomål.docx", "A 49862-2024")</f>
        <v/>
      </c>
      <c r="W269">
        <f>HYPERLINK("https://klasma.github.io/Logging_2161/klagomålsmail/A 49862-2024 FSC-klagomål mail.docx", "A 49862-2024")</f>
        <v/>
      </c>
      <c r="X269">
        <f>HYPERLINK("https://klasma.github.io/Logging_2161/tillsyn/A 49862-2024 tillsynsbegäran.docx", "A 49862-2024")</f>
        <v/>
      </c>
      <c r="Y269">
        <f>HYPERLINK("https://klasma.github.io/Logging_2161/tillsynsmail/A 49862-2024 tillsynsbegäran mail.docx", "A 49862-2024")</f>
        <v/>
      </c>
    </row>
    <row r="270" ht="15" customHeight="1">
      <c r="A270" t="inlineStr">
        <is>
          <t>A 50164-2024</t>
        </is>
      </c>
      <c r="B270" s="1" t="n">
        <v>45600</v>
      </c>
      <c r="C270" s="1" t="n">
        <v>45725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50164-2024 artfynd.xlsx", "A 50164-2024")</f>
        <v/>
      </c>
      <c r="T270">
        <f>HYPERLINK("https://klasma.github.io/Logging_2161/kartor/A 50164-2024 karta.png", "A 50164-2024")</f>
        <v/>
      </c>
      <c r="V270">
        <f>HYPERLINK("https://klasma.github.io/Logging_2161/klagomål/A 50164-2024 FSC-klagomål.docx", "A 50164-2024")</f>
        <v/>
      </c>
      <c r="W270">
        <f>HYPERLINK("https://klasma.github.io/Logging_2161/klagomålsmail/A 50164-2024 FSC-klagomål mail.docx", "A 50164-2024")</f>
        <v/>
      </c>
      <c r="X270">
        <f>HYPERLINK("https://klasma.github.io/Logging_2161/tillsyn/A 50164-2024 tillsynsbegäran.docx", "A 50164-2024")</f>
        <v/>
      </c>
      <c r="Y270">
        <f>HYPERLINK("https://klasma.github.io/Logging_2161/tillsynsmail/A 50164-2024 tillsynsbegäran mail.docx", "A 50164-2024")</f>
        <v/>
      </c>
    </row>
    <row r="271" ht="15" customHeight="1">
      <c r="A271" t="inlineStr">
        <is>
          <t>A 53508-2024</t>
        </is>
      </c>
      <c r="B271" s="1" t="n">
        <v>45614</v>
      </c>
      <c r="C271" s="1" t="n">
        <v>45725</v>
      </c>
      <c r="D271" t="inlineStr">
        <is>
          <t>GÄVLEBORGS LÄN</t>
        </is>
      </c>
      <c r="E271" t="inlineStr">
        <is>
          <t>LJUSDAL</t>
        </is>
      </c>
      <c r="G271" t="n">
        <v>2.4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53508-2024 artfynd.xlsx", "A 53508-2024")</f>
        <v/>
      </c>
      <c r="T271">
        <f>HYPERLINK("https://klasma.github.io/Logging_2161/kartor/A 53508-2024 karta.png", "A 53508-2024")</f>
        <v/>
      </c>
      <c r="V271">
        <f>HYPERLINK("https://klasma.github.io/Logging_2161/klagomål/A 53508-2024 FSC-klagomål.docx", "A 53508-2024")</f>
        <v/>
      </c>
      <c r="W271">
        <f>HYPERLINK("https://klasma.github.io/Logging_2161/klagomålsmail/A 53508-2024 FSC-klagomål mail.docx", "A 53508-2024")</f>
        <v/>
      </c>
      <c r="X271">
        <f>HYPERLINK("https://klasma.github.io/Logging_2161/tillsyn/A 53508-2024 tillsynsbegäran.docx", "A 53508-2024")</f>
        <v/>
      </c>
      <c r="Y271">
        <f>HYPERLINK("https://klasma.github.io/Logging_2161/tillsynsmail/A 53508-2024 tillsynsbegäran mail.docx", "A 53508-2024")</f>
        <v/>
      </c>
    </row>
    <row r="272" ht="15" customHeight="1">
      <c r="A272" t="inlineStr">
        <is>
          <t>A 55289-2024</t>
        </is>
      </c>
      <c r="B272" s="1" t="n">
        <v>45621</v>
      </c>
      <c r="C272" s="1" t="n">
        <v>45725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55289-2024 artfynd.xlsx", "A 55289-2024")</f>
        <v/>
      </c>
      <c r="T272">
        <f>HYPERLINK("https://klasma.github.io/Logging_2161/kartor/A 55289-2024 karta.png", "A 55289-2024")</f>
        <v/>
      </c>
      <c r="V272">
        <f>HYPERLINK("https://klasma.github.io/Logging_2161/klagomål/A 55289-2024 FSC-klagomål.docx", "A 55289-2024")</f>
        <v/>
      </c>
      <c r="W272">
        <f>HYPERLINK("https://klasma.github.io/Logging_2161/klagomålsmail/A 55289-2024 FSC-klagomål mail.docx", "A 55289-2024")</f>
        <v/>
      </c>
      <c r="X272">
        <f>HYPERLINK("https://klasma.github.io/Logging_2161/tillsyn/A 55289-2024 tillsynsbegäran.docx", "A 55289-2024")</f>
        <v/>
      </c>
      <c r="Y272">
        <f>HYPERLINK("https://klasma.github.io/Logging_2161/tillsynsmail/A 55289-2024 tillsynsbegäran mail.docx", "A 55289-2024")</f>
        <v/>
      </c>
    </row>
    <row r="273" ht="15" customHeight="1">
      <c r="A273" t="inlineStr">
        <is>
          <t>A 55326-2024</t>
        </is>
      </c>
      <c r="B273" s="1" t="n">
        <v>45621</v>
      </c>
      <c r="C273" s="1" t="n">
        <v>45725</v>
      </c>
      <c r="D273" t="inlineStr">
        <is>
          <t>GÄVLEBORGS LÄN</t>
        </is>
      </c>
      <c r="E273" t="inlineStr">
        <is>
          <t>LJUSDAL</t>
        </is>
      </c>
      <c r="G273" t="n">
        <v>11.1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Vedskivlav</t>
        </is>
      </c>
      <c r="S273">
        <f>HYPERLINK("https://klasma.github.io/Logging_2161/artfynd/A 55326-2024 artfynd.xlsx", "A 55326-2024")</f>
        <v/>
      </c>
      <c r="T273">
        <f>HYPERLINK("https://klasma.github.io/Logging_2161/kartor/A 55326-2024 karta.png", "A 55326-2024")</f>
        <v/>
      </c>
      <c r="U273">
        <f>HYPERLINK("https://klasma.github.io/Logging_2161/knärot/A 55326-2024 karta knärot.png", "A 55326-2024")</f>
        <v/>
      </c>
      <c r="V273">
        <f>HYPERLINK("https://klasma.github.io/Logging_2161/klagomål/A 55326-2024 FSC-klagomål.docx", "A 55326-2024")</f>
        <v/>
      </c>
      <c r="W273">
        <f>HYPERLINK("https://klasma.github.io/Logging_2161/klagomålsmail/A 55326-2024 FSC-klagomål mail.docx", "A 55326-2024")</f>
        <v/>
      </c>
      <c r="X273">
        <f>HYPERLINK("https://klasma.github.io/Logging_2161/tillsyn/A 55326-2024 tillsynsbegäran.docx", "A 55326-2024")</f>
        <v/>
      </c>
      <c r="Y273">
        <f>HYPERLINK("https://klasma.github.io/Logging_2161/tillsynsmail/A 55326-2024 tillsynsbegäran mail.docx", "A 55326-2024")</f>
        <v/>
      </c>
    </row>
    <row r="274" ht="15" customHeight="1">
      <c r="A274" t="inlineStr">
        <is>
          <t>A 58575-2024</t>
        </is>
      </c>
      <c r="B274" s="1" t="n">
        <v>45635</v>
      </c>
      <c r="C274" s="1" t="n">
        <v>45725</v>
      </c>
      <c r="D274" t="inlineStr">
        <is>
          <t>GÄVLEBORGS LÄN</t>
        </is>
      </c>
      <c r="E274" t="inlineStr">
        <is>
          <t>LJUSDAL</t>
        </is>
      </c>
      <c r="F274" t="inlineStr">
        <is>
          <t>Allmännings- och besparingsskogar</t>
        </is>
      </c>
      <c r="G274" t="n">
        <v>9.4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Kungsörn</t>
        </is>
      </c>
      <c r="S274">
        <f>HYPERLINK("https://klasma.github.io/Logging_2161/artfynd/A 58575-2024 artfynd.xlsx", "A 58575-2024")</f>
        <v/>
      </c>
      <c r="T274">
        <f>HYPERLINK("https://klasma.github.io/Logging_2161/kartor/A 58575-2024 karta.png", "A 58575-2024")</f>
        <v/>
      </c>
      <c r="V274">
        <f>HYPERLINK("https://klasma.github.io/Logging_2161/klagomål/A 58575-2024 FSC-klagomål.docx", "A 58575-2024")</f>
        <v/>
      </c>
      <c r="W274">
        <f>HYPERLINK("https://klasma.github.io/Logging_2161/klagomålsmail/A 58575-2024 FSC-klagomål mail.docx", "A 58575-2024")</f>
        <v/>
      </c>
      <c r="X274">
        <f>HYPERLINK("https://klasma.github.io/Logging_2161/tillsyn/A 58575-2024 tillsynsbegäran.docx", "A 58575-2024")</f>
        <v/>
      </c>
      <c r="Y274">
        <f>HYPERLINK("https://klasma.github.io/Logging_2161/tillsynsmail/A 58575-2024 tillsynsbegäran mail.docx", "A 58575-2024")</f>
        <v/>
      </c>
      <c r="Z274">
        <f>HYPERLINK("https://klasma.github.io/Logging_2161/fåglar/A 58575-2024 prioriterade fågelarter.docx", "A 58575-2024")</f>
        <v/>
      </c>
    </row>
    <row r="275" ht="15" customHeight="1">
      <c r="A275" t="inlineStr">
        <is>
          <t>A 990-2025</t>
        </is>
      </c>
      <c r="B275" s="1" t="n">
        <v>45666</v>
      </c>
      <c r="C275" s="1" t="n">
        <v>45725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990-2025 artfynd.xlsx", "A 990-2025")</f>
        <v/>
      </c>
      <c r="T275">
        <f>HYPERLINK("https://klasma.github.io/Logging_2161/kartor/A 990-2025 karta.png", "A 990-2025")</f>
        <v/>
      </c>
      <c r="V275">
        <f>HYPERLINK("https://klasma.github.io/Logging_2161/klagomål/A 990-2025 FSC-klagomål.docx", "A 990-2025")</f>
        <v/>
      </c>
      <c r="W275">
        <f>HYPERLINK("https://klasma.github.io/Logging_2161/klagomålsmail/A 990-2025 FSC-klagomål mail.docx", "A 990-2025")</f>
        <v/>
      </c>
      <c r="X275">
        <f>HYPERLINK("https://klasma.github.io/Logging_2161/tillsyn/A 990-2025 tillsynsbegäran.docx", "A 990-2025")</f>
        <v/>
      </c>
      <c r="Y275">
        <f>HYPERLINK("https://klasma.github.io/Logging_2161/tillsynsmail/A 990-2025 tillsynsbegäran mail.docx", "A 990-2025")</f>
        <v/>
      </c>
    </row>
    <row r="276" ht="15" customHeight="1">
      <c r="A276" t="inlineStr">
        <is>
          <t>A 17979-2019</t>
        </is>
      </c>
      <c r="B276" s="1" t="n">
        <v>43557</v>
      </c>
      <c r="C276" s="1" t="n">
        <v>45725</v>
      </c>
      <c r="D276" t="inlineStr">
        <is>
          <t>GÄVLEBORGS LÄN</t>
        </is>
      </c>
      <c r="E276" t="inlineStr">
        <is>
          <t>LJUSDAL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18020-2019</t>
        </is>
      </c>
      <c r="B277" s="1" t="n">
        <v>43557</v>
      </c>
      <c r="C277" s="1" t="n">
        <v>45725</v>
      </c>
      <c r="D277" t="inlineStr">
        <is>
          <t>GÄVLEBORGS LÄN</t>
        </is>
      </c>
      <c r="E277" t="inlineStr">
        <is>
          <t>LJUSDAL</t>
        </is>
      </c>
      <c r="F277" t="inlineStr">
        <is>
          <t>Kyrkan</t>
        </is>
      </c>
      <c r="G277" t="n">
        <v>43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21091-2019</t>
        </is>
      </c>
      <c r="B278" s="1" t="n">
        <v>43578</v>
      </c>
      <c r="C278" s="1" t="n">
        <v>45725</v>
      </c>
      <c r="D278" t="inlineStr">
        <is>
          <t>GÄVLEBORGS LÄN</t>
        </is>
      </c>
      <c r="E278" t="inlineStr">
        <is>
          <t>LJUSDAL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HYPERLINK("https://klasma.github.io/Logging_2161/knärot/A 21091-2019 karta knärot.png", "A 21091-2019")</f>
        <v/>
      </c>
      <c r="V278">
        <f>HYPERLINK("https://klasma.github.io/Logging_2161/klagomål/A 21091-2019 FSC-klagomål.docx", "A 21091-2019")</f>
        <v/>
      </c>
      <c r="W278">
        <f>HYPERLINK("https://klasma.github.io/Logging_2161/klagomålsmail/A 21091-2019 FSC-klagomål mail.docx", "A 21091-2019")</f>
        <v/>
      </c>
      <c r="X278">
        <f>HYPERLINK("https://klasma.github.io/Logging_2161/tillsyn/A 21091-2019 tillsynsbegäran.docx", "A 21091-2019")</f>
        <v/>
      </c>
      <c r="Y278">
        <f>HYPERLINK("https://klasma.github.io/Logging_2161/tillsynsmail/A 21091-2019 tillsynsbegäran mail.docx", "A 21091-2019")</f>
        <v/>
      </c>
    </row>
    <row r="279" ht="15" customHeight="1">
      <c r="A279" t="inlineStr">
        <is>
          <t>A 21761-2019</t>
        </is>
      </c>
      <c r="B279" s="1" t="n">
        <v>43581</v>
      </c>
      <c r="C279" s="1" t="n">
        <v>45725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21836-2019</t>
        </is>
      </c>
      <c r="B280" s="1" t="n">
        <v>43584</v>
      </c>
      <c r="C280" s="1" t="n">
        <v>45725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24505-2019</t>
        </is>
      </c>
      <c r="B281" s="1" t="n">
        <v>43600</v>
      </c>
      <c r="C281" s="1" t="n">
        <v>45725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24504-2019</t>
        </is>
      </c>
      <c r="B282" s="1" t="n">
        <v>43600</v>
      </c>
      <c r="C282" s="1" t="n">
        <v>45725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24728-2019</t>
        </is>
      </c>
      <c r="B283" s="1" t="n">
        <v>43601</v>
      </c>
      <c r="C283" s="1" t="n">
        <v>45725</v>
      </c>
      <c r="D283" t="inlineStr">
        <is>
          <t>GÄVLEBORGS LÄN</t>
        </is>
      </c>
      <c r="E283" t="inlineStr">
        <is>
          <t>LJUSDAL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24715-2019</t>
        </is>
      </c>
      <c r="B284" s="1" t="n">
        <v>43601</v>
      </c>
      <c r="C284" s="1" t="n">
        <v>45725</v>
      </c>
      <c r="D284" t="inlineStr">
        <is>
          <t>GÄVLEBORGS LÄN</t>
        </is>
      </c>
      <c r="E284" t="inlineStr">
        <is>
          <t>LJUSDAL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26079-2019</t>
        </is>
      </c>
      <c r="B285" s="1" t="n">
        <v>43605</v>
      </c>
      <c r="C285" s="1" t="n">
        <v>45725</v>
      </c>
      <c r="D285" t="inlineStr">
        <is>
          <t>GÄVLEBORGS LÄN</t>
        </is>
      </c>
      <c r="E285" t="inlineStr">
        <is>
          <t>LJUSDAL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25597-2019</t>
        </is>
      </c>
      <c r="B286" s="1" t="n">
        <v>43607</v>
      </c>
      <c r="C286" s="1" t="n">
        <v>45725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26451-2019</t>
        </is>
      </c>
      <c r="B287" s="1" t="n">
        <v>43612</v>
      </c>
      <c r="C287" s="1" t="n">
        <v>45725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26840-2019</t>
        </is>
      </c>
      <c r="B288" s="1" t="n">
        <v>43613</v>
      </c>
      <c r="C288" s="1" t="n">
        <v>45725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27298-2019</t>
        </is>
      </c>
      <c r="B289" s="1" t="n">
        <v>43616</v>
      </c>
      <c r="C289" s="1" t="n">
        <v>45725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27477-2019</t>
        </is>
      </c>
      <c r="B290" s="1" t="n">
        <v>43619</v>
      </c>
      <c r="C290" s="1" t="n">
        <v>45725</v>
      </c>
      <c r="D290" t="inlineStr">
        <is>
          <t>GÄVLEBORGS LÄN</t>
        </is>
      </c>
      <c r="E290" t="inlineStr">
        <is>
          <t>LJUSDAL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27493-2019</t>
        </is>
      </c>
      <c r="B291" s="1" t="n">
        <v>43619</v>
      </c>
      <c r="C291" s="1" t="n">
        <v>45725</v>
      </c>
      <c r="D291" t="inlineStr">
        <is>
          <t>GÄVLEBORGS LÄN</t>
        </is>
      </c>
      <c r="E291" t="inlineStr">
        <is>
          <t>LJUSDAL</t>
        </is>
      </c>
      <c r="F291" t="inlineStr">
        <is>
          <t>Bergvik skog väst AB</t>
        </is>
      </c>
      <c r="G291" t="n">
        <v>33.6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27506-2019</t>
        </is>
      </c>
      <c r="B292" s="1" t="n">
        <v>43619</v>
      </c>
      <c r="C292" s="1" t="n">
        <v>45725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25.6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27558-2019</t>
        </is>
      </c>
      <c r="B293" s="1" t="n">
        <v>43619</v>
      </c>
      <c r="C293" s="1" t="n">
        <v>45725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27784-2019</t>
        </is>
      </c>
      <c r="B294" s="1" t="n">
        <v>43620</v>
      </c>
      <c r="C294" s="1" t="n">
        <v>45725</v>
      </c>
      <c r="D294" t="inlineStr">
        <is>
          <t>GÄVLEBORGS LÄN</t>
        </is>
      </c>
      <c r="E294" t="inlineStr">
        <is>
          <t>LJUSDAL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28542-2019</t>
        </is>
      </c>
      <c r="B295" s="1" t="n">
        <v>43626</v>
      </c>
      <c r="C295" s="1" t="n">
        <v>45725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28545-2019</t>
        </is>
      </c>
      <c r="B296" s="1" t="n">
        <v>43626</v>
      </c>
      <c r="C296" s="1" t="n">
        <v>45725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28875-2019</t>
        </is>
      </c>
      <c r="B297" s="1" t="n">
        <v>43628</v>
      </c>
      <c r="C297" s="1" t="n">
        <v>45725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29044-2019</t>
        </is>
      </c>
      <c r="B298" s="1" t="n">
        <v>43628</v>
      </c>
      <c r="C298" s="1" t="n">
        <v>45725</v>
      </c>
      <c r="D298" t="inlineStr">
        <is>
          <t>GÄVLEBORGS LÄN</t>
        </is>
      </c>
      <c r="E298" t="inlineStr">
        <is>
          <t>LJUSDAL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29660-2019</t>
        </is>
      </c>
      <c r="B299" s="1" t="n">
        <v>43628</v>
      </c>
      <c r="C299" s="1" t="n">
        <v>45725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29267-2019</t>
        </is>
      </c>
      <c r="B300" s="1" t="n">
        <v>43629</v>
      </c>
      <c r="C300" s="1" t="n">
        <v>45725</v>
      </c>
      <c r="D300" t="inlineStr">
        <is>
          <t>GÄVLEBORGS LÄN</t>
        </is>
      </c>
      <c r="E300" t="inlineStr">
        <is>
          <t>LJUSDAL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29414-2019</t>
        </is>
      </c>
      <c r="B301" s="1" t="n">
        <v>43629</v>
      </c>
      <c r="C301" s="1" t="n">
        <v>45725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29590-2019</t>
        </is>
      </c>
      <c r="B302" s="1" t="n">
        <v>43630</v>
      </c>
      <c r="C302" s="1" t="n">
        <v>45725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29559-2019</t>
        </is>
      </c>
      <c r="B303" s="1" t="n">
        <v>43630</v>
      </c>
      <c r="C303" s="1" t="n">
        <v>45725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29525-2019</t>
        </is>
      </c>
      <c r="B304" s="1" t="n">
        <v>43630</v>
      </c>
      <c r="C304" s="1" t="n">
        <v>45725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30727-2019</t>
        </is>
      </c>
      <c r="B305" s="1" t="n">
        <v>43636</v>
      </c>
      <c r="C305" s="1" t="n">
        <v>45725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31812-2019</t>
        </is>
      </c>
      <c r="B306" s="1" t="n">
        <v>43641</v>
      </c>
      <c r="C306" s="1" t="n">
        <v>45725</v>
      </c>
      <c r="D306" t="inlineStr">
        <is>
          <t>GÄVLEBORGS LÄN</t>
        </is>
      </c>
      <c r="E306" t="inlineStr">
        <is>
          <t>LJUSDAL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31769-2019</t>
        </is>
      </c>
      <c r="B307" s="1" t="n">
        <v>43642</v>
      </c>
      <c r="C307" s="1" t="n">
        <v>45725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31843-2019</t>
        </is>
      </c>
      <c r="B308" s="1" t="n">
        <v>43642</v>
      </c>
      <c r="C308" s="1" t="n">
        <v>45725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32436-2019</t>
        </is>
      </c>
      <c r="B309" s="1" t="n">
        <v>43644</v>
      </c>
      <c r="C309" s="1" t="n">
        <v>45725</v>
      </c>
      <c r="D309" t="inlineStr">
        <is>
          <t>GÄVLEBORGS LÄN</t>
        </is>
      </c>
      <c r="E309" t="inlineStr">
        <is>
          <t>LJUSDAL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33306-2019</t>
        </is>
      </c>
      <c r="B310" s="1" t="n">
        <v>43650</v>
      </c>
      <c r="C310" s="1" t="n">
        <v>45725</v>
      </c>
      <c r="D310" t="inlineStr">
        <is>
          <t>GÄVLEBORGS LÄN</t>
        </is>
      </c>
      <c r="E310" t="inlineStr">
        <is>
          <t>LJUSDAL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33661-2019</t>
        </is>
      </c>
      <c r="B311" s="1" t="n">
        <v>43651</v>
      </c>
      <c r="C311" s="1" t="n">
        <v>45725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33662-2019</t>
        </is>
      </c>
      <c r="B312" s="1" t="n">
        <v>43651</v>
      </c>
      <c r="C312" s="1" t="n">
        <v>45725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34197-2019</t>
        </is>
      </c>
      <c r="B313" s="1" t="n">
        <v>43655</v>
      </c>
      <c r="C313" s="1" t="n">
        <v>45725</v>
      </c>
      <c r="D313" t="inlineStr">
        <is>
          <t>GÄVLEBORGS LÄN</t>
        </is>
      </c>
      <c r="E313" t="inlineStr">
        <is>
          <t>LJUSDAL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34398-2019</t>
        </is>
      </c>
      <c r="B314" s="1" t="n">
        <v>43656</v>
      </c>
      <c r="C314" s="1" t="n">
        <v>45725</v>
      </c>
      <c r="D314" t="inlineStr">
        <is>
          <t>GÄVLEBORGS LÄN</t>
        </is>
      </c>
      <c r="E314" t="inlineStr">
        <is>
          <t>LJUSDAL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35016-2019</t>
        </is>
      </c>
      <c r="B315" s="1" t="n">
        <v>43661</v>
      </c>
      <c r="C315" s="1" t="n">
        <v>45725</v>
      </c>
      <c r="D315" t="inlineStr">
        <is>
          <t>GÄVLEBORGS LÄN</t>
        </is>
      </c>
      <c r="E315" t="inlineStr">
        <is>
          <t>LJUSDAL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35034-2019</t>
        </is>
      </c>
      <c r="B316" s="1" t="n">
        <v>43661</v>
      </c>
      <c r="C316" s="1" t="n">
        <v>45725</v>
      </c>
      <c r="D316" t="inlineStr">
        <is>
          <t>GÄVLEBORGS LÄN</t>
        </is>
      </c>
      <c r="E316" t="inlineStr">
        <is>
          <t>LJUSDAL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35107-2019</t>
        </is>
      </c>
      <c r="B317" s="1" t="n">
        <v>43661</v>
      </c>
      <c r="C317" s="1" t="n">
        <v>45725</v>
      </c>
      <c r="D317" t="inlineStr">
        <is>
          <t>GÄVLEBORGS LÄN</t>
        </is>
      </c>
      <c r="E317" t="inlineStr">
        <is>
          <t>LJUSDAL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35295-2019</t>
        </is>
      </c>
      <c r="B318" s="1" t="n">
        <v>43662</v>
      </c>
      <c r="C318" s="1" t="n">
        <v>45725</v>
      </c>
      <c r="D318" t="inlineStr">
        <is>
          <t>GÄVLEBORGS LÄN</t>
        </is>
      </c>
      <c r="E318" t="inlineStr">
        <is>
          <t>LJUSDAL</t>
        </is>
      </c>
      <c r="F318" t="inlineStr">
        <is>
          <t>Kommuner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35347-2019</t>
        </is>
      </c>
      <c r="B319" s="1" t="n">
        <v>43663</v>
      </c>
      <c r="C319" s="1" t="n">
        <v>45725</v>
      </c>
      <c r="D319" t="inlineStr">
        <is>
          <t>GÄVLEBORGS LÄN</t>
        </is>
      </c>
      <c r="E319" t="inlineStr">
        <is>
          <t>LJUSDAL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35354-2019</t>
        </is>
      </c>
      <c r="B320" s="1" t="n">
        <v>43663</v>
      </c>
      <c r="C320" s="1" t="n">
        <v>45725</v>
      </c>
      <c r="D320" t="inlineStr">
        <is>
          <t>GÄVLEBORGS LÄN</t>
        </is>
      </c>
      <c r="E320" t="inlineStr">
        <is>
          <t>LJUSDAL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35805-2019</t>
        </is>
      </c>
      <c r="B321" s="1" t="n">
        <v>43665</v>
      </c>
      <c r="C321" s="1" t="n">
        <v>45725</v>
      </c>
      <c r="D321" t="inlineStr">
        <is>
          <t>GÄVLEBORGS LÄN</t>
        </is>
      </c>
      <c r="E321" t="inlineStr">
        <is>
          <t>LJUSDAL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35859-2019</t>
        </is>
      </c>
      <c r="B322" s="1" t="n">
        <v>43665</v>
      </c>
      <c r="C322" s="1" t="n">
        <v>45725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36040-2019</t>
        </is>
      </c>
      <c r="B323" s="1" t="n">
        <v>43668</v>
      </c>
      <c r="C323" s="1" t="n">
        <v>45725</v>
      </c>
      <c r="D323" t="inlineStr">
        <is>
          <t>GÄVLEBORGS LÄN</t>
        </is>
      </c>
      <c r="E323" t="inlineStr">
        <is>
          <t>LJUSDAL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36190-2019</t>
        </is>
      </c>
      <c r="B324" s="1" t="n">
        <v>43669</v>
      </c>
      <c r="C324" s="1" t="n">
        <v>45725</v>
      </c>
      <c r="D324" t="inlineStr">
        <is>
          <t>GÄVLEBORGS LÄN</t>
        </is>
      </c>
      <c r="E324" t="inlineStr">
        <is>
          <t>LJUSDAL</t>
        </is>
      </c>
      <c r="G324" t="n">
        <v>53.2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37326-2019</t>
        </is>
      </c>
      <c r="B325" s="1" t="n">
        <v>43677</v>
      </c>
      <c r="C325" s="1" t="n">
        <v>45725</v>
      </c>
      <c r="D325" t="inlineStr">
        <is>
          <t>GÄVLEBORGS LÄN</t>
        </is>
      </c>
      <c r="E325" t="inlineStr">
        <is>
          <t>LJUSDAL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37676-2019</t>
        </is>
      </c>
      <c r="B326" s="1" t="n">
        <v>43679</v>
      </c>
      <c r="C326" s="1" t="n">
        <v>45725</v>
      </c>
      <c r="D326" t="inlineStr">
        <is>
          <t>GÄVLEBORGS LÄN</t>
        </is>
      </c>
      <c r="E326" t="inlineStr">
        <is>
          <t>LJUSDAL</t>
        </is>
      </c>
      <c r="G326" t="n">
        <v>11.6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37537-2019</t>
        </is>
      </c>
      <c r="B327" s="1" t="n">
        <v>43679</v>
      </c>
      <c r="C327" s="1" t="n">
        <v>45725</v>
      </c>
      <c r="D327" t="inlineStr">
        <is>
          <t>GÄVLEBORGS LÄN</t>
        </is>
      </c>
      <c r="E327" t="inlineStr">
        <is>
          <t>LJUSDAL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38756-2019</t>
        </is>
      </c>
      <c r="B328" s="1" t="n">
        <v>43686</v>
      </c>
      <c r="C328" s="1" t="n">
        <v>45725</v>
      </c>
      <c r="D328" t="inlineStr">
        <is>
          <t>GÄVLEBORGS LÄN</t>
        </is>
      </c>
      <c r="E328" t="inlineStr">
        <is>
          <t>LJUSDAL</t>
        </is>
      </c>
      <c r="G328" t="n">
        <v>51.7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40196-2019</t>
        </is>
      </c>
      <c r="B329" s="1" t="n">
        <v>43691</v>
      </c>
      <c r="C329" s="1" t="n">
        <v>45725</v>
      </c>
      <c r="D329" t="inlineStr">
        <is>
          <t>GÄVLEBORGS LÄN</t>
        </is>
      </c>
      <c r="E329" t="inlineStr">
        <is>
          <t>LJUSDAL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39762-2019</t>
        </is>
      </c>
      <c r="B330" s="1" t="n">
        <v>43692</v>
      </c>
      <c r="C330" s="1" t="n">
        <v>45725</v>
      </c>
      <c r="D330" t="inlineStr">
        <is>
          <t>GÄVLEBORGS LÄN</t>
        </is>
      </c>
      <c r="E330" t="inlineStr">
        <is>
          <t>LJUSDAL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40184-2019</t>
        </is>
      </c>
      <c r="B331" s="1" t="n">
        <v>43693</v>
      </c>
      <c r="C331" s="1" t="n">
        <v>45725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40190-2019</t>
        </is>
      </c>
      <c r="B332" s="1" t="n">
        <v>43693</v>
      </c>
      <c r="C332" s="1" t="n">
        <v>45725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40071-2019</t>
        </is>
      </c>
      <c r="B333" s="1" t="n">
        <v>43693</v>
      </c>
      <c r="C333" s="1" t="n">
        <v>45725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40707-2019</t>
        </is>
      </c>
      <c r="B334" s="1" t="n">
        <v>43697</v>
      </c>
      <c r="C334" s="1" t="n">
        <v>45725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41111-2019</t>
        </is>
      </c>
      <c r="B335" s="1" t="n">
        <v>43698</v>
      </c>
      <c r="C335" s="1" t="n">
        <v>45725</v>
      </c>
      <c r="D335" t="inlineStr">
        <is>
          <t>GÄVLEBORGS LÄN</t>
        </is>
      </c>
      <c r="E335" t="inlineStr">
        <is>
          <t>LJUSDAL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41212-2019</t>
        </is>
      </c>
      <c r="B336" s="1" t="n">
        <v>43698</v>
      </c>
      <c r="C336" s="1" t="n">
        <v>45725</v>
      </c>
      <c r="D336" t="inlineStr">
        <is>
          <t>GÄVLEBORGS LÄN</t>
        </is>
      </c>
      <c r="E336" t="inlineStr">
        <is>
          <t>LJUSDAL</t>
        </is>
      </c>
      <c r="F336" t="inlineStr">
        <is>
          <t>Allmännings- och besparingsskogar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41917-2019</t>
        </is>
      </c>
      <c r="B337" s="1" t="n">
        <v>43700</v>
      </c>
      <c r="C337" s="1" t="n">
        <v>45725</v>
      </c>
      <c r="D337" t="inlineStr">
        <is>
          <t>GÄVLEBORGS LÄN</t>
        </is>
      </c>
      <c r="E337" t="inlineStr">
        <is>
          <t>LJUSDAL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44374-2019</t>
        </is>
      </c>
      <c r="B338" s="1" t="n">
        <v>43700</v>
      </c>
      <c r="C338" s="1" t="n">
        <v>45725</v>
      </c>
      <c r="D338" t="inlineStr">
        <is>
          <t>GÄVLEBORGS LÄN</t>
        </is>
      </c>
      <c r="E338" t="inlineStr">
        <is>
          <t>LJUSDAL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41852-2019</t>
        </is>
      </c>
      <c r="B339" s="1" t="n">
        <v>43700</v>
      </c>
      <c r="C339" s="1" t="n">
        <v>45725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42445-2019</t>
        </is>
      </c>
      <c r="B340" s="1" t="n">
        <v>43704</v>
      </c>
      <c r="C340" s="1" t="n">
        <v>45725</v>
      </c>
      <c r="D340" t="inlineStr">
        <is>
          <t>GÄVLEBORGS LÄN</t>
        </is>
      </c>
      <c r="E340" t="inlineStr">
        <is>
          <t>LJUSDAL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42868-2019</t>
        </is>
      </c>
      <c r="B341" s="1" t="n">
        <v>43705</v>
      </c>
      <c r="C341" s="1" t="n">
        <v>45725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44275-2019</t>
        </is>
      </c>
      <c r="B342" s="1" t="n">
        <v>43710</v>
      </c>
      <c r="C342" s="1" t="n">
        <v>45725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25.1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44066-2019</t>
        </is>
      </c>
      <c r="B343" s="1" t="n">
        <v>43710</v>
      </c>
      <c r="C343" s="1" t="n">
        <v>45725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44062-2019</t>
        </is>
      </c>
      <c r="B344" s="1" t="n">
        <v>43710</v>
      </c>
      <c r="C344" s="1" t="n">
        <v>45725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44847-2019</t>
        </is>
      </c>
      <c r="B345" s="1" t="n">
        <v>43712</v>
      </c>
      <c r="C345" s="1" t="n">
        <v>45725</v>
      </c>
      <c r="D345" t="inlineStr">
        <is>
          <t>GÄVLEBORGS LÄN</t>
        </is>
      </c>
      <c r="E345" t="inlineStr">
        <is>
          <t>LJUSDAL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44904-2019</t>
        </is>
      </c>
      <c r="B346" s="1" t="n">
        <v>43713</v>
      </c>
      <c r="C346" s="1" t="n">
        <v>45725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45451-2019</t>
        </is>
      </c>
      <c r="B347" s="1" t="n">
        <v>43714</v>
      </c>
      <c r="C347" s="1" t="n">
        <v>45725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45450-2019</t>
        </is>
      </c>
      <c r="B348" s="1" t="n">
        <v>43714</v>
      </c>
      <c r="C348" s="1" t="n">
        <v>45725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45808-2019</t>
        </is>
      </c>
      <c r="B349" s="1" t="n">
        <v>43717</v>
      </c>
      <c r="C349" s="1" t="n">
        <v>45725</v>
      </c>
      <c r="D349" t="inlineStr">
        <is>
          <t>GÄVLEBORGS LÄN</t>
        </is>
      </c>
      <c r="E349" t="inlineStr">
        <is>
          <t>LJUSDAL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46408-2019</t>
        </is>
      </c>
      <c r="B350" s="1" t="n">
        <v>43719</v>
      </c>
      <c r="C350" s="1" t="n">
        <v>45725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46773-2019</t>
        </is>
      </c>
      <c r="B351" s="1" t="n">
        <v>43720</v>
      </c>
      <c r="C351" s="1" t="n">
        <v>45725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47326-2019</t>
        </is>
      </c>
      <c r="B352" s="1" t="n">
        <v>43721</v>
      </c>
      <c r="C352" s="1" t="n">
        <v>45725</v>
      </c>
      <c r="D352" t="inlineStr">
        <is>
          <t>GÄVLEBORGS LÄN</t>
        </is>
      </c>
      <c r="E352" t="inlineStr">
        <is>
          <t>LJUSDAL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47329-2019</t>
        </is>
      </c>
      <c r="B353" s="1" t="n">
        <v>43721</v>
      </c>
      <c r="C353" s="1" t="n">
        <v>45725</v>
      </c>
      <c r="D353" t="inlineStr">
        <is>
          <t>GÄVLEBORGS LÄN</t>
        </is>
      </c>
      <c r="E353" t="inlineStr">
        <is>
          <t>LJUSDAL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47449-2019</t>
        </is>
      </c>
      <c r="B354" s="1" t="n">
        <v>43721</v>
      </c>
      <c r="C354" s="1" t="n">
        <v>45725</v>
      </c>
      <c r="D354" t="inlineStr">
        <is>
          <t>GÄVLEBORGS LÄN</t>
        </is>
      </c>
      <c r="E354" t="inlineStr">
        <is>
          <t>LJUSDAL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48379-2019</t>
        </is>
      </c>
      <c r="B355" s="1" t="n">
        <v>43726</v>
      </c>
      <c r="C355" s="1" t="n">
        <v>45725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48375-2019</t>
        </is>
      </c>
      <c r="B356" s="1" t="n">
        <v>43726</v>
      </c>
      <c r="C356" s="1" t="n">
        <v>45725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48467-2019</t>
        </is>
      </c>
      <c r="B357" s="1" t="n">
        <v>43727</v>
      </c>
      <c r="C357" s="1" t="n">
        <v>45725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48914-2019</t>
        </is>
      </c>
      <c r="B358" s="1" t="n">
        <v>43728</v>
      </c>
      <c r="C358" s="1" t="n">
        <v>45725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49108-2019</t>
        </is>
      </c>
      <c r="B359" s="1" t="n">
        <v>43731</v>
      </c>
      <c r="C359" s="1" t="n">
        <v>45725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50311-2019</t>
        </is>
      </c>
      <c r="B360" s="1" t="n">
        <v>43731</v>
      </c>
      <c r="C360" s="1" t="n">
        <v>45725</v>
      </c>
      <c r="D360" t="inlineStr">
        <is>
          <t>GÄVLEBORGS LÄN</t>
        </is>
      </c>
      <c r="E360" t="inlineStr">
        <is>
          <t>LJUSDAL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49492-2019</t>
        </is>
      </c>
      <c r="B361" s="1" t="n">
        <v>43732</v>
      </c>
      <c r="C361" s="1" t="n">
        <v>45725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49656-2019</t>
        </is>
      </c>
      <c r="B362" s="1" t="n">
        <v>43732</v>
      </c>
      <c r="C362" s="1" t="n">
        <v>45725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50222-2019</t>
        </is>
      </c>
      <c r="B363" s="1" t="n">
        <v>43734</v>
      </c>
      <c r="C363" s="1" t="n">
        <v>45725</v>
      </c>
      <c r="D363" t="inlineStr">
        <is>
          <t>GÄVLEBORGS LÄN</t>
        </is>
      </c>
      <c r="E363" t="inlineStr">
        <is>
          <t>LJUSDAL</t>
        </is>
      </c>
      <c r="G363" t="n">
        <v>22.9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50307-2019</t>
        </is>
      </c>
      <c r="B364" s="1" t="n">
        <v>43735</v>
      </c>
      <c r="C364" s="1" t="n">
        <v>45725</v>
      </c>
      <c r="D364" t="inlineStr">
        <is>
          <t>GÄVLEBORGS LÄN</t>
        </is>
      </c>
      <c r="E364" t="inlineStr">
        <is>
          <t>LJUSDAL</t>
        </is>
      </c>
      <c r="G364" t="n">
        <v>18.4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55504-2019</t>
        </is>
      </c>
      <c r="B365" s="1" t="n">
        <v>43738</v>
      </c>
      <c r="C365" s="1" t="n">
        <v>45725</v>
      </c>
      <c r="D365" t="inlineStr">
        <is>
          <t>GÄVLEBORGS LÄN</t>
        </is>
      </c>
      <c r="E365" t="inlineStr">
        <is>
          <t>LJUSDAL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55549-2019</t>
        </is>
      </c>
      <c r="B366" s="1" t="n">
        <v>43738</v>
      </c>
      <c r="C366" s="1" t="n">
        <v>45725</v>
      </c>
      <c r="D366" t="inlineStr">
        <is>
          <t>GÄVLEBORGS LÄN</t>
        </is>
      </c>
      <c r="E366" t="inlineStr">
        <is>
          <t>LJUSDAL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51779-2019</t>
        </is>
      </c>
      <c r="B367" s="1" t="n">
        <v>43741</v>
      </c>
      <c r="C367" s="1" t="n">
        <v>45725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52096-2019</t>
        </is>
      </c>
      <c r="B368" s="1" t="n">
        <v>43742</v>
      </c>
      <c r="C368" s="1" t="n">
        <v>45725</v>
      </c>
      <c r="D368" t="inlineStr">
        <is>
          <t>GÄVLEBORGS LÄN</t>
        </is>
      </c>
      <c r="E368" t="inlineStr">
        <is>
          <t>LJUSDAL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54168-2019</t>
        </is>
      </c>
      <c r="B369" s="1" t="n">
        <v>43745</v>
      </c>
      <c r="C369" s="1" t="n">
        <v>45725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52405-2019</t>
        </is>
      </c>
      <c r="B370" s="1" t="n">
        <v>43745</v>
      </c>
      <c r="C370" s="1" t="n">
        <v>45725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52626-2019</t>
        </is>
      </c>
      <c r="B371" s="1" t="n">
        <v>43746</v>
      </c>
      <c r="C371" s="1" t="n">
        <v>45725</v>
      </c>
      <c r="D371" t="inlineStr">
        <is>
          <t>GÄVLEBORGS LÄN</t>
        </is>
      </c>
      <c r="E371" t="inlineStr">
        <is>
          <t>LJUSDAL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52972-2019</t>
        </is>
      </c>
      <c r="B372" s="1" t="n">
        <v>43747</v>
      </c>
      <c r="C372" s="1" t="n">
        <v>45725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52973-2019</t>
        </is>
      </c>
      <c r="B373" s="1" t="n">
        <v>43747</v>
      </c>
      <c r="C373" s="1" t="n">
        <v>45725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53429-2019</t>
        </is>
      </c>
      <c r="B374" s="1" t="n">
        <v>43748</v>
      </c>
      <c r="C374" s="1" t="n">
        <v>45725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54402-2019</t>
        </is>
      </c>
      <c r="B375" s="1" t="n">
        <v>43754</v>
      </c>
      <c r="C375" s="1" t="n">
        <v>45725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54401-2019</t>
        </is>
      </c>
      <c r="B376" s="1" t="n">
        <v>43754</v>
      </c>
      <c r="C376" s="1" t="n">
        <v>45725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54966-2019</t>
        </is>
      </c>
      <c r="B377" s="1" t="n">
        <v>43755</v>
      </c>
      <c r="C377" s="1" t="n">
        <v>45725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54723-2019</t>
        </is>
      </c>
      <c r="B378" s="1" t="n">
        <v>43755</v>
      </c>
      <c r="C378" s="1" t="n">
        <v>45725</v>
      </c>
      <c r="D378" t="inlineStr">
        <is>
          <t>GÄVLEBORGS LÄN</t>
        </is>
      </c>
      <c r="E378" t="inlineStr">
        <is>
          <t>LJUSDAL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55880-2019</t>
        </is>
      </c>
      <c r="B379" s="1" t="n">
        <v>43759</v>
      </c>
      <c r="C379" s="1" t="n">
        <v>45725</v>
      </c>
      <c r="D379" t="inlineStr">
        <is>
          <t>GÄVLEBORGS LÄN</t>
        </is>
      </c>
      <c r="E379" t="inlineStr">
        <is>
          <t>LJUSDAL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55956-2019</t>
        </is>
      </c>
      <c r="B380" s="1" t="n">
        <v>43759</v>
      </c>
      <c r="C380" s="1" t="n">
        <v>45725</v>
      </c>
      <c r="D380" t="inlineStr">
        <is>
          <t>GÄVLEBORGS LÄN</t>
        </is>
      </c>
      <c r="E380" t="inlineStr">
        <is>
          <t>LJUSDAL</t>
        </is>
      </c>
      <c r="G380" t="n">
        <v>14.2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55464-2019</t>
        </is>
      </c>
      <c r="B381" s="1" t="n">
        <v>43760</v>
      </c>
      <c r="C381" s="1" t="n">
        <v>45725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56541-2019</t>
        </is>
      </c>
      <c r="B382" s="1" t="n">
        <v>43763</v>
      </c>
      <c r="C382" s="1" t="n">
        <v>45725</v>
      </c>
      <c r="D382" t="inlineStr">
        <is>
          <t>GÄVLEBORGS LÄN</t>
        </is>
      </c>
      <c r="E382" t="inlineStr">
        <is>
          <t>LJUSDAL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56693-2019</t>
        </is>
      </c>
      <c r="B383" s="1" t="n">
        <v>43763</v>
      </c>
      <c r="C383" s="1" t="n">
        <v>45725</v>
      </c>
      <c r="D383" t="inlineStr">
        <is>
          <t>GÄVLEBORGS LÄN</t>
        </is>
      </c>
      <c r="E383" t="inlineStr">
        <is>
          <t>LJUSDAL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57410-2019</t>
        </is>
      </c>
      <c r="B384" s="1" t="n">
        <v>43767</v>
      </c>
      <c r="C384" s="1" t="n">
        <v>45725</v>
      </c>
      <c r="D384" t="inlineStr">
        <is>
          <t>GÄVLEBORGS LÄN</t>
        </is>
      </c>
      <c r="E384" t="inlineStr">
        <is>
          <t>LJUSDAL</t>
        </is>
      </c>
      <c r="F384" t="inlineStr">
        <is>
          <t>Holmen skog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58587-2019</t>
        </is>
      </c>
      <c r="B385" s="1" t="n">
        <v>43773</v>
      </c>
      <c r="C385" s="1" t="n">
        <v>45725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58897-2019</t>
        </is>
      </c>
      <c r="B386" s="1" t="n">
        <v>43774</v>
      </c>
      <c r="C386" s="1" t="n">
        <v>45725</v>
      </c>
      <c r="D386" t="inlineStr">
        <is>
          <t>GÄVLEBORGS LÄN</t>
        </is>
      </c>
      <c r="E386" t="inlineStr">
        <is>
          <t>LJUSDAL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58886-2019</t>
        </is>
      </c>
      <c r="B387" s="1" t="n">
        <v>43774</v>
      </c>
      <c r="C387" s="1" t="n">
        <v>45725</v>
      </c>
      <c r="D387" t="inlineStr">
        <is>
          <t>GÄVLEBORGS LÄN</t>
        </is>
      </c>
      <c r="E387" t="inlineStr">
        <is>
          <t>LJUSDAL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59990-2019</t>
        </is>
      </c>
      <c r="B388" s="1" t="n">
        <v>43775</v>
      </c>
      <c r="C388" s="1" t="n">
        <v>45725</v>
      </c>
      <c r="D388" t="inlineStr">
        <is>
          <t>GÄVLEBORGS LÄN</t>
        </is>
      </c>
      <c r="E388" t="inlineStr">
        <is>
          <t>LJUSDAL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59153-2019</t>
        </is>
      </c>
      <c r="B389" s="1" t="n">
        <v>43775</v>
      </c>
      <c r="C389" s="1" t="n">
        <v>45725</v>
      </c>
      <c r="D389" t="inlineStr">
        <is>
          <t>GÄVLEBORGS LÄN</t>
        </is>
      </c>
      <c r="E389" t="inlineStr">
        <is>
          <t>LJUSDAL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59458-2019</t>
        </is>
      </c>
      <c r="B390" s="1" t="n">
        <v>43776</v>
      </c>
      <c r="C390" s="1" t="n">
        <v>45725</v>
      </c>
      <c r="D390" t="inlineStr">
        <is>
          <t>GÄVLEBORGS LÄN</t>
        </is>
      </c>
      <c r="E390" t="inlineStr">
        <is>
          <t>LJUSDAL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60418-2019</t>
        </is>
      </c>
      <c r="B391" s="1" t="n">
        <v>43776</v>
      </c>
      <c r="C391" s="1" t="n">
        <v>45725</v>
      </c>
      <c r="D391" t="inlineStr">
        <is>
          <t>GÄVLEBORGS LÄN</t>
        </is>
      </c>
      <c r="E391" t="inlineStr">
        <is>
          <t>LJUSDAL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60034-2019</t>
        </is>
      </c>
      <c r="B392" s="1" t="n">
        <v>43777</v>
      </c>
      <c r="C392" s="1" t="n">
        <v>45725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59922-2019</t>
        </is>
      </c>
      <c r="B393" s="1" t="n">
        <v>43777</v>
      </c>
      <c r="C393" s="1" t="n">
        <v>45725</v>
      </c>
      <c r="D393" t="inlineStr">
        <is>
          <t>GÄVLEBORGS LÄN</t>
        </is>
      </c>
      <c r="E393" t="inlineStr">
        <is>
          <t>LJUSDAL</t>
        </is>
      </c>
      <c r="F393" t="inlineStr">
        <is>
          <t>Allmännings- och besparingsskogar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60574-2019</t>
        </is>
      </c>
      <c r="B394" s="1" t="n">
        <v>43781</v>
      </c>
      <c r="C394" s="1" t="n">
        <v>45725</v>
      </c>
      <c r="D394" t="inlineStr">
        <is>
          <t>GÄVLEBORGS LÄN</t>
        </is>
      </c>
      <c r="E394" t="inlineStr">
        <is>
          <t>LJUSDAL</t>
        </is>
      </c>
      <c r="F394" t="inlineStr">
        <is>
          <t>Bergvik skog väst AB</t>
        </is>
      </c>
      <c r="G394" t="n">
        <v>20.4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60651-2019</t>
        </is>
      </c>
      <c r="B395" s="1" t="n">
        <v>43781</v>
      </c>
      <c r="C395" s="1" t="n">
        <v>45725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60720-2019</t>
        </is>
      </c>
      <c r="B396" s="1" t="n">
        <v>43781</v>
      </c>
      <c r="C396" s="1" t="n">
        <v>45725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61192-2019</t>
        </is>
      </c>
      <c r="B397" s="1" t="n">
        <v>43782</v>
      </c>
      <c r="C397" s="1" t="n">
        <v>45725</v>
      </c>
      <c r="D397" t="inlineStr">
        <is>
          <t>GÄVLEBORGS LÄN</t>
        </is>
      </c>
      <c r="E397" t="inlineStr">
        <is>
          <t>LJUSDAL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61195-2019</t>
        </is>
      </c>
      <c r="B398" s="1" t="n">
        <v>43782</v>
      </c>
      <c r="C398" s="1" t="n">
        <v>45725</v>
      </c>
      <c r="D398" t="inlineStr">
        <is>
          <t>GÄVLEBORGS LÄN</t>
        </is>
      </c>
      <c r="E398" t="inlineStr">
        <is>
          <t>LJUSDAL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61194-2019</t>
        </is>
      </c>
      <c r="B399" s="1" t="n">
        <v>43782</v>
      </c>
      <c r="C399" s="1" t="n">
        <v>45725</v>
      </c>
      <c r="D399" t="inlineStr">
        <is>
          <t>GÄVLEBORGS LÄN</t>
        </is>
      </c>
      <c r="E399" t="inlineStr">
        <is>
          <t>LJUSDAL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61729-2019</t>
        </is>
      </c>
      <c r="B400" s="1" t="n">
        <v>43784</v>
      </c>
      <c r="C400" s="1" t="n">
        <v>45725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61870-2019</t>
        </is>
      </c>
      <c r="B401" s="1" t="n">
        <v>43787</v>
      </c>
      <c r="C401" s="1" t="n">
        <v>45725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61988-2019</t>
        </is>
      </c>
      <c r="B402" s="1" t="n">
        <v>43787</v>
      </c>
      <c r="C402" s="1" t="n">
        <v>45725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62567-2019</t>
        </is>
      </c>
      <c r="B403" s="1" t="n">
        <v>43789</v>
      </c>
      <c r="C403" s="1" t="n">
        <v>45725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62586-2019</t>
        </is>
      </c>
      <c r="B404" s="1" t="n">
        <v>43789</v>
      </c>
      <c r="C404" s="1" t="n">
        <v>45725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63037-2019</t>
        </is>
      </c>
      <c r="B405" s="1" t="n">
        <v>43791</v>
      </c>
      <c r="C405" s="1" t="n">
        <v>45725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63078-2019</t>
        </is>
      </c>
      <c r="B406" s="1" t="n">
        <v>43791</v>
      </c>
      <c r="C406" s="1" t="n">
        <v>45725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63108-2019</t>
        </is>
      </c>
      <c r="B407" s="1" t="n">
        <v>43791</v>
      </c>
      <c r="C407" s="1" t="n">
        <v>45725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64390-2019</t>
        </is>
      </c>
      <c r="B408" s="1" t="n">
        <v>43794</v>
      </c>
      <c r="C408" s="1" t="n">
        <v>45725</v>
      </c>
      <c r="D408" t="inlineStr">
        <is>
          <t>GÄVLEBORGS LÄN</t>
        </is>
      </c>
      <c r="E408" t="inlineStr">
        <is>
          <t>LJUSDAL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64373-2019</t>
        </is>
      </c>
      <c r="B409" s="1" t="n">
        <v>43794</v>
      </c>
      <c r="C409" s="1" t="n">
        <v>45725</v>
      </c>
      <c r="D409" t="inlineStr">
        <is>
          <t>GÄVLEBORGS LÄN</t>
        </is>
      </c>
      <c r="E409" t="inlineStr">
        <is>
          <t>LJUSDAL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64192-2019</t>
        </is>
      </c>
      <c r="B410" s="1" t="n">
        <v>43797</v>
      </c>
      <c r="C410" s="1" t="n">
        <v>45725</v>
      </c>
      <c r="D410" t="inlineStr">
        <is>
          <t>GÄVLEBORGS LÄN</t>
        </is>
      </c>
      <c r="E410" t="inlineStr">
        <is>
          <t>LJUSDAL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64200-2019</t>
        </is>
      </c>
      <c r="B411" s="1" t="n">
        <v>43797</v>
      </c>
      <c r="C411" s="1" t="n">
        <v>45725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64944-2019</t>
        </is>
      </c>
      <c r="B412" s="1" t="n">
        <v>43801</v>
      </c>
      <c r="C412" s="1" t="n">
        <v>45725</v>
      </c>
      <c r="D412" t="inlineStr">
        <is>
          <t>GÄVLEBORGS LÄN</t>
        </is>
      </c>
      <c r="E412" t="inlineStr">
        <is>
          <t>LJUSDAL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65262-2019</t>
        </is>
      </c>
      <c r="B413" s="1" t="n">
        <v>43802</v>
      </c>
      <c r="C413" s="1" t="n">
        <v>45725</v>
      </c>
      <c r="D413" t="inlineStr">
        <is>
          <t>GÄVLEBORGS LÄN</t>
        </is>
      </c>
      <c r="E413" t="inlineStr">
        <is>
          <t>LJUSDAL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65291-2019</t>
        </is>
      </c>
      <c r="B414" s="1" t="n">
        <v>43802</v>
      </c>
      <c r="C414" s="1" t="n">
        <v>45725</v>
      </c>
      <c r="D414" t="inlineStr">
        <is>
          <t>GÄVLEBORGS LÄN</t>
        </is>
      </c>
      <c r="E414" t="inlineStr">
        <is>
          <t>LJUSDAL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66212-2019</t>
        </is>
      </c>
      <c r="B415" s="1" t="n">
        <v>43808</v>
      </c>
      <c r="C415" s="1" t="n">
        <v>45725</v>
      </c>
      <c r="D415" t="inlineStr">
        <is>
          <t>GÄVLEBORGS LÄN</t>
        </is>
      </c>
      <c r="E415" t="inlineStr">
        <is>
          <t>LJUSDAL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66784-2019</t>
        </is>
      </c>
      <c r="B416" s="1" t="n">
        <v>43810</v>
      </c>
      <c r="C416" s="1" t="n">
        <v>45725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66756-2019</t>
        </is>
      </c>
      <c r="B417" s="1" t="n">
        <v>43810</v>
      </c>
      <c r="C417" s="1" t="n">
        <v>45725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66920-2019</t>
        </is>
      </c>
      <c r="B418" s="1" t="n">
        <v>43810</v>
      </c>
      <c r="C418" s="1" t="n">
        <v>45725</v>
      </c>
      <c r="D418" t="inlineStr">
        <is>
          <t>GÄVLEBORGS LÄN</t>
        </is>
      </c>
      <c r="E418" t="inlineStr">
        <is>
          <t>LJUSDAL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66938-2019</t>
        </is>
      </c>
      <c r="B419" s="1" t="n">
        <v>43810</v>
      </c>
      <c r="C419" s="1" t="n">
        <v>45725</v>
      </c>
      <c r="D419" t="inlineStr">
        <is>
          <t>GÄVLEBORGS LÄN</t>
        </is>
      </c>
      <c r="E419" t="inlineStr">
        <is>
          <t>LJUSDAL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67651-2019</t>
        </is>
      </c>
      <c r="B420" s="1" t="n">
        <v>43815</v>
      </c>
      <c r="C420" s="1" t="n">
        <v>45725</v>
      </c>
      <c r="D420" t="inlineStr">
        <is>
          <t>GÄVLEBORGS LÄN</t>
        </is>
      </c>
      <c r="E420" t="inlineStr">
        <is>
          <t>LJUSDAL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67730-2019</t>
        </is>
      </c>
      <c r="B421" s="1" t="n">
        <v>43815</v>
      </c>
      <c r="C421" s="1" t="n">
        <v>45725</v>
      </c>
      <c r="D421" t="inlineStr">
        <is>
          <t>GÄVLEBORGS LÄN</t>
        </is>
      </c>
      <c r="E421" t="inlineStr">
        <is>
          <t>LJUSDAL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67866-2019</t>
        </is>
      </c>
      <c r="B422" s="1" t="n">
        <v>43816</v>
      </c>
      <c r="C422" s="1" t="n">
        <v>45725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408-2020</t>
        </is>
      </c>
      <c r="B423" s="1" t="n">
        <v>43816</v>
      </c>
      <c r="C423" s="1" t="n">
        <v>45725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329-2020</t>
        </is>
      </c>
      <c r="B424" s="1" t="n">
        <v>43837</v>
      </c>
      <c r="C424" s="1" t="n">
        <v>45725</v>
      </c>
      <c r="D424" t="inlineStr">
        <is>
          <t>GÄVLEBORGS LÄN</t>
        </is>
      </c>
      <c r="E424" t="inlineStr">
        <is>
          <t>LJUSDAL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562-2020</t>
        </is>
      </c>
      <c r="B425" s="1" t="n">
        <v>43838</v>
      </c>
      <c r="C425" s="1" t="n">
        <v>45725</v>
      </c>
      <c r="D425" t="inlineStr">
        <is>
          <t>GÄVLEBORGS LÄN</t>
        </is>
      </c>
      <c r="E425" t="inlineStr">
        <is>
          <t>LJUSDAL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1231-2020</t>
        </is>
      </c>
      <c r="B426" s="1" t="n">
        <v>43840</v>
      </c>
      <c r="C426" s="1" t="n">
        <v>45725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2973-2020</t>
        </is>
      </c>
      <c r="B427" s="1" t="n">
        <v>43850</v>
      </c>
      <c r="C427" s="1" t="n">
        <v>45725</v>
      </c>
      <c r="D427" t="inlineStr">
        <is>
          <t>GÄVLEBORGS LÄN</t>
        </is>
      </c>
      <c r="E427" t="inlineStr">
        <is>
          <t>LJUSDAL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2775-2020</t>
        </is>
      </c>
      <c r="B428" s="1" t="n">
        <v>43850</v>
      </c>
      <c r="C428" s="1" t="n">
        <v>45725</v>
      </c>
      <c r="D428" t="inlineStr">
        <is>
          <t>GÄVLEBORGS LÄN</t>
        </is>
      </c>
      <c r="E428" t="inlineStr">
        <is>
          <t>LJUSDAL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2972-2020</t>
        </is>
      </c>
      <c r="B429" s="1" t="n">
        <v>43850</v>
      </c>
      <c r="C429" s="1" t="n">
        <v>45725</v>
      </c>
      <c r="D429" t="inlineStr">
        <is>
          <t>GÄVLEBORGS LÄN</t>
        </is>
      </c>
      <c r="E429" t="inlineStr">
        <is>
          <t>LJUSDAL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2953-2020</t>
        </is>
      </c>
      <c r="B430" s="1" t="n">
        <v>43850</v>
      </c>
      <c r="C430" s="1" t="n">
        <v>45725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3110-2020</t>
        </is>
      </c>
      <c r="B431" s="1" t="n">
        <v>43851</v>
      </c>
      <c r="C431" s="1" t="n">
        <v>45725</v>
      </c>
      <c r="D431" t="inlineStr">
        <is>
          <t>GÄVLEBORGS LÄN</t>
        </is>
      </c>
      <c r="E431" t="inlineStr">
        <is>
          <t>LJUSDAL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3136-2020</t>
        </is>
      </c>
      <c r="B432" s="1" t="n">
        <v>43851</v>
      </c>
      <c r="C432" s="1" t="n">
        <v>45725</v>
      </c>
      <c r="D432" t="inlineStr">
        <is>
          <t>GÄVLEBORGS LÄN</t>
        </is>
      </c>
      <c r="E432" t="inlineStr">
        <is>
          <t>LJUSDAL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4451-2020</t>
        </is>
      </c>
      <c r="B433" s="1" t="n">
        <v>43858</v>
      </c>
      <c r="C433" s="1" t="n">
        <v>45725</v>
      </c>
      <c r="D433" t="inlineStr">
        <is>
          <t>GÄVLEBORGS LÄN</t>
        </is>
      </c>
      <c r="E433" t="inlineStr">
        <is>
          <t>LJUSDAL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5183-2020</t>
        </is>
      </c>
      <c r="B434" s="1" t="n">
        <v>43860</v>
      </c>
      <c r="C434" s="1" t="n">
        <v>45725</v>
      </c>
      <c r="D434" t="inlineStr">
        <is>
          <t>GÄVLEBORGS LÄN</t>
        </is>
      </c>
      <c r="E434" t="inlineStr">
        <is>
          <t>LJUSDAL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5562-2020</t>
        </is>
      </c>
      <c r="B435" s="1" t="n">
        <v>43861</v>
      </c>
      <c r="C435" s="1" t="n">
        <v>45725</v>
      </c>
      <c r="D435" t="inlineStr">
        <is>
          <t>GÄVLEBORGS LÄN</t>
        </is>
      </c>
      <c r="E435" t="inlineStr">
        <is>
          <t>LJUSDAL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6117-2020</t>
        </is>
      </c>
      <c r="B436" s="1" t="n">
        <v>43865</v>
      </c>
      <c r="C436" s="1" t="n">
        <v>45725</v>
      </c>
      <c r="D436" t="inlineStr">
        <is>
          <t>GÄVLEBORGS LÄN</t>
        </is>
      </c>
      <c r="E436" t="inlineStr">
        <is>
          <t>LJUSDAL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6389-2020</t>
        </is>
      </c>
      <c r="B437" s="1" t="n">
        <v>43866</v>
      </c>
      <c r="C437" s="1" t="n">
        <v>45725</v>
      </c>
      <c r="D437" t="inlineStr">
        <is>
          <t>GÄVLEBORGS LÄN</t>
        </is>
      </c>
      <c r="E437" t="inlineStr">
        <is>
          <t>LJUSDAL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9206-2020</t>
        </is>
      </c>
      <c r="B438" s="1" t="n">
        <v>43879</v>
      </c>
      <c r="C438" s="1" t="n">
        <v>45725</v>
      </c>
      <c r="D438" t="inlineStr">
        <is>
          <t>GÄVLEBORGS LÄN</t>
        </is>
      </c>
      <c r="E438" t="inlineStr">
        <is>
          <t>LJUSDAL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9872-2020</t>
        </is>
      </c>
      <c r="B439" s="1" t="n">
        <v>43882</v>
      </c>
      <c r="C439" s="1" t="n">
        <v>45725</v>
      </c>
      <c r="D439" t="inlineStr">
        <is>
          <t>GÄVLEBORGS LÄN</t>
        </is>
      </c>
      <c r="E439" t="inlineStr">
        <is>
          <t>LJUSDAL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10295-2020</t>
        </is>
      </c>
      <c r="B440" s="1" t="n">
        <v>43885</v>
      </c>
      <c r="C440" s="1" t="n">
        <v>45725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10536-2020</t>
        </is>
      </c>
      <c r="B441" s="1" t="n">
        <v>43886</v>
      </c>
      <c r="C441" s="1" t="n">
        <v>45725</v>
      </c>
      <c r="D441" t="inlineStr">
        <is>
          <t>GÄVLEBORGS LÄN</t>
        </is>
      </c>
      <c r="E441" t="inlineStr">
        <is>
          <t>LJUSDAL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10521-2020</t>
        </is>
      </c>
      <c r="B442" s="1" t="n">
        <v>43886</v>
      </c>
      <c r="C442" s="1" t="n">
        <v>45725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11342-2020</t>
        </is>
      </c>
      <c r="B443" s="1" t="n">
        <v>43892</v>
      </c>
      <c r="C443" s="1" t="n">
        <v>45725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11346-2020</t>
        </is>
      </c>
      <c r="B444" s="1" t="n">
        <v>43892</v>
      </c>
      <c r="C444" s="1" t="n">
        <v>45725</v>
      </c>
      <c r="D444" t="inlineStr">
        <is>
          <t>GÄVLEBORGS LÄN</t>
        </is>
      </c>
      <c r="E444" t="inlineStr">
        <is>
          <t>LJUSDAL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11898-2020</t>
        </is>
      </c>
      <c r="B445" s="1" t="n">
        <v>43894</v>
      </c>
      <c r="C445" s="1" t="n">
        <v>45725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13329-2020</t>
        </is>
      </c>
      <c r="B446" s="1" t="n">
        <v>43902</v>
      </c>
      <c r="C446" s="1" t="n">
        <v>45725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13617-2020</t>
        </is>
      </c>
      <c r="B447" s="1" t="n">
        <v>43903</v>
      </c>
      <c r="C447" s="1" t="n">
        <v>45725</v>
      </c>
      <c r="D447" t="inlineStr">
        <is>
          <t>GÄVLEBORGS LÄN</t>
        </is>
      </c>
      <c r="E447" t="inlineStr">
        <is>
          <t>LJUSDAL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14444-2020</t>
        </is>
      </c>
      <c r="B448" s="1" t="n">
        <v>43908</v>
      </c>
      <c r="C448" s="1" t="n">
        <v>45725</v>
      </c>
      <c r="D448" t="inlineStr">
        <is>
          <t>GÄVLEBORGS LÄN</t>
        </is>
      </c>
      <c r="E448" t="inlineStr">
        <is>
          <t>LJUSDAL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15198-2020</t>
        </is>
      </c>
      <c r="B449" s="1" t="n">
        <v>43913</v>
      </c>
      <c r="C449" s="1" t="n">
        <v>45725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15343-2020</t>
        </is>
      </c>
      <c r="B450" s="1" t="n">
        <v>43913</v>
      </c>
      <c r="C450" s="1" t="n">
        <v>45725</v>
      </c>
      <c r="D450" t="inlineStr">
        <is>
          <t>GÄVLEBORGS LÄN</t>
        </is>
      </c>
      <c r="E450" t="inlineStr">
        <is>
          <t>LJUSDAL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17326-2020</t>
        </is>
      </c>
      <c r="B451" s="1" t="n">
        <v>43922</v>
      </c>
      <c r="C451" s="1" t="n">
        <v>45725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17745-2020</t>
        </is>
      </c>
      <c r="B452" s="1" t="n">
        <v>43924</v>
      </c>
      <c r="C452" s="1" t="n">
        <v>45725</v>
      </c>
      <c r="D452" t="inlineStr">
        <is>
          <t>GÄVLEBORGS LÄN</t>
        </is>
      </c>
      <c r="E452" t="inlineStr">
        <is>
          <t>LJUSDAL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17707-2020</t>
        </is>
      </c>
      <c r="B453" s="1" t="n">
        <v>43924</v>
      </c>
      <c r="C453" s="1" t="n">
        <v>45725</v>
      </c>
      <c r="D453" t="inlineStr">
        <is>
          <t>GÄVLEBORGS LÄN</t>
        </is>
      </c>
      <c r="E453" t="inlineStr">
        <is>
          <t>LJUSDAL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18699-2020</t>
        </is>
      </c>
      <c r="B454" s="1" t="n">
        <v>43930</v>
      </c>
      <c r="C454" s="1" t="n">
        <v>45725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18913-2020</t>
        </is>
      </c>
      <c r="B455" s="1" t="n">
        <v>43935</v>
      </c>
      <c r="C455" s="1" t="n">
        <v>45725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20078-2020</t>
        </is>
      </c>
      <c r="B456" s="1" t="n">
        <v>43943</v>
      </c>
      <c r="C456" s="1" t="n">
        <v>45725</v>
      </c>
      <c r="D456" t="inlineStr">
        <is>
          <t>GÄVLEBORGS LÄN</t>
        </is>
      </c>
      <c r="E456" t="inlineStr">
        <is>
          <t>LJUSDAL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20093-2020</t>
        </is>
      </c>
      <c r="B457" s="1" t="n">
        <v>43943</v>
      </c>
      <c r="C457" s="1" t="n">
        <v>45725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20076-2020</t>
        </is>
      </c>
      <c r="B458" s="1" t="n">
        <v>43943</v>
      </c>
      <c r="C458" s="1" t="n">
        <v>45725</v>
      </c>
      <c r="D458" t="inlineStr">
        <is>
          <t>GÄVLEBORGS LÄN</t>
        </is>
      </c>
      <c r="E458" t="inlineStr">
        <is>
          <t>LJUSDAL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20215-2020</t>
        </is>
      </c>
      <c r="B459" s="1" t="n">
        <v>43944</v>
      </c>
      <c r="C459" s="1" t="n">
        <v>45725</v>
      </c>
      <c r="D459" t="inlineStr">
        <is>
          <t>GÄVLEBORGS LÄN</t>
        </is>
      </c>
      <c r="E459" t="inlineStr">
        <is>
          <t>LJUSDAL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20224-2020</t>
        </is>
      </c>
      <c r="B460" s="1" t="n">
        <v>43944</v>
      </c>
      <c r="C460" s="1" t="n">
        <v>45725</v>
      </c>
      <c r="D460" t="inlineStr">
        <is>
          <t>GÄVLEBORGS LÄN</t>
        </is>
      </c>
      <c r="E460" t="inlineStr">
        <is>
          <t>LJUSDAL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20365-2020</t>
        </is>
      </c>
      <c r="B461" s="1" t="n">
        <v>43945</v>
      </c>
      <c r="C461" s="1" t="n">
        <v>45725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17.5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20347-2020</t>
        </is>
      </c>
      <c r="B462" s="1" t="n">
        <v>43945</v>
      </c>
      <c r="C462" s="1" t="n">
        <v>45725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20256-2020</t>
        </is>
      </c>
      <c r="B463" s="1" t="n">
        <v>43945</v>
      </c>
      <c r="C463" s="1" t="n">
        <v>45725</v>
      </c>
      <c r="D463" t="inlineStr">
        <is>
          <t>GÄVLEBORGS LÄN</t>
        </is>
      </c>
      <c r="E463" t="inlineStr">
        <is>
          <t>LJUSDAL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20259-2020</t>
        </is>
      </c>
      <c r="B464" s="1" t="n">
        <v>43945</v>
      </c>
      <c r="C464" s="1" t="n">
        <v>45725</v>
      </c>
      <c r="D464" t="inlineStr">
        <is>
          <t>GÄVLEBORGS LÄN</t>
        </is>
      </c>
      <c r="E464" t="inlineStr">
        <is>
          <t>LJUSDAL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20785-2020</t>
        </is>
      </c>
      <c r="B465" s="1" t="n">
        <v>43949</v>
      </c>
      <c r="C465" s="1" t="n">
        <v>45725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21132-2020</t>
        </is>
      </c>
      <c r="B466" s="1" t="n">
        <v>43951</v>
      </c>
      <c r="C466" s="1" t="n">
        <v>45725</v>
      </c>
      <c r="D466" t="inlineStr">
        <is>
          <t>GÄVLEBORGS LÄN</t>
        </is>
      </c>
      <c r="E466" t="inlineStr">
        <is>
          <t>LJUSDAL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21198-2020</t>
        </is>
      </c>
      <c r="B467" s="1" t="n">
        <v>43951</v>
      </c>
      <c r="C467" s="1" t="n">
        <v>45725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38.7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21145-2020</t>
        </is>
      </c>
      <c r="B468" s="1" t="n">
        <v>43951</v>
      </c>
      <c r="C468" s="1" t="n">
        <v>45725</v>
      </c>
      <c r="D468" t="inlineStr">
        <is>
          <t>GÄVLEBORGS LÄN</t>
        </is>
      </c>
      <c r="E468" t="inlineStr">
        <is>
          <t>LJUSDAL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21060-2020</t>
        </is>
      </c>
      <c r="B469" s="1" t="n">
        <v>43951</v>
      </c>
      <c r="C469" s="1" t="n">
        <v>45725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21078-2020</t>
        </is>
      </c>
      <c r="B470" s="1" t="n">
        <v>43951</v>
      </c>
      <c r="C470" s="1" t="n">
        <v>45725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22004-2020</t>
        </is>
      </c>
      <c r="B471" s="1" t="n">
        <v>43959</v>
      </c>
      <c r="C471" s="1" t="n">
        <v>45725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22018-2020</t>
        </is>
      </c>
      <c r="B472" s="1" t="n">
        <v>43959</v>
      </c>
      <c r="C472" s="1" t="n">
        <v>45725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22002-2020</t>
        </is>
      </c>
      <c r="B473" s="1" t="n">
        <v>43959</v>
      </c>
      <c r="C473" s="1" t="n">
        <v>45725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22006-2020</t>
        </is>
      </c>
      <c r="B474" s="1" t="n">
        <v>43959</v>
      </c>
      <c r="C474" s="1" t="n">
        <v>45725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22160-2020</t>
        </is>
      </c>
      <c r="B475" s="1" t="n">
        <v>43962</v>
      </c>
      <c r="C475" s="1" t="n">
        <v>45725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22268-2020</t>
        </is>
      </c>
      <c r="B476" s="1" t="n">
        <v>43962</v>
      </c>
      <c r="C476" s="1" t="n">
        <v>45725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22361-2020</t>
        </is>
      </c>
      <c r="B477" s="1" t="n">
        <v>43962</v>
      </c>
      <c r="C477" s="1" t="n">
        <v>45725</v>
      </c>
      <c r="D477" t="inlineStr">
        <is>
          <t>GÄVLEBORGS LÄN</t>
        </is>
      </c>
      <c r="E477" t="inlineStr">
        <is>
          <t>LJUSDAL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22378-2020</t>
        </is>
      </c>
      <c r="B478" s="1" t="n">
        <v>43962</v>
      </c>
      <c r="C478" s="1" t="n">
        <v>45725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22875-2020</t>
        </is>
      </c>
      <c r="B479" s="1" t="n">
        <v>43964</v>
      </c>
      <c r="C479" s="1" t="n">
        <v>45725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22959-2020</t>
        </is>
      </c>
      <c r="B480" s="1" t="n">
        <v>43965</v>
      </c>
      <c r="C480" s="1" t="n">
        <v>45725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23117-2020</t>
        </is>
      </c>
      <c r="B481" s="1" t="n">
        <v>43965</v>
      </c>
      <c r="C481" s="1" t="n">
        <v>45725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23276-2020</t>
        </is>
      </c>
      <c r="B482" s="1" t="n">
        <v>43966</v>
      </c>
      <c r="C482" s="1" t="n">
        <v>45725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23280-2020</t>
        </is>
      </c>
      <c r="B483" s="1" t="n">
        <v>43966</v>
      </c>
      <c r="C483" s="1" t="n">
        <v>45725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23271-2020</t>
        </is>
      </c>
      <c r="B484" s="1" t="n">
        <v>43966</v>
      </c>
      <c r="C484" s="1" t="n">
        <v>45725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23424-2020</t>
        </is>
      </c>
      <c r="B485" s="1" t="n">
        <v>43969</v>
      </c>
      <c r="C485" s="1" t="n">
        <v>45725</v>
      </c>
      <c r="D485" t="inlineStr">
        <is>
          <t>GÄVLEBORGS LÄN</t>
        </is>
      </c>
      <c r="E485" t="inlineStr">
        <is>
          <t>LJUSDAL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23866-2020</t>
        </is>
      </c>
      <c r="B486" s="1" t="n">
        <v>43971</v>
      </c>
      <c r="C486" s="1" t="n">
        <v>45725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23966-2020</t>
        </is>
      </c>
      <c r="B487" s="1" t="n">
        <v>43971</v>
      </c>
      <c r="C487" s="1" t="n">
        <v>45725</v>
      </c>
      <c r="D487" t="inlineStr">
        <is>
          <t>GÄVLEBORGS LÄN</t>
        </is>
      </c>
      <c r="E487" t="inlineStr">
        <is>
          <t>LJUSDAL</t>
        </is>
      </c>
      <c r="F487" t="inlineStr">
        <is>
          <t>Holmen skog AB</t>
        </is>
      </c>
      <c r="G487" t="n">
        <v>16.9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23981-2020</t>
        </is>
      </c>
      <c r="B488" s="1" t="n">
        <v>43971</v>
      </c>
      <c r="C488" s="1" t="n">
        <v>45725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24621-2020</t>
        </is>
      </c>
      <c r="B489" s="1" t="n">
        <v>43977</v>
      </c>
      <c r="C489" s="1" t="n">
        <v>45725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24824-2020</t>
        </is>
      </c>
      <c r="B490" s="1" t="n">
        <v>43978</v>
      </c>
      <c r="C490" s="1" t="n">
        <v>45725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25060-2020</t>
        </is>
      </c>
      <c r="B491" s="1" t="n">
        <v>43979</v>
      </c>
      <c r="C491" s="1" t="n">
        <v>45725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24899-2020</t>
        </is>
      </c>
      <c r="B492" s="1" t="n">
        <v>43979</v>
      </c>
      <c r="C492" s="1" t="n">
        <v>45725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25014-2020</t>
        </is>
      </c>
      <c r="B493" s="1" t="n">
        <v>43979</v>
      </c>
      <c r="C493" s="1" t="n">
        <v>45725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25018-2020</t>
        </is>
      </c>
      <c r="B494" s="1" t="n">
        <v>43979</v>
      </c>
      <c r="C494" s="1" t="n">
        <v>45725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25015-2020</t>
        </is>
      </c>
      <c r="B495" s="1" t="n">
        <v>43979</v>
      </c>
      <c r="C495" s="1" t="n">
        <v>45725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26712-2020</t>
        </is>
      </c>
      <c r="B496" s="1" t="n">
        <v>43990</v>
      </c>
      <c r="C496" s="1" t="n">
        <v>45725</v>
      </c>
      <c r="D496" t="inlineStr">
        <is>
          <t>GÄVLEBORGS LÄN</t>
        </is>
      </c>
      <c r="E496" t="inlineStr">
        <is>
          <t>LJUSDAL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26950-2020</t>
        </is>
      </c>
      <c r="B497" s="1" t="n">
        <v>43990</v>
      </c>
      <c r="C497" s="1" t="n">
        <v>45725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27079-2020</t>
        </is>
      </c>
      <c r="B498" s="1" t="n">
        <v>43991</v>
      </c>
      <c r="C498" s="1" t="n">
        <v>45725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27430-2020</t>
        </is>
      </c>
      <c r="B499" s="1" t="n">
        <v>43993</v>
      </c>
      <c r="C499" s="1" t="n">
        <v>45725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28889-2020</t>
        </is>
      </c>
      <c r="B500" s="1" t="n">
        <v>44000</v>
      </c>
      <c r="C500" s="1" t="n">
        <v>45725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39.1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28932-2020</t>
        </is>
      </c>
      <c r="B501" s="1" t="n">
        <v>44000</v>
      </c>
      <c r="C501" s="1" t="n">
        <v>45725</v>
      </c>
      <c r="D501" t="inlineStr">
        <is>
          <t>GÄVLEBORGS LÄN</t>
        </is>
      </c>
      <c r="E501" t="inlineStr">
        <is>
          <t>LJUSDAL</t>
        </is>
      </c>
      <c r="F501" t="inlineStr">
        <is>
          <t>Kyrkan</t>
        </is>
      </c>
      <c r="G501" t="n">
        <v>36.2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29688-2020</t>
        </is>
      </c>
      <c r="B502" s="1" t="n">
        <v>44005</v>
      </c>
      <c r="C502" s="1" t="n">
        <v>45725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29692-2020</t>
        </is>
      </c>
      <c r="B503" s="1" t="n">
        <v>44005</v>
      </c>
      <c r="C503" s="1" t="n">
        <v>45725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21.9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29886-2020</t>
        </is>
      </c>
      <c r="B504" s="1" t="n">
        <v>44006</v>
      </c>
      <c r="C504" s="1" t="n">
        <v>45725</v>
      </c>
      <c r="D504" t="inlineStr">
        <is>
          <t>GÄVLEBORGS LÄN</t>
        </is>
      </c>
      <c r="E504" t="inlineStr">
        <is>
          <t>LJUSDAL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30127-2020</t>
        </is>
      </c>
      <c r="B505" s="1" t="n">
        <v>44007</v>
      </c>
      <c r="C505" s="1" t="n">
        <v>45725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30456-2020</t>
        </is>
      </c>
      <c r="B506" s="1" t="n">
        <v>44007</v>
      </c>
      <c r="C506" s="1" t="n">
        <v>45725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30738-2020</t>
        </is>
      </c>
      <c r="B507" s="1" t="n">
        <v>44008</v>
      </c>
      <c r="C507" s="1" t="n">
        <v>45725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30737-2020</t>
        </is>
      </c>
      <c r="B508" s="1" t="n">
        <v>44008</v>
      </c>
      <c r="C508" s="1" t="n">
        <v>45725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31824-2020</t>
        </is>
      </c>
      <c r="B509" s="1" t="n">
        <v>44014</v>
      </c>
      <c r="C509" s="1" t="n">
        <v>45725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31823-2020</t>
        </is>
      </c>
      <c r="B510" s="1" t="n">
        <v>44014</v>
      </c>
      <c r="C510" s="1" t="n">
        <v>45725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31855-2020</t>
        </is>
      </c>
      <c r="B511" s="1" t="n">
        <v>44014</v>
      </c>
      <c r="C511" s="1" t="n">
        <v>45725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33328-2020</t>
        </is>
      </c>
      <c r="B512" s="1" t="n">
        <v>44022</v>
      </c>
      <c r="C512" s="1" t="n">
        <v>45725</v>
      </c>
      <c r="D512" t="inlineStr">
        <is>
          <t>GÄVLEBORGS LÄN</t>
        </is>
      </c>
      <c r="E512" t="inlineStr">
        <is>
          <t>LJUSDAL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33338-2020</t>
        </is>
      </c>
      <c r="B513" s="1" t="n">
        <v>44022</v>
      </c>
      <c r="C513" s="1" t="n">
        <v>45725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23.5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33876-2020</t>
        </is>
      </c>
      <c r="B514" s="1" t="n">
        <v>44025</v>
      </c>
      <c r="C514" s="1" t="n">
        <v>45725</v>
      </c>
      <c r="D514" t="inlineStr">
        <is>
          <t>GÄVLEBORGS LÄN</t>
        </is>
      </c>
      <c r="E514" t="inlineStr">
        <is>
          <t>LJUSDAL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33647-2020</t>
        </is>
      </c>
      <c r="B515" s="1" t="n">
        <v>44026</v>
      </c>
      <c r="C515" s="1" t="n">
        <v>45725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33895-2020</t>
        </is>
      </c>
      <c r="B516" s="1" t="n">
        <v>44027</v>
      </c>
      <c r="C516" s="1" t="n">
        <v>45725</v>
      </c>
      <c r="D516" t="inlineStr">
        <is>
          <t>GÄVLEBORGS LÄN</t>
        </is>
      </c>
      <c r="E516" t="inlineStr">
        <is>
          <t>LJUSDAL</t>
        </is>
      </c>
      <c r="G516" t="n">
        <v>12.5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34034-2020</t>
        </is>
      </c>
      <c r="B517" s="1" t="n">
        <v>44028</v>
      </c>
      <c r="C517" s="1" t="n">
        <v>45725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34156-2020</t>
        </is>
      </c>
      <c r="B518" s="1" t="n">
        <v>44029</v>
      </c>
      <c r="C518" s="1" t="n">
        <v>45725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34193-2020</t>
        </is>
      </c>
      <c r="B519" s="1" t="n">
        <v>44029</v>
      </c>
      <c r="C519" s="1" t="n">
        <v>45725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34308-2020</t>
        </is>
      </c>
      <c r="B520" s="1" t="n">
        <v>44031</v>
      </c>
      <c r="C520" s="1" t="n">
        <v>45725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34317-2020</t>
        </is>
      </c>
      <c r="B521" s="1" t="n">
        <v>44032</v>
      </c>
      <c r="C521" s="1" t="n">
        <v>45725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34316-2020</t>
        </is>
      </c>
      <c r="B522" s="1" t="n">
        <v>44032</v>
      </c>
      <c r="C522" s="1" t="n">
        <v>45725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34462-2020</t>
        </is>
      </c>
      <c r="B523" s="1" t="n">
        <v>44032</v>
      </c>
      <c r="C523" s="1" t="n">
        <v>45725</v>
      </c>
      <c r="D523" t="inlineStr">
        <is>
          <t>GÄVLEBORGS LÄN</t>
        </is>
      </c>
      <c r="E523" t="inlineStr">
        <is>
          <t>LJUSDAL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34523-2020</t>
        </is>
      </c>
      <c r="B524" s="1" t="n">
        <v>44033</v>
      </c>
      <c r="C524" s="1" t="n">
        <v>45725</v>
      </c>
      <c r="D524" t="inlineStr">
        <is>
          <t>GÄVLEBORGS LÄN</t>
        </is>
      </c>
      <c r="E524" t="inlineStr">
        <is>
          <t>LJUSDAL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35277-2020</t>
        </is>
      </c>
      <c r="B525" s="1" t="n">
        <v>44041</v>
      </c>
      <c r="C525" s="1" t="n">
        <v>45725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35297-2020</t>
        </is>
      </c>
      <c r="B526" s="1" t="n">
        <v>44041</v>
      </c>
      <c r="C526" s="1" t="n">
        <v>45725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35293-2020</t>
        </is>
      </c>
      <c r="B527" s="1" t="n">
        <v>44041</v>
      </c>
      <c r="C527" s="1" t="n">
        <v>45725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35405-2020</t>
        </is>
      </c>
      <c r="B528" s="1" t="n">
        <v>44042</v>
      </c>
      <c r="C528" s="1" t="n">
        <v>45725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35404-2020</t>
        </is>
      </c>
      <c r="B529" s="1" t="n">
        <v>44042</v>
      </c>
      <c r="C529" s="1" t="n">
        <v>45725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36429-2020</t>
        </is>
      </c>
      <c r="B530" s="1" t="n">
        <v>44049</v>
      </c>
      <c r="C530" s="1" t="n">
        <v>45725</v>
      </c>
      <c r="D530" t="inlineStr">
        <is>
          <t>GÄVLEBORGS LÄN</t>
        </is>
      </c>
      <c r="E530" t="inlineStr">
        <is>
          <t>LJUSDAL</t>
        </is>
      </c>
      <c r="F530" t="inlineStr">
        <is>
          <t>Naturvårdsverket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36693-2020</t>
        </is>
      </c>
      <c r="B531" s="1" t="n">
        <v>44053</v>
      </c>
      <c r="C531" s="1" t="n">
        <v>45725</v>
      </c>
      <c r="D531" t="inlineStr">
        <is>
          <t>GÄVLEBORGS LÄN</t>
        </is>
      </c>
      <c r="E531" t="inlineStr">
        <is>
          <t>LJUSDAL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37532-2020</t>
        </is>
      </c>
      <c r="B532" s="1" t="n">
        <v>44056</v>
      </c>
      <c r="C532" s="1" t="n">
        <v>45725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37895-2020</t>
        </is>
      </c>
      <c r="B533" s="1" t="n">
        <v>44057</v>
      </c>
      <c r="C533" s="1" t="n">
        <v>45725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37863-2020</t>
        </is>
      </c>
      <c r="B534" s="1" t="n">
        <v>44057</v>
      </c>
      <c r="C534" s="1" t="n">
        <v>45725</v>
      </c>
      <c r="D534" t="inlineStr">
        <is>
          <t>GÄVLEBORGS LÄN</t>
        </is>
      </c>
      <c r="E534" t="inlineStr">
        <is>
          <t>LJUSDAL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38185-2020</t>
        </is>
      </c>
      <c r="B535" s="1" t="n">
        <v>44060</v>
      </c>
      <c r="C535" s="1" t="n">
        <v>45725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38597-2020</t>
        </is>
      </c>
      <c r="B536" s="1" t="n">
        <v>44061</v>
      </c>
      <c r="C536" s="1" t="n">
        <v>45725</v>
      </c>
      <c r="D536" t="inlineStr">
        <is>
          <t>GÄVLEBORGS LÄN</t>
        </is>
      </c>
      <c r="E536" t="inlineStr">
        <is>
          <t>LJUSDAL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38599-2020</t>
        </is>
      </c>
      <c r="B537" s="1" t="n">
        <v>44061</v>
      </c>
      <c r="C537" s="1" t="n">
        <v>45725</v>
      </c>
      <c r="D537" t="inlineStr">
        <is>
          <t>GÄVLEBORGS LÄN</t>
        </is>
      </c>
      <c r="E537" t="inlineStr">
        <is>
          <t>LJUSDAL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38685-2020</t>
        </is>
      </c>
      <c r="B538" s="1" t="n">
        <v>44061</v>
      </c>
      <c r="C538" s="1" t="n">
        <v>45725</v>
      </c>
      <c r="D538" t="inlineStr">
        <is>
          <t>GÄVLEBORGS LÄN</t>
        </is>
      </c>
      <c r="E538" t="inlineStr">
        <is>
          <t>LJUSDAL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38773-2020</t>
        </is>
      </c>
      <c r="B539" s="1" t="n">
        <v>44061</v>
      </c>
      <c r="C539" s="1" t="n">
        <v>45725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38810-2020</t>
        </is>
      </c>
      <c r="B540" s="1" t="n">
        <v>44062</v>
      </c>
      <c r="C540" s="1" t="n">
        <v>45725</v>
      </c>
      <c r="D540" t="inlineStr">
        <is>
          <t>GÄVLEBORGS LÄN</t>
        </is>
      </c>
      <c r="E540" t="inlineStr">
        <is>
          <t>LJUSDAL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39490-2020</t>
        </is>
      </c>
      <c r="B541" s="1" t="n">
        <v>44064</v>
      </c>
      <c r="C541" s="1" t="n">
        <v>45725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39498-2020</t>
        </is>
      </c>
      <c r="B542" s="1" t="n">
        <v>44064</v>
      </c>
      <c r="C542" s="1" t="n">
        <v>45725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39489-2020</t>
        </is>
      </c>
      <c r="B543" s="1" t="n">
        <v>44064</v>
      </c>
      <c r="C543" s="1" t="n">
        <v>45725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39497-2020</t>
        </is>
      </c>
      <c r="B544" s="1" t="n">
        <v>44064</v>
      </c>
      <c r="C544" s="1" t="n">
        <v>45725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39881-2020</t>
        </is>
      </c>
      <c r="B545" s="1" t="n">
        <v>44067</v>
      </c>
      <c r="C545" s="1" t="n">
        <v>45725</v>
      </c>
      <c r="D545" t="inlineStr">
        <is>
          <t>GÄVLEBORGS LÄN</t>
        </is>
      </c>
      <c r="E545" t="inlineStr">
        <is>
          <t>LJUSDAL</t>
        </is>
      </c>
      <c r="F545" t="inlineStr">
        <is>
          <t>Allmännings- och besparingsskogar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40345-2020</t>
        </is>
      </c>
      <c r="B546" s="1" t="n">
        <v>44068</v>
      </c>
      <c r="C546" s="1" t="n">
        <v>45725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40599-2020</t>
        </is>
      </c>
      <c r="B547" s="1" t="n">
        <v>44069</v>
      </c>
      <c r="C547" s="1" t="n">
        <v>45725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40614-2020</t>
        </is>
      </c>
      <c r="B548" s="1" t="n">
        <v>44069</v>
      </c>
      <c r="C548" s="1" t="n">
        <v>45725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40422-2020</t>
        </is>
      </c>
      <c r="B549" s="1" t="n">
        <v>44069</v>
      </c>
      <c r="C549" s="1" t="n">
        <v>45725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40610-2020</t>
        </is>
      </c>
      <c r="B550" s="1" t="n">
        <v>44069</v>
      </c>
      <c r="C550" s="1" t="n">
        <v>45725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40801-2020</t>
        </is>
      </c>
      <c r="B551" s="1" t="n">
        <v>44070</v>
      </c>
      <c r="C551" s="1" t="n">
        <v>45725</v>
      </c>
      <c r="D551" t="inlineStr">
        <is>
          <t>GÄVLEBORGS LÄN</t>
        </is>
      </c>
      <c r="E551" t="inlineStr">
        <is>
          <t>LJUSDAL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41622-2020</t>
        </is>
      </c>
      <c r="B552" s="1" t="n">
        <v>44074</v>
      </c>
      <c r="C552" s="1" t="n">
        <v>45725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41742-2020</t>
        </is>
      </c>
      <c r="B553" s="1" t="n">
        <v>44074</v>
      </c>
      <c r="C553" s="1" t="n">
        <v>45725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42006-2020</t>
        </is>
      </c>
      <c r="B554" s="1" t="n">
        <v>44075</v>
      </c>
      <c r="C554" s="1" t="n">
        <v>45725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42007-2020</t>
        </is>
      </c>
      <c r="B555" s="1" t="n">
        <v>44075</v>
      </c>
      <c r="C555" s="1" t="n">
        <v>45725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42009-2020</t>
        </is>
      </c>
      <c r="B556" s="1" t="n">
        <v>44075</v>
      </c>
      <c r="C556" s="1" t="n">
        <v>45725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42332-2020</t>
        </is>
      </c>
      <c r="B557" s="1" t="n">
        <v>44076</v>
      </c>
      <c r="C557" s="1" t="n">
        <v>45725</v>
      </c>
      <c r="D557" t="inlineStr">
        <is>
          <t>GÄVLEBORGS LÄN</t>
        </is>
      </c>
      <c r="E557" t="inlineStr">
        <is>
          <t>LJUSDAL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42504-2020</t>
        </is>
      </c>
      <c r="B558" s="1" t="n">
        <v>44077</v>
      </c>
      <c r="C558" s="1" t="n">
        <v>45725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42782-2020</t>
        </is>
      </c>
      <c r="B559" s="1" t="n">
        <v>44078</v>
      </c>
      <c r="C559" s="1" t="n">
        <v>45725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43723-2020</t>
        </is>
      </c>
      <c r="B560" s="1" t="n">
        <v>44078</v>
      </c>
      <c r="C560" s="1" t="n">
        <v>45725</v>
      </c>
      <c r="D560" t="inlineStr">
        <is>
          <t>GÄVLEBORGS LÄN</t>
        </is>
      </c>
      <c r="E560" t="inlineStr">
        <is>
          <t>LJUSDAL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42844-2020</t>
        </is>
      </c>
      <c r="B561" s="1" t="n">
        <v>44078</v>
      </c>
      <c r="C561" s="1" t="n">
        <v>45725</v>
      </c>
      <c r="D561" t="inlineStr">
        <is>
          <t>GÄVLEBORGS LÄN</t>
        </is>
      </c>
      <c r="E561" t="inlineStr">
        <is>
          <t>LJUSDAL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43144-2020</t>
        </is>
      </c>
      <c r="B562" s="1" t="n">
        <v>44080</v>
      </c>
      <c r="C562" s="1" t="n">
        <v>45725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43370-2020</t>
        </is>
      </c>
      <c r="B563" s="1" t="n">
        <v>44081</v>
      </c>
      <c r="C563" s="1" t="n">
        <v>45725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43376-2020</t>
        </is>
      </c>
      <c r="B564" s="1" t="n">
        <v>44081</v>
      </c>
      <c r="C564" s="1" t="n">
        <v>45725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43491-2020</t>
        </is>
      </c>
      <c r="B565" s="1" t="n">
        <v>44082</v>
      </c>
      <c r="C565" s="1" t="n">
        <v>45725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43487-2020</t>
        </is>
      </c>
      <c r="B566" s="1" t="n">
        <v>44082</v>
      </c>
      <c r="C566" s="1" t="n">
        <v>45725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43544-2020</t>
        </is>
      </c>
      <c r="B567" s="1" t="n">
        <v>44082</v>
      </c>
      <c r="C567" s="1" t="n">
        <v>45725</v>
      </c>
      <c r="D567" t="inlineStr">
        <is>
          <t>GÄVLEBORGS LÄN</t>
        </is>
      </c>
      <c r="E567" t="inlineStr">
        <is>
          <t>LJUSDAL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43867-2020</t>
        </is>
      </c>
      <c r="B568" s="1" t="n">
        <v>44083</v>
      </c>
      <c r="C568" s="1" t="n">
        <v>45725</v>
      </c>
      <c r="D568" t="inlineStr">
        <is>
          <t>GÄVLEBORGS LÄN</t>
        </is>
      </c>
      <c r="E568" t="inlineStr">
        <is>
          <t>LJUSDAL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44376-2020</t>
        </is>
      </c>
      <c r="B569" s="1" t="n">
        <v>44084</v>
      </c>
      <c r="C569" s="1" t="n">
        <v>45725</v>
      </c>
      <c r="D569" t="inlineStr">
        <is>
          <t>GÄVLEBORGS LÄN</t>
        </is>
      </c>
      <c r="E569" t="inlineStr">
        <is>
          <t>LJUSDAL</t>
        </is>
      </c>
      <c r="F569" t="inlineStr">
        <is>
          <t>Holmen skog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44552-2020</t>
        </is>
      </c>
      <c r="B570" s="1" t="n">
        <v>44085</v>
      </c>
      <c r="C570" s="1" t="n">
        <v>45725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44805-2020</t>
        </is>
      </c>
      <c r="B571" s="1" t="n">
        <v>44085</v>
      </c>
      <c r="C571" s="1" t="n">
        <v>45725</v>
      </c>
      <c r="D571" t="inlineStr">
        <is>
          <t>GÄVLEBORGS LÄN</t>
        </is>
      </c>
      <c r="E571" t="inlineStr">
        <is>
          <t>LJUSDAL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44781-2020</t>
        </is>
      </c>
      <c r="B572" s="1" t="n">
        <v>44085</v>
      </c>
      <c r="C572" s="1" t="n">
        <v>45725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44777-2020</t>
        </is>
      </c>
      <c r="B573" s="1" t="n">
        <v>44085</v>
      </c>
      <c r="C573" s="1" t="n">
        <v>45725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44913-2020</t>
        </is>
      </c>
      <c r="B574" s="1" t="n">
        <v>44088</v>
      </c>
      <c r="C574" s="1" t="n">
        <v>45725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44904-2020</t>
        </is>
      </c>
      <c r="B575" s="1" t="n">
        <v>44088</v>
      </c>
      <c r="C575" s="1" t="n">
        <v>45725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45856-2020</t>
        </is>
      </c>
      <c r="B576" s="1" t="n">
        <v>44091</v>
      </c>
      <c r="C576" s="1" t="n">
        <v>45725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46287-2020</t>
        </is>
      </c>
      <c r="B577" s="1" t="n">
        <v>44092</v>
      </c>
      <c r="C577" s="1" t="n">
        <v>45725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46288-2020</t>
        </is>
      </c>
      <c r="B578" s="1" t="n">
        <v>44092</v>
      </c>
      <c r="C578" s="1" t="n">
        <v>45725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46301-2020</t>
        </is>
      </c>
      <c r="B579" s="1" t="n">
        <v>44092</v>
      </c>
      <c r="C579" s="1" t="n">
        <v>45725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46293-2020</t>
        </is>
      </c>
      <c r="B580" s="1" t="n">
        <v>44092</v>
      </c>
      <c r="C580" s="1" t="n">
        <v>45725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46577-2020</t>
        </is>
      </c>
      <c r="B581" s="1" t="n">
        <v>44095</v>
      </c>
      <c r="C581" s="1" t="n">
        <v>45725</v>
      </c>
      <c r="D581" t="inlineStr">
        <is>
          <t>GÄVLEBORGS LÄN</t>
        </is>
      </c>
      <c r="E581" t="inlineStr">
        <is>
          <t>LJUSDAL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47899-2020</t>
        </is>
      </c>
      <c r="B582" s="1" t="n">
        <v>44099</v>
      </c>
      <c r="C582" s="1" t="n">
        <v>45725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47914-2020</t>
        </is>
      </c>
      <c r="B583" s="1" t="n">
        <v>44099</v>
      </c>
      <c r="C583" s="1" t="n">
        <v>45725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18.2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47893-2020</t>
        </is>
      </c>
      <c r="B584" s="1" t="n">
        <v>44099</v>
      </c>
      <c r="C584" s="1" t="n">
        <v>45725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48742-2020</t>
        </is>
      </c>
      <c r="B585" s="1" t="n">
        <v>44103</v>
      </c>
      <c r="C585" s="1" t="n">
        <v>45725</v>
      </c>
      <c r="D585" t="inlineStr">
        <is>
          <t>GÄVLEBORGS LÄN</t>
        </is>
      </c>
      <c r="E585" t="inlineStr">
        <is>
          <t>LJUSDAL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48680-2020</t>
        </is>
      </c>
      <c r="B586" s="1" t="n">
        <v>44103</v>
      </c>
      <c r="C586" s="1" t="n">
        <v>45725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48905-2020</t>
        </is>
      </c>
      <c r="B587" s="1" t="n">
        <v>44104</v>
      </c>
      <c r="C587" s="1" t="n">
        <v>45725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49687-2020</t>
        </is>
      </c>
      <c r="B588" s="1" t="n">
        <v>44106</v>
      </c>
      <c r="C588" s="1" t="n">
        <v>45725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49807-2020</t>
        </is>
      </c>
      <c r="B589" s="1" t="n">
        <v>44106</v>
      </c>
      <c r="C589" s="1" t="n">
        <v>45725</v>
      </c>
      <c r="D589" t="inlineStr">
        <is>
          <t>GÄVLEBORGS LÄN</t>
        </is>
      </c>
      <c r="E589" t="inlineStr">
        <is>
          <t>LJUSDAL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49810-2020</t>
        </is>
      </c>
      <c r="B590" s="1" t="n">
        <v>44106</v>
      </c>
      <c r="C590" s="1" t="n">
        <v>45725</v>
      </c>
      <c r="D590" t="inlineStr">
        <is>
          <t>GÄVLEBORGS LÄN</t>
        </is>
      </c>
      <c r="E590" t="inlineStr">
        <is>
          <t>LJUSDAL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49886-2020</t>
        </is>
      </c>
      <c r="B591" s="1" t="n">
        <v>44108</v>
      </c>
      <c r="C591" s="1" t="n">
        <v>45725</v>
      </c>
      <c r="D591" t="inlineStr">
        <is>
          <t>GÄVLEBORGS LÄN</t>
        </is>
      </c>
      <c r="E591" t="inlineStr">
        <is>
          <t>LJUSDAL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49924-2020</t>
        </is>
      </c>
      <c r="B592" s="1" t="n">
        <v>44109</v>
      </c>
      <c r="C592" s="1" t="n">
        <v>45725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49913-2020</t>
        </is>
      </c>
      <c r="B593" s="1" t="n">
        <v>44109</v>
      </c>
      <c r="C593" s="1" t="n">
        <v>45725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50474-2020</t>
        </is>
      </c>
      <c r="B594" s="1" t="n">
        <v>44110</v>
      </c>
      <c r="C594" s="1" t="n">
        <v>45725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50544-2020</t>
        </is>
      </c>
      <c r="B595" s="1" t="n">
        <v>44110</v>
      </c>
      <c r="C595" s="1" t="n">
        <v>45725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50689-2020</t>
        </is>
      </c>
      <c r="B596" s="1" t="n">
        <v>44111</v>
      </c>
      <c r="C596" s="1" t="n">
        <v>45725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51256-2020</t>
        </is>
      </c>
      <c r="B597" s="1" t="n">
        <v>44112</v>
      </c>
      <c r="C597" s="1" t="n">
        <v>45725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51306-2020</t>
        </is>
      </c>
      <c r="B598" s="1" t="n">
        <v>44112</v>
      </c>
      <c r="C598" s="1" t="n">
        <v>45725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52304-2020</t>
        </is>
      </c>
      <c r="B599" s="1" t="n">
        <v>44112</v>
      </c>
      <c r="C599" s="1" t="n">
        <v>45725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51790-2020</t>
        </is>
      </c>
      <c r="B600" s="1" t="n">
        <v>44116</v>
      </c>
      <c r="C600" s="1" t="n">
        <v>45725</v>
      </c>
      <c r="D600" t="inlineStr">
        <is>
          <t>GÄVLEBORGS LÄN</t>
        </is>
      </c>
      <c r="E600" t="inlineStr">
        <is>
          <t>LJUSDAL</t>
        </is>
      </c>
      <c r="F600" t="inlineStr">
        <is>
          <t>Holmen skog AB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51780-2020</t>
        </is>
      </c>
      <c r="B601" s="1" t="n">
        <v>44116</v>
      </c>
      <c r="C601" s="1" t="n">
        <v>45725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51918-2020</t>
        </is>
      </c>
      <c r="B602" s="1" t="n">
        <v>44116</v>
      </c>
      <c r="C602" s="1" t="n">
        <v>45725</v>
      </c>
      <c r="D602" t="inlineStr">
        <is>
          <t>GÄVLEBORGS LÄN</t>
        </is>
      </c>
      <c r="E602" t="inlineStr">
        <is>
          <t>LJUSDAL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51779-2020</t>
        </is>
      </c>
      <c r="B603" s="1" t="n">
        <v>44116</v>
      </c>
      <c r="C603" s="1" t="n">
        <v>45725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51781-2020</t>
        </is>
      </c>
      <c r="B604" s="1" t="n">
        <v>44116</v>
      </c>
      <c r="C604" s="1" t="n">
        <v>45725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52772-2020</t>
        </is>
      </c>
      <c r="B605" s="1" t="n">
        <v>44119</v>
      </c>
      <c r="C605" s="1" t="n">
        <v>45725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52767-2020</t>
        </is>
      </c>
      <c r="B606" s="1" t="n">
        <v>44119</v>
      </c>
      <c r="C606" s="1" t="n">
        <v>45725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52774-2020</t>
        </is>
      </c>
      <c r="B607" s="1" t="n">
        <v>44119</v>
      </c>
      <c r="C607" s="1" t="n">
        <v>45725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53071-2020</t>
        </is>
      </c>
      <c r="B608" s="1" t="n">
        <v>44120</v>
      </c>
      <c r="C608" s="1" t="n">
        <v>45725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53218-2020</t>
        </is>
      </c>
      <c r="B609" s="1" t="n">
        <v>44123</v>
      </c>
      <c r="C609" s="1" t="n">
        <v>45725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53529-2020</t>
        </is>
      </c>
      <c r="B610" s="1" t="n">
        <v>44124</v>
      </c>
      <c r="C610" s="1" t="n">
        <v>45725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53508-2020</t>
        </is>
      </c>
      <c r="B611" s="1" t="n">
        <v>44124</v>
      </c>
      <c r="C611" s="1" t="n">
        <v>45725</v>
      </c>
      <c r="D611" t="inlineStr">
        <is>
          <t>GÄVLEBORGS LÄN</t>
        </is>
      </c>
      <c r="E611" t="inlineStr">
        <is>
          <t>LJUSDAL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54136-2020</t>
        </is>
      </c>
      <c r="B612" s="1" t="n">
        <v>44125</v>
      </c>
      <c r="C612" s="1" t="n">
        <v>45725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53970-2020</t>
        </is>
      </c>
      <c r="B613" s="1" t="n">
        <v>44125</v>
      </c>
      <c r="C613" s="1" t="n">
        <v>45725</v>
      </c>
      <c r="D613" t="inlineStr">
        <is>
          <t>GÄVLEBORGS LÄN</t>
        </is>
      </c>
      <c r="E613" t="inlineStr">
        <is>
          <t>LJUSDAL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54133-2020</t>
        </is>
      </c>
      <c r="B614" s="1" t="n">
        <v>44125</v>
      </c>
      <c r="C614" s="1" t="n">
        <v>45725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53850-2020</t>
        </is>
      </c>
      <c r="B615" s="1" t="n">
        <v>44125</v>
      </c>
      <c r="C615" s="1" t="n">
        <v>45725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54475-2020</t>
        </is>
      </c>
      <c r="B616" s="1" t="n">
        <v>44126</v>
      </c>
      <c r="C616" s="1" t="n">
        <v>45725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54472-2020</t>
        </is>
      </c>
      <c r="B617" s="1" t="n">
        <v>44126</v>
      </c>
      <c r="C617" s="1" t="n">
        <v>45725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54324-2020</t>
        </is>
      </c>
      <c r="B618" s="1" t="n">
        <v>44126</v>
      </c>
      <c r="C618" s="1" t="n">
        <v>45725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54595-2020</t>
        </is>
      </c>
      <c r="B619" s="1" t="n">
        <v>44126</v>
      </c>
      <c r="C619" s="1" t="n">
        <v>45725</v>
      </c>
      <c r="D619" t="inlineStr">
        <is>
          <t>GÄVLEBORGS LÄN</t>
        </is>
      </c>
      <c r="E619" t="inlineStr">
        <is>
          <t>LJUSDAL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57826-2020</t>
        </is>
      </c>
      <c r="B620" s="1" t="n">
        <v>44141</v>
      </c>
      <c r="C620" s="1" t="n">
        <v>45725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58122-2020</t>
        </is>
      </c>
      <c r="B621" s="1" t="n">
        <v>44144</v>
      </c>
      <c r="C621" s="1" t="n">
        <v>45725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58511-2020</t>
        </is>
      </c>
      <c r="B622" s="1" t="n">
        <v>44145</v>
      </c>
      <c r="C622" s="1" t="n">
        <v>45725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58684-2020</t>
        </is>
      </c>
      <c r="B623" s="1" t="n">
        <v>44146</v>
      </c>
      <c r="C623" s="1" t="n">
        <v>45725</v>
      </c>
      <c r="D623" t="inlineStr">
        <is>
          <t>GÄVLEBORGS LÄN</t>
        </is>
      </c>
      <c r="E623" t="inlineStr">
        <is>
          <t>LJUSDAL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59057-2020</t>
        </is>
      </c>
      <c r="B624" s="1" t="n">
        <v>44147</v>
      </c>
      <c r="C624" s="1" t="n">
        <v>45725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59348-2020</t>
        </is>
      </c>
      <c r="B625" s="1" t="n">
        <v>44148</v>
      </c>
      <c r="C625" s="1" t="n">
        <v>45725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20.4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59803-2020</t>
        </is>
      </c>
      <c r="B626" s="1" t="n">
        <v>44148</v>
      </c>
      <c r="C626" s="1" t="n">
        <v>45725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59646-2020</t>
        </is>
      </c>
      <c r="B627" s="1" t="n">
        <v>44150</v>
      </c>
      <c r="C627" s="1" t="n">
        <v>45725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59924-2020</t>
        </is>
      </c>
      <c r="B628" s="1" t="n">
        <v>44151</v>
      </c>
      <c r="C628" s="1" t="n">
        <v>45725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62191-2020</t>
        </is>
      </c>
      <c r="B629" s="1" t="n">
        <v>44159</v>
      </c>
      <c r="C629" s="1" t="n">
        <v>45725</v>
      </c>
      <c r="D629" t="inlineStr">
        <is>
          <t>GÄVLEBORGS LÄN</t>
        </is>
      </c>
      <c r="E629" t="inlineStr">
        <is>
          <t>LJUSDAL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62426-2020</t>
        </is>
      </c>
      <c r="B630" s="1" t="n">
        <v>44160</v>
      </c>
      <c r="C630" s="1" t="n">
        <v>45725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62829-2020</t>
        </is>
      </c>
      <c r="B631" s="1" t="n">
        <v>44161</v>
      </c>
      <c r="C631" s="1" t="n">
        <v>45725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62947-2020</t>
        </is>
      </c>
      <c r="B632" s="1" t="n">
        <v>44162</v>
      </c>
      <c r="C632" s="1" t="n">
        <v>45725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63081-2020</t>
        </is>
      </c>
      <c r="B633" s="1" t="n">
        <v>44162</v>
      </c>
      <c r="C633" s="1" t="n">
        <v>45725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64307-2020</t>
        </is>
      </c>
      <c r="B634" s="1" t="n">
        <v>44166</v>
      </c>
      <c r="C634" s="1" t="n">
        <v>45725</v>
      </c>
      <c r="D634" t="inlineStr">
        <is>
          <t>GÄVLEBORGS LÄN</t>
        </is>
      </c>
      <c r="E634" t="inlineStr">
        <is>
          <t>LJUSDAL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64040-2020</t>
        </is>
      </c>
      <c r="B635" s="1" t="n">
        <v>44167</v>
      </c>
      <c r="C635" s="1" t="n">
        <v>45725</v>
      </c>
      <c r="D635" t="inlineStr">
        <is>
          <t>GÄVLEBORGS LÄN</t>
        </is>
      </c>
      <c r="E635" t="inlineStr">
        <is>
          <t>LJUSDAL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65862-2020</t>
        </is>
      </c>
      <c r="B636" s="1" t="n">
        <v>44174</v>
      </c>
      <c r="C636" s="1" t="n">
        <v>45725</v>
      </c>
      <c r="D636" t="inlineStr">
        <is>
          <t>GÄVLEBORGS LÄN</t>
        </is>
      </c>
      <c r="E636" t="inlineStr">
        <is>
          <t>LJUSDAL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65865-2020</t>
        </is>
      </c>
      <c r="B637" s="1" t="n">
        <v>44174</v>
      </c>
      <c r="C637" s="1" t="n">
        <v>45725</v>
      </c>
      <c r="D637" t="inlineStr">
        <is>
          <t>GÄVLEBORGS LÄN</t>
        </is>
      </c>
      <c r="E637" t="inlineStr">
        <is>
          <t>LJUSDAL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66279-2020</t>
        </is>
      </c>
      <c r="B638" s="1" t="n">
        <v>44176</v>
      </c>
      <c r="C638" s="1" t="n">
        <v>45725</v>
      </c>
      <c r="D638" t="inlineStr">
        <is>
          <t>GÄVLEBORGS LÄN</t>
        </is>
      </c>
      <c r="E638" t="inlineStr">
        <is>
          <t>LJUSDAL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66735-2020</t>
        </is>
      </c>
      <c r="B639" s="1" t="n">
        <v>44179</v>
      </c>
      <c r="C639" s="1" t="n">
        <v>45725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67171-2020</t>
        </is>
      </c>
      <c r="B640" s="1" t="n">
        <v>44180</v>
      </c>
      <c r="C640" s="1" t="n">
        <v>45725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69571-2020</t>
        </is>
      </c>
      <c r="B641" s="1" t="n">
        <v>44194</v>
      </c>
      <c r="C641" s="1" t="n">
        <v>45725</v>
      </c>
      <c r="D641" t="inlineStr">
        <is>
          <t>GÄVLEBORGS LÄN</t>
        </is>
      </c>
      <c r="E641" t="inlineStr">
        <is>
          <t>LJUSDAL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HYPERLINK("https://klasma.github.io/Logging_2161/knärot/A 69571-2020 karta knärot.png", "A 69571-2020")</f>
        <v/>
      </c>
      <c r="V641">
        <f>HYPERLINK("https://klasma.github.io/Logging_2161/klagomål/A 69571-2020 FSC-klagomål.docx", "A 69571-2020")</f>
        <v/>
      </c>
      <c r="W641">
        <f>HYPERLINK("https://klasma.github.io/Logging_2161/klagomålsmail/A 69571-2020 FSC-klagomål mail.docx", "A 69571-2020")</f>
        <v/>
      </c>
      <c r="X641">
        <f>HYPERLINK("https://klasma.github.io/Logging_2161/tillsyn/A 69571-2020 tillsynsbegäran.docx", "A 69571-2020")</f>
        <v/>
      </c>
      <c r="Y641">
        <f>HYPERLINK("https://klasma.github.io/Logging_2161/tillsynsmail/A 69571-2020 tillsynsbegäran mail.docx", "A 69571-2020")</f>
        <v/>
      </c>
    </row>
    <row r="642" ht="15" customHeight="1">
      <c r="A642" t="inlineStr">
        <is>
          <t>A 69569-2020</t>
        </is>
      </c>
      <c r="B642" s="1" t="n">
        <v>44194</v>
      </c>
      <c r="C642" s="1" t="n">
        <v>45725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54-2021</t>
        </is>
      </c>
      <c r="B643" s="1" t="n">
        <v>44199</v>
      </c>
      <c r="C643" s="1" t="n">
        <v>45725</v>
      </c>
      <c r="D643" t="inlineStr">
        <is>
          <t>GÄVLEBORGS LÄN</t>
        </is>
      </c>
      <c r="E643" t="inlineStr">
        <is>
          <t>LJUSDAL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219-2021</t>
        </is>
      </c>
      <c r="B644" s="1" t="n">
        <v>44200</v>
      </c>
      <c r="C644" s="1" t="n">
        <v>45725</v>
      </c>
      <c r="D644" t="inlineStr">
        <is>
          <t>GÄVLEBORGS LÄN</t>
        </is>
      </c>
      <c r="E644" t="inlineStr">
        <is>
          <t>LJUSDAL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783-2021</t>
        </is>
      </c>
      <c r="B645" s="1" t="n">
        <v>44203</v>
      </c>
      <c r="C645" s="1" t="n">
        <v>45725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1196-2021</t>
        </is>
      </c>
      <c r="B646" s="1" t="n">
        <v>44208</v>
      </c>
      <c r="C646" s="1" t="n">
        <v>45725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3207-2021</t>
        </is>
      </c>
      <c r="B647" s="1" t="n">
        <v>44217</v>
      </c>
      <c r="C647" s="1" t="n">
        <v>45725</v>
      </c>
      <c r="D647" t="inlineStr">
        <is>
          <t>GÄVLEBORGS LÄN</t>
        </is>
      </c>
      <c r="E647" t="inlineStr">
        <is>
          <t>LJUSDAL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3663-2021</t>
        </is>
      </c>
      <c r="B648" s="1" t="n">
        <v>44221</v>
      </c>
      <c r="C648" s="1" t="n">
        <v>45725</v>
      </c>
      <c r="D648" t="inlineStr">
        <is>
          <t>GÄVLEBORGS LÄN</t>
        </is>
      </c>
      <c r="E648" t="inlineStr">
        <is>
          <t>LJUSDAL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4341-2021</t>
        </is>
      </c>
      <c r="B649" s="1" t="n">
        <v>44223</v>
      </c>
      <c r="C649" s="1" t="n">
        <v>45725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5029-2021</t>
        </is>
      </c>
      <c r="B650" s="1" t="n">
        <v>44228</v>
      </c>
      <c r="C650" s="1" t="n">
        <v>45725</v>
      </c>
      <c r="D650" t="inlineStr">
        <is>
          <t>GÄVLEBORGS LÄN</t>
        </is>
      </c>
      <c r="E650" t="inlineStr">
        <is>
          <t>LJUSDAL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5431-2021</t>
        </is>
      </c>
      <c r="B651" s="1" t="n">
        <v>44229</v>
      </c>
      <c r="C651" s="1" t="n">
        <v>45725</v>
      </c>
      <c r="D651" t="inlineStr">
        <is>
          <t>GÄVLEBORGS LÄN</t>
        </is>
      </c>
      <c r="E651" t="inlineStr">
        <is>
          <t>LJUSDAL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6587-2021</t>
        </is>
      </c>
      <c r="B652" s="1" t="n">
        <v>44236</v>
      </c>
      <c r="C652" s="1" t="n">
        <v>45725</v>
      </c>
      <c r="D652" t="inlineStr">
        <is>
          <t>GÄVLEBORGS LÄN</t>
        </is>
      </c>
      <c r="E652" t="inlineStr">
        <is>
          <t>LJUSDAL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7358-2021</t>
        </is>
      </c>
      <c r="B653" s="1" t="n">
        <v>44239</v>
      </c>
      <c r="C653" s="1" t="n">
        <v>45725</v>
      </c>
      <c r="D653" t="inlineStr">
        <is>
          <t>GÄVLEBORGS LÄN</t>
        </is>
      </c>
      <c r="E653" t="inlineStr">
        <is>
          <t>LJUSDAL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7925-2021</t>
        </is>
      </c>
      <c r="B654" s="1" t="n">
        <v>44243</v>
      </c>
      <c r="C654" s="1" t="n">
        <v>45725</v>
      </c>
      <c r="D654" t="inlineStr">
        <is>
          <t>GÄVLEBORGS LÄN</t>
        </is>
      </c>
      <c r="E654" t="inlineStr">
        <is>
          <t>LJUSDAL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9288-2021</t>
        </is>
      </c>
      <c r="B655" s="1" t="n">
        <v>44250</v>
      </c>
      <c r="C655" s="1" t="n">
        <v>45725</v>
      </c>
      <c r="D655" t="inlineStr">
        <is>
          <t>GÄVLEBORGS LÄN</t>
        </is>
      </c>
      <c r="E655" t="inlineStr">
        <is>
          <t>LJUSDAL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9540-2021</t>
        </is>
      </c>
      <c r="B656" s="1" t="n">
        <v>44251</v>
      </c>
      <c r="C656" s="1" t="n">
        <v>45725</v>
      </c>
      <c r="D656" t="inlineStr">
        <is>
          <t>GÄVLEBORGS LÄN</t>
        </is>
      </c>
      <c r="E656" t="inlineStr">
        <is>
          <t>LJUSDAL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9714-2021</t>
        </is>
      </c>
      <c r="B657" s="1" t="n">
        <v>44252</v>
      </c>
      <c r="C657" s="1" t="n">
        <v>45725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20.7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9982-2021</t>
        </is>
      </c>
      <c r="B658" s="1" t="n">
        <v>44253</v>
      </c>
      <c r="C658" s="1" t="n">
        <v>45725</v>
      </c>
      <c r="D658" t="inlineStr">
        <is>
          <t>GÄVLEBORGS LÄN</t>
        </is>
      </c>
      <c r="E658" t="inlineStr">
        <is>
          <t>LJUSDAL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10883-2021</t>
        </is>
      </c>
      <c r="B659" s="1" t="n">
        <v>44259</v>
      </c>
      <c r="C659" s="1" t="n">
        <v>45725</v>
      </c>
      <c r="D659" t="inlineStr">
        <is>
          <t>GÄVLEBORGS LÄN</t>
        </is>
      </c>
      <c r="E659" t="inlineStr">
        <is>
          <t>LJUSDAL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11766-2021</t>
        </is>
      </c>
      <c r="B660" s="1" t="n">
        <v>44265</v>
      </c>
      <c r="C660" s="1" t="n">
        <v>45725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11770-2021</t>
        </is>
      </c>
      <c r="B661" s="1" t="n">
        <v>44265</v>
      </c>
      <c r="C661" s="1" t="n">
        <v>45725</v>
      </c>
      <c r="D661" t="inlineStr">
        <is>
          <t>GÄVLEBORGS LÄN</t>
        </is>
      </c>
      <c r="E661" t="inlineStr">
        <is>
          <t>LJUSDAL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12012-2021</t>
        </is>
      </c>
      <c r="B662" s="1" t="n">
        <v>44266</v>
      </c>
      <c r="C662" s="1" t="n">
        <v>45725</v>
      </c>
      <c r="D662" t="inlineStr">
        <is>
          <t>GÄVLEBORGS LÄN</t>
        </is>
      </c>
      <c r="E662" t="inlineStr">
        <is>
          <t>LJUSDAL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12330-2021</t>
        </is>
      </c>
      <c r="B663" s="1" t="n">
        <v>44267</v>
      </c>
      <c r="C663" s="1" t="n">
        <v>45725</v>
      </c>
      <c r="D663" t="inlineStr">
        <is>
          <t>GÄVLEBORGS LÄN</t>
        </is>
      </c>
      <c r="E663" t="inlineStr">
        <is>
          <t>LJUSDAL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12300-2021</t>
        </is>
      </c>
      <c r="B664" s="1" t="n">
        <v>44267</v>
      </c>
      <c r="C664" s="1" t="n">
        <v>45725</v>
      </c>
      <c r="D664" t="inlineStr">
        <is>
          <t>GÄVLEBORGS LÄN</t>
        </is>
      </c>
      <c r="E664" t="inlineStr">
        <is>
          <t>LJUSDAL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12390-2021</t>
        </is>
      </c>
      <c r="B665" s="1" t="n">
        <v>44267</v>
      </c>
      <c r="C665" s="1" t="n">
        <v>45725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12391-2021</t>
        </is>
      </c>
      <c r="B666" s="1" t="n">
        <v>44267</v>
      </c>
      <c r="C666" s="1" t="n">
        <v>45725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12648-2021</t>
        </is>
      </c>
      <c r="B667" s="1" t="n">
        <v>44270</v>
      </c>
      <c r="C667" s="1" t="n">
        <v>45725</v>
      </c>
      <c r="D667" t="inlineStr">
        <is>
          <t>GÄVLEBORGS LÄN</t>
        </is>
      </c>
      <c r="E667" t="inlineStr">
        <is>
          <t>LJUSDAL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13369-2021</t>
        </is>
      </c>
      <c r="B668" s="1" t="n">
        <v>44273</v>
      </c>
      <c r="C668" s="1" t="n">
        <v>45725</v>
      </c>
      <c r="D668" t="inlineStr">
        <is>
          <t>GÄVLEBORGS LÄN</t>
        </is>
      </c>
      <c r="E668" t="inlineStr">
        <is>
          <t>LJUSDAL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13519-2021</t>
        </is>
      </c>
      <c r="B669" s="1" t="n">
        <v>44273</v>
      </c>
      <c r="C669" s="1" t="n">
        <v>45725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13521-2021</t>
        </is>
      </c>
      <c r="B670" s="1" t="n">
        <v>44273</v>
      </c>
      <c r="C670" s="1" t="n">
        <v>45725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14057-2021</t>
        </is>
      </c>
      <c r="B671" s="1" t="n">
        <v>44277</v>
      </c>
      <c r="C671" s="1" t="n">
        <v>45725</v>
      </c>
      <c r="D671" t="inlineStr">
        <is>
          <t>GÄVLEBORGS LÄN</t>
        </is>
      </c>
      <c r="E671" t="inlineStr">
        <is>
          <t>LJUSDAL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14056-2021</t>
        </is>
      </c>
      <c r="B672" s="1" t="n">
        <v>44277</v>
      </c>
      <c r="C672" s="1" t="n">
        <v>45725</v>
      </c>
      <c r="D672" t="inlineStr">
        <is>
          <t>GÄVLEBORGS LÄN</t>
        </is>
      </c>
      <c r="E672" t="inlineStr">
        <is>
          <t>LJUSDAL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16154-2021</t>
        </is>
      </c>
      <c r="B673" s="1" t="n">
        <v>44292</v>
      </c>
      <c r="C673" s="1" t="n">
        <v>45725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16699-2021</t>
        </is>
      </c>
      <c r="B674" s="1" t="n">
        <v>44294</v>
      </c>
      <c r="C674" s="1" t="n">
        <v>45725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16709-2021</t>
        </is>
      </c>
      <c r="B675" s="1" t="n">
        <v>44294</v>
      </c>
      <c r="C675" s="1" t="n">
        <v>45725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16925-2021</t>
        </is>
      </c>
      <c r="B676" s="1" t="n">
        <v>44295</v>
      </c>
      <c r="C676" s="1" t="n">
        <v>45725</v>
      </c>
      <c r="D676" t="inlineStr">
        <is>
          <t>GÄVLEBORGS LÄN</t>
        </is>
      </c>
      <c r="E676" t="inlineStr">
        <is>
          <t>LJUSDAL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17114-2021</t>
        </is>
      </c>
      <c r="B677" s="1" t="n">
        <v>44298</v>
      </c>
      <c r="C677" s="1" t="n">
        <v>45725</v>
      </c>
      <c r="D677" t="inlineStr">
        <is>
          <t>GÄVLEBORGS LÄN</t>
        </is>
      </c>
      <c r="E677" t="inlineStr">
        <is>
          <t>LJUSDAL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17117-2021</t>
        </is>
      </c>
      <c r="B678" s="1" t="n">
        <v>44298</v>
      </c>
      <c r="C678" s="1" t="n">
        <v>45725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18096-2021</t>
        </is>
      </c>
      <c r="B679" s="1" t="n">
        <v>44302</v>
      </c>
      <c r="C679" s="1" t="n">
        <v>45725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18108-2021</t>
        </is>
      </c>
      <c r="B680" s="1" t="n">
        <v>44302</v>
      </c>
      <c r="C680" s="1" t="n">
        <v>45725</v>
      </c>
      <c r="D680" t="inlineStr">
        <is>
          <t>GÄVLEBORGS LÄN</t>
        </is>
      </c>
      <c r="E680" t="inlineStr">
        <is>
          <t>LJUSDAL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18151-2021</t>
        </is>
      </c>
      <c r="B681" s="1" t="n">
        <v>44302</v>
      </c>
      <c r="C681" s="1" t="n">
        <v>45725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18078-2021</t>
        </is>
      </c>
      <c r="B682" s="1" t="n">
        <v>44302</v>
      </c>
      <c r="C682" s="1" t="n">
        <v>45725</v>
      </c>
      <c r="D682" t="inlineStr">
        <is>
          <t>GÄVLEBORGS LÄN</t>
        </is>
      </c>
      <c r="E682" t="inlineStr">
        <is>
          <t>LJUSDAL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18039-2021</t>
        </is>
      </c>
      <c r="B683" s="1" t="n">
        <v>44302</v>
      </c>
      <c r="C683" s="1" t="n">
        <v>45725</v>
      </c>
      <c r="D683" t="inlineStr">
        <is>
          <t>GÄVLEBORGS LÄN</t>
        </is>
      </c>
      <c r="E683" t="inlineStr">
        <is>
          <t>LJUSDAL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18264-2021</t>
        </is>
      </c>
      <c r="B684" s="1" t="n">
        <v>44305</v>
      </c>
      <c r="C684" s="1" t="n">
        <v>45725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18786-2021</t>
        </is>
      </c>
      <c r="B685" s="1" t="n">
        <v>44307</v>
      </c>
      <c r="C685" s="1" t="n">
        <v>45725</v>
      </c>
      <c r="D685" t="inlineStr">
        <is>
          <t>GÄVLEBORGS LÄN</t>
        </is>
      </c>
      <c r="E685" t="inlineStr">
        <is>
          <t>LJUSDAL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19129-2021</t>
        </is>
      </c>
      <c r="B686" s="1" t="n">
        <v>44308</v>
      </c>
      <c r="C686" s="1" t="n">
        <v>45725</v>
      </c>
      <c r="D686" t="inlineStr">
        <is>
          <t>GÄVLEBORGS LÄN</t>
        </is>
      </c>
      <c r="E686" t="inlineStr">
        <is>
          <t>LJUSDAL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19117-2021</t>
        </is>
      </c>
      <c r="B687" s="1" t="n">
        <v>44308</v>
      </c>
      <c r="C687" s="1" t="n">
        <v>45725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19405-2021</t>
        </is>
      </c>
      <c r="B688" s="1" t="n">
        <v>44309</v>
      </c>
      <c r="C688" s="1" t="n">
        <v>45725</v>
      </c>
      <c r="D688" t="inlineStr">
        <is>
          <t>GÄVLEBORGS LÄN</t>
        </is>
      </c>
      <c r="E688" t="inlineStr">
        <is>
          <t>LJUSDAL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19973-2021</t>
        </is>
      </c>
      <c r="B689" s="1" t="n">
        <v>44313</v>
      </c>
      <c r="C689" s="1" t="n">
        <v>45725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38.9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19976-2021</t>
        </is>
      </c>
      <c r="B690" s="1" t="n">
        <v>44313</v>
      </c>
      <c r="C690" s="1" t="n">
        <v>45725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40.1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20058-2021</t>
        </is>
      </c>
      <c r="B691" s="1" t="n">
        <v>44314</v>
      </c>
      <c r="C691" s="1" t="n">
        <v>45725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20112-2021</t>
        </is>
      </c>
      <c r="B692" s="1" t="n">
        <v>44314</v>
      </c>
      <c r="C692" s="1" t="n">
        <v>45725</v>
      </c>
      <c r="D692" t="inlineStr">
        <is>
          <t>GÄVLEBORGS LÄN</t>
        </is>
      </c>
      <c r="E692" t="inlineStr">
        <is>
          <t>LJUSDAL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21259-2021</t>
        </is>
      </c>
      <c r="B693" s="1" t="n">
        <v>44320</v>
      </c>
      <c r="C693" s="1" t="n">
        <v>45725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21720-2021</t>
        </is>
      </c>
      <c r="B694" s="1" t="n">
        <v>44322</v>
      </c>
      <c r="C694" s="1" t="n">
        <v>45725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21751-2021</t>
        </is>
      </c>
      <c r="B695" s="1" t="n">
        <v>44322</v>
      </c>
      <c r="C695" s="1" t="n">
        <v>45725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21781-2021</t>
        </is>
      </c>
      <c r="B696" s="1" t="n">
        <v>44322</v>
      </c>
      <c r="C696" s="1" t="n">
        <v>45725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21696-2021</t>
        </is>
      </c>
      <c r="B697" s="1" t="n">
        <v>44322</v>
      </c>
      <c r="C697" s="1" t="n">
        <v>45725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21708-2021</t>
        </is>
      </c>
      <c r="B698" s="1" t="n">
        <v>44322</v>
      </c>
      <c r="C698" s="1" t="n">
        <v>45725</v>
      </c>
      <c r="D698" t="inlineStr">
        <is>
          <t>GÄVLEBORGS LÄN</t>
        </is>
      </c>
      <c r="E698" t="inlineStr">
        <is>
          <t>LJUSDAL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21750-2021</t>
        </is>
      </c>
      <c r="B699" s="1" t="n">
        <v>44322</v>
      </c>
      <c r="C699" s="1" t="n">
        <v>45725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21724-2021</t>
        </is>
      </c>
      <c r="B700" s="1" t="n">
        <v>44322</v>
      </c>
      <c r="C700" s="1" t="n">
        <v>45725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22012-2021</t>
        </is>
      </c>
      <c r="B701" s="1" t="n">
        <v>44323</v>
      </c>
      <c r="C701" s="1" t="n">
        <v>45725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22013-2021</t>
        </is>
      </c>
      <c r="B702" s="1" t="n">
        <v>44323</v>
      </c>
      <c r="C702" s="1" t="n">
        <v>45725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21984-2021</t>
        </is>
      </c>
      <c r="B703" s="1" t="n">
        <v>44323</v>
      </c>
      <c r="C703" s="1" t="n">
        <v>45725</v>
      </c>
      <c r="D703" t="inlineStr">
        <is>
          <t>GÄVLEBORGS LÄN</t>
        </is>
      </c>
      <c r="E703" t="inlineStr">
        <is>
          <t>LJUSDAL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22304-2021</t>
        </is>
      </c>
      <c r="B704" s="1" t="n">
        <v>44326</v>
      </c>
      <c r="C704" s="1" t="n">
        <v>45725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22206-2021</t>
        </is>
      </c>
      <c r="B705" s="1" t="n">
        <v>44326</v>
      </c>
      <c r="C705" s="1" t="n">
        <v>45725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22239-2021</t>
        </is>
      </c>
      <c r="B706" s="1" t="n">
        <v>44326</v>
      </c>
      <c r="C706" s="1" t="n">
        <v>45725</v>
      </c>
      <c r="D706" t="inlineStr">
        <is>
          <t>GÄVLEBORGS LÄN</t>
        </is>
      </c>
      <c r="E706" t="inlineStr">
        <is>
          <t>LJUSDAL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22756-2021</t>
        </is>
      </c>
      <c r="B707" s="1" t="n">
        <v>44327</v>
      </c>
      <c r="C707" s="1" t="n">
        <v>45725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22758-2021</t>
        </is>
      </c>
      <c r="B708" s="1" t="n">
        <v>44327</v>
      </c>
      <c r="C708" s="1" t="n">
        <v>45725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23329-2021</t>
        </is>
      </c>
      <c r="B709" s="1" t="n">
        <v>44333</v>
      </c>
      <c r="C709" s="1" t="n">
        <v>45725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23395-2021</t>
        </is>
      </c>
      <c r="B710" s="1" t="n">
        <v>44333</v>
      </c>
      <c r="C710" s="1" t="n">
        <v>45725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23418-2021</t>
        </is>
      </c>
      <c r="B711" s="1" t="n">
        <v>44333</v>
      </c>
      <c r="C711" s="1" t="n">
        <v>45725</v>
      </c>
      <c r="D711" t="inlineStr">
        <is>
          <t>GÄVLEBORGS LÄN</t>
        </is>
      </c>
      <c r="E711" t="inlineStr">
        <is>
          <t>LJUSDAL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23396-2021</t>
        </is>
      </c>
      <c r="B712" s="1" t="n">
        <v>44333</v>
      </c>
      <c r="C712" s="1" t="n">
        <v>45725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23955-2021</t>
        </is>
      </c>
      <c r="B713" s="1" t="n">
        <v>44335</v>
      </c>
      <c r="C713" s="1" t="n">
        <v>45725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23966-2021</t>
        </is>
      </c>
      <c r="B714" s="1" t="n">
        <v>44335</v>
      </c>
      <c r="C714" s="1" t="n">
        <v>45725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24158-2021</t>
        </is>
      </c>
      <c r="B715" s="1" t="n">
        <v>44336</v>
      </c>
      <c r="C715" s="1" t="n">
        <v>45725</v>
      </c>
      <c r="D715" t="inlineStr">
        <is>
          <t>GÄVLEBORGS LÄN</t>
        </is>
      </c>
      <c r="E715" t="inlineStr">
        <is>
          <t>LJUSDAL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24627-2021</t>
        </is>
      </c>
      <c r="B716" s="1" t="n">
        <v>44340</v>
      </c>
      <c r="C716" s="1" t="n">
        <v>45725</v>
      </c>
      <c r="D716" t="inlineStr">
        <is>
          <t>GÄVLEBORGS LÄN</t>
        </is>
      </c>
      <c r="E716" t="inlineStr">
        <is>
          <t>LJUSDAL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24894-2021</t>
        </is>
      </c>
      <c r="B717" s="1" t="n">
        <v>44341</v>
      </c>
      <c r="C717" s="1" t="n">
        <v>45725</v>
      </c>
      <c r="D717" t="inlineStr">
        <is>
          <t>GÄVLEBORGS LÄN</t>
        </is>
      </c>
      <c r="E717" t="inlineStr">
        <is>
          <t>LJUSDAL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24881-2021</t>
        </is>
      </c>
      <c r="B718" s="1" t="n">
        <v>44341</v>
      </c>
      <c r="C718" s="1" t="n">
        <v>45725</v>
      </c>
      <c r="D718" t="inlineStr">
        <is>
          <t>GÄVLEBORGS LÄN</t>
        </is>
      </c>
      <c r="E718" t="inlineStr">
        <is>
          <t>LJUSDAL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24899-2021</t>
        </is>
      </c>
      <c r="B719" s="1" t="n">
        <v>44341</v>
      </c>
      <c r="C719" s="1" t="n">
        <v>45725</v>
      </c>
      <c r="D719" t="inlineStr">
        <is>
          <t>GÄVLEBORGS LÄN</t>
        </is>
      </c>
      <c r="E719" t="inlineStr">
        <is>
          <t>LJUSDAL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25144-2021</t>
        </is>
      </c>
      <c r="B720" s="1" t="n">
        <v>44341</v>
      </c>
      <c r="C720" s="1" t="n">
        <v>45725</v>
      </c>
      <c r="D720" t="inlineStr">
        <is>
          <t>GÄVLEBORGS LÄN</t>
        </is>
      </c>
      <c r="E720" t="inlineStr">
        <is>
          <t>LJUSDAL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25169-2021</t>
        </is>
      </c>
      <c r="B721" s="1" t="n">
        <v>44342</v>
      </c>
      <c r="C721" s="1" t="n">
        <v>45725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25170-2021</t>
        </is>
      </c>
      <c r="B722" s="1" t="n">
        <v>44342</v>
      </c>
      <c r="C722" s="1" t="n">
        <v>45725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25168-2021</t>
        </is>
      </c>
      <c r="B723" s="1" t="n">
        <v>44342</v>
      </c>
      <c r="C723" s="1" t="n">
        <v>45725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25494-2021</t>
        </is>
      </c>
      <c r="B724" s="1" t="n">
        <v>44343</v>
      </c>
      <c r="C724" s="1" t="n">
        <v>45725</v>
      </c>
      <c r="D724" t="inlineStr">
        <is>
          <t>GÄVLEBORGS LÄN</t>
        </is>
      </c>
      <c r="E724" t="inlineStr">
        <is>
          <t>LJUSDAL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26236-2021</t>
        </is>
      </c>
      <c r="B725" s="1" t="n">
        <v>44347</v>
      </c>
      <c r="C725" s="1" t="n">
        <v>45725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26336-2021</t>
        </is>
      </c>
      <c r="B726" s="1" t="n">
        <v>44347</v>
      </c>
      <c r="C726" s="1" t="n">
        <v>45725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26715-2021</t>
        </is>
      </c>
      <c r="B727" s="1" t="n">
        <v>44349</v>
      </c>
      <c r="C727" s="1" t="n">
        <v>45725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27216-2021</t>
        </is>
      </c>
      <c r="B728" s="1" t="n">
        <v>44350</v>
      </c>
      <c r="C728" s="1" t="n">
        <v>45725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27051-2021</t>
        </is>
      </c>
      <c r="B729" s="1" t="n">
        <v>44350</v>
      </c>
      <c r="C729" s="1" t="n">
        <v>45725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27215-2021</t>
        </is>
      </c>
      <c r="B730" s="1" t="n">
        <v>44350</v>
      </c>
      <c r="C730" s="1" t="n">
        <v>45725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27218-2021</t>
        </is>
      </c>
      <c r="B731" s="1" t="n">
        <v>44350</v>
      </c>
      <c r="C731" s="1" t="n">
        <v>45725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27575-2021</t>
        </is>
      </c>
      <c r="B732" s="1" t="n">
        <v>44353</v>
      </c>
      <c r="C732" s="1" t="n">
        <v>45725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27900-2021</t>
        </is>
      </c>
      <c r="B733" s="1" t="n">
        <v>44354</v>
      </c>
      <c r="C733" s="1" t="n">
        <v>45725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28014-2021</t>
        </is>
      </c>
      <c r="B734" s="1" t="n">
        <v>44355</v>
      </c>
      <c r="C734" s="1" t="n">
        <v>45725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27992-2021</t>
        </is>
      </c>
      <c r="B735" s="1" t="n">
        <v>44355</v>
      </c>
      <c r="C735" s="1" t="n">
        <v>45725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28683-2021</t>
        </is>
      </c>
      <c r="B736" s="1" t="n">
        <v>44357</v>
      </c>
      <c r="C736" s="1" t="n">
        <v>45725</v>
      </c>
      <c r="D736" t="inlineStr">
        <is>
          <t>GÄVLEBORGS LÄN</t>
        </is>
      </c>
      <c r="E736" t="inlineStr">
        <is>
          <t>LJUSDAL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29062-2021</t>
        </is>
      </c>
      <c r="B737" s="1" t="n">
        <v>44358</v>
      </c>
      <c r="C737" s="1" t="n">
        <v>45725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28999-2021</t>
        </is>
      </c>
      <c r="B738" s="1" t="n">
        <v>44358</v>
      </c>
      <c r="C738" s="1" t="n">
        <v>45725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29290-2021</t>
        </is>
      </c>
      <c r="B739" s="1" t="n">
        <v>44361</v>
      </c>
      <c r="C739" s="1" t="n">
        <v>45725</v>
      </c>
      <c r="D739" t="inlineStr">
        <is>
          <t>GÄVLEBORGS LÄN</t>
        </is>
      </c>
      <c r="E739" t="inlineStr">
        <is>
          <t>LJUSDAL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29402-2021</t>
        </is>
      </c>
      <c r="B740" s="1" t="n">
        <v>44361</v>
      </c>
      <c r="C740" s="1" t="n">
        <v>45725</v>
      </c>
      <c r="D740" t="inlineStr">
        <is>
          <t>GÄVLEBORGS LÄN</t>
        </is>
      </c>
      <c r="E740" t="inlineStr">
        <is>
          <t>LJUSDAL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29408-2021</t>
        </is>
      </c>
      <c r="B741" s="1" t="n">
        <v>44361</v>
      </c>
      <c r="C741" s="1" t="n">
        <v>45725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29435-2021</t>
        </is>
      </c>
      <c r="B742" s="1" t="n">
        <v>44361</v>
      </c>
      <c r="C742" s="1" t="n">
        <v>45725</v>
      </c>
      <c r="D742" t="inlineStr">
        <is>
          <t>GÄVLEBORGS LÄN</t>
        </is>
      </c>
      <c r="E742" t="inlineStr">
        <is>
          <t>LJUSDAL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29285-2021</t>
        </is>
      </c>
      <c r="B743" s="1" t="n">
        <v>44361</v>
      </c>
      <c r="C743" s="1" t="n">
        <v>45725</v>
      </c>
      <c r="D743" t="inlineStr">
        <is>
          <t>GÄVLEBORGS LÄN</t>
        </is>
      </c>
      <c r="E743" t="inlineStr">
        <is>
          <t>LJUSDAL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29326-2021</t>
        </is>
      </c>
      <c r="B744" s="1" t="n">
        <v>44361</v>
      </c>
      <c r="C744" s="1" t="n">
        <v>45725</v>
      </c>
      <c r="D744" t="inlineStr">
        <is>
          <t>GÄVLEBORGS LÄN</t>
        </is>
      </c>
      <c r="E744" t="inlineStr">
        <is>
          <t>LJUSDAL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29400-2021</t>
        </is>
      </c>
      <c r="B745" s="1" t="n">
        <v>44361</v>
      </c>
      <c r="C745" s="1" t="n">
        <v>45725</v>
      </c>
      <c r="D745" t="inlineStr">
        <is>
          <t>GÄVLEBORGS LÄN</t>
        </is>
      </c>
      <c r="E745" t="inlineStr">
        <is>
          <t>LJUSDAL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29404-2021</t>
        </is>
      </c>
      <c r="B746" s="1" t="n">
        <v>44361</v>
      </c>
      <c r="C746" s="1" t="n">
        <v>45725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29479-2021</t>
        </is>
      </c>
      <c r="B747" s="1" t="n">
        <v>44361</v>
      </c>
      <c r="C747" s="1" t="n">
        <v>45725</v>
      </c>
      <c r="D747" t="inlineStr">
        <is>
          <t>GÄVLEBORGS LÄN</t>
        </is>
      </c>
      <c r="E747" t="inlineStr">
        <is>
          <t>LJUSDAL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29480-2021</t>
        </is>
      </c>
      <c r="B748" s="1" t="n">
        <v>44361</v>
      </c>
      <c r="C748" s="1" t="n">
        <v>45725</v>
      </c>
      <c r="D748" t="inlineStr">
        <is>
          <t>GÄVLEBORGS LÄN</t>
        </is>
      </c>
      <c r="E748" t="inlineStr">
        <is>
          <t>LJUSDAL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29568-2021</t>
        </is>
      </c>
      <c r="B749" s="1" t="n">
        <v>44362</v>
      </c>
      <c r="C749" s="1" t="n">
        <v>45725</v>
      </c>
      <c r="D749" t="inlineStr">
        <is>
          <t>GÄVLEBORGS LÄN</t>
        </is>
      </c>
      <c r="E749" t="inlineStr">
        <is>
          <t>LJUSDAL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29586-2021</t>
        </is>
      </c>
      <c r="B750" s="1" t="n">
        <v>44362</v>
      </c>
      <c r="C750" s="1" t="n">
        <v>45725</v>
      </c>
      <c r="D750" t="inlineStr">
        <is>
          <t>GÄVLEBORGS LÄN</t>
        </is>
      </c>
      <c r="E750" t="inlineStr">
        <is>
          <t>LJUSDAL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30112-2021</t>
        </is>
      </c>
      <c r="B751" s="1" t="n">
        <v>44363</v>
      </c>
      <c r="C751" s="1" t="n">
        <v>45725</v>
      </c>
      <c r="D751" t="inlineStr">
        <is>
          <t>GÄVLEBORGS LÄN</t>
        </is>
      </c>
      <c r="E751" t="inlineStr">
        <is>
          <t>LJUSDAL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30577-2021</t>
        </is>
      </c>
      <c r="B752" s="1" t="n">
        <v>44364</v>
      </c>
      <c r="C752" s="1" t="n">
        <v>45725</v>
      </c>
      <c r="D752" t="inlineStr">
        <is>
          <t>GÄVLEBORGS LÄN</t>
        </is>
      </c>
      <c r="E752" t="inlineStr">
        <is>
          <t>LJUSDAL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30607-2021</t>
        </is>
      </c>
      <c r="B753" s="1" t="n">
        <v>44365</v>
      </c>
      <c r="C753" s="1" t="n">
        <v>45725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30601-2021</t>
        </is>
      </c>
      <c r="B754" s="1" t="n">
        <v>44365</v>
      </c>
      <c r="C754" s="1" t="n">
        <v>45725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30668-2021</t>
        </is>
      </c>
      <c r="B755" s="1" t="n">
        <v>44365</v>
      </c>
      <c r="C755" s="1" t="n">
        <v>45725</v>
      </c>
      <c r="D755" t="inlineStr">
        <is>
          <t>GÄVLEBORGS LÄN</t>
        </is>
      </c>
      <c r="E755" t="inlineStr">
        <is>
          <t>LJUSDAL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30816-2021</t>
        </is>
      </c>
      <c r="B756" s="1" t="n">
        <v>44365</v>
      </c>
      <c r="C756" s="1" t="n">
        <v>45725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30770-2021</t>
        </is>
      </c>
      <c r="B757" s="1" t="n">
        <v>44365</v>
      </c>
      <c r="C757" s="1" t="n">
        <v>45725</v>
      </c>
      <c r="D757" t="inlineStr">
        <is>
          <t>GÄVLEBORGS LÄN</t>
        </is>
      </c>
      <c r="E757" t="inlineStr">
        <is>
          <t>LJUSDAL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31091-2021</t>
        </is>
      </c>
      <c r="B758" s="1" t="n">
        <v>44368</v>
      </c>
      <c r="C758" s="1" t="n">
        <v>45725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31042-2021</t>
        </is>
      </c>
      <c r="B759" s="1" t="n">
        <v>44368</v>
      </c>
      <c r="C759" s="1" t="n">
        <v>45725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31041-2021</t>
        </is>
      </c>
      <c r="B760" s="1" t="n">
        <v>44368</v>
      </c>
      <c r="C760" s="1" t="n">
        <v>45725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31065-2021</t>
        </is>
      </c>
      <c r="B761" s="1" t="n">
        <v>44368</v>
      </c>
      <c r="C761" s="1" t="n">
        <v>45725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31961-2021</t>
        </is>
      </c>
      <c r="B762" s="1" t="n">
        <v>44370</v>
      </c>
      <c r="C762" s="1" t="n">
        <v>45725</v>
      </c>
      <c r="D762" t="inlineStr">
        <is>
          <t>GÄVLEBORGS LÄN</t>
        </is>
      </c>
      <c r="E762" t="inlineStr">
        <is>
          <t>LJUSDAL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32233-2021</t>
        </is>
      </c>
      <c r="B763" s="1" t="n">
        <v>44371</v>
      </c>
      <c r="C763" s="1" t="n">
        <v>45725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32774-2021</t>
        </is>
      </c>
      <c r="B764" s="1" t="n">
        <v>44375</v>
      </c>
      <c r="C764" s="1" t="n">
        <v>45725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32886-2021</t>
        </is>
      </c>
      <c r="B765" s="1" t="n">
        <v>44375</v>
      </c>
      <c r="C765" s="1" t="n">
        <v>45725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32878-2021</t>
        </is>
      </c>
      <c r="B766" s="1" t="n">
        <v>44375</v>
      </c>
      <c r="C766" s="1" t="n">
        <v>45725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32890-2021</t>
        </is>
      </c>
      <c r="B767" s="1" t="n">
        <v>44375</v>
      </c>
      <c r="C767" s="1" t="n">
        <v>45725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33319-2021</t>
        </is>
      </c>
      <c r="B768" s="1" t="n">
        <v>44377</v>
      </c>
      <c r="C768" s="1" t="n">
        <v>45725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33393-2021</t>
        </is>
      </c>
      <c r="B769" s="1" t="n">
        <v>44377</v>
      </c>
      <c r="C769" s="1" t="n">
        <v>45725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33605-2021</t>
        </is>
      </c>
      <c r="B770" s="1" t="n">
        <v>44378</v>
      </c>
      <c r="C770" s="1" t="n">
        <v>45725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33609-2021</t>
        </is>
      </c>
      <c r="B771" s="1" t="n">
        <v>44378</v>
      </c>
      <c r="C771" s="1" t="n">
        <v>45725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33767-2021</t>
        </is>
      </c>
      <c r="B772" s="1" t="n">
        <v>44378</v>
      </c>
      <c r="C772" s="1" t="n">
        <v>45725</v>
      </c>
      <c r="D772" t="inlineStr">
        <is>
          <t>GÄVLEBORGS LÄN</t>
        </is>
      </c>
      <c r="E772" t="inlineStr">
        <is>
          <t>LJUSDAL</t>
        </is>
      </c>
      <c r="F772" t="inlineStr">
        <is>
          <t>Kommuner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34566-2021</t>
        </is>
      </c>
      <c r="B773" s="1" t="n">
        <v>44382</v>
      </c>
      <c r="C773" s="1" t="n">
        <v>45725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34651-2021</t>
        </is>
      </c>
      <c r="B774" s="1" t="n">
        <v>44382</v>
      </c>
      <c r="C774" s="1" t="n">
        <v>45725</v>
      </c>
      <c r="D774" t="inlineStr">
        <is>
          <t>GÄVLEBORGS LÄN</t>
        </is>
      </c>
      <c r="E774" t="inlineStr">
        <is>
          <t>LJUSDAL</t>
        </is>
      </c>
      <c r="F774" t="inlineStr">
        <is>
          <t>SCA</t>
        </is>
      </c>
      <c r="G774" t="n">
        <v>15.5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34522-2021</t>
        </is>
      </c>
      <c r="B775" s="1" t="n">
        <v>44382</v>
      </c>
      <c r="C775" s="1" t="n">
        <v>45725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35259-2021</t>
        </is>
      </c>
      <c r="B776" s="1" t="n">
        <v>44384</v>
      </c>
      <c r="C776" s="1" t="n">
        <v>45725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21.7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35455-2021</t>
        </is>
      </c>
      <c r="B777" s="1" t="n">
        <v>44385</v>
      </c>
      <c r="C777" s="1" t="n">
        <v>45725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35931-2021</t>
        </is>
      </c>
      <c r="B778" s="1" t="n">
        <v>44388</v>
      </c>
      <c r="C778" s="1" t="n">
        <v>45725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35976-2021</t>
        </is>
      </c>
      <c r="B779" s="1" t="n">
        <v>44389</v>
      </c>
      <c r="C779" s="1" t="n">
        <v>45725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36256-2021</t>
        </is>
      </c>
      <c r="B780" s="1" t="n">
        <v>44390</v>
      </c>
      <c r="C780" s="1" t="n">
        <v>45725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36323-2021</t>
        </is>
      </c>
      <c r="B781" s="1" t="n">
        <v>44390</v>
      </c>
      <c r="C781" s="1" t="n">
        <v>45725</v>
      </c>
      <c r="D781" t="inlineStr">
        <is>
          <t>GÄVLEBORGS LÄN</t>
        </is>
      </c>
      <c r="E781" t="inlineStr">
        <is>
          <t>LJUSDAL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36252-2021</t>
        </is>
      </c>
      <c r="B782" s="1" t="n">
        <v>44390</v>
      </c>
      <c r="C782" s="1" t="n">
        <v>45725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36568-2021</t>
        </is>
      </c>
      <c r="B783" s="1" t="n">
        <v>44391</v>
      </c>
      <c r="C783" s="1" t="n">
        <v>45725</v>
      </c>
      <c r="D783" t="inlineStr">
        <is>
          <t>GÄVLEBORGS LÄN</t>
        </is>
      </c>
      <c r="E783" t="inlineStr">
        <is>
          <t>LJUSDAL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36713-2021</t>
        </is>
      </c>
      <c r="B784" s="1" t="n">
        <v>44392</v>
      </c>
      <c r="C784" s="1" t="n">
        <v>45725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36698-2021</t>
        </is>
      </c>
      <c r="B785" s="1" t="n">
        <v>44392</v>
      </c>
      <c r="C785" s="1" t="n">
        <v>45725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36885-2021</t>
        </is>
      </c>
      <c r="B786" s="1" t="n">
        <v>44393</v>
      </c>
      <c r="C786" s="1" t="n">
        <v>45725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9.300000000000001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37199-2021</t>
        </is>
      </c>
      <c r="B787" s="1" t="n">
        <v>44396</v>
      </c>
      <c r="C787" s="1" t="n">
        <v>45725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37219-2021</t>
        </is>
      </c>
      <c r="B788" s="1" t="n">
        <v>44396</v>
      </c>
      <c r="C788" s="1" t="n">
        <v>45725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37253-2021</t>
        </is>
      </c>
      <c r="B789" s="1" t="n">
        <v>44397</v>
      </c>
      <c r="C789" s="1" t="n">
        <v>45725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37249-2021</t>
        </is>
      </c>
      <c r="B790" s="1" t="n">
        <v>44397</v>
      </c>
      <c r="C790" s="1" t="n">
        <v>45725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37402-2021</t>
        </is>
      </c>
      <c r="B791" s="1" t="n">
        <v>44398</v>
      </c>
      <c r="C791" s="1" t="n">
        <v>45725</v>
      </c>
      <c r="D791" t="inlineStr">
        <is>
          <t>GÄVLEBORGS LÄN</t>
        </is>
      </c>
      <c r="E791" t="inlineStr">
        <is>
          <t>LJUSDAL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37473-2021</t>
        </is>
      </c>
      <c r="B792" s="1" t="n">
        <v>44398</v>
      </c>
      <c r="C792" s="1" t="n">
        <v>45725</v>
      </c>
      <c r="D792" t="inlineStr">
        <is>
          <t>GÄVLEBORGS LÄN</t>
        </is>
      </c>
      <c r="E792" t="inlineStr">
        <is>
          <t>LJUSDAL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37643-2021</t>
        </is>
      </c>
      <c r="B793" s="1" t="n">
        <v>44400</v>
      </c>
      <c r="C793" s="1" t="n">
        <v>45725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HYPERLINK("https://klasma.github.io/Logging_2161/knärot/A 37643-2021 karta knärot.png", "A 37643-2021")</f>
        <v/>
      </c>
      <c r="V793">
        <f>HYPERLINK("https://klasma.github.io/Logging_2161/klagomål/A 37643-2021 FSC-klagomål.docx", "A 37643-2021")</f>
        <v/>
      </c>
      <c r="W793">
        <f>HYPERLINK("https://klasma.github.io/Logging_2161/klagomålsmail/A 37643-2021 FSC-klagomål mail.docx", "A 37643-2021")</f>
        <v/>
      </c>
      <c r="X793">
        <f>HYPERLINK("https://klasma.github.io/Logging_2161/tillsyn/A 37643-2021 tillsynsbegäran.docx", "A 37643-2021")</f>
        <v/>
      </c>
      <c r="Y793">
        <f>HYPERLINK("https://klasma.github.io/Logging_2161/tillsynsmail/A 37643-2021 tillsynsbegäran mail.docx", "A 37643-2021")</f>
        <v/>
      </c>
    </row>
    <row r="794" ht="15" customHeight="1">
      <c r="A794" t="inlineStr">
        <is>
          <t>A 37647-2021</t>
        </is>
      </c>
      <c r="B794" s="1" t="n">
        <v>44400</v>
      </c>
      <c r="C794" s="1" t="n">
        <v>45725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37646-2021</t>
        </is>
      </c>
      <c r="B795" s="1" t="n">
        <v>44400</v>
      </c>
      <c r="C795" s="1" t="n">
        <v>45725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37640-2021</t>
        </is>
      </c>
      <c r="B796" s="1" t="n">
        <v>44400</v>
      </c>
      <c r="C796" s="1" t="n">
        <v>45725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37644-2021</t>
        </is>
      </c>
      <c r="B797" s="1" t="n">
        <v>44400</v>
      </c>
      <c r="C797" s="1" t="n">
        <v>45725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37645-2021</t>
        </is>
      </c>
      <c r="B798" s="1" t="n">
        <v>44400</v>
      </c>
      <c r="C798" s="1" t="n">
        <v>45725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37649-2021</t>
        </is>
      </c>
      <c r="B799" s="1" t="n">
        <v>44400</v>
      </c>
      <c r="C799" s="1" t="n">
        <v>45725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37664-2021</t>
        </is>
      </c>
      <c r="B800" s="1" t="n">
        <v>44400</v>
      </c>
      <c r="C800" s="1" t="n">
        <v>45725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37903-2021</t>
        </is>
      </c>
      <c r="B801" s="1" t="n">
        <v>44403</v>
      </c>
      <c r="C801" s="1" t="n">
        <v>45725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37970-2021</t>
        </is>
      </c>
      <c r="B802" s="1" t="n">
        <v>44403</v>
      </c>
      <c r="C802" s="1" t="n">
        <v>45725</v>
      </c>
      <c r="D802" t="inlineStr">
        <is>
          <t>GÄVLEBORGS LÄN</t>
        </is>
      </c>
      <c r="E802" t="inlineStr">
        <is>
          <t>LJUSDAL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38040-2021</t>
        </is>
      </c>
      <c r="B803" s="1" t="n">
        <v>44404</v>
      </c>
      <c r="C803" s="1" t="n">
        <v>45725</v>
      </c>
      <c r="D803" t="inlineStr">
        <is>
          <t>GÄVLEBORGS LÄN</t>
        </is>
      </c>
      <c r="E803" t="inlineStr">
        <is>
          <t>LJUSDAL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38113-2021</t>
        </is>
      </c>
      <c r="B804" s="1" t="n">
        <v>44405</v>
      </c>
      <c r="C804" s="1" t="n">
        <v>45725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38109-2021</t>
        </is>
      </c>
      <c r="B805" s="1" t="n">
        <v>44405</v>
      </c>
      <c r="C805" s="1" t="n">
        <v>45725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38267-2021</t>
        </is>
      </c>
      <c r="B806" s="1" t="n">
        <v>44405</v>
      </c>
      <c r="C806" s="1" t="n">
        <v>45725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38331-2021</t>
        </is>
      </c>
      <c r="B807" s="1" t="n">
        <v>44406</v>
      </c>
      <c r="C807" s="1" t="n">
        <v>45725</v>
      </c>
      <c r="D807" t="inlineStr">
        <is>
          <t>GÄVLEBORGS LÄN</t>
        </is>
      </c>
      <c r="E807" t="inlineStr">
        <is>
          <t>LJUSDAL</t>
        </is>
      </c>
      <c r="F807" t="inlineStr">
        <is>
          <t>Allmännings- och besparingsskogar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40009-2021</t>
        </is>
      </c>
      <c r="B808" s="1" t="n">
        <v>44418</v>
      </c>
      <c r="C808" s="1" t="n">
        <v>45725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40000-2021</t>
        </is>
      </c>
      <c r="B809" s="1" t="n">
        <v>44418</v>
      </c>
      <c r="C809" s="1" t="n">
        <v>45725</v>
      </c>
      <c r="D809" t="inlineStr">
        <is>
          <t>GÄVLEBORGS LÄN</t>
        </is>
      </c>
      <c r="E809" t="inlineStr">
        <is>
          <t>LJUSDAL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40345-2021</t>
        </is>
      </c>
      <c r="B810" s="1" t="n">
        <v>44419</v>
      </c>
      <c r="C810" s="1" t="n">
        <v>45725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40431-2021</t>
        </is>
      </c>
      <c r="B811" s="1" t="n">
        <v>44419</v>
      </c>
      <c r="C811" s="1" t="n">
        <v>45725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41280-2021</t>
        </is>
      </c>
      <c r="B812" s="1" t="n">
        <v>44424</v>
      </c>
      <c r="C812" s="1" t="n">
        <v>45725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41544-2021</t>
        </is>
      </c>
      <c r="B813" s="1" t="n">
        <v>44425</v>
      </c>
      <c r="C813" s="1" t="n">
        <v>45725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41663-2021</t>
        </is>
      </c>
      <c r="B814" s="1" t="n">
        <v>44425</v>
      </c>
      <c r="C814" s="1" t="n">
        <v>45725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41919-2021</t>
        </is>
      </c>
      <c r="B815" s="1" t="n">
        <v>44426</v>
      </c>
      <c r="C815" s="1" t="n">
        <v>45725</v>
      </c>
      <c r="D815" t="inlineStr">
        <is>
          <t>GÄVLEBORGS LÄN</t>
        </is>
      </c>
      <c r="E815" t="inlineStr">
        <is>
          <t>LJUSDAL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42553-2021</t>
        </is>
      </c>
      <c r="B816" s="1" t="n">
        <v>44427</v>
      </c>
      <c r="C816" s="1" t="n">
        <v>45725</v>
      </c>
      <c r="D816" t="inlineStr">
        <is>
          <t>GÄVLEBORGS LÄN</t>
        </is>
      </c>
      <c r="E816" t="inlineStr">
        <is>
          <t>LJUSDAL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42759-2021</t>
        </is>
      </c>
      <c r="B817" s="1" t="n">
        <v>44428</v>
      </c>
      <c r="C817" s="1" t="n">
        <v>45725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42763-2021</t>
        </is>
      </c>
      <c r="B818" s="1" t="n">
        <v>44428</v>
      </c>
      <c r="C818" s="1" t="n">
        <v>45725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45725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45725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45725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45725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45725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45725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45725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45725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45725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45725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45725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45725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45725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45725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45725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45725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45725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45725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45725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45725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45725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45725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45725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45725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45725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45725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45725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45725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45725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45725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45725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45725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45725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45725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45725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45725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45725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45725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45725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45725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45725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45725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45725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45725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45725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45725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45725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45725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45725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45725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45725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45725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45725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45725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45725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45725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45725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45725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45725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45725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45725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45725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45725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45725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45725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45725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45725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45725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45725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45725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45725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45725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45725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45725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45725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45725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45725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45725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45725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45725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45725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45725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45725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45725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45725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45725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45725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45725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45725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45725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45725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45725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45725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45725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45725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45725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45725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45725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45725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45725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45725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45725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45725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45725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45725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45725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45725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45725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45725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45725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45725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45725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45725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45725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45725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45725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45725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45725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45725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45725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45725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45725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45725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45725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45725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45725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45725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45725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45725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45725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45725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45725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45725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45725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45725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45725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45725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45725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45725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45725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45725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45725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45725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45725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45725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45725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45725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45725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45725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45725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45725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45725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45725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45725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45725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45725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45725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45725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45725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45725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45725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45725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45725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45725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45725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45725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45725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45725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45725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45725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45725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45725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45725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45725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45725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45725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45725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45725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45725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45725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45725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45725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45725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45725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45725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45725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45725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45725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45725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45725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45725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45725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45725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45725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45725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45725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45725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45725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45725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45725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45725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45725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45725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45725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45725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45725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45725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45725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45725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45725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45725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45725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45725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45725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45725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45725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45725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45725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45725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45725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45725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45725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45725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45725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45725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45725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45725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45725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45725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45725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45725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45725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45725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45725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45725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45725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45725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45725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45725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45725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45725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45725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45725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45725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45725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45725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45725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45725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45725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45725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45725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45725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45725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45725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45725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45725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45725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45725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45725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45725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45725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45725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45725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45725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45725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45725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45725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45725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45725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45725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45725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45725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45725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45725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45725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45725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45725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45725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45725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45725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45725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45725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45725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45725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45725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45725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45725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45725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45725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45725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45725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45725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45725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45725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45725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45725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45725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45725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45725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45725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45725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45725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45725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45725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45725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45725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45725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45725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45725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45725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45725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45725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45725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45725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45725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45725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45725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45725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45725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45725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45725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45725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45725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45725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45725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45725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45725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45725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45725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45725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45725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45725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45725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45725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45725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45725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45725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45725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45725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45725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45725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45725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45725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45725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45725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45725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45725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45725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45725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45725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45725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45725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45725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45725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45725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45725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45725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45725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45725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45725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45725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45725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45725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45725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45725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45725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45725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45725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45725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45725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45725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45725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45725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45725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45725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45725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45725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45725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45725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45725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45725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45725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45725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45725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45725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45725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45725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45725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45725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45725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45725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45725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45725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45725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45725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45725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45725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45725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45725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45725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45725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45725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45725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45725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45725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45725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45725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45725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45725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45725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45725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45725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45725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45725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45725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45725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45725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45725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45725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45725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45725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45725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45725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45725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45725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45725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45725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45725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45725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45725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45725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45725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45725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45725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45725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45725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45725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45725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45725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45725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45725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45725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45725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45725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45725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45725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45725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45725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45725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45725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45725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45725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45725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45725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45725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45725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45725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45725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45725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45725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45725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45725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45725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45725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45725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45725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45725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45725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45725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45725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45725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45725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45725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45725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45725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45725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45725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45725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45725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45725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45725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45725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45725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45725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45725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45725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45725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45725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45725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45725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45725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45725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45725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45725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45725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45725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45725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45725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45725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45725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45725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45725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45725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45725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45725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45725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45725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45725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45725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45725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45725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45725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45725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45725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45725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45725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45725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45725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45725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45725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45725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45725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45725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45725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45725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45725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45725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45725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45725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45725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45725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45725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45725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45725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45725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45725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45725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45725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45725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45725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45725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45725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45725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45725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45725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45725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45725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45725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45725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45725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45725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45725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45725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45725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45725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45725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45725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45725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45725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45725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45725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45725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45725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45725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45725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45725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45725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45725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45725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45725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45725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45725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45725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45725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45725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45725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45725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45725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45725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45725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45725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45725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45725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45725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45725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45725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45725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45725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45725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45725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45725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45725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45725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45725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45725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45725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45725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45725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45725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45725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45725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45725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45725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45725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45725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45725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45725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45725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45725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45725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45725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45725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45725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45725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45725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45725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45725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45725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45725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45725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45725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45725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45725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45725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45725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45725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45725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45725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45725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45725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45725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45725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45725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45725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45725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45725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45725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45725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45725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45725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45725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45725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45725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45725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45725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45725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45725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45725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45725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45725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45725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45725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45725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45725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45725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45725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45725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45725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45725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45725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45725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45725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45725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45725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45725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45725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45725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45725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45725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45725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45725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45725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45725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45725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45725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45725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45725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45725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45725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45725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45725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45725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45725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45725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45725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45725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45725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45725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45725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45725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45725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45725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45725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45725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45725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45725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45725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45725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45725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45725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45725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45725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45725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45725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45725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45725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45725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45725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45725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45725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45725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45725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45725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45725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45725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45725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45725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45725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45725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45725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45725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45725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45725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45725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45725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45725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45725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45725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45725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45725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45725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45725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45725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45725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45725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45725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45725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45725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45725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45725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45725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45725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45725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45725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45725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45725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45725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45725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45725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45725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45725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45725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45725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45725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45725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45725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45725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45725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45725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45725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45725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45725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45725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45725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45725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45725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45725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45725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45725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45725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45725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45725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45725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45725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45725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45725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45725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45725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45725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45725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45725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45725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45725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45725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45725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45725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45725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45725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45725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45725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45725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45725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45725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45725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45725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45725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45725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45725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45725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45725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45725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45725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45725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45725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45725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45725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45725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45725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45725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45725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45725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45725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45725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45725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45725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45725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45725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45725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45725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45725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45725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45725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45725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45725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45725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45725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45725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45725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45725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45725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45725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45725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45725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45725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45725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45725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45725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45725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45725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45725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45725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45725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45725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45725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45725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45725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45725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45725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45725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45725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45725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45725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45725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45725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45725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45725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45725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45725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45725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45725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45725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45725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45725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45725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45725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45725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45725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45725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45725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45725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45725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45725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45725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45725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45725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45725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45725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45725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45725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45725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45725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45725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45725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45725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45725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45725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45725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45725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45725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45725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45725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45725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45725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45725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45725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45725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45725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45725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45725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45725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45725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45725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45725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45725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45725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45725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45725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45725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45725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45725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45725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45725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45725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45725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45725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45725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45725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45725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45725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45725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45725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45725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45725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45725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45725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45725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45725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45725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45725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45725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45725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45725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45725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45725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45725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45725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45725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45725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45725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45725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45725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45725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45725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45725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45725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45725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45725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45725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45725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45725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45725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45725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45725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45725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45725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45725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45725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45725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45725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45725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45725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45725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45725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45725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45725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45725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45725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45725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45725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45725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45725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45725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45725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45725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45725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45725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45725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45725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45725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45725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45725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45725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45725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45725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45725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45725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45725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45725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45725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45725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45725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45725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45725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45725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45725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45725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45725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45725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45725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45725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45725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45725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45725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45725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45725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45725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45725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45725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45725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45725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45725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45725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45725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45725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45725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45725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45725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45725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45725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45725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45725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45725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45725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45725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45725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45725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45725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45725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45725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45725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45725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45725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45725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45725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45725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45725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45725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45725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45725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45725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45725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45725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45725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45725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45725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45725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45725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45725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45725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45725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45725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45725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45725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45725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45725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45725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45725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45725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45725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45725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45725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45725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45725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45725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45725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45725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45725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45725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45725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45725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45725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45725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45725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45725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45725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45725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45725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45725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45725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45725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45725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45725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45725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45725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45725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45725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45725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45725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45725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45725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45725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45725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45725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45725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45725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45725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45725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45725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45725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45725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45725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45725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45725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45725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45725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45725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45725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45725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45725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45725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45725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45725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45725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45725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45725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45725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45725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45725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45725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45725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45725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45725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45725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45725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45725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45725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45725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45725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45725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45725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45725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45725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45725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45725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45725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45725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45725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45725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45725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45725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45725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45725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45725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45725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45725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45725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45725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45725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45725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45725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45725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45725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45725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45725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45725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45725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45725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45725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45725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45725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45725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45725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45725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45725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45725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45725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45725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45725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45725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45725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45725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45725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45725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45725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45725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45725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45725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45725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45725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45725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45725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45725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45725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45725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45725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45725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45725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45725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45725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45725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45725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45725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45725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45725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45725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45725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45725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45725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45725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45725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45725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45725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45725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45725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45725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45725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45725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45725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45725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45725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45725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45725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45725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45725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45725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45725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45725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45725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45725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45725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45725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45725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45725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45725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45725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45725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45725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45725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45725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45725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45725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45725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45725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45725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45725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45725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45725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45725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45725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45725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45725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45725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45725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45725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45725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45725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45725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45725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45725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45725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45725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45725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45725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45725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45725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45725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45725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45725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45725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45725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45725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45725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45725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45725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45725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45725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45725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45725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45725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45725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45725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45725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45725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45725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45725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45725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45725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45725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45725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45725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45725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45725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45725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45725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45725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45725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45725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45725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45725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45725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45725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45725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45725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45725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45725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45725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45725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45725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45725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45725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45725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45725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45725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45725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45725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45725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45725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45725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45725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45725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45725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45725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45725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45725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45725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45725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45725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45725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45725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45725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45725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45725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45725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45725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45725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45725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45725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45725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45725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45725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45725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45725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45725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45725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45725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45725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45725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45725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45725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45725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45725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45725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45725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45725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45725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45725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45725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45725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45725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45725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45725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45725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45725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45725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45725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45725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45725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45725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45725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45725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45725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45725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45725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45725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45725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45725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45725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45725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45725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45725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45725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45725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45725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45725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45725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45725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45725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45725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45725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45725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45725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45725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45725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45725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45725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45725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45725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45725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45725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45725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45725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45725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45725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45725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45725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45725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45725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45725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45725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45725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45725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45725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45725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45725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45725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45725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45725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45725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45725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45725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45725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45725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45725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45725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45725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45725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45725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45725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45725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45725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45725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45725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45725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45725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45725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45725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45725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45725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45725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45725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45725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45725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45725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45725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45725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45725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45725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45725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45725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45725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45725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45725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45725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45725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45725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45725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45725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45725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45725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45725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45725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45725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45725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45725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45725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45725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45725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45725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45725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45725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45725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45725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45725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45725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45725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45725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45725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45725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45725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45725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45725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45725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45725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45725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45725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45725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45725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45725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45725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45725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45725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45725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45725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45725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45725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45725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45725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45725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45725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45725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45725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45725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45725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45725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45725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45725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45725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45725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45725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45725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45725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45725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45725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45725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45725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45725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45725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45725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45725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45725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45725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45725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45725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45725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45725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45725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45725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45725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45725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45725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45725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45725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45725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45725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45725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45725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45725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45725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45725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45725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45725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45725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45725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45725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45725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45725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45725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45725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45725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45725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45725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45725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45725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45725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45725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45725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45725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45725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45725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45725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45725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45725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45725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45725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45725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45725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45725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45725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45725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45725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45725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45725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45725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45725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45725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45725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45725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45725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45725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45725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45725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45725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45725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45725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45725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45725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45725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45725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45725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45725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45725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45725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45725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45725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45725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45725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45725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45725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45725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45725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45725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45725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45725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45725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45725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45725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45725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45725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45725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45725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45725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45725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45725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45725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45725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45725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45725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45725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45725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45725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45725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45725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45725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45725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45725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45725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45725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45725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45725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45725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45725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45725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45725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45725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45725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45725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45725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45725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45725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45725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45725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45725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45725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45725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45725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45725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45725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45725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45725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45725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45725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45725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45725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45725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45725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45725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45725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45725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45725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45725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45725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45725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45725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45725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45725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45725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45725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45725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45725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45725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45725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45725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45725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45725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45725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45725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45725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45725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45725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45725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45725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45725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45725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45725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45725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45725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45725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45725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45725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45725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45725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45725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45725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45725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45725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45725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45725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45725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45725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45725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45725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45725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45725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45725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45725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45725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45725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45725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45725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45725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45725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45725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45725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45725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45725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45725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45725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45725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45725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45725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45725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45725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45725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45725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45725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45725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45725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45725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45725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45725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45725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45725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45725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45725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45725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45725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45725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45725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45725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45725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45725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45725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45725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45725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45725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45725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45725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45725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45725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45725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45725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45725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45725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45725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45725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45725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45725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45725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45725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45725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45725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45725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45725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45725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45725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45725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45725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45725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45725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45725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45725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45725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45725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45725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45725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45725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45725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45725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45725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45725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45725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45725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45725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45725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45725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45725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45725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45725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45725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45725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45725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45725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45725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45725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45725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45725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45725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45725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45725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45725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45725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45725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45725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45725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45725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45725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45725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45725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45725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45725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45725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45725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45725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45725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45725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45725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45725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45725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45725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45725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45725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45725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45725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45725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45725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45725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45725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45725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45725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45725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45725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45725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45725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45725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45725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45725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45725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45725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45725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45725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45725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45725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45725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45725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45725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45725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45725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45725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45725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45725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45725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45725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45725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45725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45725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45725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45725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45725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45725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45725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45725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45725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45725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45725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45725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45725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45725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45725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45725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45725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45725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45725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45725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45725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45725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45725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45725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45725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45725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45725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45725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45725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45725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45725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45725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45725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45725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45725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45725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45725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45725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45725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45725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45725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45725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45725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45725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45725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45725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45725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45725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45725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45725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45725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45725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45725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45725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45725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45725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45725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45725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45725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45725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45725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45725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45725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45725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45725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45725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45725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45725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45725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45725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45725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45725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45725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45725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45725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45725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45725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45725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45725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45725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45725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45725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45725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45725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45725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45725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45725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45725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45725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45725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45725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45725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45725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45725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45725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45725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45725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45725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45725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45725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45725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45725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45725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45725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45725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45725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45725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45725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45725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45725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45725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45725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45725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45725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45725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45725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45725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45725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45725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45725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45725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45725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45725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45725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45725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45725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45725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45725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45725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45725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45725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6468-2025</t>
        </is>
      </c>
      <c r="B2793" s="1" t="n">
        <v>45699</v>
      </c>
      <c r="C2793" s="1" t="n">
        <v>45725</v>
      </c>
      <c r="D2793" t="inlineStr">
        <is>
          <t>GÄVLEBORGS LÄN</t>
        </is>
      </c>
      <c r="E2793" t="inlineStr">
        <is>
          <t>LJUSDAL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45725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45725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45725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45725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45725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45725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45725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45725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45725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45725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45725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45725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45725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8434-2025</t>
        </is>
      </c>
      <c r="B2807" s="1" t="n">
        <v>45709</v>
      </c>
      <c r="C2807" s="1" t="n">
        <v>45725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45725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45725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45725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45725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45725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9812-2025</t>
        </is>
      </c>
      <c r="B2813" s="1" t="n">
        <v>45716</v>
      </c>
      <c r="C2813" s="1" t="n">
        <v>45725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45725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45725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45725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45725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45725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>
      <c r="A2819" t="inlineStr">
        <is>
          <t>A 10521-2025</t>
        </is>
      </c>
      <c r="B2819" s="1" t="n">
        <v>45721</v>
      </c>
      <c r="C2819" s="1" t="n">
        <v>45725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2025-03-09T17:24:07Z</dcterms:created>
  <dcterms:modified xmlns:dcterms="http://purl.org/dc/terms/" xmlns:xsi="http://www.w3.org/2001/XMLSchema-instance" xsi:type="dcterms:W3CDTF">2025-03-09T17:24:10Z</dcterms:modified>
</cp:coreProperties>
</file>