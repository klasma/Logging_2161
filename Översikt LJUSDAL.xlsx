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46036</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46036</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8590-2025</t>
        </is>
      </c>
      <c r="B8" s="1" t="n">
        <v>45709</v>
      </c>
      <c r="C8" s="1" t="n">
        <v>46036</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46036</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46036</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46036</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46036</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46036</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46036</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46036</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46036</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46036</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46036</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46036</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59809-2025</t>
        </is>
      </c>
      <c r="B21" s="1" t="n">
        <v>45992.62988425926</v>
      </c>
      <c r="C21" s="1" t="n">
        <v>46036</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28754-2024</t>
        </is>
      </c>
      <c r="B22" s="1" t="n">
        <v>45478</v>
      </c>
      <c r="C22" s="1" t="n">
        <v>46036</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46036</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46036</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35555-2025</t>
        </is>
      </c>
      <c r="B25" s="1" t="n">
        <v>45856</v>
      </c>
      <c r="C25" s="1" t="n">
        <v>46036</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46036</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46036</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46036</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46036</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46036</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31613-2025</t>
        </is>
      </c>
      <c r="B31" s="1" t="n">
        <v>45833.80734953703</v>
      </c>
      <c r="C31" s="1" t="n">
        <v>46036</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32589-2025</t>
        </is>
      </c>
      <c r="B32" s="1" t="n">
        <v>45838.6058912037</v>
      </c>
      <c r="C32" s="1" t="n">
        <v>46036</v>
      </c>
      <c r="D32" t="inlineStr">
        <is>
          <t>GÄVLEBORGS LÄN</t>
        </is>
      </c>
      <c r="E32" t="inlineStr">
        <is>
          <t>LJUSDAL</t>
        </is>
      </c>
      <c r="F32" t="inlineStr">
        <is>
          <t>Bergvik skog väst AB</t>
        </is>
      </c>
      <c r="G32" t="n">
        <v>7.6</v>
      </c>
      <c r="H32" t="n">
        <v>5</v>
      </c>
      <c r="I32" t="n">
        <v>4</v>
      </c>
      <c r="J32" t="n">
        <v>3</v>
      </c>
      <c r="K32" t="n">
        <v>0</v>
      </c>
      <c r="L32" t="n">
        <v>0</v>
      </c>
      <c r="M32" t="n">
        <v>0</v>
      </c>
      <c r="N32" t="n">
        <v>0</v>
      </c>
      <c r="O32" t="n">
        <v>3</v>
      </c>
      <c r="P32" t="n">
        <v>0</v>
      </c>
      <c r="Q32" t="n">
        <v>10</v>
      </c>
      <c r="R32" s="2" t="inlineStr">
        <is>
          <t>Garnlav
Lunglav
Talltita
Luddlav
Spindelblomster
Tibast
Ögonpyrola
Fläcknycklar
Fläcknycklar × brudsporre
Nattviol</t>
        </is>
      </c>
      <c r="S32">
        <f>HYPERLINK("https://klasma.github.io/Logging_2161/artfynd/A 32589-2025 artfynd.xlsx", "A 32589-2025")</f>
        <v/>
      </c>
      <c r="T32">
        <f>HYPERLINK("https://klasma.github.io/Logging_2161/kartor/A 32589-2025 karta.png", "A 32589-2025")</f>
        <v/>
      </c>
      <c r="U32">
        <f>HYPERLINK("https://klasma.github.io/Logging_2161/knärot/A 32589-2025 karta knärot.png", "A 32589-2025")</f>
        <v/>
      </c>
      <c r="V32">
        <f>HYPERLINK("https://klasma.github.io/Logging_2161/klagomål/A 32589-2025 FSC-klagomål.docx", "A 32589-2025")</f>
        <v/>
      </c>
      <c r="W32">
        <f>HYPERLINK("https://klasma.github.io/Logging_2161/klagomålsmail/A 32589-2025 FSC-klagomål mail.docx", "A 32589-2025")</f>
        <v/>
      </c>
      <c r="X32">
        <f>HYPERLINK("https://klasma.github.io/Logging_2161/tillsyn/A 32589-2025 tillsynsbegäran.docx", "A 32589-2025")</f>
        <v/>
      </c>
      <c r="Y32">
        <f>HYPERLINK("https://klasma.github.io/Logging_2161/tillsynsmail/A 32589-2025 tillsynsbegäran mail.docx", "A 32589-2025")</f>
        <v/>
      </c>
      <c r="Z32">
        <f>HYPERLINK("https://klasma.github.io/Logging_2161/fåglar/A 32589-2025 prioriterade fågelarter.docx", "A 32589-2025")</f>
        <v/>
      </c>
    </row>
    <row r="33" ht="15" customHeight="1">
      <c r="A33" t="inlineStr">
        <is>
          <t>A 37449-2025</t>
        </is>
      </c>
      <c r="B33" s="1" t="n">
        <v>45877.55246527777</v>
      </c>
      <c r="C33" s="1" t="n">
        <v>46036</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24465-2025</t>
        </is>
      </c>
      <c r="B34" s="1" t="n">
        <v>45798</v>
      </c>
      <c r="C34" s="1" t="n">
        <v>46036</v>
      </c>
      <c r="D34" t="inlineStr">
        <is>
          <t>GÄVLEBORGS LÄN</t>
        </is>
      </c>
      <c r="E34" t="inlineStr">
        <is>
          <t>LJUSDAL</t>
        </is>
      </c>
      <c r="F34" t="inlineStr">
        <is>
          <t>Bergvik skog väst AB</t>
        </is>
      </c>
      <c r="G34" t="n">
        <v>5.1</v>
      </c>
      <c r="H34" t="n">
        <v>2</v>
      </c>
      <c r="I34" t="n">
        <v>4</v>
      </c>
      <c r="J34" t="n">
        <v>5</v>
      </c>
      <c r="K34" t="n">
        <v>0</v>
      </c>
      <c r="L34" t="n">
        <v>0</v>
      </c>
      <c r="M34" t="n">
        <v>0</v>
      </c>
      <c r="N34" t="n">
        <v>0</v>
      </c>
      <c r="O34" t="n">
        <v>5</v>
      </c>
      <c r="P34" t="n">
        <v>0</v>
      </c>
      <c r="Q34" t="n">
        <v>10</v>
      </c>
      <c r="R34" s="2" t="inlineStr">
        <is>
          <t>Dvärgbägarlav
Kolflarnlav
Kortskaftad ärgspik
Lunglav
Mörk kolflarnlav
Bårdlav
Korallblylav
Mörk husmossa
Spindelblomster
Fläcknycklar</t>
        </is>
      </c>
      <c r="S34">
        <f>HYPERLINK("https://klasma.github.io/Logging_2161/artfynd/A 24465-2025 artfynd.xlsx", "A 24465-2025")</f>
        <v/>
      </c>
      <c r="T34">
        <f>HYPERLINK("https://klasma.github.io/Logging_2161/kartor/A 24465-2025 karta.png", "A 24465-2025")</f>
        <v/>
      </c>
      <c r="U34">
        <f>HYPERLINK("https://klasma.github.io/Logging_2161/knärot/A 24465-2025 karta knärot.png", "A 24465-2025")</f>
        <v/>
      </c>
      <c r="V34">
        <f>HYPERLINK("https://klasma.github.io/Logging_2161/klagomål/A 24465-2025 FSC-klagomål.docx", "A 24465-2025")</f>
        <v/>
      </c>
      <c r="W34">
        <f>HYPERLINK("https://klasma.github.io/Logging_2161/klagomålsmail/A 24465-2025 FSC-klagomål mail.docx", "A 24465-2025")</f>
        <v/>
      </c>
      <c r="X34">
        <f>HYPERLINK("https://klasma.github.io/Logging_2161/tillsyn/A 24465-2025 tillsynsbegäran.docx", "A 24465-2025")</f>
        <v/>
      </c>
      <c r="Y34">
        <f>HYPERLINK("https://klasma.github.io/Logging_2161/tillsynsmail/A 24465-2025 tillsynsbegäran mail.docx", "A 24465-2025")</f>
        <v/>
      </c>
    </row>
    <row r="35" ht="15" customHeight="1">
      <c r="A35" t="inlineStr">
        <is>
          <t>A 33353-2024</t>
        </is>
      </c>
      <c r="B35" s="1" t="n">
        <v>45519.38559027778</v>
      </c>
      <c r="C35" s="1" t="n">
        <v>46036</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28996-2025</t>
        </is>
      </c>
      <c r="B36" s="1" t="n">
        <v>45821</v>
      </c>
      <c r="C36" s="1" t="n">
        <v>46036</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44476-2025</t>
        </is>
      </c>
      <c r="B37" s="1" t="n">
        <v>45916.64443287037</v>
      </c>
      <c r="C37" s="1" t="n">
        <v>46036</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53660-2025</t>
        </is>
      </c>
      <c r="B38" s="1" t="n">
        <v>45960.54017361111</v>
      </c>
      <c r="C38" s="1" t="n">
        <v>46036</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22588-2025</t>
        </is>
      </c>
      <c r="B39" s="1" t="n">
        <v>45789.40025462963</v>
      </c>
      <c r="C39" s="1" t="n">
        <v>46036</v>
      </c>
      <c r="D39" t="inlineStr">
        <is>
          <t>GÄVLEBORGS LÄN</t>
        </is>
      </c>
      <c r="E39" t="inlineStr">
        <is>
          <t>LJUSDAL</t>
        </is>
      </c>
      <c r="F39" t="inlineStr">
        <is>
          <t>Allmännings- och besparingsskogar</t>
        </is>
      </c>
      <c r="G39" t="n">
        <v>29.7</v>
      </c>
      <c r="H39" t="n">
        <v>2</v>
      </c>
      <c r="I39" t="n">
        <v>2</v>
      </c>
      <c r="J39" t="n">
        <v>6</v>
      </c>
      <c r="K39" t="n">
        <v>1</v>
      </c>
      <c r="L39" t="n">
        <v>0</v>
      </c>
      <c r="M39" t="n">
        <v>0</v>
      </c>
      <c r="N39" t="n">
        <v>0</v>
      </c>
      <c r="O39" t="n">
        <v>7</v>
      </c>
      <c r="P39" t="n">
        <v>1</v>
      </c>
      <c r="Q39" t="n">
        <v>9</v>
      </c>
      <c r="R39" s="2" t="inlineStr">
        <is>
          <t>Knärot
Dvärgbägarlav
Garnlav
Lunglav
Mörk kolflarnlav
Ullticka
Vedskivlav
Spindelblomster
Vedticka</t>
        </is>
      </c>
      <c r="S39">
        <f>HYPERLINK("https://klasma.github.io/Logging_2161/artfynd/A 22588-2025 artfynd.xlsx", "A 22588-2025")</f>
        <v/>
      </c>
      <c r="T39">
        <f>HYPERLINK("https://klasma.github.io/Logging_2161/kartor/A 22588-2025 karta.png", "A 22588-2025")</f>
        <v/>
      </c>
      <c r="U39">
        <f>HYPERLINK("https://klasma.github.io/Logging_2161/knärot/A 22588-2025 karta knärot.png", "A 22588-2025")</f>
        <v/>
      </c>
      <c r="V39">
        <f>HYPERLINK("https://klasma.github.io/Logging_2161/klagomål/A 22588-2025 FSC-klagomål.docx", "A 22588-2025")</f>
        <v/>
      </c>
      <c r="W39">
        <f>HYPERLINK("https://klasma.github.io/Logging_2161/klagomålsmail/A 22588-2025 FSC-klagomål mail.docx", "A 22588-2025")</f>
        <v/>
      </c>
      <c r="X39">
        <f>HYPERLINK("https://klasma.github.io/Logging_2161/tillsyn/A 22588-2025 tillsynsbegäran.docx", "A 22588-2025")</f>
        <v/>
      </c>
      <c r="Y39">
        <f>HYPERLINK("https://klasma.github.io/Logging_2161/tillsynsmail/A 22588-2025 tillsynsbegäran mail.docx", "A 22588-2025")</f>
        <v/>
      </c>
    </row>
    <row r="40" ht="15" customHeight="1">
      <c r="A40" t="inlineStr">
        <is>
          <t>A 20596-2025</t>
        </is>
      </c>
      <c r="B40" s="1" t="n">
        <v>45775.74341435185</v>
      </c>
      <c r="C40" s="1" t="n">
        <v>46036</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46036</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46036</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46036</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46036</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46036</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48335-2025</t>
        </is>
      </c>
      <c r="B46" s="1" t="n">
        <v>45933.6359837963</v>
      </c>
      <c r="C46" s="1" t="n">
        <v>46036</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46036</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21134-2024</t>
        </is>
      </c>
      <c r="B48" s="1" t="n">
        <v>45440</v>
      </c>
      <c r="C48" s="1" t="n">
        <v>46036</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53690-2025</t>
        </is>
      </c>
      <c r="B49" s="1" t="n">
        <v>45960.5815162037</v>
      </c>
      <c r="C49" s="1" t="n">
        <v>46036</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46036</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55957-2025</t>
        </is>
      </c>
      <c r="B51" s="1" t="n">
        <v>45973.47646990741</v>
      </c>
      <c r="C51" s="1" t="n">
        <v>46036</v>
      </c>
      <c r="D51" t="inlineStr">
        <is>
          <t>GÄVLEBORGS LÄN</t>
        </is>
      </c>
      <c r="E51" t="inlineStr">
        <is>
          <t>LJUSDAL</t>
        </is>
      </c>
      <c r="F51" t="inlineStr">
        <is>
          <t>Allmännings- och besparingsskogar</t>
        </is>
      </c>
      <c r="G51" t="n">
        <v>26.7</v>
      </c>
      <c r="H51" t="n">
        <v>0</v>
      </c>
      <c r="I51" t="n">
        <v>3</v>
      </c>
      <c r="J51" t="n">
        <v>4</v>
      </c>
      <c r="K51" t="n">
        <v>0</v>
      </c>
      <c r="L51" t="n">
        <v>0</v>
      </c>
      <c r="M51" t="n">
        <v>0</v>
      </c>
      <c r="N51" t="n">
        <v>0</v>
      </c>
      <c r="O51" t="n">
        <v>4</v>
      </c>
      <c r="P51" t="n">
        <v>0</v>
      </c>
      <c r="Q51" t="n">
        <v>7</v>
      </c>
      <c r="R51" s="2" t="inlineStr">
        <is>
          <t>Garnlav
Kolflarnlav
Mörk kolflarnlav
Vedskivlav
Dropptaggsvamp
Mindre märgborre
Rävticka</t>
        </is>
      </c>
      <c r="S51">
        <f>HYPERLINK("https://klasma.github.io/Logging_2161/artfynd/A 55957-2025 artfynd.xlsx", "A 55957-2025")</f>
        <v/>
      </c>
      <c r="T51">
        <f>HYPERLINK("https://klasma.github.io/Logging_2161/kartor/A 55957-2025 karta.png", "A 55957-2025")</f>
        <v/>
      </c>
      <c r="V51">
        <f>HYPERLINK("https://klasma.github.io/Logging_2161/klagomål/A 55957-2025 FSC-klagomål.docx", "A 55957-2025")</f>
        <v/>
      </c>
      <c r="W51">
        <f>HYPERLINK("https://klasma.github.io/Logging_2161/klagomålsmail/A 55957-2025 FSC-klagomål mail.docx", "A 55957-2025")</f>
        <v/>
      </c>
      <c r="X51">
        <f>HYPERLINK("https://klasma.github.io/Logging_2161/tillsyn/A 55957-2025 tillsynsbegäran.docx", "A 55957-2025")</f>
        <v/>
      </c>
      <c r="Y51">
        <f>HYPERLINK("https://klasma.github.io/Logging_2161/tillsynsmail/A 55957-2025 tillsynsbegäran mail.docx", "A 55957-2025")</f>
        <v/>
      </c>
    </row>
    <row r="52" ht="15" customHeight="1">
      <c r="A52" t="inlineStr">
        <is>
          <t>A 51222-2023</t>
        </is>
      </c>
      <c r="B52" s="1" t="n">
        <v>45219.45547453704</v>
      </c>
      <c r="C52" s="1" t="n">
        <v>46036</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46036</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28859-2025</t>
        </is>
      </c>
      <c r="B54" s="1" t="n">
        <v>45820</v>
      </c>
      <c r="C54" s="1" t="n">
        <v>46036</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46036</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32574-2025</t>
        </is>
      </c>
      <c r="B56" s="1" t="n">
        <v>45838.58512731481</v>
      </c>
      <c r="C56" s="1" t="n">
        <v>46036</v>
      </c>
      <c r="D56" t="inlineStr">
        <is>
          <t>GÄVLEBORGS LÄN</t>
        </is>
      </c>
      <c r="E56" t="inlineStr">
        <is>
          <t>LJUSDAL</t>
        </is>
      </c>
      <c r="F56" t="inlineStr">
        <is>
          <t>Bergvik skog väst AB</t>
        </is>
      </c>
      <c r="G56" t="n">
        <v>8.6</v>
      </c>
      <c r="H56" t="n">
        <v>3</v>
      </c>
      <c r="I56" t="n">
        <v>0</v>
      </c>
      <c r="J56" t="n">
        <v>4</v>
      </c>
      <c r="K56" t="n">
        <v>0</v>
      </c>
      <c r="L56" t="n">
        <v>0</v>
      </c>
      <c r="M56" t="n">
        <v>0</v>
      </c>
      <c r="N56" t="n">
        <v>0</v>
      </c>
      <c r="O56" t="n">
        <v>4</v>
      </c>
      <c r="P56" t="n">
        <v>0</v>
      </c>
      <c r="Q56" t="n">
        <v>6</v>
      </c>
      <c r="R56" s="2" t="inlineStr">
        <is>
          <t>Garnlav
Kolflarnlav
Mörk kolflarnlav
Talltita
Grönsiska
Fläcknycklar</t>
        </is>
      </c>
      <c r="S56">
        <f>HYPERLINK("https://klasma.github.io/Logging_2161/artfynd/A 32574-2025 artfynd.xlsx", "A 32574-2025")</f>
        <v/>
      </c>
      <c r="T56">
        <f>HYPERLINK("https://klasma.github.io/Logging_2161/kartor/A 32574-2025 karta.png", "A 32574-2025")</f>
        <v/>
      </c>
      <c r="V56">
        <f>HYPERLINK("https://klasma.github.io/Logging_2161/klagomål/A 32574-2025 FSC-klagomål.docx", "A 32574-2025")</f>
        <v/>
      </c>
      <c r="W56">
        <f>HYPERLINK("https://klasma.github.io/Logging_2161/klagomålsmail/A 32574-2025 FSC-klagomål mail.docx", "A 32574-2025")</f>
        <v/>
      </c>
      <c r="X56">
        <f>HYPERLINK("https://klasma.github.io/Logging_2161/tillsyn/A 32574-2025 tillsynsbegäran.docx", "A 32574-2025")</f>
        <v/>
      </c>
      <c r="Y56">
        <f>HYPERLINK("https://klasma.github.io/Logging_2161/tillsynsmail/A 32574-2025 tillsynsbegäran mail.docx", "A 32574-2025")</f>
        <v/>
      </c>
      <c r="Z56">
        <f>HYPERLINK("https://klasma.github.io/Logging_2161/fåglar/A 32574-2025 prioriterade fågelarter.docx", "A 32574-2025")</f>
        <v/>
      </c>
    </row>
    <row r="57" ht="15" customHeight="1">
      <c r="A57" t="inlineStr">
        <is>
          <t>A 32579-2025</t>
        </is>
      </c>
      <c r="B57" s="1" t="n">
        <v>45838.59387731482</v>
      </c>
      <c r="C57" s="1" t="n">
        <v>46036</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34286-2025</t>
        </is>
      </c>
      <c r="B58" s="1" t="n">
        <v>45846</v>
      </c>
      <c r="C58" s="1" t="n">
        <v>46036</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44198-2025</t>
        </is>
      </c>
      <c r="B59" s="1" t="n">
        <v>45915.62078703703</v>
      </c>
      <c r="C59" s="1" t="n">
        <v>46036</v>
      </c>
      <c r="D59" t="inlineStr">
        <is>
          <t>GÄVLEBORGS LÄN</t>
        </is>
      </c>
      <c r="E59" t="inlineStr">
        <is>
          <t>LJUSDAL</t>
        </is>
      </c>
      <c r="F59" t="inlineStr">
        <is>
          <t>Sveaskog</t>
        </is>
      </c>
      <c r="G59" t="n">
        <v>17.7</v>
      </c>
      <c r="H59" t="n">
        <v>4</v>
      </c>
      <c r="I59" t="n">
        <v>1</v>
      </c>
      <c r="J59" t="n">
        <v>3</v>
      </c>
      <c r="K59" t="n">
        <v>1</v>
      </c>
      <c r="L59" t="n">
        <v>0</v>
      </c>
      <c r="M59" t="n">
        <v>0</v>
      </c>
      <c r="N59" t="n">
        <v>0</v>
      </c>
      <c r="O59" t="n">
        <v>4</v>
      </c>
      <c r="P59" t="n">
        <v>1</v>
      </c>
      <c r="Q59" t="n">
        <v>6</v>
      </c>
      <c r="R59" s="2" t="inlineStr">
        <is>
          <t>Knärot
Kolflarnlav
Talltita
Violettgrå tagellav
Plattlummer
Revlummer</t>
        </is>
      </c>
      <c r="S59">
        <f>HYPERLINK("https://klasma.github.io/Logging_2161/artfynd/A 44198-2025 artfynd.xlsx", "A 44198-2025")</f>
        <v/>
      </c>
      <c r="T59">
        <f>HYPERLINK("https://klasma.github.io/Logging_2161/kartor/A 44198-2025 karta.png", "A 44198-2025")</f>
        <v/>
      </c>
      <c r="U59">
        <f>HYPERLINK("https://klasma.github.io/Logging_2161/knärot/A 44198-2025 karta knärot.png", "A 44198-2025")</f>
        <v/>
      </c>
      <c r="V59">
        <f>HYPERLINK("https://klasma.github.io/Logging_2161/klagomål/A 44198-2025 FSC-klagomål.docx", "A 44198-2025")</f>
        <v/>
      </c>
      <c r="W59">
        <f>HYPERLINK("https://klasma.github.io/Logging_2161/klagomålsmail/A 44198-2025 FSC-klagomål mail.docx", "A 44198-2025")</f>
        <v/>
      </c>
      <c r="X59">
        <f>HYPERLINK("https://klasma.github.io/Logging_2161/tillsyn/A 44198-2025 tillsynsbegäran.docx", "A 44198-2025")</f>
        <v/>
      </c>
      <c r="Y59">
        <f>HYPERLINK("https://klasma.github.io/Logging_2161/tillsynsmail/A 44198-2025 tillsynsbegäran mail.docx", "A 44198-2025")</f>
        <v/>
      </c>
      <c r="Z59">
        <f>HYPERLINK("https://klasma.github.io/Logging_2161/fåglar/A 44198-2025 prioriterade fågelarter.docx", "A 44198-2025")</f>
        <v/>
      </c>
    </row>
    <row r="60" ht="15" customHeight="1">
      <c r="A60" t="inlineStr">
        <is>
          <t>A 35605-2025</t>
        </is>
      </c>
      <c r="B60" s="1" t="n">
        <v>45859.32651620371</v>
      </c>
      <c r="C60" s="1" t="n">
        <v>46036</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44202-2025</t>
        </is>
      </c>
      <c r="B61" s="1" t="n">
        <v>45915.62459490741</v>
      </c>
      <c r="C61" s="1" t="n">
        <v>46036</v>
      </c>
      <c r="D61" t="inlineStr">
        <is>
          <t>GÄVLEBORGS LÄN</t>
        </is>
      </c>
      <c r="E61" t="inlineStr">
        <is>
          <t>LJUSDAL</t>
        </is>
      </c>
      <c r="F61" t="inlineStr">
        <is>
          <t>Sveaskog</t>
        </is>
      </c>
      <c r="G61" t="n">
        <v>3.8</v>
      </c>
      <c r="H61" t="n">
        <v>3</v>
      </c>
      <c r="I61" t="n">
        <v>0</v>
      </c>
      <c r="J61" t="n">
        <v>3</v>
      </c>
      <c r="K61" t="n">
        <v>1</v>
      </c>
      <c r="L61" t="n">
        <v>0</v>
      </c>
      <c r="M61" t="n">
        <v>0</v>
      </c>
      <c r="N61" t="n">
        <v>0</v>
      </c>
      <c r="O61" t="n">
        <v>4</v>
      </c>
      <c r="P61" t="n">
        <v>1</v>
      </c>
      <c r="Q61" t="n">
        <v>6</v>
      </c>
      <c r="R61" s="2" t="inlineStr">
        <is>
          <t>Knärot
Lunglav
Skrovellav
Violettgrå tagellav
Lavskrika
Revlummer</t>
        </is>
      </c>
      <c r="S61">
        <f>HYPERLINK("https://klasma.github.io/Logging_2161/artfynd/A 44202-2025 artfynd.xlsx", "A 44202-2025")</f>
        <v/>
      </c>
      <c r="T61">
        <f>HYPERLINK("https://klasma.github.io/Logging_2161/kartor/A 44202-2025 karta.png", "A 44202-2025")</f>
        <v/>
      </c>
      <c r="U61">
        <f>HYPERLINK("https://klasma.github.io/Logging_2161/knärot/A 44202-2025 karta knärot.png", "A 44202-2025")</f>
        <v/>
      </c>
      <c r="V61">
        <f>HYPERLINK("https://klasma.github.io/Logging_2161/klagomål/A 44202-2025 FSC-klagomål.docx", "A 44202-2025")</f>
        <v/>
      </c>
      <c r="W61">
        <f>HYPERLINK("https://klasma.github.io/Logging_2161/klagomålsmail/A 44202-2025 FSC-klagomål mail.docx", "A 44202-2025")</f>
        <v/>
      </c>
      <c r="X61">
        <f>HYPERLINK("https://klasma.github.io/Logging_2161/tillsyn/A 44202-2025 tillsynsbegäran.docx", "A 44202-2025")</f>
        <v/>
      </c>
      <c r="Y61">
        <f>HYPERLINK("https://klasma.github.io/Logging_2161/tillsynsmail/A 44202-2025 tillsynsbegäran mail.docx", "A 44202-2025")</f>
        <v/>
      </c>
      <c r="Z61">
        <f>HYPERLINK("https://klasma.github.io/Logging_2161/fåglar/A 44202-2025 prioriterade fågelarter.docx", "A 44202-2025")</f>
        <v/>
      </c>
    </row>
    <row r="62" ht="15" customHeight="1">
      <c r="A62" t="inlineStr">
        <is>
          <t>A 36356-2025</t>
        </is>
      </c>
      <c r="B62" s="1" t="n">
        <v>45868.5106712963</v>
      </c>
      <c r="C62" s="1" t="n">
        <v>46036</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45388-2024</t>
        </is>
      </c>
      <c r="B63" s="1" t="n">
        <v>45576.54619212963</v>
      </c>
      <c r="C63" s="1" t="n">
        <v>46036</v>
      </c>
      <c r="D63" t="inlineStr">
        <is>
          <t>GÄVLEBORGS LÄN</t>
        </is>
      </c>
      <c r="E63" t="inlineStr">
        <is>
          <t>LJUSDAL</t>
        </is>
      </c>
      <c r="F63" t="inlineStr">
        <is>
          <t>Sveaskog</t>
        </is>
      </c>
      <c r="G63" t="n">
        <v>13.2</v>
      </c>
      <c r="H63" t="n">
        <v>1</v>
      </c>
      <c r="I63" t="n">
        <v>3</v>
      </c>
      <c r="J63" t="n">
        <v>3</v>
      </c>
      <c r="K63" t="n">
        <v>0</v>
      </c>
      <c r="L63" t="n">
        <v>0</v>
      </c>
      <c r="M63" t="n">
        <v>0</v>
      </c>
      <c r="N63" t="n">
        <v>0</v>
      </c>
      <c r="O63" t="n">
        <v>3</v>
      </c>
      <c r="P63" t="n">
        <v>0</v>
      </c>
      <c r="Q63" t="n">
        <v>6</v>
      </c>
      <c r="R63" s="2" t="inlineStr">
        <is>
          <t>Garnlav
Talltita
Vedskivlav
Gullgröppa
Mindre märgborre
Skinnlav</t>
        </is>
      </c>
      <c r="S63">
        <f>HYPERLINK("https://klasma.github.io/Logging_2161/artfynd/A 45388-2024 artfynd.xlsx", "A 45388-2024")</f>
        <v/>
      </c>
      <c r="T63">
        <f>HYPERLINK("https://klasma.github.io/Logging_2161/kartor/A 45388-2024 karta.png", "A 45388-2024")</f>
        <v/>
      </c>
      <c r="V63">
        <f>HYPERLINK("https://klasma.github.io/Logging_2161/klagomål/A 45388-2024 FSC-klagomål.docx", "A 45388-2024")</f>
        <v/>
      </c>
      <c r="W63">
        <f>HYPERLINK("https://klasma.github.io/Logging_2161/klagomålsmail/A 45388-2024 FSC-klagomål mail.docx", "A 45388-2024")</f>
        <v/>
      </c>
      <c r="X63">
        <f>HYPERLINK("https://klasma.github.io/Logging_2161/tillsyn/A 45388-2024 tillsynsbegäran.docx", "A 45388-2024")</f>
        <v/>
      </c>
      <c r="Y63">
        <f>HYPERLINK("https://klasma.github.io/Logging_2161/tillsynsmail/A 45388-2024 tillsynsbegäran mail.docx", "A 45388-2024")</f>
        <v/>
      </c>
      <c r="Z63">
        <f>HYPERLINK("https://klasma.github.io/Logging_2161/fåglar/A 45388-2024 prioriterade fågelarter.docx", "A 45388-2024")</f>
        <v/>
      </c>
    </row>
    <row r="64" ht="15" customHeight="1">
      <c r="A64" t="inlineStr">
        <is>
          <t>A 32783-2022</t>
        </is>
      </c>
      <c r="B64" s="1" t="n">
        <v>44784</v>
      </c>
      <c r="C64" s="1" t="n">
        <v>46036</v>
      </c>
      <c r="D64" t="inlineStr">
        <is>
          <t>GÄVLEBORGS LÄN</t>
        </is>
      </c>
      <c r="E64" t="inlineStr">
        <is>
          <t>LJUSDAL</t>
        </is>
      </c>
      <c r="F64" t="inlineStr">
        <is>
          <t>Sveaskog</t>
        </is>
      </c>
      <c r="G64" t="n">
        <v>12.7</v>
      </c>
      <c r="H64" t="n">
        <v>0</v>
      </c>
      <c r="I64" t="n">
        <v>2</v>
      </c>
      <c r="J64" t="n">
        <v>4</v>
      </c>
      <c r="K64" t="n">
        <v>0</v>
      </c>
      <c r="L64" t="n">
        <v>0</v>
      </c>
      <c r="M64" t="n">
        <v>0</v>
      </c>
      <c r="N64" t="n">
        <v>0</v>
      </c>
      <c r="O64" t="n">
        <v>4</v>
      </c>
      <c r="P64" t="n">
        <v>0</v>
      </c>
      <c r="Q64" t="n">
        <v>6</v>
      </c>
      <c r="R64" s="2" t="inlineStr">
        <is>
          <t>Dvärgbägarlav
Garnlav
Kolflarnlav
Mörk kolflarnlav
Dropptaggsvamp
Skarp dropptaggsvamp</t>
        </is>
      </c>
      <c r="S64">
        <f>HYPERLINK("https://klasma.github.io/Logging_2161/artfynd/A 32783-2022 artfynd.xlsx", "A 32783-2022")</f>
        <v/>
      </c>
      <c r="T64">
        <f>HYPERLINK("https://klasma.github.io/Logging_2161/kartor/A 32783-2022 karta.png", "A 32783-2022")</f>
        <v/>
      </c>
      <c r="V64">
        <f>HYPERLINK("https://klasma.github.io/Logging_2161/klagomål/A 32783-2022 FSC-klagomål.docx", "A 32783-2022")</f>
        <v/>
      </c>
      <c r="W64">
        <f>HYPERLINK("https://klasma.github.io/Logging_2161/klagomålsmail/A 32783-2022 FSC-klagomål mail.docx", "A 32783-2022")</f>
        <v/>
      </c>
      <c r="X64">
        <f>HYPERLINK("https://klasma.github.io/Logging_2161/tillsyn/A 32783-2022 tillsynsbegäran.docx", "A 32783-2022")</f>
        <v/>
      </c>
      <c r="Y64">
        <f>HYPERLINK("https://klasma.github.io/Logging_2161/tillsynsmail/A 32783-2022 tillsynsbegäran mail.docx", "A 32783-2022")</f>
        <v/>
      </c>
    </row>
    <row r="65" ht="15" customHeight="1">
      <c r="A65" t="inlineStr">
        <is>
          <t>A 18705-2022</t>
        </is>
      </c>
      <c r="B65" s="1" t="n">
        <v>44687</v>
      </c>
      <c r="C65" s="1" t="n">
        <v>46036</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63252-2023</t>
        </is>
      </c>
      <c r="B66" s="1" t="n">
        <v>45273</v>
      </c>
      <c r="C66" s="1" t="n">
        <v>46036</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24031-2025</t>
        </is>
      </c>
      <c r="B67" s="1" t="n">
        <v>45796.47767361111</v>
      </c>
      <c r="C67" s="1" t="n">
        <v>46036</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31524-2022</t>
        </is>
      </c>
      <c r="B68" s="1" t="n">
        <v>44775</v>
      </c>
      <c r="C68" s="1" t="n">
        <v>46036</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46036</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28531-2025</t>
        </is>
      </c>
      <c r="B70" s="1" t="n">
        <v>45819.49947916667</v>
      </c>
      <c r="C70" s="1" t="n">
        <v>46036</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39028-2025</t>
        </is>
      </c>
      <c r="B71" s="1" t="n">
        <v>45888.40666666667</v>
      </c>
      <c r="C71" s="1" t="n">
        <v>46036</v>
      </c>
      <c r="D71" t="inlineStr">
        <is>
          <t>GÄVLEBORGS LÄN</t>
        </is>
      </c>
      <c r="E71" t="inlineStr">
        <is>
          <t>LJUSDAL</t>
        </is>
      </c>
      <c r="F71" t="inlineStr">
        <is>
          <t>SCA</t>
        </is>
      </c>
      <c r="G71" t="n">
        <v>21.4</v>
      </c>
      <c r="H71" t="n">
        <v>2</v>
      </c>
      <c r="I71" t="n">
        <v>1</v>
      </c>
      <c r="J71" t="n">
        <v>2</v>
      </c>
      <c r="K71" t="n">
        <v>0</v>
      </c>
      <c r="L71" t="n">
        <v>0</v>
      </c>
      <c r="M71" t="n">
        <v>0</v>
      </c>
      <c r="N71" t="n">
        <v>0</v>
      </c>
      <c r="O71" t="n">
        <v>2</v>
      </c>
      <c r="P71" t="n">
        <v>0</v>
      </c>
      <c r="Q71" t="n">
        <v>5</v>
      </c>
      <c r="R71" s="2" t="inlineStr">
        <is>
          <t>Gammelgransskål
Garnlav
Spädstarr
Nattviol
Revlummer</t>
        </is>
      </c>
      <c r="S71">
        <f>HYPERLINK("https://klasma.github.io/Logging_2161/artfynd/A 39028-2025 artfynd.xlsx", "A 39028-2025")</f>
        <v/>
      </c>
      <c r="T71">
        <f>HYPERLINK("https://klasma.github.io/Logging_2161/kartor/A 39028-2025 karta.png", "A 39028-2025")</f>
        <v/>
      </c>
      <c r="V71">
        <f>HYPERLINK("https://klasma.github.io/Logging_2161/klagomål/A 39028-2025 FSC-klagomål.docx", "A 39028-2025")</f>
        <v/>
      </c>
      <c r="W71">
        <f>HYPERLINK("https://klasma.github.io/Logging_2161/klagomålsmail/A 39028-2025 FSC-klagomål mail.docx", "A 39028-2025")</f>
        <v/>
      </c>
      <c r="X71">
        <f>HYPERLINK("https://klasma.github.io/Logging_2161/tillsyn/A 39028-2025 tillsynsbegäran.docx", "A 39028-2025")</f>
        <v/>
      </c>
      <c r="Y71">
        <f>HYPERLINK("https://klasma.github.io/Logging_2161/tillsynsmail/A 39028-2025 tillsynsbegäran mail.docx", "A 39028-2025")</f>
        <v/>
      </c>
    </row>
    <row r="72" ht="15" customHeight="1">
      <c r="A72" t="inlineStr">
        <is>
          <t>A 40143-2025</t>
        </is>
      </c>
      <c r="B72" s="1" t="n">
        <v>45894.57269675926</v>
      </c>
      <c r="C72" s="1" t="n">
        <v>46036</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32536-2025</t>
        </is>
      </c>
      <c r="B73" s="1" t="n">
        <v>45838.49390046296</v>
      </c>
      <c r="C73" s="1" t="n">
        <v>46036</v>
      </c>
      <c r="D73" t="inlineStr">
        <is>
          <t>GÄVLEBORGS LÄN</t>
        </is>
      </c>
      <c r="E73" t="inlineStr">
        <is>
          <t>LJUSDAL</t>
        </is>
      </c>
      <c r="F73" t="inlineStr">
        <is>
          <t>Sveaskog</t>
        </is>
      </c>
      <c r="G73" t="n">
        <v>4.6</v>
      </c>
      <c r="H73" t="n">
        <v>0</v>
      </c>
      <c r="I73" t="n">
        <v>0</v>
      </c>
      <c r="J73" t="n">
        <v>5</v>
      </c>
      <c r="K73" t="n">
        <v>0</v>
      </c>
      <c r="L73" t="n">
        <v>0</v>
      </c>
      <c r="M73" t="n">
        <v>0</v>
      </c>
      <c r="N73" t="n">
        <v>0</v>
      </c>
      <c r="O73" t="n">
        <v>5</v>
      </c>
      <c r="P73" t="n">
        <v>0</v>
      </c>
      <c r="Q73" t="n">
        <v>5</v>
      </c>
      <c r="R73" s="2" t="inlineStr">
        <is>
          <t>Garnlav
Kolflarnlav
Lunglav
Skrovellav
Vedflamlav</t>
        </is>
      </c>
      <c r="S73">
        <f>HYPERLINK("https://klasma.github.io/Logging_2161/artfynd/A 32536-2025 artfynd.xlsx", "A 32536-2025")</f>
        <v/>
      </c>
      <c r="T73">
        <f>HYPERLINK("https://klasma.github.io/Logging_2161/kartor/A 32536-2025 karta.png", "A 32536-2025")</f>
        <v/>
      </c>
      <c r="V73">
        <f>HYPERLINK("https://klasma.github.io/Logging_2161/klagomål/A 32536-2025 FSC-klagomål.docx", "A 32536-2025")</f>
        <v/>
      </c>
      <c r="W73">
        <f>HYPERLINK("https://klasma.github.io/Logging_2161/klagomålsmail/A 32536-2025 FSC-klagomål mail.docx", "A 32536-2025")</f>
        <v/>
      </c>
      <c r="X73">
        <f>HYPERLINK("https://klasma.github.io/Logging_2161/tillsyn/A 32536-2025 tillsynsbegäran.docx", "A 32536-2025")</f>
        <v/>
      </c>
      <c r="Y73">
        <f>HYPERLINK("https://klasma.github.io/Logging_2161/tillsynsmail/A 32536-2025 tillsynsbegäran mail.docx", "A 32536-2025")</f>
        <v/>
      </c>
    </row>
    <row r="74" ht="15" customHeight="1">
      <c r="A74" t="inlineStr">
        <is>
          <t>A 42179-2025</t>
        </is>
      </c>
      <c r="B74" s="1" t="n">
        <v>45904.45008101852</v>
      </c>
      <c r="C74" s="1" t="n">
        <v>46036</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46036</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35626-2025</t>
        </is>
      </c>
      <c r="B76" s="1" t="n">
        <v>45859.43328703703</v>
      </c>
      <c r="C76" s="1" t="n">
        <v>46036</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46036</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21038-2025</t>
        </is>
      </c>
      <c r="B78" s="1" t="n">
        <v>45777.53201388889</v>
      </c>
      <c r="C78" s="1" t="n">
        <v>46036</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24824-2025</t>
        </is>
      </c>
      <c r="B79" s="1" t="n">
        <v>45799.45572916666</v>
      </c>
      <c r="C79" s="1" t="n">
        <v>46036</v>
      </c>
      <c r="D79" t="inlineStr">
        <is>
          <t>GÄVLEBORGS LÄN</t>
        </is>
      </c>
      <c r="E79" t="inlineStr">
        <is>
          <t>LJUSDAL</t>
        </is>
      </c>
      <c r="F79" t="inlineStr">
        <is>
          <t>Sveaskog</t>
        </is>
      </c>
      <c r="G79" t="n">
        <v>7</v>
      </c>
      <c r="H79" t="n">
        <v>2</v>
      </c>
      <c r="I79" t="n">
        <v>1</v>
      </c>
      <c r="J79" t="n">
        <v>3</v>
      </c>
      <c r="K79" t="n">
        <v>1</v>
      </c>
      <c r="L79" t="n">
        <v>0</v>
      </c>
      <c r="M79" t="n">
        <v>0</v>
      </c>
      <c r="N79" t="n">
        <v>0</v>
      </c>
      <c r="O79" t="n">
        <v>4</v>
      </c>
      <c r="P79" t="n">
        <v>1</v>
      </c>
      <c r="Q79" t="n">
        <v>5</v>
      </c>
      <c r="R79" s="2" t="inlineStr">
        <is>
          <t>Knärot
Garnlav
Lunglav
Skrovellav
Plattlummer</t>
        </is>
      </c>
      <c r="S79">
        <f>HYPERLINK("https://klasma.github.io/Logging_2161/artfynd/A 24824-2025 artfynd.xlsx", "A 24824-2025")</f>
        <v/>
      </c>
      <c r="T79">
        <f>HYPERLINK("https://klasma.github.io/Logging_2161/kartor/A 24824-2025 karta.png", "A 24824-2025")</f>
        <v/>
      </c>
      <c r="U79">
        <f>HYPERLINK("https://klasma.github.io/Logging_2161/knärot/A 24824-2025 karta knärot.png", "A 24824-2025")</f>
        <v/>
      </c>
      <c r="V79">
        <f>HYPERLINK("https://klasma.github.io/Logging_2161/klagomål/A 24824-2025 FSC-klagomål.docx", "A 24824-2025")</f>
        <v/>
      </c>
      <c r="W79">
        <f>HYPERLINK("https://klasma.github.io/Logging_2161/klagomålsmail/A 24824-2025 FSC-klagomål mail.docx", "A 24824-2025")</f>
        <v/>
      </c>
      <c r="X79">
        <f>HYPERLINK("https://klasma.github.io/Logging_2161/tillsyn/A 24824-2025 tillsynsbegäran.docx", "A 24824-2025")</f>
        <v/>
      </c>
      <c r="Y79">
        <f>HYPERLINK("https://klasma.github.io/Logging_2161/tillsynsmail/A 24824-2025 tillsynsbegäran mail.docx", "A 24824-2025")</f>
        <v/>
      </c>
    </row>
    <row r="80" ht="15" customHeight="1">
      <c r="A80" t="inlineStr">
        <is>
          <t>A 26085-2025</t>
        </is>
      </c>
      <c r="B80" s="1" t="n">
        <v>45805.34453703704</v>
      </c>
      <c r="C80" s="1" t="n">
        <v>46036</v>
      </c>
      <c r="D80" t="inlineStr">
        <is>
          <t>GÄVLEBORGS LÄN</t>
        </is>
      </c>
      <c r="E80" t="inlineStr">
        <is>
          <t>LJUSDAL</t>
        </is>
      </c>
      <c r="F80" t="inlineStr">
        <is>
          <t>SCA</t>
        </is>
      </c>
      <c r="G80" t="n">
        <v>11.3</v>
      </c>
      <c r="H80" t="n">
        <v>1</v>
      </c>
      <c r="I80" t="n">
        <v>3</v>
      </c>
      <c r="J80" t="n">
        <v>1</v>
      </c>
      <c r="K80" t="n">
        <v>0</v>
      </c>
      <c r="L80" t="n">
        <v>0</v>
      </c>
      <c r="M80" t="n">
        <v>0</v>
      </c>
      <c r="N80" t="n">
        <v>0</v>
      </c>
      <c r="O80" t="n">
        <v>1</v>
      </c>
      <c r="P80" t="n">
        <v>0</v>
      </c>
      <c r="Q80" t="n">
        <v>5</v>
      </c>
      <c r="R80" s="2" t="inlineStr">
        <is>
          <t>Skuggviol
Kransrams
Svart trolldruva
Underviol
Blåsippa</t>
        </is>
      </c>
      <c r="S80">
        <f>HYPERLINK("https://klasma.github.io/Logging_2161/artfynd/A 26085-2025 artfynd.xlsx", "A 26085-2025")</f>
        <v/>
      </c>
      <c r="T80">
        <f>HYPERLINK("https://klasma.github.io/Logging_2161/kartor/A 26085-2025 karta.png", "A 26085-2025")</f>
        <v/>
      </c>
      <c r="V80">
        <f>HYPERLINK("https://klasma.github.io/Logging_2161/klagomål/A 26085-2025 FSC-klagomål.docx", "A 26085-2025")</f>
        <v/>
      </c>
      <c r="W80">
        <f>HYPERLINK("https://klasma.github.io/Logging_2161/klagomålsmail/A 26085-2025 FSC-klagomål mail.docx", "A 26085-2025")</f>
        <v/>
      </c>
      <c r="X80">
        <f>HYPERLINK("https://klasma.github.io/Logging_2161/tillsyn/A 26085-2025 tillsynsbegäran.docx", "A 26085-2025")</f>
        <v/>
      </c>
      <c r="Y80">
        <f>HYPERLINK("https://klasma.github.io/Logging_2161/tillsynsmail/A 26085-2025 tillsynsbegäran mail.docx", "A 26085-2025")</f>
        <v/>
      </c>
    </row>
    <row r="81" ht="15" customHeight="1">
      <c r="A81" t="inlineStr">
        <is>
          <t>A 26489-2025</t>
        </is>
      </c>
      <c r="B81" s="1" t="n">
        <v>45807.48326388889</v>
      </c>
      <c r="C81" s="1" t="n">
        <v>46036</v>
      </c>
      <c r="D81" t="inlineStr">
        <is>
          <t>GÄVLEBORGS LÄN</t>
        </is>
      </c>
      <c r="E81" t="inlineStr">
        <is>
          <t>LJUSDAL</t>
        </is>
      </c>
      <c r="G81" t="n">
        <v>14.8</v>
      </c>
      <c r="H81" t="n">
        <v>2</v>
      </c>
      <c r="I81" t="n">
        <v>1</v>
      </c>
      <c r="J81" t="n">
        <v>2</v>
      </c>
      <c r="K81" t="n">
        <v>0</v>
      </c>
      <c r="L81" t="n">
        <v>0</v>
      </c>
      <c r="M81" t="n">
        <v>0</v>
      </c>
      <c r="N81" t="n">
        <v>0</v>
      </c>
      <c r="O81" t="n">
        <v>2</v>
      </c>
      <c r="P81" t="n">
        <v>0</v>
      </c>
      <c r="Q81" t="n">
        <v>5</v>
      </c>
      <c r="R81" s="2" t="inlineStr">
        <is>
          <t>Gammelgransskål
Garnlav
Luddlav
Fläcknycklar
Revlummer</t>
        </is>
      </c>
      <c r="S81">
        <f>HYPERLINK("https://klasma.github.io/Logging_2161/artfynd/A 26489-2025 artfynd.xlsx", "A 26489-2025")</f>
        <v/>
      </c>
      <c r="T81">
        <f>HYPERLINK("https://klasma.github.io/Logging_2161/kartor/A 26489-2025 karta.png", "A 26489-2025")</f>
        <v/>
      </c>
      <c r="V81">
        <f>HYPERLINK("https://klasma.github.io/Logging_2161/klagomål/A 26489-2025 FSC-klagomål.docx", "A 26489-2025")</f>
        <v/>
      </c>
      <c r="W81">
        <f>HYPERLINK("https://klasma.github.io/Logging_2161/klagomålsmail/A 26489-2025 FSC-klagomål mail.docx", "A 26489-2025")</f>
        <v/>
      </c>
      <c r="X81">
        <f>HYPERLINK("https://klasma.github.io/Logging_2161/tillsyn/A 26489-2025 tillsynsbegäran.docx", "A 26489-2025")</f>
        <v/>
      </c>
      <c r="Y81">
        <f>HYPERLINK("https://klasma.github.io/Logging_2161/tillsynsmail/A 26489-2025 tillsynsbegäran mail.docx", "A 26489-2025")</f>
        <v/>
      </c>
    </row>
    <row r="82" ht="15" customHeight="1">
      <c r="A82" t="inlineStr">
        <is>
          <t>A 48181-2021</t>
        </is>
      </c>
      <c r="B82" s="1" t="n">
        <v>44449</v>
      </c>
      <c r="C82" s="1" t="n">
        <v>46036</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46036</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31615-2024</t>
        </is>
      </c>
      <c r="B84" s="1" t="n">
        <v>45506.45282407408</v>
      </c>
      <c r="C84" s="1" t="n">
        <v>46036</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27029-2025</t>
        </is>
      </c>
      <c r="B85" s="1" t="n">
        <v>45811.5847337963</v>
      </c>
      <c r="C85" s="1" t="n">
        <v>46036</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46036</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46036</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23393-2024</t>
        </is>
      </c>
      <c r="B88" s="1" t="n">
        <v>45453</v>
      </c>
      <c r="C88" s="1" t="n">
        <v>46036</v>
      </c>
      <c r="D88" t="inlineStr">
        <is>
          <t>GÄVLEBORGS LÄN</t>
        </is>
      </c>
      <c r="E88" t="inlineStr">
        <is>
          <t>LJUSDAL</t>
        </is>
      </c>
      <c r="G88" t="n">
        <v>4</v>
      </c>
      <c r="H88" t="n">
        <v>1</v>
      </c>
      <c r="I88" t="n">
        <v>0</v>
      </c>
      <c r="J88" t="n">
        <v>3</v>
      </c>
      <c r="K88" t="n">
        <v>0</v>
      </c>
      <c r="L88" t="n">
        <v>0</v>
      </c>
      <c r="M88" t="n">
        <v>0</v>
      </c>
      <c r="N88" t="n">
        <v>0</v>
      </c>
      <c r="O88" t="n">
        <v>3</v>
      </c>
      <c r="P88" t="n">
        <v>0</v>
      </c>
      <c r="Q88" t="n">
        <v>4</v>
      </c>
      <c r="R88" s="2" t="inlineStr">
        <is>
          <t>Kolflarnlav
Lunglav
Vedflamlav
Nattviol</t>
        </is>
      </c>
      <c r="S88">
        <f>HYPERLINK("https://klasma.github.io/Logging_2161/artfynd/A 23393-2024 artfynd.xlsx", "A 23393-2024")</f>
        <v/>
      </c>
      <c r="T88">
        <f>HYPERLINK("https://klasma.github.io/Logging_2161/kartor/A 23393-2024 karta.png", "A 23393-2024")</f>
        <v/>
      </c>
      <c r="V88">
        <f>HYPERLINK("https://klasma.github.io/Logging_2161/klagomål/A 23393-2024 FSC-klagomål.docx", "A 23393-2024")</f>
        <v/>
      </c>
      <c r="W88">
        <f>HYPERLINK("https://klasma.github.io/Logging_2161/klagomålsmail/A 23393-2024 FSC-klagomål mail.docx", "A 23393-2024")</f>
        <v/>
      </c>
      <c r="X88">
        <f>HYPERLINK("https://klasma.github.io/Logging_2161/tillsyn/A 23393-2024 tillsynsbegäran.docx", "A 23393-2024")</f>
        <v/>
      </c>
      <c r="Y88">
        <f>HYPERLINK("https://klasma.github.io/Logging_2161/tillsynsmail/A 23393-2024 tillsynsbegäran mail.docx", "A 23393-2024")</f>
        <v/>
      </c>
    </row>
    <row r="89" ht="15" customHeight="1">
      <c r="A89" t="inlineStr">
        <is>
          <t>A 40791-2025</t>
        </is>
      </c>
      <c r="B89" s="1" t="n">
        <v>45897.4484375</v>
      </c>
      <c r="C89" s="1" t="n">
        <v>46036</v>
      </c>
      <c r="D89" t="inlineStr">
        <is>
          <t>GÄVLEBORGS LÄN</t>
        </is>
      </c>
      <c r="E89" t="inlineStr">
        <is>
          <t>LJUSDAL</t>
        </is>
      </c>
      <c r="F89" t="inlineStr">
        <is>
          <t>SCA</t>
        </is>
      </c>
      <c r="G89" t="n">
        <v>1.6</v>
      </c>
      <c r="H89" t="n">
        <v>1</v>
      </c>
      <c r="I89" t="n">
        <v>2</v>
      </c>
      <c r="J89" t="n">
        <v>1</v>
      </c>
      <c r="K89" t="n">
        <v>0</v>
      </c>
      <c r="L89" t="n">
        <v>0</v>
      </c>
      <c r="M89" t="n">
        <v>0</v>
      </c>
      <c r="N89" t="n">
        <v>0</v>
      </c>
      <c r="O89" t="n">
        <v>1</v>
      </c>
      <c r="P89" t="n">
        <v>0</v>
      </c>
      <c r="Q89" t="n">
        <v>4</v>
      </c>
      <c r="R89" s="2" t="inlineStr">
        <is>
          <t>Lunglav
Gulnål
Stuplav
Revlummer</t>
        </is>
      </c>
      <c r="S89">
        <f>HYPERLINK("https://klasma.github.io/Logging_2161/artfynd/A 40791-2025 artfynd.xlsx", "A 40791-2025")</f>
        <v/>
      </c>
      <c r="T89">
        <f>HYPERLINK("https://klasma.github.io/Logging_2161/kartor/A 40791-2025 karta.png", "A 40791-2025")</f>
        <v/>
      </c>
      <c r="V89">
        <f>HYPERLINK("https://klasma.github.io/Logging_2161/klagomål/A 40791-2025 FSC-klagomål.docx", "A 40791-2025")</f>
        <v/>
      </c>
      <c r="W89">
        <f>HYPERLINK("https://klasma.github.io/Logging_2161/klagomålsmail/A 40791-2025 FSC-klagomål mail.docx", "A 40791-2025")</f>
        <v/>
      </c>
      <c r="X89">
        <f>HYPERLINK("https://klasma.github.io/Logging_2161/tillsyn/A 40791-2025 tillsynsbegäran.docx", "A 40791-2025")</f>
        <v/>
      </c>
      <c r="Y89">
        <f>HYPERLINK("https://klasma.github.io/Logging_2161/tillsynsmail/A 40791-2025 tillsynsbegäran mail.docx", "A 40791-2025")</f>
        <v/>
      </c>
    </row>
    <row r="90" ht="15" customHeight="1">
      <c r="A90" t="inlineStr">
        <is>
          <t>A 42022-2025</t>
        </is>
      </c>
      <c r="B90" s="1" t="n">
        <v>45903.59134259259</v>
      </c>
      <c r="C90" s="1" t="n">
        <v>46036</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46036</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42460-2025</t>
        </is>
      </c>
      <c r="B92" s="1" t="n">
        <v>45905.4566087963</v>
      </c>
      <c r="C92" s="1" t="n">
        <v>46036</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34231-2024</t>
        </is>
      </c>
      <c r="B93" s="1" t="n">
        <v>45524.56362268519</v>
      </c>
      <c r="C93" s="1" t="n">
        <v>46036</v>
      </c>
      <c r="D93" t="inlineStr">
        <is>
          <t>GÄVLEBORGS LÄN</t>
        </is>
      </c>
      <c r="E93" t="inlineStr">
        <is>
          <t>LJUSDAL</t>
        </is>
      </c>
      <c r="F93" t="inlineStr">
        <is>
          <t>Sveaskog</t>
        </is>
      </c>
      <c r="G93" t="n">
        <v>11.2</v>
      </c>
      <c r="H93" t="n">
        <v>3</v>
      </c>
      <c r="I93" t="n">
        <v>2</v>
      </c>
      <c r="J93" t="n">
        <v>1</v>
      </c>
      <c r="K93" t="n">
        <v>0</v>
      </c>
      <c r="L93" t="n">
        <v>0</v>
      </c>
      <c r="M93" t="n">
        <v>0</v>
      </c>
      <c r="N93" t="n">
        <v>0</v>
      </c>
      <c r="O93" t="n">
        <v>1</v>
      </c>
      <c r="P93" t="n">
        <v>0</v>
      </c>
      <c r="Q93" t="n">
        <v>4</v>
      </c>
      <c r="R93" s="2" t="inlineStr">
        <is>
          <t>Garnlav
Korallrot
Spindelblomster
Fläcknycklar</t>
        </is>
      </c>
      <c r="S93">
        <f>HYPERLINK("https://klasma.github.io/Logging_2161/artfynd/A 34231-2024 artfynd.xlsx", "A 34231-2024")</f>
        <v/>
      </c>
      <c r="T93">
        <f>HYPERLINK("https://klasma.github.io/Logging_2161/kartor/A 34231-2024 karta.png", "A 34231-2024")</f>
        <v/>
      </c>
      <c r="V93">
        <f>HYPERLINK("https://klasma.github.io/Logging_2161/klagomål/A 34231-2024 FSC-klagomål.docx", "A 34231-2024")</f>
        <v/>
      </c>
      <c r="W93">
        <f>HYPERLINK("https://klasma.github.io/Logging_2161/klagomålsmail/A 34231-2024 FSC-klagomål mail.docx", "A 34231-2024")</f>
        <v/>
      </c>
      <c r="X93">
        <f>HYPERLINK("https://klasma.github.io/Logging_2161/tillsyn/A 34231-2024 tillsynsbegäran.docx", "A 34231-2024")</f>
        <v/>
      </c>
      <c r="Y93">
        <f>HYPERLINK("https://klasma.github.io/Logging_2161/tillsynsmail/A 34231-2024 tillsynsbegäran mail.docx", "A 34231-2024")</f>
        <v/>
      </c>
    </row>
    <row r="94" ht="15" customHeight="1">
      <c r="A94" t="inlineStr">
        <is>
          <t>A 43829-2025</t>
        </is>
      </c>
      <c r="B94" s="1" t="n">
        <v>45912.62876157407</v>
      </c>
      <c r="C94" s="1" t="n">
        <v>46036</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36150-2025</t>
        </is>
      </c>
      <c r="B95" s="1" t="n">
        <v>45867.29993055556</v>
      </c>
      <c r="C95" s="1" t="n">
        <v>46036</v>
      </c>
      <c r="D95" t="inlineStr">
        <is>
          <t>GÄVLEBORGS LÄN</t>
        </is>
      </c>
      <c r="E95" t="inlineStr">
        <is>
          <t>LJUSDAL</t>
        </is>
      </c>
      <c r="F95" t="inlineStr">
        <is>
          <t>Bergvik skog väst AB</t>
        </is>
      </c>
      <c r="G95" t="n">
        <v>6.1</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HYPERLINK("https://klasma.github.io/Logging_2161/artfynd/A 36150-2025 artfynd.xlsx", "A 36150-2025")</f>
        <v/>
      </c>
      <c r="T95">
        <f>HYPERLINK("https://klasma.github.io/Logging_2161/kartor/A 36150-2025 karta.png", "A 36150-2025")</f>
        <v/>
      </c>
      <c r="V95">
        <f>HYPERLINK("https://klasma.github.io/Logging_2161/klagomål/A 36150-2025 FSC-klagomål.docx", "A 36150-2025")</f>
        <v/>
      </c>
      <c r="W95">
        <f>HYPERLINK("https://klasma.github.io/Logging_2161/klagomålsmail/A 36150-2025 FSC-klagomål mail.docx", "A 36150-2025")</f>
        <v/>
      </c>
      <c r="X95">
        <f>HYPERLINK("https://klasma.github.io/Logging_2161/tillsyn/A 36150-2025 tillsynsbegäran.docx", "A 36150-2025")</f>
        <v/>
      </c>
      <c r="Y95">
        <f>HYPERLINK("https://klasma.github.io/Logging_2161/tillsynsmail/A 36150-2025 tillsynsbegäran mail.docx", "A 36150-2025")</f>
        <v/>
      </c>
      <c r="Z95">
        <f>HYPERLINK("https://klasma.github.io/Logging_2161/fåglar/A 36150-2025 prioriterade fågelarter.docx", "A 36150-2025")</f>
        <v/>
      </c>
    </row>
    <row r="96" ht="15" customHeight="1">
      <c r="A96" t="inlineStr">
        <is>
          <t>A 36697-2025</t>
        </is>
      </c>
      <c r="B96" s="1" t="n">
        <v>45873.44015046296</v>
      </c>
      <c r="C96" s="1" t="n">
        <v>46036</v>
      </c>
      <c r="D96" t="inlineStr">
        <is>
          <t>GÄVLEBORGS LÄN</t>
        </is>
      </c>
      <c r="E96" t="inlineStr">
        <is>
          <t>LJUSDAL</t>
        </is>
      </c>
      <c r="F96" t="inlineStr">
        <is>
          <t>Bergvik skog väst AB</t>
        </is>
      </c>
      <c r="G96" t="n">
        <v>8.199999999999999</v>
      </c>
      <c r="H96" t="n">
        <v>2</v>
      </c>
      <c r="I96" t="n">
        <v>0</v>
      </c>
      <c r="J96" t="n">
        <v>4</v>
      </c>
      <c r="K96" t="n">
        <v>0</v>
      </c>
      <c r="L96" t="n">
        <v>0</v>
      </c>
      <c r="M96" t="n">
        <v>0</v>
      </c>
      <c r="N96" t="n">
        <v>0</v>
      </c>
      <c r="O96" t="n">
        <v>4</v>
      </c>
      <c r="P96" t="n">
        <v>0</v>
      </c>
      <c r="Q96" t="n">
        <v>4</v>
      </c>
      <c r="R96" s="2" t="inlineStr">
        <is>
          <t>Kolflarnlav
Spillkråka
Tretåig hackspett
Vedskivlav</t>
        </is>
      </c>
      <c r="S96">
        <f>HYPERLINK("https://klasma.github.io/Logging_2161/artfynd/A 36697-2025 artfynd.xlsx", "A 36697-2025")</f>
        <v/>
      </c>
      <c r="T96">
        <f>HYPERLINK("https://klasma.github.io/Logging_2161/kartor/A 36697-2025 karta.png", "A 36697-2025")</f>
        <v/>
      </c>
      <c r="V96">
        <f>HYPERLINK("https://klasma.github.io/Logging_2161/klagomål/A 36697-2025 FSC-klagomål.docx", "A 36697-2025")</f>
        <v/>
      </c>
      <c r="W96">
        <f>HYPERLINK("https://klasma.github.io/Logging_2161/klagomålsmail/A 36697-2025 FSC-klagomål mail.docx", "A 36697-2025")</f>
        <v/>
      </c>
      <c r="X96">
        <f>HYPERLINK("https://klasma.github.io/Logging_2161/tillsyn/A 36697-2025 tillsynsbegäran.docx", "A 36697-2025")</f>
        <v/>
      </c>
      <c r="Y96">
        <f>HYPERLINK("https://klasma.github.io/Logging_2161/tillsynsmail/A 36697-2025 tillsynsbegäran mail.docx", "A 36697-2025")</f>
        <v/>
      </c>
      <c r="Z96">
        <f>HYPERLINK("https://klasma.github.io/Logging_2161/fåglar/A 36697-2025 prioriterade fågelarter.docx", "A 36697-2025")</f>
        <v/>
      </c>
    </row>
    <row r="97" ht="15" customHeight="1">
      <c r="A97" t="inlineStr">
        <is>
          <t>A 37833-2025</t>
        </is>
      </c>
      <c r="B97" s="1" t="n">
        <v>45881.42224537037</v>
      </c>
      <c r="C97" s="1" t="n">
        <v>46036</v>
      </c>
      <c r="D97" t="inlineStr">
        <is>
          <t>GÄVLEBORGS LÄN</t>
        </is>
      </c>
      <c r="E97" t="inlineStr">
        <is>
          <t>LJUSDAL</t>
        </is>
      </c>
      <c r="F97" t="inlineStr">
        <is>
          <t>Bergvik skog väst AB</t>
        </is>
      </c>
      <c r="G97" t="n">
        <v>8.5</v>
      </c>
      <c r="H97" t="n">
        <v>2</v>
      </c>
      <c r="I97" t="n">
        <v>0</v>
      </c>
      <c r="J97" t="n">
        <v>3</v>
      </c>
      <c r="K97" t="n">
        <v>1</v>
      </c>
      <c r="L97" t="n">
        <v>0</v>
      </c>
      <c r="M97" t="n">
        <v>0</v>
      </c>
      <c r="N97" t="n">
        <v>0</v>
      </c>
      <c r="O97" t="n">
        <v>4</v>
      </c>
      <c r="P97" t="n">
        <v>1</v>
      </c>
      <c r="Q97" t="n">
        <v>4</v>
      </c>
      <c r="R97" s="2" t="inlineStr">
        <is>
          <t>Knärot
Lunglav
Skrovellav
Talltita</t>
        </is>
      </c>
      <c r="S97">
        <f>HYPERLINK("https://klasma.github.io/Logging_2161/artfynd/A 37833-2025 artfynd.xlsx", "A 37833-2025")</f>
        <v/>
      </c>
      <c r="T97">
        <f>HYPERLINK("https://klasma.github.io/Logging_2161/kartor/A 37833-2025 karta.png", "A 37833-2025")</f>
        <v/>
      </c>
      <c r="U97">
        <f>HYPERLINK("https://klasma.github.io/Logging_2161/knärot/A 37833-2025 karta knärot.png", "A 37833-2025")</f>
        <v/>
      </c>
      <c r="V97">
        <f>HYPERLINK("https://klasma.github.io/Logging_2161/klagomål/A 37833-2025 FSC-klagomål.docx", "A 37833-2025")</f>
        <v/>
      </c>
      <c r="W97">
        <f>HYPERLINK("https://klasma.github.io/Logging_2161/klagomålsmail/A 37833-2025 FSC-klagomål mail.docx", "A 37833-2025")</f>
        <v/>
      </c>
      <c r="X97">
        <f>HYPERLINK("https://klasma.github.io/Logging_2161/tillsyn/A 37833-2025 tillsynsbegäran.docx", "A 37833-2025")</f>
        <v/>
      </c>
      <c r="Y97">
        <f>HYPERLINK("https://klasma.github.io/Logging_2161/tillsynsmail/A 37833-2025 tillsynsbegäran mail.docx", "A 37833-2025")</f>
        <v/>
      </c>
      <c r="Z97">
        <f>HYPERLINK("https://klasma.github.io/Logging_2161/fåglar/A 37833-2025 prioriterade fågelarter.docx", "A 37833-2025")</f>
        <v/>
      </c>
    </row>
    <row r="98" ht="15" customHeight="1">
      <c r="A98" t="inlineStr">
        <is>
          <t>A 38591-2025</t>
        </is>
      </c>
      <c r="B98" s="1" t="n">
        <v>45884.48002314815</v>
      </c>
      <c r="C98" s="1" t="n">
        <v>46036</v>
      </c>
      <c r="D98" t="inlineStr">
        <is>
          <t>GÄVLEBORGS LÄN</t>
        </is>
      </c>
      <c r="E98" t="inlineStr">
        <is>
          <t>LJUSDAL</t>
        </is>
      </c>
      <c r="F98" t="inlineStr">
        <is>
          <t>Bergvik skog väst AB</t>
        </is>
      </c>
      <c r="G98" t="n">
        <v>0.7</v>
      </c>
      <c r="H98" t="n">
        <v>0</v>
      </c>
      <c r="I98" t="n">
        <v>2</v>
      </c>
      <c r="J98" t="n">
        <v>2</v>
      </c>
      <c r="K98" t="n">
        <v>0</v>
      </c>
      <c r="L98" t="n">
        <v>0</v>
      </c>
      <c r="M98" t="n">
        <v>0</v>
      </c>
      <c r="N98" t="n">
        <v>0</v>
      </c>
      <c r="O98" t="n">
        <v>2</v>
      </c>
      <c r="P98" t="n">
        <v>0</v>
      </c>
      <c r="Q98" t="n">
        <v>4</v>
      </c>
      <c r="R98" s="2" t="inlineStr">
        <is>
          <t>Lunglav
Skrovellav
Skinnlav
Stuplav</t>
        </is>
      </c>
      <c r="S98">
        <f>HYPERLINK("https://klasma.github.io/Logging_2161/artfynd/A 38591-2025 artfynd.xlsx", "A 38591-2025")</f>
        <v/>
      </c>
      <c r="T98">
        <f>HYPERLINK("https://klasma.github.io/Logging_2161/kartor/A 38591-2025 karta.png", "A 38591-2025")</f>
        <v/>
      </c>
      <c r="V98">
        <f>HYPERLINK("https://klasma.github.io/Logging_2161/klagomål/A 38591-2025 FSC-klagomål.docx", "A 38591-2025")</f>
        <v/>
      </c>
      <c r="W98">
        <f>HYPERLINK("https://klasma.github.io/Logging_2161/klagomålsmail/A 38591-2025 FSC-klagomål mail.docx", "A 38591-2025")</f>
        <v/>
      </c>
      <c r="X98">
        <f>HYPERLINK("https://klasma.github.io/Logging_2161/tillsyn/A 38591-2025 tillsynsbegäran.docx", "A 38591-2025")</f>
        <v/>
      </c>
      <c r="Y98">
        <f>HYPERLINK("https://klasma.github.io/Logging_2161/tillsynsmail/A 38591-2025 tillsynsbegäran mail.docx", "A 38591-2025")</f>
        <v/>
      </c>
    </row>
    <row r="99" ht="15" customHeight="1">
      <c r="A99" t="inlineStr">
        <is>
          <t>A 48925-2025</t>
        </is>
      </c>
      <c r="B99" s="1" t="n">
        <v>45937.50599537037</v>
      </c>
      <c r="C99" s="1" t="n">
        <v>46036</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56800-2023</t>
        </is>
      </c>
      <c r="B100" s="1" t="n">
        <v>45244</v>
      </c>
      <c r="C100" s="1" t="n">
        <v>46036</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30608-2023</t>
        </is>
      </c>
      <c r="B101" s="1" t="n">
        <v>45112.39802083333</v>
      </c>
      <c r="C101" s="1" t="n">
        <v>46036</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48823-2025</t>
        </is>
      </c>
      <c r="B102" s="1" t="n">
        <v>45937.37771990741</v>
      </c>
      <c r="C102" s="1" t="n">
        <v>46036</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53654-2025</t>
        </is>
      </c>
      <c r="B103" s="1" t="n">
        <v>45960.53219907408</v>
      </c>
      <c r="C103" s="1" t="n">
        <v>46036</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49982-2025</t>
        </is>
      </c>
      <c r="B104" s="1" t="n">
        <v>45942</v>
      </c>
      <c r="C104" s="1" t="n">
        <v>46036</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56787-2023</t>
        </is>
      </c>
      <c r="B105" s="1" t="n">
        <v>45244</v>
      </c>
      <c r="C105" s="1" t="n">
        <v>46036</v>
      </c>
      <c r="D105" t="inlineStr">
        <is>
          <t>GÄVLEBORGS LÄN</t>
        </is>
      </c>
      <c r="E105" t="inlineStr">
        <is>
          <t>LJUSDAL</t>
        </is>
      </c>
      <c r="F105" t="inlineStr">
        <is>
          <t>Sveaskog</t>
        </is>
      </c>
      <c r="G105" t="n">
        <v>2.6</v>
      </c>
      <c r="H105" t="n">
        <v>0</v>
      </c>
      <c r="I105" t="n">
        <v>0</v>
      </c>
      <c r="J105" t="n">
        <v>2</v>
      </c>
      <c r="K105" t="n">
        <v>2</v>
      </c>
      <c r="L105" t="n">
        <v>0</v>
      </c>
      <c r="M105" t="n">
        <v>0</v>
      </c>
      <c r="N105" t="n">
        <v>0</v>
      </c>
      <c r="O105" t="n">
        <v>4</v>
      </c>
      <c r="P105" t="n">
        <v>2</v>
      </c>
      <c r="Q105" t="n">
        <v>4</v>
      </c>
      <c r="R105" s="2" t="inlineStr">
        <is>
          <t>Gräddporing
Turkos blåvinge
Garnlav
Skrovellav</t>
        </is>
      </c>
      <c r="S105">
        <f>HYPERLINK("https://klasma.github.io/Logging_2161/artfynd/A 56787-2023 artfynd.xlsx", "A 56787-2023")</f>
        <v/>
      </c>
      <c r="T105">
        <f>HYPERLINK("https://klasma.github.io/Logging_2161/kartor/A 56787-2023 karta.png", "A 56787-2023")</f>
        <v/>
      </c>
      <c r="V105">
        <f>HYPERLINK("https://klasma.github.io/Logging_2161/klagomål/A 56787-2023 FSC-klagomål.docx", "A 56787-2023")</f>
        <v/>
      </c>
      <c r="W105">
        <f>HYPERLINK("https://klasma.github.io/Logging_2161/klagomålsmail/A 56787-2023 FSC-klagomål mail.docx", "A 56787-2023")</f>
        <v/>
      </c>
      <c r="X105">
        <f>HYPERLINK("https://klasma.github.io/Logging_2161/tillsyn/A 56787-2023 tillsynsbegäran.docx", "A 56787-2023")</f>
        <v/>
      </c>
      <c r="Y105">
        <f>HYPERLINK("https://klasma.github.io/Logging_2161/tillsynsmail/A 56787-2023 tillsynsbegäran mail.docx", "A 56787-2023")</f>
        <v/>
      </c>
    </row>
    <row r="106" ht="15" customHeight="1">
      <c r="A106" t="inlineStr">
        <is>
          <t>A 14769-2025</t>
        </is>
      </c>
      <c r="B106" s="1" t="n">
        <v>45742.6846875</v>
      </c>
      <c r="C106" s="1" t="n">
        <v>46036</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HYPERLINK("https://klasma.github.io/Logging_2161/artfynd/A 14769-2025 artfynd.xlsx", "A 14769-2025")</f>
        <v/>
      </c>
      <c r="T106">
        <f>HYPERLINK("https://klasma.github.io/Logging_2161/kartor/A 14769-2025 karta.png", "A 14769-2025")</f>
        <v/>
      </c>
      <c r="V106">
        <f>HYPERLINK("https://klasma.github.io/Logging_2161/klagomål/A 14769-2025 FSC-klagomål.docx", "A 14769-2025")</f>
        <v/>
      </c>
      <c r="W106">
        <f>HYPERLINK("https://klasma.github.io/Logging_2161/klagomålsmail/A 14769-2025 FSC-klagomål mail.docx", "A 14769-2025")</f>
        <v/>
      </c>
      <c r="X106">
        <f>HYPERLINK("https://klasma.github.io/Logging_2161/tillsyn/A 14769-2025 tillsynsbegäran.docx", "A 14769-2025")</f>
        <v/>
      </c>
      <c r="Y106">
        <f>HYPERLINK("https://klasma.github.io/Logging_2161/tillsynsmail/A 14769-2025 tillsynsbegäran mail.docx", "A 14769-2025")</f>
        <v/>
      </c>
    </row>
    <row r="107" ht="15" customHeight="1">
      <c r="A107" t="inlineStr">
        <is>
          <t>A 53249-2023</t>
        </is>
      </c>
      <c r="B107" s="1" t="n">
        <v>45229.5156712963</v>
      </c>
      <c r="C107" s="1" t="n">
        <v>46036</v>
      </c>
      <c r="D107" t="inlineStr">
        <is>
          <t>GÄVLEBORGS LÄN</t>
        </is>
      </c>
      <c r="E107" t="inlineStr">
        <is>
          <t>LJUSDAL</t>
        </is>
      </c>
      <c r="F107" t="inlineStr">
        <is>
          <t>Sveaskog</t>
        </is>
      </c>
      <c r="G107" t="n">
        <v>3.2</v>
      </c>
      <c r="H107" t="n">
        <v>0</v>
      </c>
      <c r="I107" t="n">
        <v>0</v>
      </c>
      <c r="J107" t="n">
        <v>4</v>
      </c>
      <c r="K107" t="n">
        <v>0</v>
      </c>
      <c r="L107" t="n">
        <v>0</v>
      </c>
      <c r="M107" t="n">
        <v>0</v>
      </c>
      <c r="N107" t="n">
        <v>0</v>
      </c>
      <c r="O107" t="n">
        <v>4</v>
      </c>
      <c r="P107" t="n">
        <v>0</v>
      </c>
      <c r="Q107" t="n">
        <v>4</v>
      </c>
      <c r="R107" s="2" t="inlineStr">
        <is>
          <t>Kolflarnlav
Motaggsvamp
Orange taggsvamp
Vedflamlav</t>
        </is>
      </c>
      <c r="S107">
        <f>HYPERLINK("https://klasma.github.io/Logging_2161/artfynd/A 53249-2023 artfynd.xlsx", "A 53249-2023")</f>
        <v/>
      </c>
      <c r="T107">
        <f>HYPERLINK("https://klasma.github.io/Logging_2161/kartor/A 53249-2023 karta.png", "A 53249-2023")</f>
        <v/>
      </c>
      <c r="V107">
        <f>HYPERLINK("https://klasma.github.io/Logging_2161/klagomål/A 53249-2023 FSC-klagomål.docx", "A 53249-2023")</f>
        <v/>
      </c>
      <c r="W107">
        <f>HYPERLINK("https://klasma.github.io/Logging_2161/klagomålsmail/A 53249-2023 FSC-klagomål mail.docx", "A 53249-2023")</f>
        <v/>
      </c>
      <c r="X107">
        <f>HYPERLINK("https://klasma.github.io/Logging_2161/tillsyn/A 53249-2023 tillsynsbegäran.docx", "A 53249-2023")</f>
        <v/>
      </c>
      <c r="Y107">
        <f>HYPERLINK("https://klasma.github.io/Logging_2161/tillsynsmail/A 53249-2023 tillsynsbegäran mail.docx", "A 53249-2023")</f>
        <v/>
      </c>
    </row>
    <row r="108" ht="15" customHeight="1">
      <c r="A108" t="inlineStr">
        <is>
          <t>A 51118-2024</t>
        </is>
      </c>
      <c r="B108" s="1" t="n">
        <v>45603</v>
      </c>
      <c r="C108" s="1" t="n">
        <v>46036</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34757-2024</t>
        </is>
      </c>
      <c r="B109" s="1" t="n">
        <v>45526.61099537037</v>
      </c>
      <c r="C109" s="1" t="n">
        <v>46036</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56774-2023</t>
        </is>
      </c>
      <c r="B110" s="1" t="n">
        <v>45244</v>
      </c>
      <c r="C110" s="1" t="n">
        <v>46036</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56774-2023 artfynd.xlsx", "A 56774-2023")</f>
        <v/>
      </c>
      <c r="T110">
        <f>HYPERLINK("https://klasma.github.io/Logging_2161/kartor/A 56774-2023 karta.png", "A 56774-2023")</f>
        <v/>
      </c>
      <c r="V110">
        <f>HYPERLINK("https://klasma.github.io/Logging_2161/klagomål/A 56774-2023 FSC-klagomål.docx", "A 56774-2023")</f>
        <v/>
      </c>
      <c r="W110">
        <f>HYPERLINK("https://klasma.github.io/Logging_2161/klagomålsmail/A 56774-2023 FSC-klagomål mail.docx", "A 56774-2023")</f>
        <v/>
      </c>
      <c r="X110">
        <f>HYPERLINK("https://klasma.github.io/Logging_2161/tillsyn/A 56774-2023 tillsynsbegäran.docx", "A 56774-2023")</f>
        <v/>
      </c>
      <c r="Y110">
        <f>HYPERLINK("https://klasma.github.io/Logging_2161/tillsynsmail/A 56774-2023 tillsynsbegäran mail.docx", "A 56774-2023")</f>
        <v/>
      </c>
    </row>
    <row r="111" ht="15" customHeight="1">
      <c r="A111" t="inlineStr">
        <is>
          <t>A 50308-2024</t>
        </is>
      </c>
      <c r="B111" s="1" t="n">
        <v>45600</v>
      </c>
      <c r="C111" s="1" t="n">
        <v>46036</v>
      </c>
      <c r="D111" t="inlineStr">
        <is>
          <t>GÄVLEBORGS LÄN</t>
        </is>
      </c>
      <c r="E111" t="inlineStr">
        <is>
          <t>LJUSDAL</t>
        </is>
      </c>
      <c r="F111" t="inlineStr">
        <is>
          <t>Sveaskog</t>
        </is>
      </c>
      <c r="G111" t="n">
        <v>22.3</v>
      </c>
      <c r="H111" t="n">
        <v>2</v>
      </c>
      <c r="I111" t="n">
        <v>1</v>
      </c>
      <c r="J111" t="n">
        <v>2</v>
      </c>
      <c r="K111" t="n">
        <v>0</v>
      </c>
      <c r="L111" t="n">
        <v>0</v>
      </c>
      <c r="M111" t="n">
        <v>0</v>
      </c>
      <c r="N111" t="n">
        <v>0</v>
      </c>
      <c r="O111" t="n">
        <v>2</v>
      </c>
      <c r="P111" t="n">
        <v>0</v>
      </c>
      <c r="Q111" t="n">
        <v>4</v>
      </c>
      <c r="R111" s="2" t="inlineStr">
        <is>
          <t>Lunglav
Motaggsvamp
Plattlummer
Fläcknycklar</t>
        </is>
      </c>
      <c r="S111">
        <f>HYPERLINK("https://klasma.github.io/Logging_2161/artfynd/A 50308-2024 artfynd.xlsx", "A 50308-2024")</f>
        <v/>
      </c>
      <c r="T111">
        <f>HYPERLINK("https://klasma.github.io/Logging_2161/kartor/A 50308-2024 karta.png", "A 50308-2024")</f>
        <v/>
      </c>
      <c r="V111">
        <f>HYPERLINK("https://klasma.github.io/Logging_2161/klagomål/A 50308-2024 FSC-klagomål.docx", "A 50308-2024")</f>
        <v/>
      </c>
      <c r="W111">
        <f>HYPERLINK("https://klasma.github.io/Logging_2161/klagomålsmail/A 50308-2024 FSC-klagomål mail.docx", "A 50308-2024")</f>
        <v/>
      </c>
      <c r="X111">
        <f>HYPERLINK("https://klasma.github.io/Logging_2161/tillsyn/A 50308-2024 tillsynsbegäran.docx", "A 50308-2024")</f>
        <v/>
      </c>
      <c r="Y111">
        <f>HYPERLINK("https://klasma.github.io/Logging_2161/tillsynsmail/A 50308-2024 tillsynsbegäran mail.docx", "A 50308-2024")</f>
        <v/>
      </c>
    </row>
    <row r="112" ht="15" customHeight="1">
      <c r="A112" t="inlineStr">
        <is>
          <t>A 22978-2023</t>
        </is>
      </c>
      <c r="B112" s="1" t="n">
        <v>45072</v>
      </c>
      <c r="C112" s="1" t="n">
        <v>46036</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18115-2024</t>
        </is>
      </c>
      <c r="B113" s="1" t="n">
        <v>45420.50950231482</v>
      </c>
      <c r="C113" s="1" t="n">
        <v>46036</v>
      </c>
      <c r="D113" t="inlineStr">
        <is>
          <t>GÄVLEBORGS LÄN</t>
        </is>
      </c>
      <c r="E113" t="inlineStr">
        <is>
          <t>LJUSDAL</t>
        </is>
      </c>
      <c r="F113" t="inlineStr">
        <is>
          <t>Sveaskog</t>
        </is>
      </c>
      <c r="G113" t="n">
        <v>20.3</v>
      </c>
      <c r="H113" t="n">
        <v>1</v>
      </c>
      <c r="I113" t="n">
        <v>1</v>
      </c>
      <c r="J113" t="n">
        <v>3</v>
      </c>
      <c r="K113" t="n">
        <v>0</v>
      </c>
      <c r="L113" t="n">
        <v>0</v>
      </c>
      <c r="M113" t="n">
        <v>0</v>
      </c>
      <c r="N113" t="n">
        <v>0</v>
      </c>
      <c r="O113" t="n">
        <v>3</v>
      </c>
      <c r="P113" t="n">
        <v>0</v>
      </c>
      <c r="Q113" t="n">
        <v>4</v>
      </c>
      <c r="R113" s="2" t="inlineStr">
        <is>
          <t>Kolflarnlav
Lunglav
Orange taggsvamp
Plattlummer</t>
        </is>
      </c>
      <c r="S113">
        <f>HYPERLINK("https://klasma.github.io/Logging_2161/artfynd/A 18115-2024 artfynd.xlsx", "A 18115-2024")</f>
        <v/>
      </c>
      <c r="T113">
        <f>HYPERLINK("https://klasma.github.io/Logging_2161/kartor/A 18115-2024 karta.png", "A 18115-2024")</f>
        <v/>
      </c>
      <c r="V113">
        <f>HYPERLINK("https://klasma.github.io/Logging_2161/klagomål/A 18115-2024 FSC-klagomål.docx", "A 18115-2024")</f>
        <v/>
      </c>
      <c r="W113">
        <f>HYPERLINK("https://klasma.github.io/Logging_2161/klagomålsmail/A 18115-2024 FSC-klagomål mail.docx", "A 18115-2024")</f>
        <v/>
      </c>
      <c r="X113">
        <f>HYPERLINK("https://klasma.github.io/Logging_2161/tillsyn/A 18115-2024 tillsynsbegäran.docx", "A 18115-2024")</f>
        <v/>
      </c>
      <c r="Y113">
        <f>HYPERLINK("https://klasma.github.io/Logging_2161/tillsynsmail/A 18115-2024 tillsynsbegäran mail.docx", "A 18115-2024")</f>
        <v/>
      </c>
    </row>
    <row r="114" ht="15" customHeight="1">
      <c r="A114" t="inlineStr">
        <is>
          <t>A 26675-2023</t>
        </is>
      </c>
      <c r="B114" s="1" t="n">
        <v>45093</v>
      </c>
      <c r="C114" s="1" t="n">
        <v>46036</v>
      </c>
      <c r="D114" t="inlineStr">
        <is>
          <t>GÄVLEBORGS LÄN</t>
        </is>
      </c>
      <c r="E114" t="inlineStr">
        <is>
          <t>LJUSDAL</t>
        </is>
      </c>
      <c r="F114" t="inlineStr">
        <is>
          <t>Sveaskog</t>
        </is>
      </c>
      <c r="G114" t="n">
        <v>8.300000000000001</v>
      </c>
      <c r="H114" t="n">
        <v>1</v>
      </c>
      <c r="I114" t="n">
        <v>0</v>
      </c>
      <c r="J114" t="n">
        <v>4</v>
      </c>
      <c r="K114" t="n">
        <v>0</v>
      </c>
      <c r="L114" t="n">
        <v>0</v>
      </c>
      <c r="M114" t="n">
        <v>0</v>
      </c>
      <c r="N114" t="n">
        <v>0</v>
      </c>
      <c r="O114" t="n">
        <v>4</v>
      </c>
      <c r="P114" t="n">
        <v>0</v>
      </c>
      <c r="Q114" t="n">
        <v>4</v>
      </c>
      <c r="R114" s="2" t="inlineStr">
        <is>
          <t>Garnlav
Kolflarnlav
Mörk kolflarnlav
Talltita</t>
        </is>
      </c>
      <c r="S114">
        <f>HYPERLINK("https://klasma.github.io/Logging_2161/artfynd/A 26675-2023 artfynd.xlsx", "A 26675-2023")</f>
        <v/>
      </c>
      <c r="T114">
        <f>HYPERLINK("https://klasma.github.io/Logging_2161/kartor/A 26675-2023 karta.png", "A 26675-2023")</f>
        <v/>
      </c>
      <c r="V114">
        <f>HYPERLINK("https://klasma.github.io/Logging_2161/klagomål/A 26675-2023 FSC-klagomål.docx", "A 26675-2023")</f>
        <v/>
      </c>
      <c r="W114">
        <f>HYPERLINK("https://klasma.github.io/Logging_2161/klagomålsmail/A 26675-2023 FSC-klagomål mail.docx", "A 26675-2023")</f>
        <v/>
      </c>
      <c r="X114">
        <f>HYPERLINK("https://klasma.github.io/Logging_2161/tillsyn/A 26675-2023 tillsynsbegäran.docx", "A 26675-2023")</f>
        <v/>
      </c>
      <c r="Y114">
        <f>HYPERLINK("https://klasma.github.io/Logging_2161/tillsynsmail/A 26675-2023 tillsynsbegäran mail.docx", "A 26675-2023")</f>
        <v/>
      </c>
      <c r="Z114">
        <f>HYPERLINK("https://klasma.github.io/Logging_2161/fåglar/A 26675-2023 prioriterade fågelarter.docx", "A 26675-2023")</f>
        <v/>
      </c>
    </row>
    <row r="115" ht="15" customHeight="1">
      <c r="A115" t="inlineStr">
        <is>
          <t>A 26446-2025</t>
        </is>
      </c>
      <c r="B115" s="1" t="n">
        <v>45807.4155787037</v>
      </c>
      <c r="C115" s="1" t="n">
        <v>46036</v>
      </c>
      <c r="D115" t="inlineStr">
        <is>
          <t>GÄVLEBORGS LÄN</t>
        </is>
      </c>
      <c r="E115" t="inlineStr">
        <is>
          <t>LJUSDAL</t>
        </is>
      </c>
      <c r="G115" t="n">
        <v>10.4</v>
      </c>
      <c r="H115" t="n">
        <v>2</v>
      </c>
      <c r="I115" t="n">
        <v>1</v>
      </c>
      <c r="J115" t="n">
        <v>2</v>
      </c>
      <c r="K115" t="n">
        <v>0</v>
      </c>
      <c r="L115" t="n">
        <v>0</v>
      </c>
      <c r="M115" t="n">
        <v>0</v>
      </c>
      <c r="N115" t="n">
        <v>0</v>
      </c>
      <c r="O115" t="n">
        <v>2</v>
      </c>
      <c r="P115" t="n">
        <v>0</v>
      </c>
      <c r="Q115" t="n">
        <v>4</v>
      </c>
      <c r="R115" s="2" t="inlineStr">
        <is>
          <t>Garnlav
Talltita
Skinnlav
Revlummer</t>
        </is>
      </c>
      <c r="S115">
        <f>HYPERLINK("https://klasma.github.io/Logging_2161/artfynd/A 26446-2025 artfynd.xlsx", "A 26446-2025")</f>
        <v/>
      </c>
      <c r="T115">
        <f>HYPERLINK("https://klasma.github.io/Logging_2161/kartor/A 26446-2025 karta.png", "A 26446-2025")</f>
        <v/>
      </c>
      <c r="V115">
        <f>HYPERLINK("https://klasma.github.io/Logging_2161/klagomål/A 26446-2025 FSC-klagomål.docx", "A 26446-2025")</f>
        <v/>
      </c>
      <c r="W115">
        <f>HYPERLINK("https://klasma.github.io/Logging_2161/klagomålsmail/A 26446-2025 FSC-klagomål mail.docx", "A 26446-2025")</f>
        <v/>
      </c>
      <c r="X115">
        <f>HYPERLINK("https://klasma.github.io/Logging_2161/tillsyn/A 26446-2025 tillsynsbegäran.docx", "A 26446-2025")</f>
        <v/>
      </c>
      <c r="Y115">
        <f>HYPERLINK("https://klasma.github.io/Logging_2161/tillsynsmail/A 26446-2025 tillsynsbegäran mail.docx", "A 26446-2025")</f>
        <v/>
      </c>
      <c r="Z115">
        <f>HYPERLINK("https://klasma.github.io/Logging_2161/fåglar/A 26446-2025 prioriterade fågelarter.docx", "A 26446-2025")</f>
        <v/>
      </c>
    </row>
    <row r="116" ht="15" customHeight="1">
      <c r="A116" t="inlineStr">
        <is>
          <t>A 53410-2024</t>
        </is>
      </c>
      <c r="B116" s="1" t="n">
        <v>45614.50283564815</v>
      </c>
      <c r="C116" s="1" t="n">
        <v>46036</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56788-2023</t>
        </is>
      </c>
      <c r="B117" s="1" t="n">
        <v>45244</v>
      </c>
      <c r="C117" s="1" t="n">
        <v>46036</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28866-2025</t>
        </is>
      </c>
      <c r="B118" s="1" t="n">
        <v>45820</v>
      </c>
      <c r="C118" s="1" t="n">
        <v>46036</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29239-2025</t>
        </is>
      </c>
      <c r="B119" s="1" t="n">
        <v>45824.35663194444</v>
      </c>
      <c r="C119" s="1" t="n">
        <v>46036</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30295-2025</t>
        </is>
      </c>
      <c r="B120" s="1" t="n">
        <v>45827.47322916667</v>
      </c>
      <c r="C120" s="1" t="n">
        <v>46036</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41922-2025</t>
        </is>
      </c>
      <c r="B121" s="1" t="n">
        <v>45903.42525462963</v>
      </c>
      <c r="C121" s="1" t="n">
        <v>46036</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32818-2025</t>
        </is>
      </c>
      <c r="B122" s="1" t="n">
        <v>45839.53280092592</v>
      </c>
      <c r="C122" s="1" t="n">
        <v>46036</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42180-2025</t>
        </is>
      </c>
      <c r="B123" s="1" t="n">
        <v>45904.45078703704</v>
      </c>
      <c r="C123" s="1" t="n">
        <v>46036</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34324-2025</t>
        </is>
      </c>
      <c r="B124" s="1" t="n">
        <v>45846.43172453704</v>
      </c>
      <c r="C124" s="1" t="n">
        <v>46036</v>
      </c>
      <c r="D124" t="inlineStr">
        <is>
          <t>GÄVLEBORGS LÄN</t>
        </is>
      </c>
      <c r="E124" t="inlineStr">
        <is>
          <t>LJUSDAL</t>
        </is>
      </c>
      <c r="F124" t="inlineStr">
        <is>
          <t>Bergvik skog väst AB</t>
        </is>
      </c>
      <c r="G124" t="n">
        <v>1.7</v>
      </c>
      <c r="H124" t="n">
        <v>0</v>
      </c>
      <c r="I124" t="n">
        <v>0</v>
      </c>
      <c r="J124" t="n">
        <v>3</v>
      </c>
      <c r="K124" t="n">
        <v>0</v>
      </c>
      <c r="L124" t="n">
        <v>0</v>
      </c>
      <c r="M124" t="n">
        <v>0</v>
      </c>
      <c r="N124" t="n">
        <v>0</v>
      </c>
      <c r="O124" t="n">
        <v>3</v>
      </c>
      <c r="P124" t="n">
        <v>0</v>
      </c>
      <c r="Q124" t="n">
        <v>3</v>
      </c>
      <c r="R124" s="2" t="inlineStr">
        <is>
          <t>Blanksvart spiklav
Kolflarnlav
Nordtagging</t>
        </is>
      </c>
      <c r="S124">
        <f>HYPERLINK("https://klasma.github.io/Logging_2161/artfynd/A 34324-2025 artfynd.xlsx", "A 34324-2025")</f>
        <v/>
      </c>
      <c r="T124">
        <f>HYPERLINK("https://klasma.github.io/Logging_2161/kartor/A 34324-2025 karta.png", "A 34324-2025")</f>
        <v/>
      </c>
      <c r="V124">
        <f>HYPERLINK("https://klasma.github.io/Logging_2161/klagomål/A 34324-2025 FSC-klagomål.docx", "A 34324-2025")</f>
        <v/>
      </c>
      <c r="W124">
        <f>HYPERLINK("https://klasma.github.io/Logging_2161/klagomålsmail/A 34324-2025 FSC-klagomål mail.docx", "A 34324-2025")</f>
        <v/>
      </c>
      <c r="X124">
        <f>HYPERLINK("https://klasma.github.io/Logging_2161/tillsyn/A 34324-2025 tillsynsbegäran.docx", "A 34324-2025")</f>
        <v/>
      </c>
      <c r="Y124">
        <f>HYPERLINK("https://klasma.github.io/Logging_2161/tillsynsmail/A 34324-2025 tillsynsbegäran mail.docx", "A 34324-2025")</f>
        <v/>
      </c>
    </row>
    <row r="125" ht="15" customHeight="1">
      <c r="A125" t="inlineStr">
        <is>
          <t>A 34376-2025</t>
        </is>
      </c>
      <c r="B125" s="1" t="n">
        <v>45846.53386574074</v>
      </c>
      <c r="C125" s="1" t="n">
        <v>46036</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44207-2025</t>
        </is>
      </c>
      <c r="B126" s="1" t="n">
        <v>45915.62753472223</v>
      </c>
      <c r="C126" s="1" t="n">
        <v>46036</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35739-2025</t>
        </is>
      </c>
      <c r="B127" s="1" t="n">
        <v>45860.524375</v>
      </c>
      <c r="C127" s="1" t="n">
        <v>46036</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21474-2023</t>
        </is>
      </c>
      <c r="B128" s="1" t="n">
        <v>45063.47291666667</v>
      </c>
      <c r="C128" s="1" t="n">
        <v>46036</v>
      </c>
      <c r="D128" t="inlineStr">
        <is>
          <t>GÄVLEBORGS LÄN</t>
        </is>
      </c>
      <c r="E128" t="inlineStr">
        <is>
          <t>LJUSDAL</t>
        </is>
      </c>
      <c r="F128" t="inlineStr">
        <is>
          <t>Sveaskog</t>
        </is>
      </c>
      <c r="G128" t="n">
        <v>4.3</v>
      </c>
      <c r="H128" t="n">
        <v>2</v>
      </c>
      <c r="I128" t="n">
        <v>0</v>
      </c>
      <c r="J128" t="n">
        <v>1</v>
      </c>
      <c r="K128" t="n">
        <v>1</v>
      </c>
      <c r="L128" t="n">
        <v>0</v>
      </c>
      <c r="M128" t="n">
        <v>0</v>
      </c>
      <c r="N128" t="n">
        <v>0</v>
      </c>
      <c r="O128" t="n">
        <v>2</v>
      </c>
      <c r="P128" t="n">
        <v>1</v>
      </c>
      <c r="Q128" t="n">
        <v>3</v>
      </c>
      <c r="R128" s="2" t="inlineStr">
        <is>
          <t>Knärot
Garnlav
Tjäder</t>
        </is>
      </c>
      <c r="S128">
        <f>HYPERLINK("https://klasma.github.io/Logging_2161/artfynd/A 21474-2023 artfynd.xlsx", "A 21474-2023")</f>
        <v/>
      </c>
      <c r="T128">
        <f>HYPERLINK("https://klasma.github.io/Logging_2161/kartor/A 21474-2023 karta.png", "A 21474-2023")</f>
        <v/>
      </c>
      <c r="U128">
        <f>HYPERLINK("https://klasma.github.io/Logging_2161/knärot/A 21474-2023 karta knärot.png", "A 21474-2023")</f>
        <v/>
      </c>
      <c r="V128">
        <f>HYPERLINK("https://klasma.github.io/Logging_2161/klagomål/A 21474-2023 FSC-klagomål.docx", "A 21474-2023")</f>
        <v/>
      </c>
      <c r="W128">
        <f>HYPERLINK("https://klasma.github.io/Logging_2161/klagomålsmail/A 21474-2023 FSC-klagomål mail.docx", "A 21474-2023")</f>
        <v/>
      </c>
      <c r="X128">
        <f>HYPERLINK("https://klasma.github.io/Logging_2161/tillsyn/A 21474-2023 tillsynsbegäran.docx", "A 21474-2023")</f>
        <v/>
      </c>
      <c r="Y128">
        <f>HYPERLINK("https://klasma.github.io/Logging_2161/tillsynsmail/A 21474-2023 tillsynsbegäran mail.docx", "A 21474-2023")</f>
        <v/>
      </c>
      <c r="Z128">
        <f>HYPERLINK("https://klasma.github.io/Logging_2161/fåglar/A 21474-2023 prioriterade fågelarter.docx", "A 21474-2023")</f>
        <v/>
      </c>
    </row>
    <row r="129" ht="15" customHeight="1">
      <c r="A129" t="inlineStr">
        <is>
          <t>A 37835-2025</t>
        </is>
      </c>
      <c r="B129" s="1" t="n">
        <v>45881.42501157407</v>
      </c>
      <c r="C129" s="1" t="n">
        <v>46036</v>
      </c>
      <c r="D129" t="inlineStr">
        <is>
          <t>GÄVLEBORGS LÄN</t>
        </is>
      </c>
      <c r="E129" t="inlineStr">
        <is>
          <t>LJUSDAL</t>
        </is>
      </c>
      <c r="F129" t="inlineStr">
        <is>
          <t>Bergvik skog väst AB</t>
        </is>
      </c>
      <c r="G129" t="n">
        <v>2.3</v>
      </c>
      <c r="H129" t="n">
        <v>1</v>
      </c>
      <c r="I129" t="n">
        <v>0</v>
      </c>
      <c r="J129" t="n">
        <v>3</v>
      </c>
      <c r="K129" t="n">
        <v>0</v>
      </c>
      <c r="L129" t="n">
        <v>0</v>
      </c>
      <c r="M129" t="n">
        <v>0</v>
      </c>
      <c r="N129" t="n">
        <v>0</v>
      </c>
      <c r="O129" t="n">
        <v>3</v>
      </c>
      <c r="P129" t="n">
        <v>0</v>
      </c>
      <c r="Q129" t="n">
        <v>3</v>
      </c>
      <c r="R129" s="2" t="inlineStr">
        <is>
          <t>Garnlav
Lunglav
Talltita</t>
        </is>
      </c>
      <c r="S129">
        <f>HYPERLINK("https://klasma.github.io/Logging_2161/artfynd/A 37835-2025 artfynd.xlsx", "A 37835-2025")</f>
        <v/>
      </c>
      <c r="T129">
        <f>HYPERLINK("https://klasma.github.io/Logging_2161/kartor/A 37835-2025 karta.png", "A 37835-2025")</f>
        <v/>
      </c>
      <c r="V129">
        <f>HYPERLINK("https://klasma.github.io/Logging_2161/klagomål/A 37835-2025 FSC-klagomål.docx", "A 37835-2025")</f>
        <v/>
      </c>
      <c r="W129">
        <f>HYPERLINK("https://klasma.github.io/Logging_2161/klagomålsmail/A 37835-2025 FSC-klagomål mail.docx", "A 37835-2025")</f>
        <v/>
      </c>
      <c r="X129">
        <f>HYPERLINK("https://klasma.github.io/Logging_2161/tillsyn/A 37835-2025 tillsynsbegäran.docx", "A 37835-2025")</f>
        <v/>
      </c>
      <c r="Y129">
        <f>HYPERLINK("https://klasma.github.io/Logging_2161/tillsynsmail/A 37835-2025 tillsynsbegäran mail.docx", "A 37835-2025")</f>
        <v/>
      </c>
      <c r="Z129">
        <f>HYPERLINK("https://klasma.github.io/Logging_2161/fåglar/A 37835-2025 prioriterade fågelarter.docx", "A 37835-2025")</f>
        <v/>
      </c>
    </row>
    <row r="130" ht="15" customHeight="1">
      <c r="A130" t="inlineStr">
        <is>
          <t>A 26606-2025</t>
        </is>
      </c>
      <c r="B130" s="1" t="n">
        <v>45809</v>
      </c>
      <c r="C130" s="1" t="n">
        <v>46036</v>
      </c>
      <c r="D130" t="inlineStr">
        <is>
          <t>GÄVLEBORGS LÄN</t>
        </is>
      </c>
      <c r="E130" t="inlineStr">
        <is>
          <t>LJUSDAL</t>
        </is>
      </c>
      <c r="G130" t="n">
        <v>11.1</v>
      </c>
      <c r="H130" t="n">
        <v>0</v>
      </c>
      <c r="I130" t="n">
        <v>0</v>
      </c>
      <c r="J130" t="n">
        <v>3</v>
      </c>
      <c r="K130" t="n">
        <v>0</v>
      </c>
      <c r="L130" t="n">
        <v>0</v>
      </c>
      <c r="M130" t="n">
        <v>0</v>
      </c>
      <c r="N130" t="n">
        <v>0</v>
      </c>
      <c r="O130" t="n">
        <v>3</v>
      </c>
      <c r="P130" t="n">
        <v>0</v>
      </c>
      <c r="Q130" t="n">
        <v>3</v>
      </c>
      <c r="R130" s="2" t="inlineStr">
        <is>
          <t>Garnlav
Talltaggsvamp
Vedskivlav</t>
        </is>
      </c>
      <c r="S130">
        <f>HYPERLINK("https://klasma.github.io/Logging_2161/artfynd/A 26606-2025 artfynd.xlsx", "A 26606-2025")</f>
        <v/>
      </c>
      <c r="T130">
        <f>HYPERLINK("https://klasma.github.io/Logging_2161/kartor/A 26606-2025 karta.png", "A 26606-2025")</f>
        <v/>
      </c>
      <c r="V130">
        <f>HYPERLINK("https://klasma.github.io/Logging_2161/klagomål/A 26606-2025 FSC-klagomål.docx", "A 26606-2025")</f>
        <v/>
      </c>
      <c r="W130">
        <f>HYPERLINK("https://klasma.github.io/Logging_2161/klagomålsmail/A 26606-2025 FSC-klagomål mail.docx", "A 26606-2025")</f>
        <v/>
      </c>
      <c r="X130">
        <f>HYPERLINK("https://klasma.github.io/Logging_2161/tillsyn/A 26606-2025 tillsynsbegäran.docx", "A 26606-2025")</f>
        <v/>
      </c>
      <c r="Y130">
        <f>HYPERLINK("https://klasma.github.io/Logging_2161/tillsynsmail/A 26606-2025 tillsynsbegäran mail.docx", "A 26606-2025")</f>
        <v/>
      </c>
    </row>
    <row r="131" ht="15" customHeight="1">
      <c r="A131" t="inlineStr">
        <is>
          <t>A 47876-2025</t>
        </is>
      </c>
      <c r="B131" s="1" t="n">
        <v>45932.45586805556</v>
      </c>
      <c r="C131" s="1" t="n">
        <v>46036</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30610-2023</t>
        </is>
      </c>
      <c r="B132" s="1" t="n">
        <v>45112.40128472223</v>
      </c>
      <c r="C132" s="1" t="n">
        <v>46036</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38485-2025</t>
        </is>
      </c>
      <c r="B133" s="1" t="n">
        <v>45884.3415625</v>
      </c>
      <c r="C133" s="1" t="n">
        <v>46036</v>
      </c>
      <c r="D133" t="inlineStr">
        <is>
          <t>GÄVLEBORGS LÄN</t>
        </is>
      </c>
      <c r="E133" t="inlineStr">
        <is>
          <t>LJUSDAL</t>
        </is>
      </c>
      <c r="F133" t="inlineStr">
        <is>
          <t>Bergvik skog väst AB</t>
        </is>
      </c>
      <c r="G133" t="n">
        <v>9.300000000000001</v>
      </c>
      <c r="H133" t="n">
        <v>0</v>
      </c>
      <c r="I133" t="n">
        <v>1</v>
      </c>
      <c r="J133" t="n">
        <v>2</v>
      </c>
      <c r="K133" t="n">
        <v>0</v>
      </c>
      <c r="L133" t="n">
        <v>0</v>
      </c>
      <c r="M133" t="n">
        <v>0</v>
      </c>
      <c r="N133" t="n">
        <v>0</v>
      </c>
      <c r="O133" t="n">
        <v>2</v>
      </c>
      <c r="P133" t="n">
        <v>0</v>
      </c>
      <c r="Q133" t="n">
        <v>3</v>
      </c>
      <c r="R133" s="2" t="inlineStr">
        <is>
          <t>Kortskaftad ärgspik
Lunglav
Skinnlav</t>
        </is>
      </c>
      <c r="S133">
        <f>HYPERLINK("https://klasma.github.io/Logging_2161/artfynd/A 38485-2025 artfynd.xlsx", "A 38485-2025")</f>
        <v/>
      </c>
      <c r="T133">
        <f>HYPERLINK("https://klasma.github.io/Logging_2161/kartor/A 38485-2025 karta.png", "A 38485-2025")</f>
        <v/>
      </c>
      <c r="V133">
        <f>HYPERLINK("https://klasma.github.io/Logging_2161/klagomål/A 38485-2025 FSC-klagomål.docx", "A 38485-2025")</f>
        <v/>
      </c>
      <c r="W133">
        <f>HYPERLINK("https://klasma.github.io/Logging_2161/klagomålsmail/A 38485-2025 FSC-klagomål mail.docx", "A 38485-2025")</f>
        <v/>
      </c>
      <c r="X133">
        <f>HYPERLINK("https://klasma.github.io/Logging_2161/tillsyn/A 38485-2025 tillsynsbegäran.docx", "A 38485-2025")</f>
        <v/>
      </c>
      <c r="Y133">
        <f>HYPERLINK("https://klasma.github.io/Logging_2161/tillsynsmail/A 38485-2025 tillsynsbegäran mail.docx", "A 38485-2025")</f>
        <v/>
      </c>
    </row>
    <row r="134" ht="15" customHeight="1">
      <c r="A134" t="inlineStr">
        <is>
          <t>A 50654-2025</t>
        </is>
      </c>
      <c r="B134" s="1" t="n">
        <v>45945.68238425926</v>
      </c>
      <c r="C134" s="1" t="n">
        <v>46036</v>
      </c>
      <c r="D134" t="inlineStr">
        <is>
          <t>GÄVLEBORGS LÄN</t>
        </is>
      </c>
      <c r="E134" t="inlineStr">
        <is>
          <t>LJUSDAL</t>
        </is>
      </c>
      <c r="F134" t="inlineStr">
        <is>
          <t>Sveaskog</t>
        </is>
      </c>
      <c r="G134" t="n">
        <v>6.3</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50654-2025 artfynd.xlsx", "A 50654-2025")</f>
        <v/>
      </c>
      <c r="T134">
        <f>HYPERLINK("https://klasma.github.io/Logging_2161/kartor/A 50654-2025 karta.png", "A 50654-2025")</f>
        <v/>
      </c>
      <c r="V134">
        <f>HYPERLINK("https://klasma.github.io/Logging_2161/klagomål/A 50654-2025 FSC-klagomål.docx", "A 50654-2025")</f>
        <v/>
      </c>
      <c r="W134">
        <f>HYPERLINK("https://klasma.github.io/Logging_2161/klagomålsmail/A 50654-2025 FSC-klagomål mail.docx", "A 50654-2025")</f>
        <v/>
      </c>
      <c r="X134">
        <f>HYPERLINK("https://klasma.github.io/Logging_2161/tillsyn/A 50654-2025 tillsynsbegäran.docx", "A 50654-2025")</f>
        <v/>
      </c>
      <c r="Y134">
        <f>HYPERLINK("https://klasma.github.io/Logging_2161/tillsynsmail/A 50654-2025 tillsynsbegäran mail.docx", "A 50654-2025")</f>
        <v/>
      </c>
    </row>
    <row r="135" ht="15" customHeight="1">
      <c r="A135" t="inlineStr">
        <is>
          <t>A 50662-2025</t>
        </is>
      </c>
      <c r="B135" s="1" t="n">
        <v>45945.69081018519</v>
      </c>
      <c r="C135" s="1" t="n">
        <v>46036</v>
      </c>
      <c r="D135" t="inlineStr">
        <is>
          <t>GÄVLEBORGS LÄN</t>
        </is>
      </c>
      <c r="E135" t="inlineStr">
        <is>
          <t>LJUSDAL</t>
        </is>
      </c>
      <c r="F135" t="inlineStr">
        <is>
          <t>Sveaskog</t>
        </is>
      </c>
      <c r="G135" t="n">
        <v>16.9</v>
      </c>
      <c r="H135" t="n">
        <v>1</v>
      </c>
      <c r="I135" t="n">
        <v>0</v>
      </c>
      <c r="J135" t="n">
        <v>2</v>
      </c>
      <c r="K135" t="n">
        <v>0</v>
      </c>
      <c r="L135" t="n">
        <v>0</v>
      </c>
      <c r="M135" t="n">
        <v>0</v>
      </c>
      <c r="N135" t="n">
        <v>0</v>
      </c>
      <c r="O135" t="n">
        <v>2</v>
      </c>
      <c r="P135" t="n">
        <v>0</v>
      </c>
      <c r="Q135" t="n">
        <v>3</v>
      </c>
      <c r="R135" s="2" t="inlineStr">
        <is>
          <t>Lunglav
Skrovellav
Tjäder</t>
        </is>
      </c>
      <c r="S135">
        <f>HYPERLINK("https://klasma.github.io/Logging_2161/artfynd/A 50662-2025 artfynd.xlsx", "A 50662-2025")</f>
        <v/>
      </c>
      <c r="T135">
        <f>HYPERLINK("https://klasma.github.io/Logging_2161/kartor/A 50662-2025 karta.png", "A 50662-2025")</f>
        <v/>
      </c>
      <c r="V135">
        <f>HYPERLINK("https://klasma.github.io/Logging_2161/klagomål/A 50662-2025 FSC-klagomål.docx", "A 50662-2025")</f>
        <v/>
      </c>
      <c r="W135">
        <f>HYPERLINK("https://klasma.github.io/Logging_2161/klagomålsmail/A 50662-2025 FSC-klagomål mail.docx", "A 50662-2025")</f>
        <v/>
      </c>
      <c r="X135">
        <f>HYPERLINK("https://klasma.github.io/Logging_2161/tillsyn/A 50662-2025 tillsynsbegäran.docx", "A 50662-2025")</f>
        <v/>
      </c>
      <c r="Y135">
        <f>HYPERLINK("https://klasma.github.io/Logging_2161/tillsynsmail/A 50662-2025 tillsynsbegäran mail.docx", "A 50662-2025")</f>
        <v/>
      </c>
      <c r="Z135">
        <f>HYPERLINK("https://klasma.github.io/Logging_2161/fåglar/A 50662-2025 prioriterade fågelarter.docx", "A 50662-2025")</f>
        <v/>
      </c>
    </row>
    <row r="136" ht="15" customHeight="1">
      <c r="A136" t="inlineStr">
        <is>
          <t>A 36621-2024</t>
        </is>
      </c>
      <c r="B136" s="1" t="n">
        <v>45537.58864583333</v>
      </c>
      <c r="C136" s="1" t="n">
        <v>46036</v>
      </c>
      <c r="D136" t="inlineStr">
        <is>
          <t>GÄVLEBORGS LÄN</t>
        </is>
      </c>
      <c r="E136" t="inlineStr">
        <is>
          <t>LJUSDAL</t>
        </is>
      </c>
      <c r="F136" t="inlineStr">
        <is>
          <t>Sveaskog</t>
        </is>
      </c>
      <c r="G136" t="n">
        <v>2.9</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36621-2024 artfynd.xlsx", "A 36621-2024")</f>
        <v/>
      </c>
      <c r="T136">
        <f>HYPERLINK("https://klasma.github.io/Logging_2161/kartor/A 36621-2024 karta.png", "A 36621-2024")</f>
        <v/>
      </c>
      <c r="V136">
        <f>HYPERLINK("https://klasma.github.io/Logging_2161/klagomål/A 36621-2024 FSC-klagomål.docx", "A 36621-2024")</f>
        <v/>
      </c>
      <c r="W136">
        <f>HYPERLINK("https://klasma.github.io/Logging_2161/klagomålsmail/A 36621-2024 FSC-klagomål mail.docx", "A 36621-2024")</f>
        <v/>
      </c>
      <c r="X136">
        <f>HYPERLINK("https://klasma.github.io/Logging_2161/tillsyn/A 36621-2024 tillsynsbegäran.docx", "A 36621-2024")</f>
        <v/>
      </c>
      <c r="Y136">
        <f>HYPERLINK("https://klasma.github.io/Logging_2161/tillsynsmail/A 36621-2024 tillsynsbegäran mail.docx", "A 36621-2024")</f>
        <v/>
      </c>
    </row>
    <row r="137" ht="15" customHeight="1">
      <c r="A137" t="inlineStr">
        <is>
          <t>A 36629-2024</t>
        </is>
      </c>
      <c r="B137" s="1" t="n">
        <v>45537</v>
      </c>
      <c r="C137" s="1" t="n">
        <v>46036</v>
      </c>
      <c r="D137" t="inlineStr">
        <is>
          <t>GÄVLEBORGS LÄN</t>
        </is>
      </c>
      <c r="E137" t="inlineStr">
        <is>
          <t>LJUSDAL</t>
        </is>
      </c>
      <c r="F137" t="inlineStr">
        <is>
          <t>Sveaskog</t>
        </is>
      </c>
      <c r="G137" t="n">
        <v>1.1</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36629-2024 artfynd.xlsx", "A 36629-2024")</f>
        <v/>
      </c>
      <c r="T137">
        <f>HYPERLINK("https://klasma.github.io/Logging_2161/kartor/A 36629-2024 karta.png", "A 36629-2024")</f>
        <v/>
      </c>
      <c r="V137">
        <f>HYPERLINK("https://klasma.github.io/Logging_2161/klagomål/A 36629-2024 FSC-klagomål.docx", "A 36629-2024")</f>
        <v/>
      </c>
      <c r="W137">
        <f>HYPERLINK("https://klasma.github.io/Logging_2161/klagomålsmail/A 36629-2024 FSC-klagomål mail.docx", "A 36629-2024")</f>
        <v/>
      </c>
      <c r="X137">
        <f>HYPERLINK("https://klasma.github.io/Logging_2161/tillsyn/A 36629-2024 tillsynsbegäran.docx", "A 36629-2024")</f>
        <v/>
      </c>
      <c r="Y137">
        <f>HYPERLINK("https://klasma.github.io/Logging_2161/tillsynsmail/A 36629-2024 tillsynsbegäran mail.docx", "A 36629-2024")</f>
        <v/>
      </c>
    </row>
    <row r="138" ht="15" customHeight="1">
      <c r="A138" t="inlineStr">
        <is>
          <t>A 17707-2025</t>
        </is>
      </c>
      <c r="B138" s="1" t="n">
        <v>45758</v>
      </c>
      <c r="C138" s="1" t="n">
        <v>46036</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55108-2025</t>
        </is>
      </c>
      <c r="B139" s="1" t="n">
        <v>45968.37034722222</v>
      </c>
      <c r="C139" s="1" t="n">
        <v>46036</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17701-2025</t>
        </is>
      </c>
      <c r="B140" s="1" t="n">
        <v>45758</v>
      </c>
      <c r="C140" s="1" t="n">
        <v>46036</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23-2026</t>
        </is>
      </c>
      <c r="B141" s="1" t="n">
        <v>46023.85459490741</v>
      </c>
      <c r="C141" s="1" t="n">
        <v>46036</v>
      </c>
      <c r="D141" t="inlineStr">
        <is>
          <t>GÄVLEBORGS LÄN</t>
        </is>
      </c>
      <c r="E141" t="inlineStr">
        <is>
          <t>LJUSDAL</t>
        </is>
      </c>
      <c r="G141" t="n">
        <v>3.7</v>
      </c>
      <c r="H141" t="n">
        <v>0</v>
      </c>
      <c r="I141" t="n">
        <v>1</v>
      </c>
      <c r="J141" t="n">
        <v>1</v>
      </c>
      <c r="K141" t="n">
        <v>1</v>
      </c>
      <c r="L141" t="n">
        <v>0</v>
      </c>
      <c r="M141" t="n">
        <v>0</v>
      </c>
      <c r="N141" t="n">
        <v>0</v>
      </c>
      <c r="O141" t="n">
        <v>2</v>
      </c>
      <c r="P141" t="n">
        <v>1</v>
      </c>
      <c r="Q141" t="n">
        <v>3</v>
      </c>
      <c r="R141" s="2" t="inlineStr">
        <is>
          <t>Smalfotad taggsvamp
Garnlav
Dropptaggsvamp</t>
        </is>
      </c>
      <c r="S141">
        <f>HYPERLINK("https://klasma.github.io/Logging_2161/artfynd/A 23-2026 artfynd.xlsx", "A 23-2026")</f>
        <v/>
      </c>
      <c r="T141">
        <f>HYPERLINK("https://klasma.github.io/Logging_2161/kartor/A 23-2026 karta.png", "A 23-2026")</f>
        <v/>
      </c>
      <c r="V141">
        <f>HYPERLINK("https://klasma.github.io/Logging_2161/klagomål/A 23-2026 FSC-klagomål.docx", "A 23-2026")</f>
        <v/>
      </c>
      <c r="W141">
        <f>HYPERLINK("https://klasma.github.io/Logging_2161/klagomålsmail/A 23-2026 FSC-klagomål mail.docx", "A 23-2026")</f>
        <v/>
      </c>
      <c r="X141">
        <f>HYPERLINK("https://klasma.github.io/Logging_2161/tillsyn/A 23-2026 tillsynsbegäran.docx", "A 23-2026")</f>
        <v/>
      </c>
      <c r="Y141">
        <f>HYPERLINK("https://klasma.github.io/Logging_2161/tillsynsmail/A 23-2026 tillsynsbegäran mail.docx", "A 23-2026")</f>
        <v/>
      </c>
    </row>
    <row r="142" ht="15" customHeight="1">
      <c r="A142" t="inlineStr">
        <is>
          <t>A 22229-2024</t>
        </is>
      </c>
      <c r="B142" s="1" t="n">
        <v>45446.42638888889</v>
      </c>
      <c r="C142" s="1" t="n">
        <v>46036</v>
      </c>
      <c r="D142" t="inlineStr">
        <is>
          <t>GÄVLEBORGS LÄN</t>
        </is>
      </c>
      <c r="E142" t="inlineStr">
        <is>
          <t>LJUSDAL</t>
        </is>
      </c>
      <c r="F142" t="inlineStr">
        <is>
          <t>Sveaskog</t>
        </is>
      </c>
      <c r="G142" t="n">
        <v>4.2</v>
      </c>
      <c r="H142" t="n">
        <v>2</v>
      </c>
      <c r="I142" t="n">
        <v>0</v>
      </c>
      <c r="J142" t="n">
        <v>2</v>
      </c>
      <c r="K142" t="n">
        <v>1</v>
      </c>
      <c r="L142" t="n">
        <v>0</v>
      </c>
      <c r="M142" t="n">
        <v>0</v>
      </c>
      <c r="N142" t="n">
        <v>0</v>
      </c>
      <c r="O142" t="n">
        <v>3</v>
      </c>
      <c r="P142" t="n">
        <v>1</v>
      </c>
      <c r="Q142" t="n">
        <v>3</v>
      </c>
      <c r="R142" s="2" t="inlineStr">
        <is>
          <t>Topplåsbräken
Höstlåsbräken
Månlåsbräken</t>
        </is>
      </c>
      <c r="S142">
        <f>HYPERLINK("https://klasma.github.io/Logging_2161/artfynd/A 22229-2024 artfynd.xlsx", "A 22229-2024")</f>
        <v/>
      </c>
      <c r="T142">
        <f>HYPERLINK("https://klasma.github.io/Logging_2161/kartor/A 22229-2024 karta.png", "A 22229-2024")</f>
        <v/>
      </c>
      <c r="V142">
        <f>HYPERLINK("https://klasma.github.io/Logging_2161/klagomål/A 22229-2024 FSC-klagomål.docx", "A 22229-2024")</f>
        <v/>
      </c>
      <c r="W142">
        <f>HYPERLINK("https://klasma.github.io/Logging_2161/klagomålsmail/A 22229-2024 FSC-klagomål mail.docx", "A 22229-2024")</f>
        <v/>
      </c>
      <c r="X142">
        <f>HYPERLINK("https://klasma.github.io/Logging_2161/tillsyn/A 22229-2024 tillsynsbegäran.docx", "A 22229-2024")</f>
        <v/>
      </c>
      <c r="Y142">
        <f>HYPERLINK("https://klasma.github.io/Logging_2161/tillsynsmail/A 22229-2024 tillsynsbegäran mail.docx", "A 22229-2024")</f>
        <v/>
      </c>
    </row>
    <row r="143" ht="15" customHeight="1">
      <c r="A143" t="inlineStr">
        <is>
          <t>A 12105-2023</t>
        </is>
      </c>
      <c r="B143" s="1" t="n">
        <v>44998</v>
      </c>
      <c r="C143" s="1" t="n">
        <v>46036</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44451-2024</t>
        </is>
      </c>
      <c r="B144" s="1" t="n">
        <v>45574</v>
      </c>
      <c r="C144" s="1" t="n">
        <v>46036</v>
      </c>
      <c r="D144" t="inlineStr">
        <is>
          <t>GÄVLEBORGS LÄN</t>
        </is>
      </c>
      <c r="E144" t="inlineStr">
        <is>
          <t>LJUSDAL</t>
        </is>
      </c>
      <c r="G144" t="n">
        <v>1.4</v>
      </c>
      <c r="H144" t="n">
        <v>1</v>
      </c>
      <c r="I144" t="n">
        <v>1</v>
      </c>
      <c r="J144" t="n">
        <v>2</v>
      </c>
      <c r="K144" t="n">
        <v>0</v>
      </c>
      <c r="L144" t="n">
        <v>0</v>
      </c>
      <c r="M144" t="n">
        <v>0</v>
      </c>
      <c r="N144" t="n">
        <v>0</v>
      </c>
      <c r="O144" t="n">
        <v>2</v>
      </c>
      <c r="P144" t="n">
        <v>0</v>
      </c>
      <c r="Q144" t="n">
        <v>3</v>
      </c>
      <c r="R144" s="2" t="inlineStr">
        <is>
          <t>Kolflarnlav
Vedflamlav
Plattlummer</t>
        </is>
      </c>
      <c r="S144">
        <f>HYPERLINK("https://klasma.github.io/Logging_2161/artfynd/A 44451-2024 artfynd.xlsx", "A 44451-2024")</f>
        <v/>
      </c>
      <c r="T144">
        <f>HYPERLINK("https://klasma.github.io/Logging_2161/kartor/A 44451-2024 karta.png", "A 44451-2024")</f>
        <v/>
      </c>
      <c r="V144">
        <f>HYPERLINK("https://klasma.github.io/Logging_2161/klagomål/A 44451-2024 FSC-klagomål.docx", "A 44451-2024")</f>
        <v/>
      </c>
      <c r="W144">
        <f>HYPERLINK("https://klasma.github.io/Logging_2161/klagomålsmail/A 44451-2024 FSC-klagomål mail.docx", "A 44451-2024")</f>
        <v/>
      </c>
      <c r="X144">
        <f>HYPERLINK("https://klasma.github.io/Logging_2161/tillsyn/A 44451-2024 tillsynsbegäran.docx", "A 44451-2024")</f>
        <v/>
      </c>
      <c r="Y144">
        <f>HYPERLINK("https://klasma.github.io/Logging_2161/tillsynsmail/A 44451-2024 tillsynsbegäran mail.docx", "A 44451-2024")</f>
        <v/>
      </c>
    </row>
    <row r="145" ht="15" customHeight="1">
      <c r="A145" t="inlineStr">
        <is>
          <t>A 39024-2024</t>
        </is>
      </c>
      <c r="B145" s="1" t="n">
        <v>45548</v>
      </c>
      <c r="C145" s="1" t="n">
        <v>46036</v>
      </c>
      <c r="D145" t="inlineStr">
        <is>
          <t>GÄVLEBORGS LÄN</t>
        </is>
      </c>
      <c r="E145" t="inlineStr">
        <is>
          <t>LJUSDAL</t>
        </is>
      </c>
      <c r="F145" t="inlineStr">
        <is>
          <t>Sveaskog</t>
        </is>
      </c>
      <c r="G145" t="n">
        <v>17</v>
      </c>
      <c r="H145" t="n">
        <v>0</v>
      </c>
      <c r="I145" t="n">
        <v>0</v>
      </c>
      <c r="J145" t="n">
        <v>3</v>
      </c>
      <c r="K145" t="n">
        <v>0</v>
      </c>
      <c r="L145" t="n">
        <v>0</v>
      </c>
      <c r="M145" t="n">
        <v>0</v>
      </c>
      <c r="N145" t="n">
        <v>0</v>
      </c>
      <c r="O145" t="n">
        <v>3</v>
      </c>
      <c r="P145" t="n">
        <v>0</v>
      </c>
      <c r="Q145" t="n">
        <v>3</v>
      </c>
      <c r="R145" s="2" t="inlineStr">
        <is>
          <t>Garnlav
Lunglav
Skrovellav</t>
        </is>
      </c>
      <c r="S145">
        <f>HYPERLINK("https://klasma.github.io/Logging_2161/artfynd/A 39024-2024 artfynd.xlsx", "A 39024-2024")</f>
        <v/>
      </c>
      <c r="T145">
        <f>HYPERLINK("https://klasma.github.io/Logging_2161/kartor/A 39024-2024 karta.png", "A 39024-2024")</f>
        <v/>
      </c>
      <c r="V145">
        <f>HYPERLINK("https://klasma.github.io/Logging_2161/klagomål/A 39024-2024 FSC-klagomål.docx", "A 39024-2024")</f>
        <v/>
      </c>
      <c r="W145">
        <f>HYPERLINK("https://klasma.github.io/Logging_2161/klagomålsmail/A 39024-2024 FSC-klagomål mail.docx", "A 39024-2024")</f>
        <v/>
      </c>
      <c r="X145">
        <f>HYPERLINK("https://klasma.github.io/Logging_2161/tillsyn/A 39024-2024 tillsynsbegäran.docx", "A 39024-2024")</f>
        <v/>
      </c>
      <c r="Y145">
        <f>HYPERLINK("https://klasma.github.io/Logging_2161/tillsynsmail/A 39024-2024 tillsynsbegäran mail.docx", "A 39024-2024")</f>
        <v/>
      </c>
    </row>
    <row r="146" ht="15" customHeight="1">
      <c r="A146" t="inlineStr">
        <is>
          <t>A 22239-2024</t>
        </is>
      </c>
      <c r="B146" s="1" t="n">
        <v>45446.44012731482</v>
      </c>
      <c r="C146" s="1" t="n">
        <v>46036</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31473-2023</t>
        </is>
      </c>
      <c r="B147" s="1" t="n">
        <v>45114</v>
      </c>
      <c r="C147" s="1" t="n">
        <v>46036</v>
      </c>
      <c r="D147" t="inlineStr">
        <is>
          <t>GÄVLEBORGS LÄN</t>
        </is>
      </c>
      <c r="E147" t="inlineStr">
        <is>
          <t>LJUSDAL</t>
        </is>
      </c>
      <c r="F147" t="inlineStr">
        <is>
          <t>Sveaskog</t>
        </is>
      </c>
      <c r="G147" t="n">
        <v>15.5</v>
      </c>
      <c r="H147" t="n">
        <v>1</v>
      </c>
      <c r="I147" t="n">
        <v>1</v>
      </c>
      <c r="J147" t="n">
        <v>2</v>
      </c>
      <c r="K147" t="n">
        <v>0</v>
      </c>
      <c r="L147" t="n">
        <v>0</v>
      </c>
      <c r="M147" t="n">
        <v>0</v>
      </c>
      <c r="N147" t="n">
        <v>0</v>
      </c>
      <c r="O147" t="n">
        <v>2</v>
      </c>
      <c r="P147" t="n">
        <v>0</v>
      </c>
      <c r="Q147" t="n">
        <v>3</v>
      </c>
      <c r="R147" s="2" t="inlineStr">
        <is>
          <t>Kolflarnlav
Lunglav
Plattlummer</t>
        </is>
      </c>
      <c r="S147">
        <f>HYPERLINK("https://klasma.github.io/Logging_2161/artfynd/A 31473-2023 artfynd.xlsx", "A 31473-2023")</f>
        <v/>
      </c>
      <c r="T147">
        <f>HYPERLINK("https://klasma.github.io/Logging_2161/kartor/A 31473-2023 karta.png", "A 31473-2023")</f>
        <v/>
      </c>
      <c r="V147">
        <f>HYPERLINK("https://klasma.github.io/Logging_2161/klagomål/A 31473-2023 FSC-klagomål.docx", "A 31473-2023")</f>
        <v/>
      </c>
      <c r="W147">
        <f>HYPERLINK("https://klasma.github.io/Logging_2161/klagomålsmail/A 31473-2023 FSC-klagomål mail.docx", "A 31473-2023")</f>
        <v/>
      </c>
      <c r="X147">
        <f>HYPERLINK("https://klasma.github.io/Logging_2161/tillsyn/A 31473-2023 tillsynsbegäran.docx", "A 31473-2023")</f>
        <v/>
      </c>
      <c r="Y147">
        <f>HYPERLINK("https://klasma.github.io/Logging_2161/tillsynsmail/A 31473-2023 tillsynsbegäran mail.docx", "A 31473-2023")</f>
        <v/>
      </c>
    </row>
    <row r="148" ht="15" customHeight="1">
      <c r="A148" t="inlineStr">
        <is>
          <t>A 36627-2024</t>
        </is>
      </c>
      <c r="B148" s="1" t="n">
        <v>45537</v>
      </c>
      <c r="C148" s="1" t="n">
        <v>46036</v>
      </c>
      <c r="D148" t="inlineStr">
        <is>
          <t>GÄVLEBORGS LÄN</t>
        </is>
      </c>
      <c r="E148" t="inlineStr">
        <is>
          <t>LJUSDAL</t>
        </is>
      </c>
      <c r="F148" t="inlineStr">
        <is>
          <t>Sveaskog</t>
        </is>
      </c>
      <c r="G148" t="n">
        <v>11.8</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36627-2024 artfynd.xlsx", "A 36627-2024")</f>
        <v/>
      </c>
      <c r="T148">
        <f>HYPERLINK("https://klasma.github.io/Logging_2161/kartor/A 36627-2024 karta.png", "A 36627-2024")</f>
        <v/>
      </c>
      <c r="V148">
        <f>HYPERLINK("https://klasma.github.io/Logging_2161/klagomål/A 36627-2024 FSC-klagomål.docx", "A 36627-2024")</f>
        <v/>
      </c>
      <c r="W148">
        <f>HYPERLINK("https://klasma.github.io/Logging_2161/klagomålsmail/A 36627-2024 FSC-klagomål mail.docx", "A 36627-2024")</f>
        <v/>
      </c>
      <c r="X148">
        <f>HYPERLINK("https://klasma.github.io/Logging_2161/tillsyn/A 36627-2024 tillsynsbegäran.docx", "A 36627-2024")</f>
        <v/>
      </c>
      <c r="Y148">
        <f>HYPERLINK("https://klasma.github.io/Logging_2161/tillsynsmail/A 36627-2024 tillsynsbegäran mail.docx", "A 36627-2024")</f>
        <v/>
      </c>
    </row>
    <row r="149" ht="15" customHeight="1">
      <c r="A149" t="inlineStr">
        <is>
          <t>A 46244-2024</t>
        </is>
      </c>
      <c r="B149" s="1" t="n">
        <v>45581.59032407407</v>
      </c>
      <c r="C149" s="1" t="n">
        <v>46036</v>
      </c>
      <c r="D149" t="inlineStr">
        <is>
          <t>GÄVLEBORGS LÄN</t>
        </is>
      </c>
      <c r="E149" t="inlineStr">
        <is>
          <t>LJUSDAL</t>
        </is>
      </c>
      <c r="F149" t="inlineStr">
        <is>
          <t>Sveaskog</t>
        </is>
      </c>
      <c r="G149" t="n">
        <v>5.8</v>
      </c>
      <c r="H149" t="n">
        <v>0</v>
      </c>
      <c r="I149" t="n">
        <v>1</v>
      </c>
      <c r="J149" t="n">
        <v>2</v>
      </c>
      <c r="K149" t="n">
        <v>0</v>
      </c>
      <c r="L149" t="n">
        <v>0</v>
      </c>
      <c r="M149" t="n">
        <v>0</v>
      </c>
      <c r="N149" t="n">
        <v>0</v>
      </c>
      <c r="O149" t="n">
        <v>2</v>
      </c>
      <c r="P149" t="n">
        <v>0</v>
      </c>
      <c r="Q149" t="n">
        <v>3</v>
      </c>
      <c r="R149" s="2" t="inlineStr">
        <is>
          <t>Motaggsvamp
Skrovlig taggsvamp
Dropptaggsvamp</t>
        </is>
      </c>
      <c r="S149">
        <f>HYPERLINK("https://klasma.github.io/Logging_2161/artfynd/A 46244-2024 artfynd.xlsx", "A 46244-2024")</f>
        <v/>
      </c>
      <c r="T149">
        <f>HYPERLINK("https://klasma.github.io/Logging_2161/kartor/A 46244-2024 karta.png", "A 46244-2024")</f>
        <v/>
      </c>
      <c r="V149">
        <f>HYPERLINK("https://klasma.github.io/Logging_2161/klagomål/A 46244-2024 FSC-klagomål.docx", "A 46244-2024")</f>
        <v/>
      </c>
      <c r="W149">
        <f>HYPERLINK("https://klasma.github.io/Logging_2161/klagomålsmail/A 46244-2024 FSC-klagomål mail.docx", "A 46244-2024")</f>
        <v/>
      </c>
      <c r="X149">
        <f>HYPERLINK("https://klasma.github.io/Logging_2161/tillsyn/A 46244-2024 tillsynsbegäran.docx", "A 46244-2024")</f>
        <v/>
      </c>
      <c r="Y149">
        <f>HYPERLINK("https://klasma.github.io/Logging_2161/tillsynsmail/A 46244-2024 tillsynsbegäran mail.docx", "A 46244-2024")</f>
        <v/>
      </c>
    </row>
    <row r="150" ht="15" customHeight="1">
      <c r="A150" t="inlineStr">
        <is>
          <t>A 23643-2025</t>
        </is>
      </c>
      <c r="B150" s="1" t="n">
        <v>45792.68582175926</v>
      </c>
      <c r="C150" s="1" t="n">
        <v>46036</v>
      </c>
      <c r="D150" t="inlineStr">
        <is>
          <t>GÄVLEBORGS LÄN</t>
        </is>
      </c>
      <c r="E150" t="inlineStr">
        <is>
          <t>LJUSDAL</t>
        </is>
      </c>
      <c r="F150" t="inlineStr">
        <is>
          <t>Sveaskog</t>
        </is>
      </c>
      <c r="G150" t="n">
        <v>23.8</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HYPERLINK("https://klasma.github.io/Logging_2161/artfynd/A 23643-2025 artfynd.xlsx", "A 23643-2025")</f>
        <v/>
      </c>
      <c r="T150">
        <f>HYPERLINK("https://klasma.github.io/Logging_2161/kartor/A 23643-2025 karta.png", "A 23643-2025")</f>
        <v/>
      </c>
      <c r="V150">
        <f>HYPERLINK("https://klasma.github.io/Logging_2161/klagomål/A 23643-2025 FSC-klagomål.docx", "A 23643-2025")</f>
        <v/>
      </c>
      <c r="W150">
        <f>HYPERLINK("https://klasma.github.io/Logging_2161/klagomålsmail/A 23643-2025 FSC-klagomål mail.docx", "A 23643-2025")</f>
        <v/>
      </c>
      <c r="X150">
        <f>HYPERLINK("https://klasma.github.io/Logging_2161/tillsyn/A 23643-2025 tillsynsbegäran.docx", "A 23643-2025")</f>
        <v/>
      </c>
      <c r="Y150">
        <f>HYPERLINK("https://klasma.github.io/Logging_2161/tillsynsmail/A 23643-2025 tillsynsbegäran mail.docx", "A 23643-2025")</f>
        <v/>
      </c>
    </row>
    <row r="151" ht="15" customHeight="1">
      <c r="A151" t="inlineStr">
        <is>
          <t>A 44116-2022</t>
        </is>
      </c>
      <c r="B151" s="1" t="n">
        <v>44839</v>
      </c>
      <c r="C151" s="1" t="n">
        <v>46036</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46036</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46036</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46036</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46036</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46036</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46036</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46036</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46036</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23399-2024</t>
        </is>
      </c>
      <c r="B160" s="1" t="n">
        <v>45453</v>
      </c>
      <c r="C160" s="1" t="n">
        <v>46036</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34997-2024</t>
        </is>
      </c>
      <c r="B161" s="1" t="n">
        <v>45527.56431712963</v>
      </c>
      <c r="C161" s="1" t="n">
        <v>46036</v>
      </c>
      <c r="D161" t="inlineStr">
        <is>
          <t>GÄVLEBORGS LÄN</t>
        </is>
      </c>
      <c r="E161" t="inlineStr">
        <is>
          <t>LJUSDAL</t>
        </is>
      </c>
      <c r="F161" t="inlineStr">
        <is>
          <t>Sveaskog</t>
        </is>
      </c>
      <c r="G161" t="n">
        <v>5.3</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34997-2024 artfynd.xlsx", "A 34997-2024")</f>
        <v/>
      </c>
      <c r="T161">
        <f>HYPERLINK("https://klasma.github.io/Logging_2161/kartor/A 34997-2024 karta.png", "A 34997-2024")</f>
        <v/>
      </c>
      <c r="V161">
        <f>HYPERLINK("https://klasma.github.io/Logging_2161/klagomål/A 34997-2024 FSC-klagomål.docx", "A 34997-2024")</f>
        <v/>
      </c>
      <c r="W161">
        <f>HYPERLINK("https://klasma.github.io/Logging_2161/klagomålsmail/A 34997-2024 FSC-klagomål mail.docx", "A 34997-2024")</f>
        <v/>
      </c>
      <c r="X161">
        <f>HYPERLINK("https://klasma.github.io/Logging_2161/tillsyn/A 34997-2024 tillsynsbegäran.docx", "A 34997-2024")</f>
        <v/>
      </c>
      <c r="Y161">
        <f>HYPERLINK("https://klasma.github.io/Logging_2161/tillsynsmail/A 34997-2024 tillsynsbegäran mail.docx", "A 34997-2024")</f>
        <v/>
      </c>
    </row>
    <row r="162" ht="15" customHeight="1">
      <c r="A162" t="inlineStr">
        <is>
          <t>A 22067-2024</t>
        </is>
      </c>
      <c r="B162" s="1" t="n">
        <v>45443.63162037037</v>
      </c>
      <c r="C162" s="1" t="n">
        <v>46036</v>
      </c>
      <c r="D162" t="inlineStr">
        <is>
          <t>GÄVLEBORGS LÄN</t>
        </is>
      </c>
      <c r="E162" t="inlineStr">
        <is>
          <t>LJUSDAL</t>
        </is>
      </c>
      <c r="F162" t="inlineStr">
        <is>
          <t>Sveaskog</t>
        </is>
      </c>
      <c r="G162" t="n">
        <v>2.9</v>
      </c>
      <c r="H162" t="n">
        <v>0</v>
      </c>
      <c r="I162" t="n">
        <v>0</v>
      </c>
      <c r="J162" t="n">
        <v>2</v>
      </c>
      <c r="K162" t="n">
        <v>0</v>
      </c>
      <c r="L162" t="n">
        <v>0</v>
      </c>
      <c r="M162" t="n">
        <v>0</v>
      </c>
      <c r="N162" t="n">
        <v>0</v>
      </c>
      <c r="O162" t="n">
        <v>2</v>
      </c>
      <c r="P162" t="n">
        <v>0</v>
      </c>
      <c r="Q162" t="n">
        <v>2</v>
      </c>
      <c r="R162" s="2" t="inlineStr">
        <is>
          <t>Garnlav
Skrovellav</t>
        </is>
      </c>
      <c r="S162">
        <f>HYPERLINK("https://klasma.github.io/Logging_2161/artfynd/A 22067-2024 artfynd.xlsx", "A 22067-2024")</f>
        <v/>
      </c>
      <c r="T162">
        <f>HYPERLINK("https://klasma.github.io/Logging_2161/kartor/A 22067-2024 karta.png", "A 22067-2024")</f>
        <v/>
      </c>
      <c r="V162">
        <f>HYPERLINK("https://klasma.github.io/Logging_2161/klagomål/A 22067-2024 FSC-klagomål.docx", "A 22067-2024")</f>
        <v/>
      </c>
      <c r="W162">
        <f>HYPERLINK("https://klasma.github.io/Logging_2161/klagomålsmail/A 22067-2024 FSC-klagomål mail.docx", "A 22067-2024")</f>
        <v/>
      </c>
      <c r="X162">
        <f>HYPERLINK("https://klasma.github.io/Logging_2161/tillsyn/A 22067-2024 tillsynsbegäran.docx", "A 22067-2024")</f>
        <v/>
      </c>
      <c r="Y162">
        <f>HYPERLINK("https://klasma.github.io/Logging_2161/tillsynsmail/A 22067-2024 tillsynsbegäran mail.docx", "A 22067-2024")</f>
        <v/>
      </c>
    </row>
    <row r="163" ht="15" customHeight="1">
      <c r="A163" t="inlineStr">
        <is>
          <t>A 27122-2025</t>
        </is>
      </c>
      <c r="B163" s="1" t="n">
        <v>45811.77063657407</v>
      </c>
      <c r="C163" s="1" t="n">
        <v>46036</v>
      </c>
      <c r="D163" t="inlineStr">
        <is>
          <t>GÄVLEBORGS LÄN</t>
        </is>
      </c>
      <c r="E163" t="inlineStr">
        <is>
          <t>LJUSDAL</t>
        </is>
      </c>
      <c r="F163" t="inlineStr">
        <is>
          <t>Sveaskog</t>
        </is>
      </c>
      <c r="G163" t="n">
        <v>1.9</v>
      </c>
      <c r="H163" t="n">
        <v>0</v>
      </c>
      <c r="I163" t="n">
        <v>0</v>
      </c>
      <c r="J163" t="n">
        <v>2</v>
      </c>
      <c r="K163" t="n">
        <v>0</v>
      </c>
      <c r="L163" t="n">
        <v>0</v>
      </c>
      <c r="M163" t="n">
        <v>0</v>
      </c>
      <c r="N163" t="n">
        <v>0</v>
      </c>
      <c r="O163" t="n">
        <v>2</v>
      </c>
      <c r="P163" t="n">
        <v>0</v>
      </c>
      <c r="Q163" t="n">
        <v>2</v>
      </c>
      <c r="R163" s="2" t="inlineStr">
        <is>
          <t>Lunglav
Skrovellav</t>
        </is>
      </c>
      <c r="S163">
        <f>HYPERLINK("https://klasma.github.io/Logging_2161/artfynd/A 27122-2025 artfynd.xlsx", "A 27122-2025")</f>
        <v/>
      </c>
      <c r="T163">
        <f>HYPERLINK("https://klasma.github.io/Logging_2161/kartor/A 27122-2025 karta.png", "A 27122-2025")</f>
        <v/>
      </c>
      <c r="V163">
        <f>HYPERLINK("https://klasma.github.io/Logging_2161/klagomål/A 27122-2025 FSC-klagomål.docx", "A 27122-2025")</f>
        <v/>
      </c>
      <c r="W163">
        <f>HYPERLINK("https://klasma.github.io/Logging_2161/klagomålsmail/A 27122-2025 FSC-klagomål mail.docx", "A 27122-2025")</f>
        <v/>
      </c>
      <c r="X163">
        <f>HYPERLINK("https://klasma.github.io/Logging_2161/tillsyn/A 27122-2025 tillsynsbegäran.docx", "A 27122-2025")</f>
        <v/>
      </c>
      <c r="Y163">
        <f>HYPERLINK("https://klasma.github.io/Logging_2161/tillsynsmail/A 27122-2025 tillsynsbegäran mail.docx", "A 27122-2025")</f>
        <v/>
      </c>
    </row>
    <row r="164" ht="15" customHeight="1">
      <c r="A164" t="inlineStr">
        <is>
          <t>A 27882-2025</t>
        </is>
      </c>
      <c r="B164" s="1" t="n">
        <v>45817.44679398148</v>
      </c>
      <c r="C164" s="1" t="n">
        <v>46036</v>
      </c>
      <c r="D164" t="inlineStr">
        <is>
          <t>GÄVLEBORGS LÄN</t>
        </is>
      </c>
      <c r="E164" t="inlineStr">
        <is>
          <t>LJUSDAL</t>
        </is>
      </c>
      <c r="F164" t="inlineStr">
        <is>
          <t>Sveaskog</t>
        </is>
      </c>
      <c r="G164" t="n">
        <v>7.1</v>
      </c>
      <c r="H164" t="n">
        <v>1</v>
      </c>
      <c r="I164" t="n">
        <v>0</v>
      </c>
      <c r="J164" t="n">
        <v>1</v>
      </c>
      <c r="K164" t="n">
        <v>1</v>
      </c>
      <c r="L164" t="n">
        <v>0</v>
      </c>
      <c r="M164" t="n">
        <v>0</v>
      </c>
      <c r="N164" t="n">
        <v>0</v>
      </c>
      <c r="O164" t="n">
        <v>2</v>
      </c>
      <c r="P164" t="n">
        <v>1</v>
      </c>
      <c r="Q164" t="n">
        <v>2</v>
      </c>
      <c r="R164" s="2" t="inlineStr">
        <is>
          <t>Doftticka
Lunglav</t>
        </is>
      </c>
      <c r="S164">
        <f>HYPERLINK("https://klasma.github.io/Logging_2161/artfynd/A 27882-2025 artfynd.xlsx", "A 27882-2025")</f>
        <v/>
      </c>
      <c r="T164">
        <f>HYPERLINK("https://klasma.github.io/Logging_2161/kartor/A 27882-2025 karta.png", "A 27882-2025")</f>
        <v/>
      </c>
      <c r="V164">
        <f>HYPERLINK("https://klasma.github.io/Logging_2161/klagomål/A 27882-2025 FSC-klagomål.docx", "A 27882-2025")</f>
        <v/>
      </c>
      <c r="W164">
        <f>HYPERLINK("https://klasma.github.io/Logging_2161/klagomålsmail/A 27882-2025 FSC-klagomål mail.docx", "A 27882-2025")</f>
        <v/>
      </c>
      <c r="X164">
        <f>HYPERLINK("https://klasma.github.io/Logging_2161/tillsyn/A 27882-2025 tillsynsbegäran.docx", "A 27882-2025")</f>
        <v/>
      </c>
      <c r="Y164">
        <f>HYPERLINK("https://klasma.github.io/Logging_2161/tillsynsmail/A 27882-2025 tillsynsbegäran mail.docx", "A 27882-2025")</f>
        <v/>
      </c>
    </row>
    <row r="165" ht="15" customHeight="1">
      <c r="A165" t="inlineStr">
        <is>
          <t>A 38698-2025</t>
        </is>
      </c>
      <c r="B165" s="1" t="n">
        <v>45884.78145833333</v>
      </c>
      <c r="C165" s="1" t="n">
        <v>46036</v>
      </c>
      <c r="D165" t="inlineStr">
        <is>
          <t>GÄVLEBORGS LÄN</t>
        </is>
      </c>
      <c r="E165" t="inlineStr">
        <is>
          <t>LJUSDAL</t>
        </is>
      </c>
      <c r="F165" t="inlineStr">
        <is>
          <t>Sveaskog</t>
        </is>
      </c>
      <c r="G165" t="n">
        <v>6.4</v>
      </c>
      <c r="H165" t="n">
        <v>1</v>
      </c>
      <c r="I165" t="n">
        <v>0</v>
      </c>
      <c r="J165" t="n">
        <v>1</v>
      </c>
      <c r="K165" t="n">
        <v>0</v>
      </c>
      <c r="L165" t="n">
        <v>0</v>
      </c>
      <c r="M165" t="n">
        <v>0</v>
      </c>
      <c r="N165" t="n">
        <v>0</v>
      </c>
      <c r="O165" t="n">
        <v>1</v>
      </c>
      <c r="P165" t="n">
        <v>0</v>
      </c>
      <c r="Q165" t="n">
        <v>2</v>
      </c>
      <c r="R165" s="2" t="inlineStr">
        <is>
          <t>Skrovellav
Fläcknycklar</t>
        </is>
      </c>
      <c r="S165">
        <f>HYPERLINK("https://klasma.github.io/Logging_2161/artfynd/A 38698-2025 artfynd.xlsx", "A 38698-2025")</f>
        <v/>
      </c>
      <c r="T165">
        <f>HYPERLINK("https://klasma.github.io/Logging_2161/kartor/A 38698-2025 karta.png", "A 38698-2025")</f>
        <v/>
      </c>
      <c r="V165">
        <f>HYPERLINK("https://klasma.github.io/Logging_2161/klagomål/A 38698-2025 FSC-klagomål.docx", "A 38698-2025")</f>
        <v/>
      </c>
      <c r="W165">
        <f>HYPERLINK("https://klasma.github.io/Logging_2161/klagomålsmail/A 38698-2025 FSC-klagomål mail.docx", "A 38698-2025")</f>
        <v/>
      </c>
      <c r="X165">
        <f>HYPERLINK("https://klasma.github.io/Logging_2161/tillsyn/A 38698-2025 tillsynsbegäran.docx", "A 38698-2025")</f>
        <v/>
      </c>
      <c r="Y165">
        <f>HYPERLINK("https://klasma.github.io/Logging_2161/tillsynsmail/A 38698-2025 tillsynsbegäran mail.docx", "A 38698-2025")</f>
        <v/>
      </c>
    </row>
    <row r="166" ht="15" customHeight="1">
      <c r="A166" t="inlineStr">
        <is>
          <t>A 30885-2024</t>
        </is>
      </c>
      <c r="B166" s="1" t="n">
        <v>45498.37140046297</v>
      </c>
      <c r="C166" s="1" t="n">
        <v>46036</v>
      </c>
      <c r="D166" t="inlineStr">
        <is>
          <t>GÄVLEBORGS LÄN</t>
        </is>
      </c>
      <c r="E166" t="inlineStr">
        <is>
          <t>LJUSDAL</t>
        </is>
      </c>
      <c r="F166" t="inlineStr">
        <is>
          <t>Sveaskog</t>
        </is>
      </c>
      <c r="G166" t="n">
        <v>11.2</v>
      </c>
      <c r="H166" t="n">
        <v>1</v>
      </c>
      <c r="I166" t="n">
        <v>1</v>
      </c>
      <c r="J166" t="n">
        <v>1</v>
      </c>
      <c r="K166" t="n">
        <v>0</v>
      </c>
      <c r="L166" t="n">
        <v>0</v>
      </c>
      <c r="M166" t="n">
        <v>0</v>
      </c>
      <c r="N166" t="n">
        <v>0</v>
      </c>
      <c r="O166" t="n">
        <v>1</v>
      </c>
      <c r="P166" t="n">
        <v>0</v>
      </c>
      <c r="Q166" t="n">
        <v>2</v>
      </c>
      <c r="R166" s="2" t="inlineStr">
        <is>
          <t>Kolflarnlav
Plattlummer</t>
        </is>
      </c>
      <c r="S166">
        <f>HYPERLINK("https://klasma.github.io/Logging_2161/artfynd/A 30885-2024 artfynd.xlsx", "A 30885-2024")</f>
        <v/>
      </c>
      <c r="T166">
        <f>HYPERLINK("https://klasma.github.io/Logging_2161/kartor/A 30885-2024 karta.png", "A 30885-2024")</f>
        <v/>
      </c>
      <c r="V166">
        <f>HYPERLINK("https://klasma.github.io/Logging_2161/klagomål/A 30885-2024 FSC-klagomål.docx", "A 30885-2024")</f>
        <v/>
      </c>
      <c r="W166">
        <f>HYPERLINK("https://klasma.github.io/Logging_2161/klagomålsmail/A 30885-2024 FSC-klagomål mail.docx", "A 30885-2024")</f>
        <v/>
      </c>
      <c r="X166">
        <f>HYPERLINK("https://klasma.github.io/Logging_2161/tillsyn/A 30885-2024 tillsynsbegäran.docx", "A 30885-2024")</f>
        <v/>
      </c>
      <c r="Y166">
        <f>HYPERLINK("https://klasma.github.io/Logging_2161/tillsynsmail/A 30885-2024 tillsynsbegäran mail.docx", "A 30885-2024")</f>
        <v/>
      </c>
    </row>
    <row r="167" ht="15" customHeight="1">
      <c r="A167" t="inlineStr">
        <is>
          <t>A 30530-2025</t>
        </is>
      </c>
      <c r="B167" s="1" t="n">
        <v>45831.36056712963</v>
      </c>
      <c r="C167" s="1" t="n">
        <v>46036</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46036</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31078-2025</t>
        </is>
      </c>
      <c r="B169" s="1" t="n">
        <v>45832.5844212963</v>
      </c>
      <c r="C169" s="1" t="n">
        <v>46036</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31740-2025</t>
        </is>
      </c>
      <c r="B170" s="1" t="n">
        <v>45834.47508101852</v>
      </c>
      <c r="C170" s="1" t="n">
        <v>46036</v>
      </c>
      <c r="D170" t="inlineStr">
        <is>
          <t>GÄVLEBORGS LÄN</t>
        </is>
      </c>
      <c r="E170" t="inlineStr">
        <is>
          <t>LJUSDAL</t>
        </is>
      </c>
      <c r="F170" t="inlineStr">
        <is>
          <t>Allmännings- och besparingsskogar</t>
        </is>
      </c>
      <c r="G170" t="n">
        <v>7.3</v>
      </c>
      <c r="H170" t="n">
        <v>0</v>
      </c>
      <c r="I170" t="n">
        <v>0</v>
      </c>
      <c r="J170" t="n">
        <v>2</v>
      </c>
      <c r="K170" t="n">
        <v>0</v>
      </c>
      <c r="L170" t="n">
        <v>0</v>
      </c>
      <c r="M170" t="n">
        <v>0</v>
      </c>
      <c r="N170" t="n">
        <v>0</v>
      </c>
      <c r="O170" t="n">
        <v>2</v>
      </c>
      <c r="P170" t="n">
        <v>0</v>
      </c>
      <c r="Q170" t="n">
        <v>2</v>
      </c>
      <c r="R170" s="2" t="inlineStr">
        <is>
          <t>Garnlav
Vedskivlav</t>
        </is>
      </c>
      <c r="S170">
        <f>HYPERLINK("https://klasma.github.io/Logging_2161/artfynd/A 31740-2025 artfynd.xlsx", "A 31740-2025")</f>
        <v/>
      </c>
      <c r="T170">
        <f>HYPERLINK("https://klasma.github.io/Logging_2161/kartor/A 31740-2025 karta.png", "A 31740-2025")</f>
        <v/>
      </c>
      <c r="V170">
        <f>HYPERLINK("https://klasma.github.io/Logging_2161/klagomål/A 31740-2025 FSC-klagomål.docx", "A 31740-2025")</f>
        <v/>
      </c>
      <c r="W170">
        <f>HYPERLINK("https://klasma.github.io/Logging_2161/klagomålsmail/A 31740-2025 FSC-klagomål mail.docx", "A 31740-2025")</f>
        <v/>
      </c>
      <c r="X170">
        <f>HYPERLINK("https://klasma.github.io/Logging_2161/tillsyn/A 31740-2025 tillsynsbegäran.docx", "A 31740-2025")</f>
        <v/>
      </c>
      <c r="Y170">
        <f>HYPERLINK("https://klasma.github.io/Logging_2161/tillsynsmail/A 31740-2025 tillsynsbegäran mail.docx", "A 31740-2025")</f>
        <v/>
      </c>
    </row>
    <row r="171" ht="15" customHeight="1">
      <c r="A171" t="inlineStr">
        <is>
          <t>A 54108-2022</t>
        </is>
      </c>
      <c r="B171" s="1" t="n">
        <v>44881.55616898148</v>
      </c>
      <c r="C171" s="1" t="n">
        <v>46036</v>
      </c>
      <c r="D171" t="inlineStr">
        <is>
          <t>GÄVLEBORGS LÄN</t>
        </is>
      </c>
      <c r="E171" t="inlineStr">
        <is>
          <t>LJUSDAL</t>
        </is>
      </c>
      <c r="F171" t="inlineStr">
        <is>
          <t>Sveaskog</t>
        </is>
      </c>
      <c r="G171" t="n">
        <v>7.9</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54108-2022 artfynd.xlsx", "A 54108-2022")</f>
        <v/>
      </c>
      <c r="T171">
        <f>HYPERLINK("https://klasma.github.io/Logging_2161/kartor/A 54108-2022 karta.png", "A 54108-2022")</f>
        <v/>
      </c>
      <c r="V171">
        <f>HYPERLINK("https://klasma.github.io/Logging_2161/klagomål/A 54108-2022 FSC-klagomål.docx", "A 54108-2022")</f>
        <v/>
      </c>
      <c r="W171">
        <f>HYPERLINK("https://klasma.github.io/Logging_2161/klagomålsmail/A 54108-2022 FSC-klagomål mail.docx", "A 54108-2022")</f>
        <v/>
      </c>
      <c r="X171">
        <f>HYPERLINK("https://klasma.github.io/Logging_2161/tillsyn/A 54108-2022 tillsynsbegäran.docx", "A 54108-2022")</f>
        <v/>
      </c>
      <c r="Y171">
        <f>HYPERLINK("https://klasma.github.io/Logging_2161/tillsynsmail/A 54108-2022 tillsynsbegäran mail.docx", "A 54108-2022")</f>
        <v/>
      </c>
    </row>
    <row r="172" ht="15" customHeight="1">
      <c r="A172" t="inlineStr">
        <is>
          <t>A 33332-2025</t>
        </is>
      </c>
      <c r="B172" s="1" t="n">
        <v>45841.35319444445</v>
      </c>
      <c r="C172" s="1" t="n">
        <v>46036</v>
      </c>
      <c r="D172" t="inlineStr">
        <is>
          <t>GÄVLEBORGS LÄN</t>
        </is>
      </c>
      <c r="E172" t="inlineStr">
        <is>
          <t>LJUSDAL</t>
        </is>
      </c>
      <c r="F172" t="inlineStr">
        <is>
          <t>Sveaskog</t>
        </is>
      </c>
      <c r="G172" t="n">
        <v>22.3</v>
      </c>
      <c r="H172" t="n">
        <v>1</v>
      </c>
      <c r="I172" t="n">
        <v>0</v>
      </c>
      <c r="J172" t="n">
        <v>1</v>
      </c>
      <c r="K172" t="n">
        <v>0</v>
      </c>
      <c r="L172" t="n">
        <v>0</v>
      </c>
      <c r="M172" t="n">
        <v>0</v>
      </c>
      <c r="N172" t="n">
        <v>0</v>
      </c>
      <c r="O172" t="n">
        <v>1</v>
      </c>
      <c r="P172" t="n">
        <v>0</v>
      </c>
      <c r="Q172" t="n">
        <v>2</v>
      </c>
      <c r="R172" s="2" t="inlineStr">
        <is>
          <t>Lunglav
Fläcknycklar</t>
        </is>
      </c>
      <c r="S172">
        <f>HYPERLINK("https://klasma.github.io/Logging_2161/artfynd/A 33332-2025 artfynd.xlsx", "A 33332-2025")</f>
        <v/>
      </c>
      <c r="T172">
        <f>HYPERLINK("https://klasma.github.io/Logging_2161/kartor/A 33332-2025 karta.png", "A 33332-2025")</f>
        <v/>
      </c>
      <c r="V172">
        <f>HYPERLINK("https://klasma.github.io/Logging_2161/klagomål/A 33332-2025 FSC-klagomål.docx", "A 33332-2025")</f>
        <v/>
      </c>
      <c r="W172">
        <f>HYPERLINK("https://klasma.github.io/Logging_2161/klagomålsmail/A 33332-2025 FSC-klagomål mail.docx", "A 33332-2025")</f>
        <v/>
      </c>
      <c r="X172">
        <f>HYPERLINK("https://klasma.github.io/Logging_2161/tillsyn/A 33332-2025 tillsynsbegäran.docx", "A 33332-2025")</f>
        <v/>
      </c>
      <c r="Y172">
        <f>HYPERLINK("https://klasma.github.io/Logging_2161/tillsynsmail/A 33332-2025 tillsynsbegäran mail.docx", "A 33332-2025")</f>
        <v/>
      </c>
    </row>
    <row r="173" ht="15" customHeight="1">
      <c r="A173" t="inlineStr">
        <is>
          <t>A 43850-2025</t>
        </is>
      </c>
      <c r="B173" s="1" t="n">
        <v>45912.63934027778</v>
      </c>
      <c r="C173" s="1" t="n">
        <v>46036</v>
      </c>
      <c r="D173" t="inlineStr">
        <is>
          <t>GÄVLEBORGS LÄN</t>
        </is>
      </c>
      <c r="E173" t="inlineStr">
        <is>
          <t>LJUSDAL</t>
        </is>
      </c>
      <c r="F173" t="inlineStr">
        <is>
          <t>Sveaskog</t>
        </is>
      </c>
      <c r="G173" t="n">
        <v>1.5</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43850-2025 artfynd.xlsx", "A 43850-2025")</f>
        <v/>
      </c>
      <c r="T173">
        <f>HYPERLINK("https://klasma.github.io/Logging_2161/kartor/A 43850-2025 karta.png", "A 43850-2025")</f>
        <v/>
      </c>
      <c r="V173">
        <f>HYPERLINK("https://klasma.github.io/Logging_2161/klagomål/A 43850-2025 FSC-klagomål.docx", "A 43850-2025")</f>
        <v/>
      </c>
      <c r="W173">
        <f>HYPERLINK("https://klasma.github.io/Logging_2161/klagomålsmail/A 43850-2025 FSC-klagomål mail.docx", "A 43850-2025")</f>
        <v/>
      </c>
      <c r="X173">
        <f>HYPERLINK("https://klasma.github.io/Logging_2161/tillsyn/A 43850-2025 tillsynsbegäran.docx", "A 43850-2025")</f>
        <v/>
      </c>
      <c r="Y173">
        <f>HYPERLINK("https://klasma.github.io/Logging_2161/tillsynsmail/A 43850-2025 tillsynsbegäran mail.docx", "A 43850-2025")</f>
        <v/>
      </c>
    </row>
    <row r="174" ht="15" customHeight="1">
      <c r="A174" t="inlineStr">
        <is>
          <t>A 19848-2024</t>
        </is>
      </c>
      <c r="B174" s="1" t="n">
        <v>45433.39409722222</v>
      </c>
      <c r="C174" s="1" t="n">
        <v>46036</v>
      </c>
      <c r="D174" t="inlineStr">
        <is>
          <t>GÄVLEBORGS LÄN</t>
        </is>
      </c>
      <c r="E174" t="inlineStr">
        <is>
          <t>LJUSDAL</t>
        </is>
      </c>
      <c r="F174" t="inlineStr">
        <is>
          <t>Sveaskog</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19848-2024 artfynd.xlsx", "A 19848-2024")</f>
        <v/>
      </c>
      <c r="T174">
        <f>HYPERLINK("https://klasma.github.io/Logging_2161/kartor/A 19848-2024 karta.png", "A 19848-2024")</f>
        <v/>
      </c>
      <c r="V174">
        <f>HYPERLINK("https://klasma.github.io/Logging_2161/klagomål/A 19848-2024 FSC-klagomål.docx", "A 19848-2024")</f>
        <v/>
      </c>
      <c r="W174">
        <f>HYPERLINK("https://klasma.github.io/Logging_2161/klagomålsmail/A 19848-2024 FSC-klagomål mail.docx", "A 19848-2024")</f>
        <v/>
      </c>
      <c r="X174">
        <f>HYPERLINK("https://klasma.github.io/Logging_2161/tillsyn/A 19848-2024 tillsynsbegäran.docx", "A 19848-2024")</f>
        <v/>
      </c>
      <c r="Y174">
        <f>HYPERLINK("https://klasma.github.io/Logging_2161/tillsynsmail/A 19848-2024 tillsynsbegäran mail.docx", "A 19848-2024")</f>
        <v/>
      </c>
    </row>
    <row r="175" ht="15" customHeight="1">
      <c r="A175" t="inlineStr">
        <is>
          <t>A 46311-2025</t>
        </is>
      </c>
      <c r="B175" s="1" t="n">
        <v>45925.43980324074</v>
      </c>
      <c r="C175" s="1" t="n">
        <v>46036</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18101-2024</t>
        </is>
      </c>
      <c r="B176" s="1" t="n">
        <v>45420</v>
      </c>
      <c r="C176" s="1" t="n">
        <v>46036</v>
      </c>
      <c r="D176" t="inlineStr">
        <is>
          <t>GÄVLEBORGS LÄN</t>
        </is>
      </c>
      <c r="E176" t="inlineStr">
        <is>
          <t>LJUSDAL</t>
        </is>
      </c>
      <c r="F176" t="inlineStr">
        <is>
          <t>Sveaskog</t>
        </is>
      </c>
      <c r="G176" t="n">
        <v>2.8</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18101-2024 artfynd.xlsx", "A 18101-2024")</f>
        <v/>
      </c>
      <c r="T176">
        <f>HYPERLINK("https://klasma.github.io/Logging_2161/kartor/A 18101-2024 karta.png", "A 18101-2024")</f>
        <v/>
      </c>
      <c r="V176">
        <f>HYPERLINK("https://klasma.github.io/Logging_2161/klagomål/A 18101-2024 FSC-klagomål.docx", "A 18101-2024")</f>
        <v/>
      </c>
      <c r="W176">
        <f>HYPERLINK("https://klasma.github.io/Logging_2161/klagomålsmail/A 18101-2024 FSC-klagomål mail.docx", "A 18101-2024")</f>
        <v/>
      </c>
      <c r="X176">
        <f>HYPERLINK("https://klasma.github.io/Logging_2161/tillsyn/A 18101-2024 tillsynsbegäran.docx", "A 18101-2024")</f>
        <v/>
      </c>
      <c r="Y176">
        <f>HYPERLINK("https://klasma.github.io/Logging_2161/tillsynsmail/A 18101-2024 tillsynsbegäran mail.docx", "A 18101-2024")</f>
        <v/>
      </c>
    </row>
    <row r="177" ht="15" customHeight="1">
      <c r="A177" t="inlineStr">
        <is>
          <t>A 46651-2025</t>
        </is>
      </c>
      <c r="B177" s="1" t="n">
        <v>45926.48703703703</v>
      </c>
      <c r="C177" s="1" t="n">
        <v>46036</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38084-2025</t>
        </is>
      </c>
      <c r="B178" s="1" t="n">
        <v>45882</v>
      </c>
      <c r="C178" s="1" t="n">
        <v>46036</v>
      </c>
      <c r="D178" t="inlineStr">
        <is>
          <t>GÄVLEBORGS LÄN</t>
        </is>
      </c>
      <c r="E178" t="inlineStr">
        <is>
          <t>LJUSDAL</t>
        </is>
      </c>
      <c r="F178" t="inlineStr">
        <is>
          <t>Sveaskog</t>
        </is>
      </c>
      <c r="G178" t="n">
        <v>2.2</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38084-2025 artfynd.xlsx", "A 38084-2025")</f>
        <v/>
      </c>
      <c r="T178">
        <f>HYPERLINK("https://klasma.github.io/Logging_2161/kartor/A 38084-2025 karta.png", "A 38084-2025")</f>
        <v/>
      </c>
      <c r="V178">
        <f>HYPERLINK("https://klasma.github.io/Logging_2161/klagomål/A 38084-2025 FSC-klagomål.docx", "A 38084-2025")</f>
        <v/>
      </c>
      <c r="W178">
        <f>HYPERLINK("https://klasma.github.io/Logging_2161/klagomålsmail/A 38084-2025 FSC-klagomål mail.docx", "A 38084-2025")</f>
        <v/>
      </c>
      <c r="X178">
        <f>HYPERLINK("https://klasma.github.io/Logging_2161/tillsyn/A 38084-2025 tillsynsbegäran.docx", "A 38084-2025")</f>
        <v/>
      </c>
      <c r="Y178">
        <f>HYPERLINK("https://klasma.github.io/Logging_2161/tillsynsmail/A 38084-2025 tillsynsbegäran mail.docx", "A 38084-2025")</f>
        <v/>
      </c>
    </row>
    <row r="179" ht="15" customHeight="1">
      <c r="A179" t="inlineStr">
        <is>
          <t>A 48297-2025</t>
        </is>
      </c>
      <c r="B179" s="1" t="n">
        <v>45933.60915509259</v>
      </c>
      <c r="C179" s="1" t="n">
        <v>46036</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48297-2025 artfynd.xlsx", "A 48297-2025")</f>
        <v/>
      </c>
      <c r="T179">
        <f>HYPERLINK("https://klasma.github.io/Logging_2161/kartor/A 48297-2025 karta.png", "A 48297-2025")</f>
        <v/>
      </c>
      <c r="V179">
        <f>HYPERLINK("https://klasma.github.io/Logging_2161/klagomål/A 48297-2025 FSC-klagomål.docx", "A 48297-2025")</f>
        <v/>
      </c>
      <c r="W179">
        <f>HYPERLINK("https://klasma.github.io/Logging_2161/klagomålsmail/A 48297-2025 FSC-klagomål mail.docx", "A 48297-2025")</f>
        <v/>
      </c>
      <c r="X179">
        <f>HYPERLINK("https://klasma.github.io/Logging_2161/tillsyn/A 48297-2025 tillsynsbegäran.docx", "A 48297-2025")</f>
        <v/>
      </c>
      <c r="Y179">
        <f>HYPERLINK("https://klasma.github.io/Logging_2161/tillsynsmail/A 48297-2025 tillsynsbegäran mail.docx", "A 48297-2025")</f>
        <v/>
      </c>
    </row>
    <row r="180" ht="15" customHeight="1">
      <c r="A180" t="inlineStr">
        <is>
          <t>A 38088-2025</t>
        </is>
      </c>
      <c r="B180" s="1" t="n">
        <v>45882.47858796296</v>
      </c>
      <c r="C180" s="1" t="n">
        <v>46036</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38088-2025 artfynd.xlsx", "A 38088-2025")</f>
        <v/>
      </c>
      <c r="T180">
        <f>HYPERLINK("https://klasma.github.io/Logging_2161/kartor/A 38088-2025 karta.png", "A 38088-2025")</f>
        <v/>
      </c>
      <c r="V180">
        <f>HYPERLINK("https://klasma.github.io/Logging_2161/klagomål/A 38088-2025 FSC-klagomål.docx", "A 38088-2025")</f>
        <v/>
      </c>
      <c r="W180">
        <f>HYPERLINK("https://klasma.github.io/Logging_2161/klagomålsmail/A 38088-2025 FSC-klagomål mail.docx", "A 38088-2025")</f>
        <v/>
      </c>
      <c r="X180">
        <f>HYPERLINK("https://klasma.github.io/Logging_2161/tillsyn/A 38088-2025 tillsynsbegäran.docx", "A 38088-2025")</f>
        <v/>
      </c>
      <c r="Y180">
        <f>HYPERLINK("https://klasma.github.io/Logging_2161/tillsynsmail/A 38088-2025 tillsynsbegäran mail.docx", "A 38088-2025")</f>
        <v/>
      </c>
    </row>
    <row r="181" ht="15" customHeight="1">
      <c r="A181" t="inlineStr">
        <is>
          <t>A 47877-2025</t>
        </is>
      </c>
      <c r="B181" s="1" t="n">
        <v>45932.45855324074</v>
      </c>
      <c r="C181" s="1" t="n">
        <v>46036</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38196-2025</t>
        </is>
      </c>
      <c r="B182" s="1" t="n">
        <v>45882.66326388889</v>
      </c>
      <c r="C182" s="1" t="n">
        <v>46036</v>
      </c>
      <c r="D182" t="inlineStr">
        <is>
          <t>GÄVLEBORGS LÄN</t>
        </is>
      </c>
      <c r="E182" t="inlineStr">
        <is>
          <t>LJUSDAL</t>
        </is>
      </c>
      <c r="F182" t="inlineStr">
        <is>
          <t>Sveaskog</t>
        </is>
      </c>
      <c r="G182" t="n">
        <v>19.3</v>
      </c>
      <c r="H182" t="n">
        <v>0</v>
      </c>
      <c r="I182" t="n">
        <v>0</v>
      </c>
      <c r="J182" t="n">
        <v>2</v>
      </c>
      <c r="K182" t="n">
        <v>0</v>
      </c>
      <c r="L182" t="n">
        <v>0</v>
      </c>
      <c r="M182" t="n">
        <v>0</v>
      </c>
      <c r="N182" t="n">
        <v>0</v>
      </c>
      <c r="O182" t="n">
        <v>2</v>
      </c>
      <c r="P182" t="n">
        <v>0</v>
      </c>
      <c r="Q182" t="n">
        <v>2</v>
      </c>
      <c r="R182" s="2" t="inlineStr">
        <is>
          <t>Garnlav
Kortskaftad ärgspik</t>
        </is>
      </c>
      <c r="S182">
        <f>HYPERLINK("https://klasma.github.io/Logging_2161/artfynd/A 38196-2025 artfynd.xlsx", "A 38196-2025")</f>
        <v/>
      </c>
      <c r="T182">
        <f>HYPERLINK("https://klasma.github.io/Logging_2161/kartor/A 38196-2025 karta.png", "A 38196-2025")</f>
        <v/>
      </c>
      <c r="V182">
        <f>HYPERLINK("https://klasma.github.io/Logging_2161/klagomål/A 38196-2025 FSC-klagomål.docx", "A 38196-2025")</f>
        <v/>
      </c>
      <c r="W182">
        <f>HYPERLINK("https://klasma.github.io/Logging_2161/klagomålsmail/A 38196-2025 FSC-klagomål mail.docx", "A 38196-2025")</f>
        <v/>
      </c>
      <c r="X182">
        <f>HYPERLINK("https://klasma.github.io/Logging_2161/tillsyn/A 38196-2025 tillsynsbegäran.docx", "A 38196-2025")</f>
        <v/>
      </c>
      <c r="Y182">
        <f>HYPERLINK("https://klasma.github.io/Logging_2161/tillsynsmail/A 38196-2025 tillsynsbegäran mail.docx", "A 38196-2025")</f>
        <v/>
      </c>
    </row>
    <row r="183" ht="15" customHeight="1">
      <c r="A183" t="inlineStr">
        <is>
          <t>A 25992-2023</t>
        </is>
      </c>
      <c r="B183" s="1" t="n">
        <v>45090</v>
      </c>
      <c r="C183" s="1" t="n">
        <v>46036</v>
      </c>
      <c r="D183" t="inlineStr">
        <is>
          <t>GÄVLEBORGS LÄN</t>
        </is>
      </c>
      <c r="E183" t="inlineStr">
        <is>
          <t>LJUSDAL</t>
        </is>
      </c>
      <c r="G183" t="n">
        <v>3.8</v>
      </c>
      <c r="H183" t="n">
        <v>2</v>
      </c>
      <c r="I183" t="n">
        <v>0</v>
      </c>
      <c r="J183" t="n">
        <v>0</v>
      </c>
      <c r="K183" t="n">
        <v>0</v>
      </c>
      <c r="L183" t="n">
        <v>0</v>
      </c>
      <c r="M183" t="n">
        <v>0</v>
      </c>
      <c r="N183" t="n">
        <v>0</v>
      </c>
      <c r="O183" t="n">
        <v>0</v>
      </c>
      <c r="P183" t="n">
        <v>0</v>
      </c>
      <c r="Q183" t="n">
        <v>2</v>
      </c>
      <c r="R183" s="2" t="inlineStr">
        <is>
          <t>Järnsparv
Blåsippa</t>
        </is>
      </c>
      <c r="S183">
        <f>HYPERLINK("https://klasma.github.io/Logging_2161/artfynd/A 25992-2023 artfynd.xlsx", "A 25992-2023")</f>
        <v/>
      </c>
      <c r="T183">
        <f>HYPERLINK("https://klasma.github.io/Logging_2161/kartor/A 25992-2023 karta.png", "A 25992-2023")</f>
        <v/>
      </c>
      <c r="V183">
        <f>HYPERLINK("https://klasma.github.io/Logging_2161/klagomål/A 25992-2023 FSC-klagomål.docx", "A 25992-2023")</f>
        <v/>
      </c>
      <c r="W183">
        <f>HYPERLINK("https://klasma.github.io/Logging_2161/klagomålsmail/A 25992-2023 FSC-klagomål mail.docx", "A 25992-2023")</f>
        <v/>
      </c>
      <c r="X183">
        <f>HYPERLINK("https://klasma.github.io/Logging_2161/tillsyn/A 25992-2023 tillsynsbegäran.docx", "A 25992-2023")</f>
        <v/>
      </c>
      <c r="Y183">
        <f>HYPERLINK("https://klasma.github.io/Logging_2161/tillsynsmail/A 25992-2023 tillsynsbegäran mail.docx", "A 25992-2023")</f>
        <v/>
      </c>
      <c r="Z183">
        <f>HYPERLINK("https://klasma.github.io/Logging_2161/fåglar/A 25992-2023 prioriterade fågelarter.docx", "A 25992-2023")</f>
        <v/>
      </c>
    </row>
    <row r="184" ht="15" customHeight="1">
      <c r="A184" t="inlineStr">
        <is>
          <t>A 20098-2025</t>
        </is>
      </c>
      <c r="B184" s="1" t="n">
        <v>45772.46837962963</v>
      </c>
      <c r="C184" s="1" t="n">
        <v>46036</v>
      </c>
      <c r="D184" t="inlineStr">
        <is>
          <t>GÄVLEBORGS LÄN</t>
        </is>
      </c>
      <c r="E184" t="inlineStr">
        <is>
          <t>LJUSDAL</t>
        </is>
      </c>
      <c r="F184" t="inlineStr">
        <is>
          <t>Sveaskog</t>
        </is>
      </c>
      <c r="G184" t="n">
        <v>14.7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20098-2025 artfynd.xlsx", "A 20098-2025")</f>
        <v/>
      </c>
      <c r="T184">
        <f>HYPERLINK("https://klasma.github.io/Logging_2161/kartor/A 20098-2025 karta.png", "A 20098-2025")</f>
        <v/>
      </c>
      <c r="V184">
        <f>HYPERLINK("https://klasma.github.io/Logging_2161/klagomål/A 20098-2025 FSC-klagomål.docx", "A 20098-2025")</f>
        <v/>
      </c>
      <c r="W184">
        <f>HYPERLINK("https://klasma.github.io/Logging_2161/klagomålsmail/A 20098-2025 FSC-klagomål mail.docx", "A 20098-2025")</f>
        <v/>
      </c>
      <c r="X184">
        <f>HYPERLINK("https://klasma.github.io/Logging_2161/tillsyn/A 20098-2025 tillsynsbegäran.docx", "A 20098-2025")</f>
        <v/>
      </c>
      <c r="Y184">
        <f>HYPERLINK("https://klasma.github.io/Logging_2161/tillsynsmail/A 20098-2025 tillsynsbegäran mail.docx", "A 20098-2025")</f>
        <v/>
      </c>
    </row>
    <row r="185" ht="15" customHeight="1">
      <c r="A185" t="inlineStr">
        <is>
          <t>A 60541-2022</t>
        </is>
      </c>
      <c r="B185" s="1" t="n">
        <v>44911</v>
      </c>
      <c r="C185" s="1" t="n">
        <v>46036</v>
      </c>
      <c r="D185" t="inlineStr">
        <is>
          <t>GÄVLEBORGS LÄN</t>
        </is>
      </c>
      <c r="E185" t="inlineStr">
        <is>
          <t>LJUSDAL</t>
        </is>
      </c>
      <c r="F185" t="inlineStr">
        <is>
          <t>Bergvik skog väst AB</t>
        </is>
      </c>
      <c r="G185" t="n">
        <v>5.4</v>
      </c>
      <c r="H185" t="n">
        <v>2</v>
      </c>
      <c r="I185" t="n">
        <v>0</v>
      </c>
      <c r="J185" t="n">
        <v>0</v>
      </c>
      <c r="K185" t="n">
        <v>0</v>
      </c>
      <c r="L185" t="n">
        <v>0</v>
      </c>
      <c r="M185" t="n">
        <v>0</v>
      </c>
      <c r="N185" t="n">
        <v>0</v>
      </c>
      <c r="O185" t="n">
        <v>0</v>
      </c>
      <c r="P185" t="n">
        <v>0</v>
      </c>
      <c r="Q185" t="n">
        <v>2</v>
      </c>
      <c r="R185" s="2" t="inlineStr">
        <is>
          <t>Orre
Pärluggla</t>
        </is>
      </c>
      <c r="S185">
        <f>HYPERLINK("https://klasma.github.io/Logging_2161/artfynd/A 60541-2022 artfynd.xlsx", "A 60541-2022")</f>
        <v/>
      </c>
      <c r="T185">
        <f>HYPERLINK("https://klasma.github.io/Logging_2161/kartor/A 60541-2022 karta.png", "A 60541-2022")</f>
        <v/>
      </c>
      <c r="V185">
        <f>HYPERLINK("https://klasma.github.io/Logging_2161/klagomål/A 60541-2022 FSC-klagomål.docx", "A 60541-2022")</f>
        <v/>
      </c>
      <c r="W185">
        <f>HYPERLINK("https://klasma.github.io/Logging_2161/klagomålsmail/A 60541-2022 FSC-klagomål mail.docx", "A 60541-2022")</f>
        <v/>
      </c>
      <c r="X185">
        <f>HYPERLINK("https://klasma.github.io/Logging_2161/tillsyn/A 60541-2022 tillsynsbegäran.docx", "A 60541-2022")</f>
        <v/>
      </c>
      <c r="Y185">
        <f>HYPERLINK("https://klasma.github.io/Logging_2161/tillsynsmail/A 60541-2022 tillsynsbegäran mail.docx", "A 60541-2022")</f>
        <v/>
      </c>
      <c r="Z185">
        <f>HYPERLINK("https://klasma.github.io/Logging_2161/fåglar/A 60541-2022 prioriterade fågelarter.docx", "A 60541-2022")</f>
        <v/>
      </c>
    </row>
    <row r="186" ht="15" customHeight="1">
      <c r="A186" t="inlineStr">
        <is>
          <t>A 39889-2024</t>
        </is>
      </c>
      <c r="B186" s="1" t="n">
        <v>45553</v>
      </c>
      <c r="C186" s="1" t="n">
        <v>46036</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18731-2024</t>
        </is>
      </c>
      <c r="B187" s="1" t="n">
        <v>45426</v>
      </c>
      <c r="C187" s="1" t="n">
        <v>46036</v>
      </c>
      <c r="D187" t="inlineStr">
        <is>
          <t>GÄVLEBORGS LÄN</t>
        </is>
      </c>
      <c r="E187" t="inlineStr">
        <is>
          <t>LJUSDAL</t>
        </is>
      </c>
      <c r="F187" t="inlineStr">
        <is>
          <t>Sveaskog</t>
        </is>
      </c>
      <c r="G187" t="n">
        <v>6.8</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18731-2024 artfynd.xlsx", "A 18731-2024")</f>
        <v/>
      </c>
      <c r="T187">
        <f>HYPERLINK("https://klasma.github.io/Logging_2161/kartor/A 18731-2024 karta.png", "A 18731-2024")</f>
        <v/>
      </c>
      <c r="V187">
        <f>HYPERLINK("https://klasma.github.io/Logging_2161/klagomål/A 18731-2024 FSC-klagomål.docx", "A 18731-2024")</f>
        <v/>
      </c>
      <c r="W187">
        <f>HYPERLINK("https://klasma.github.io/Logging_2161/klagomålsmail/A 18731-2024 FSC-klagomål mail.docx", "A 18731-2024")</f>
        <v/>
      </c>
      <c r="X187">
        <f>HYPERLINK("https://klasma.github.io/Logging_2161/tillsyn/A 18731-2024 tillsynsbegäran.docx", "A 18731-2024")</f>
        <v/>
      </c>
      <c r="Y187">
        <f>HYPERLINK("https://klasma.github.io/Logging_2161/tillsynsmail/A 18731-2024 tillsynsbegäran mail.docx", "A 18731-2024")</f>
        <v/>
      </c>
    </row>
    <row r="188" ht="15" customHeight="1">
      <c r="A188" t="inlineStr">
        <is>
          <t>A 45270-2024</t>
        </is>
      </c>
      <c r="B188" s="1" t="n">
        <v>45576.35777777778</v>
      </c>
      <c r="C188" s="1" t="n">
        <v>46036</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58878-2025</t>
        </is>
      </c>
      <c r="B189" s="1" t="n">
        <v>45987.47013888889</v>
      </c>
      <c r="C189" s="1" t="n">
        <v>46036</v>
      </c>
      <c r="D189" t="inlineStr">
        <is>
          <t>GÄVLEBORGS LÄN</t>
        </is>
      </c>
      <c r="E189" t="inlineStr">
        <is>
          <t>LJUSDAL</t>
        </is>
      </c>
      <c r="F189" t="inlineStr">
        <is>
          <t>Sveaskog</t>
        </is>
      </c>
      <c r="G189" t="n">
        <v>6.9</v>
      </c>
      <c r="H189" t="n">
        <v>1</v>
      </c>
      <c r="I189" t="n">
        <v>0</v>
      </c>
      <c r="J189" t="n">
        <v>1</v>
      </c>
      <c r="K189" t="n">
        <v>1</v>
      </c>
      <c r="L189" t="n">
        <v>0</v>
      </c>
      <c r="M189" t="n">
        <v>0</v>
      </c>
      <c r="N189" t="n">
        <v>0</v>
      </c>
      <c r="O189" t="n">
        <v>2</v>
      </c>
      <c r="P189" t="n">
        <v>1</v>
      </c>
      <c r="Q189" t="n">
        <v>2</v>
      </c>
      <c r="R189" s="2" t="inlineStr">
        <is>
          <t>Knärot
Lunglav</t>
        </is>
      </c>
      <c r="S189">
        <f>HYPERLINK("https://klasma.github.io/Logging_2161/artfynd/A 58878-2025 artfynd.xlsx", "A 58878-2025")</f>
        <v/>
      </c>
      <c r="T189">
        <f>HYPERLINK("https://klasma.github.io/Logging_2161/kartor/A 58878-2025 karta.png", "A 58878-2025")</f>
        <v/>
      </c>
      <c r="U189">
        <f>HYPERLINK("https://klasma.github.io/Logging_2161/knärot/A 58878-2025 karta knärot.png", "A 58878-2025")</f>
        <v/>
      </c>
      <c r="V189">
        <f>HYPERLINK("https://klasma.github.io/Logging_2161/klagomål/A 58878-2025 FSC-klagomål.docx", "A 58878-2025")</f>
        <v/>
      </c>
      <c r="W189">
        <f>HYPERLINK("https://klasma.github.io/Logging_2161/klagomålsmail/A 58878-2025 FSC-klagomål mail.docx", "A 58878-2025")</f>
        <v/>
      </c>
      <c r="X189">
        <f>HYPERLINK("https://klasma.github.io/Logging_2161/tillsyn/A 58878-2025 tillsynsbegäran.docx", "A 58878-2025")</f>
        <v/>
      </c>
      <c r="Y189">
        <f>HYPERLINK("https://klasma.github.io/Logging_2161/tillsynsmail/A 58878-2025 tillsynsbegäran mail.docx", "A 58878-2025")</f>
        <v/>
      </c>
    </row>
    <row r="190" ht="15" customHeight="1">
      <c r="A190" t="inlineStr">
        <is>
          <t>A 20247-2025</t>
        </is>
      </c>
      <c r="B190" s="1" t="n">
        <v>45772.7460300926</v>
      </c>
      <c r="C190" s="1" t="n">
        <v>46036</v>
      </c>
      <c r="D190" t="inlineStr">
        <is>
          <t>GÄVLEBORGS LÄN</t>
        </is>
      </c>
      <c r="E190" t="inlineStr">
        <is>
          <t>LJUSDAL</t>
        </is>
      </c>
      <c r="F190" t="inlineStr">
        <is>
          <t>Sveaskog</t>
        </is>
      </c>
      <c r="G190" t="n">
        <v>6</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20247-2025 artfynd.xlsx", "A 20247-2025")</f>
        <v/>
      </c>
      <c r="T190">
        <f>HYPERLINK("https://klasma.github.io/Logging_2161/kartor/A 20247-2025 karta.png", "A 20247-2025")</f>
        <v/>
      </c>
      <c r="V190">
        <f>HYPERLINK("https://klasma.github.io/Logging_2161/klagomål/A 20247-2025 FSC-klagomål.docx", "A 20247-2025")</f>
        <v/>
      </c>
      <c r="W190">
        <f>HYPERLINK("https://klasma.github.io/Logging_2161/klagomålsmail/A 20247-2025 FSC-klagomål mail.docx", "A 20247-2025")</f>
        <v/>
      </c>
      <c r="X190">
        <f>HYPERLINK("https://klasma.github.io/Logging_2161/tillsyn/A 20247-2025 tillsynsbegäran.docx", "A 20247-2025")</f>
        <v/>
      </c>
      <c r="Y190">
        <f>HYPERLINK("https://klasma.github.io/Logging_2161/tillsynsmail/A 20247-2025 tillsynsbegäran mail.docx", "A 20247-2025")</f>
        <v/>
      </c>
    </row>
    <row r="191" ht="15" customHeight="1">
      <c r="A191" t="inlineStr">
        <is>
          <t>A 18986-2024</t>
        </is>
      </c>
      <c r="B191" s="1" t="n">
        <v>45427</v>
      </c>
      <c r="C191" s="1" t="n">
        <v>46036</v>
      </c>
      <c r="D191" t="inlineStr">
        <is>
          <t>GÄVLEBORGS LÄN</t>
        </is>
      </c>
      <c r="E191" t="inlineStr">
        <is>
          <t>LJUSDAL</t>
        </is>
      </c>
      <c r="F191" t="inlineStr">
        <is>
          <t>Sveaskog</t>
        </is>
      </c>
      <c r="G191" t="n">
        <v>5.7</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18986-2024 artfynd.xlsx", "A 18986-2024")</f>
        <v/>
      </c>
      <c r="T191">
        <f>HYPERLINK("https://klasma.github.io/Logging_2161/kartor/A 18986-2024 karta.png", "A 18986-2024")</f>
        <v/>
      </c>
      <c r="V191">
        <f>HYPERLINK("https://klasma.github.io/Logging_2161/klagomål/A 18986-2024 FSC-klagomål.docx", "A 18986-2024")</f>
        <v/>
      </c>
      <c r="W191">
        <f>HYPERLINK("https://klasma.github.io/Logging_2161/klagomålsmail/A 18986-2024 FSC-klagomål mail.docx", "A 18986-2024")</f>
        <v/>
      </c>
      <c r="X191">
        <f>HYPERLINK("https://klasma.github.io/Logging_2161/tillsyn/A 18986-2024 tillsynsbegäran.docx", "A 18986-2024")</f>
        <v/>
      </c>
      <c r="Y191">
        <f>HYPERLINK("https://klasma.github.io/Logging_2161/tillsynsmail/A 18986-2024 tillsynsbegäran mail.docx", "A 18986-2024")</f>
        <v/>
      </c>
    </row>
    <row r="192" ht="15" customHeight="1">
      <c r="A192" t="inlineStr">
        <is>
          <t>A 46247-2024</t>
        </is>
      </c>
      <c r="B192" s="1" t="n">
        <v>45581.59246527778</v>
      </c>
      <c r="C192" s="1" t="n">
        <v>46036</v>
      </c>
      <c r="D192" t="inlineStr">
        <is>
          <t>GÄVLEBORGS LÄN</t>
        </is>
      </c>
      <c r="E192" t="inlineStr">
        <is>
          <t>LJUSDAL</t>
        </is>
      </c>
      <c r="F192" t="inlineStr">
        <is>
          <t>Sveaskog</t>
        </is>
      </c>
      <c r="G192" t="n">
        <v>3</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46247-2024 artfynd.xlsx", "A 46247-2024")</f>
        <v/>
      </c>
      <c r="T192">
        <f>HYPERLINK("https://klasma.github.io/Logging_2161/kartor/A 46247-2024 karta.png", "A 46247-2024")</f>
        <v/>
      </c>
      <c r="V192">
        <f>HYPERLINK("https://klasma.github.io/Logging_2161/klagomål/A 46247-2024 FSC-klagomål.docx", "A 46247-2024")</f>
        <v/>
      </c>
      <c r="W192">
        <f>HYPERLINK("https://klasma.github.io/Logging_2161/klagomålsmail/A 46247-2024 FSC-klagomål mail.docx", "A 46247-2024")</f>
        <v/>
      </c>
      <c r="X192">
        <f>HYPERLINK("https://klasma.github.io/Logging_2161/tillsyn/A 46247-2024 tillsynsbegäran.docx", "A 46247-2024")</f>
        <v/>
      </c>
      <c r="Y192">
        <f>HYPERLINK("https://klasma.github.io/Logging_2161/tillsynsmail/A 46247-2024 tillsynsbegäran mail.docx", "A 46247-2024")</f>
        <v/>
      </c>
    </row>
    <row r="193" ht="15" customHeight="1">
      <c r="A193" t="inlineStr">
        <is>
          <t>A 18098-2024</t>
        </is>
      </c>
      <c r="B193" s="1" t="n">
        <v>45420</v>
      </c>
      <c r="C193" s="1" t="n">
        <v>46036</v>
      </c>
      <c r="D193" t="inlineStr">
        <is>
          <t>GÄVLEBORGS LÄN</t>
        </is>
      </c>
      <c r="E193" t="inlineStr">
        <is>
          <t>LJUSDAL</t>
        </is>
      </c>
      <c r="F193" t="inlineStr">
        <is>
          <t>Sveaskog</t>
        </is>
      </c>
      <c r="G193" t="n">
        <v>3.3</v>
      </c>
      <c r="H193" t="n">
        <v>1</v>
      </c>
      <c r="I193" t="n">
        <v>0</v>
      </c>
      <c r="J193" t="n">
        <v>2</v>
      </c>
      <c r="K193" t="n">
        <v>0</v>
      </c>
      <c r="L193" t="n">
        <v>0</v>
      </c>
      <c r="M193" t="n">
        <v>0</v>
      </c>
      <c r="N193" t="n">
        <v>0</v>
      </c>
      <c r="O193" t="n">
        <v>2</v>
      </c>
      <c r="P193" t="n">
        <v>0</v>
      </c>
      <c r="Q193" t="n">
        <v>2</v>
      </c>
      <c r="R193" s="2" t="inlineStr">
        <is>
          <t>Kolflarnlav
Varglav</t>
        </is>
      </c>
      <c r="S193">
        <f>HYPERLINK("https://klasma.github.io/Logging_2161/artfynd/A 18098-2024 artfynd.xlsx", "A 18098-2024")</f>
        <v/>
      </c>
      <c r="T193">
        <f>HYPERLINK("https://klasma.github.io/Logging_2161/kartor/A 18098-2024 karta.png", "A 18098-2024")</f>
        <v/>
      </c>
      <c r="V193">
        <f>HYPERLINK("https://klasma.github.io/Logging_2161/klagomål/A 18098-2024 FSC-klagomål.docx", "A 18098-2024")</f>
        <v/>
      </c>
      <c r="W193">
        <f>HYPERLINK("https://klasma.github.io/Logging_2161/klagomålsmail/A 18098-2024 FSC-klagomål mail.docx", "A 18098-2024")</f>
        <v/>
      </c>
      <c r="X193">
        <f>HYPERLINK("https://klasma.github.io/Logging_2161/tillsyn/A 18098-2024 tillsynsbegäran.docx", "A 18098-2024")</f>
        <v/>
      </c>
      <c r="Y193">
        <f>HYPERLINK("https://klasma.github.io/Logging_2161/tillsynsmail/A 18098-2024 tillsynsbegäran mail.docx", "A 18098-2024")</f>
        <v/>
      </c>
    </row>
    <row r="194" ht="15" customHeight="1">
      <c r="A194" t="inlineStr">
        <is>
          <t>A 18103-2024</t>
        </is>
      </c>
      <c r="B194" s="1" t="n">
        <v>45420.48034722222</v>
      </c>
      <c r="C194" s="1" t="n">
        <v>46036</v>
      </c>
      <c r="D194" t="inlineStr">
        <is>
          <t>GÄVLEBORGS LÄN</t>
        </is>
      </c>
      <c r="E194" t="inlineStr">
        <is>
          <t>LJUSDAL</t>
        </is>
      </c>
      <c r="F194" t="inlineStr">
        <is>
          <t>Sveaskog</t>
        </is>
      </c>
      <c r="G194" t="n">
        <v>3.9</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18103-2024 artfynd.xlsx", "A 18103-2024")</f>
        <v/>
      </c>
      <c r="T194">
        <f>HYPERLINK("https://klasma.github.io/Logging_2161/kartor/A 18103-2024 karta.png", "A 18103-2024")</f>
        <v/>
      </c>
      <c r="V194">
        <f>HYPERLINK("https://klasma.github.io/Logging_2161/klagomål/A 18103-2024 FSC-klagomål.docx", "A 18103-2024")</f>
        <v/>
      </c>
      <c r="W194">
        <f>HYPERLINK("https://klasma.github.io/Logging_2161/klagomålsmail/A 18103-2024 FSC-klagomål mail.docx", "A 18103-2024")</f>
        <v/>
      </c>
      <c r="X194">
        <f>HYPERLINK("https://klasma.github.io/Logging_2161/tillsyn/A 18103-2024 tillsynsbegäran.docx", "A 18103-2024")</f>
        <v/>
      </c>
      <c r="Y194">
        <f>HYPERLINK("https://klasma.github.io/Logging_2161/tillsynsmail/A 18103-2024 tillsynsbegäran mail.docx", "A 18103-2024")</f>
        <v/>
      </c>
    </row>
    <row r="195" ht="15" customHeight="1">
      <c r="A195" t="inlineStr">
        <is>
          <t>A 38306-2024</t>
        </is>
      </c>
      <c r="B195" s="1" t="n">
        <v>45545.64211805556</v>
      </c>
      <c r="C195" s="1" t="n">
        <v>46036</v>
      </c>
      <c r="D195" t="inlineStr">
        <is>
          <t>GÄVLEBORGS LÄN</t>
        </is>
      </c>
      <c r="E195" t="inlineStr">
        <is>
          <t>LJUSDAL</t>
        </is>
      </c>
      <c r="F195" t="inlineStr">
        <is>
          <t>Sveaskog</t>
        </is>
      </c>
      <c r="G195" t="n">
        <v>4.1</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38306-2024 artfynd.xlsx", "A 38306-2024")</f>
        <v/>
      </c>
      <c r="T195">
        <f>HYPERLINK("https://klasma.github.io/Logging_2161/kartor/A 38306-2024 karta.png", "A 38306-2024")</f>
        <v/>
      </c>
      <c r="V195">
        <f>HYPERLINK("https://klasma.github.io/Logging_2161/klagomål/A 38306-2024 FSC-klagomål.docx", "A 38306-2024")</f>
        <v/>
      </c>
      <c r="W195">
        <f>HYPERLINK("https://klasma.github.io/Logging_2161/klagomålsmail/A 38306-2024 FSC-klagomål mail.docx", "A 38306-2024")</f>
        <v/>
      </c>
      <c r="X195">
        <f>HYPERLINK("https://klasma.github.io/Logging_2161/tillsyn/A 38306-2024 tillsynsbegäran.docx", "A 38306-2024")</f>
        <v/>
      </c>
      <c r="Y195">
        <f>HYPERLINK("https://klasma.github.io/Logging_2161/tillsynsmail/A 38306-2024 tillsynsbegäran mail.docx", "A 38306-2024")</f>
        <v/>
      </c>
    </row>
    <row r="196" ht="15" customHeight="1">
      <c r="A196" t="inlineStr">
        <is>
          <t>A 26527-2023</t>
        </is>
      </c>
      <c r="B196" s="1" t="n">
        <v>45092.56577546296</v>
      </c>
      <c r="C196" s="1" t="n">
        <v>46036</v>
      </c>
      <c r="D196" t="inlineStr">
        <is>
          <t>GÄVLEBORGS LÄN</t>
        </is>
      </c>
      <c r="E196" t="inlineStr">
        <is>
          <t>LJUSDAL</t>
        </is>
      </c>
      <c r="F196" t="inlineStr">
        <is>
          <t>Sveaskog</t>
        </is>
      </c>
      <c r="G196" t="n">
        <v>2.8</v>
      </c>
      <c r="H196" t="n">
        <v>0</v>
      </c>
      <c r="I196" t="n">
        <v>1</v>
      </c>
      <c r="J196" t="n">
        <v>1</v>
      </c>
      <c r="K196" t="n">
        <v>0</v>
      </c>
      <c r="L196" t="n">
        <v>0</v>
      </c>
      <c r="M196" t="n">
        <v>0</v>
      </c>
      <c r="N196" t="n">
        <v>0</v>
      </c>
      <c r="O196" t="n">
        <v>1</v>
      </c>
      <c r="P196" t="n">
        <v>0</v>
      </c>
      <c r="Q196" t="n">
        <v>2</v>
      </c>
      <c r="R196" s="2" t="inlineStr">
        <is>
          <t>Garnlav
Stuplav</t>
        </is>
      </c>
      <c r="S196">
        <f>HYPERLINK("https://klasma.github.io/Logging_2161/artfynd/A 26527-2023 artfynd.xlsx", "A 26527-2023")</f>
        <v/>
      </c>
      <c r="T196">
        <f>HYPERLINK("https://klasma.github.io/Logging_2161/kartor/A 26527-2023 karta.png", "A 26527-2023")</f>
        <v/>
      </c>
      <c r="V196">
        <f>HYPERLINK("https://klasma.github.io/Logging_2161/klagomål/A 26527-2023 FSC-klagomål.docx", "A 26527-2023")</f>
        <v/>
      </c>
      <c r="W196">
        <f>HYPERLINK("https://klasma.github.io/Logging_2161/klagomålsmail/A 26527-2023 FSC-klagomål mail.docx", "A 26527-2023")</f>
        <v/>
      </c>
      <c r="X196">
        <f>HYPERLINK("https://klasma.github.io/Logging_2161/tillsyn/A 26527-2023 tillsynsbegäran.docx", "A 26527-2023")</f>
        <v/>
      </c>
      <c r="Y196">
        <f>HYPERLINK("https://klasma.github.io/Logging_2161/tillsynsmail/A 26527-2023 tillsynsbegäran mail.docx", "A 26527-2023")</f>
        <v/>
      </c>
    </row>
    <row r="197" ht="15" customHeight="1">
      <c r="A197" t="inlineStr">
        <is>
          <t>A 17472-2025</t>
        </is>
      </c>
      <c r="B197" s="1" t="n">
        <v>45757.47945601852</v>
      </c>
      <c r="C197" s="1" t="n">
        <v>46036</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17472-2025 artfynd.xlsx", "A 17472-2025")</f>
        <v/>
      </c>
      <c r="T197">
        <f>HYPERLINK("https://klasma.github.io/Logging_2161/kartor/A 17472-2025 karta.png", "A 17472-2025")</f>
        <v/>
      </c>
      <c r="V197">
        <f>HYPERLINK("https://klasma.github.io/Logging_2161/klagomål/A 17472-2025 FSC-klagomål.docx", "A 17472-2025")</f>
        <v/>
      </c>
      <c r="W197">
        <f>HYPERLINK("https://klasma.github.io/Logging_2161/klagomålsmail/A 17472-2025 FSC-klagomål mail.docx", "A 17472-2025")</f>
        <v/>
      </c>
      <c r="X197">
        <f>HYPERLINK("https://klasma.github.io/Logging_2161/tillsyn/A 17472-2025 tillsynsbegäran.docx", "A 17472-2025")</f>
        <v/>
      </c>
      <c r="Y197">
        <f>HYPERLINK("https://klasma.github.io/Logging_2161/tillsynsmail/A 17472-2025 tillsynsbegäran mail.docx", "A 17472-2025")</f>
        <v/>
      </c>
    </row>
    <row r="198" ht="15" customHeight="1">
      <c r="A198" t="inlineStr">
        <is>
          <t>A 17474-2025</t>
        </is>
      </c>
      <c r="B198" s="1" t="n">
        <v>45757.48214120371</v>
      </c>
      <c r="C198" s="1" t="n">
        <v>46036</v>
      </c>
      <c r="D198" t="inlineStr">
        <is>
          <t>GÄVLEBORGS LÄN</t>
        </is>
      </c>
      <c r="E198" t="inlineStr">
        <is>
          <t>LJUSDAL</t>
        </is>
      </c>
      <c r="F198" t="inlineStr">
        <is>
          <t>Sveaskog</t>
        </is>
      </c>
      <c r="G198" t="n">
        <v>9.4</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17474-2025 artfynd.xlsx", "A 17474-2025")</f>
        <v/>
      </c>
      <c r="T198">
        <f>HYPERLINK("https://klasma.github.io/Logging_2161/kartor/A 17474-2025 karta.png", "A 17474-2025")</f>
        <v/>
      </c>
      <c r="V198">
        <f>HYPERLINK("https://klasma.github.io/Logging_2161/klagomål/A 17474-2025 FSC-klagomål.docx", "A 17474-2025")</f>
        <v/>
      </c>
      <c r="W198">
        <f>HYPERLINK("https://klasma.github.io/Logging_2161/klagomålsmail/A 17474-2025 FSC-klagomål mail.docx", "A 17474-2025")</f>
        <v/>
      </c>
      <c r="X198">
        <f>HYPERLINK("https://klasma.github.io/Logging_2161/tillsyn/A 17474-2025 tillsynsbegäran.docx", "A 17474-2025")</f>
        <v/>
      </c>
      <c r="Y198">
        <f>HYPERLINK("https://klasma.github.io/Logging_2161/tillsynsmail/A 17474-2025 tillsynsbegäran mail.docx", "A 17474-2025")</f>
        <v/>
      </c>
    </row>
    <row r="199" ht="15" customHeight="1">
      <c r="A199" t="inlineStr">
        <is>
          <t>A 47230-2024</t>
        </is>
      </c>
      <c r="B199" s="1" t="n">
        <v>45586</v>
      </c>
      <c r="C199" s="1" t="n">
        <v>46036</v>
      </c>
      <c r="D199" t="inlineStr">
        <is>
          <t>GÄVLEBORGS LÄN</t>
        </is>
      </c>
      <c r="E199" t="inlineStr">
        <is>
          <t>LJUSDAL</t>
        </is>
      </c>
      <c r="F199" t="inlineStr">
        <is>
          <t>Sveaskog</t>
        </is>
      </c>
      <c r="G199" t="n">
        <v>16.1</v>
      </c>
      <c r="H199" t="n">
        <v>0</v>
      </c>
      <c r="I199" t="n">
        <v>0</v>
      </c>
      <c r="J199" t="n">
        <v>2</v>
      </c>
      <c r="K199" t="n">
        <v>0</v>
      </c>
      <c r="L199" t="n">
        <v>0</v>
      </c>
      <c r="M199" t="n">
        <v>0</v>
      </c>
      <c r="N199" t="n">
        <v>0</v>
      </c>
      <c r="O199" t="n">
        <v>2</v>
      </c>
      <c r="P199" t="n">
        <v>0</v>
      </c>
      <c r="Q199" t="n">
        <v>2</v>
      </c>
      <c r="R199" s="2" t="inlineStr">
        <is>
          <t>Grantaggsvamp
Lunglav</t>
        </is>
      </c>
      <c r="S199">
        <f>HYPERLINK("https://klasma.github.io/Logging_2161/artfynd/A 47230-2024 artfynd.xlsx", "A 47230-2024")</f>
        <v/>
      </c>
      <c r="T199">
        <f>HYPERLINK("https://klasma.github.io/Logging_2161/kartor/A 47230-2024 karta.png", "A 47230-2024")</f>
        <v/>
      </c>
      <c r="V199">
        <f>HYPERLINK("https://klasma.github.io/Logging_2161/klagomål/A 47230-2024 FSC-klagomål.docx", "A 47230-2024")</f>
        <v/>
      </c>
      <c r="W199">
        <f>HYPERLINK("https://klasma.github.io/Logging_2161/klagomålsmail/A 47230-2024 FSC-klagomål mail.docx", "A 47230-2024")</f>
        <v/>
      </c>
      <c r="X199">
        <f>HYPERLINK("https://klasma.github.io/Logging_2161/tillsyn/A 47230-2024 tillsynsbegäran.docx", "A 47230-2024")</f>
        <v/>
      </c>
      <c r="Y199">
        <f>HYPERLINK("https://klasma.github.io/Logging_2161/tillsynsmail/A 47230-2024 tillsynsbegäran mail.docx", "A 47230-2024")</f>
        <v/>
      </c>
    </row>
    <row r="200" ht="15" customHeight="1">
      <c r="A200" t="inlineStr">
        <is>
          <t>A 32502-2023</t>
        </is>
      </c>
      <c r="B200" s="1" t="n">
        <v>45121</v>
      </c>
      <c r="C200" s="1" t="n">
        <v>46036</v>
      </c>
      <c r="D200" t="inlineStr">
        <is>
          <t>GÄVLEBORGS LÄN</t>
        </is>
      </c>
      <c r="E200" t="inlineStr">
        <is>
          <t>LJUSDAL</t>
        </is>
      </c>
      <c r="F200" t="inlineStr">
        <is>
          <t>Sveaskog</t>
        </is>
      </c>
      <c r="G200" t="n">
        <v>9.199999999999999</v>
      </c>
      <c r="H200" t="n">
        <v>0</v>
      </c>
      <c r="I200" t="n">
        <v>1</v>
      </c>
      <c r="J200" t="n">
        <v>1</v>
      </c>
      <c r="K200" t="n">
        <v>0</v>
      </c>
      <c r="L200" t="n">
        <v>0</v>
      </c>
      <c r="M200" t="n">
        <v>0</v>
      </c>
      <c r="N200" t="n">
        <v>0</v>
      </c>
      <c r="O200" t="n">
        <v>1</v>
      </c>
      <c r="P200" t="n">
        <v>0</v>
      </c>
      <c r="Q200" t="n">
        <v>2</v>
      </c>
      <c r="R200" s="2" t="inlineStr">
        <is>
          <t>Garnlav
Dropptaggsvamp</t>
        </is>
      </c>
      <c r="S200">
        <f>HYPERLINK("https://klasma.github.io/Logging_2161/artfynd/A 32502-2023 artfynd.xlsx", "A 32502-2023")</f>
        <v/>
      </c>
      <c r="T200">
        <f>HYPERLINK("https://klasma.github.io/Logging_2161/kartor/A 32502-2023 karta.png", "A 32502-2023")</f>
        <v/>
      </c>
      <c r="V200">
        <f>HYPERLINK("https://klasma.github.io/Logging_2161/klagomål/A 32502-2023 FSC-klagomål.docx", "A 32502-2023")</f>
        <v/>
      </c>
      <c r="W200">
        <f>HYPERLINK("https://klasma.github.io/Logging_2161/klagomålsmail/A 32502-2023 FSC-klagomål mail.docx", "A 32502-2023")</f>
        <v/>
      </c>
      <c r="X200">
        <f>HYPERLINK("https://klasma.github.io/Logging_2161/tillsyn/A 32502-2023 tillsynsbegäran.docx", "A 32502-2023")</f>
        <v/>
      </c>
      <c r="Y200">
        <f>HYPERLINK("https://klasma.github.io/Logging_2161/tillsynsmail/A 32502-2023 tillsynsbegäran mail.docx", "A 32502-2023")</f>
        <v/>
      </c>
    </row>
    <row r="201" ht="15" customHeight="1">
      <c r="A201" t="inlineStr">
        <is>
          <t>A 28422-2024</t>
        </is>
      </c>
      <c r="B201" s="1" t="n">
        <v>45477</v>
      </c>
      <c r="C201" s="1" t="n">
        <v>46036</v>
      </c>
      <c r="D201" t="inlineStr">
        <is>
          <t>GÄVLEBORGS LÄN</t>
        </is>
      </c>
      <c r="E201" t="inlineStr">
        <is>
          <t>LJUSDAL</t>
        </is>
      </c>
      <c r="F201" t="inlineStr">
        <is>
          <t>Allmännings- och besparingsskogar</t>
        </is>
      </c>
      <c r="G201" t="n">
        <v>11.9</v>
      </c>
      <c r="H201" t="n">
        <v>0</v>
      </c>
      <c r="I201" t="n">
        <v>0</v>
      </c>
      <c r="J201" t="n">
        <v>2</v>
      </c>
      <c r="K201" t="n">
        <v>0</v>
      </c>
      <c r="L201" t="n">
        <v>0</v>
      </c>
      <c r="M201" t="n">
        <v>0</v>
      </c>
      <c r="N201" t="n">
        <v>0</v>
      </c>
      <c r="O201" t="n">
        <v>2</v>
      </c>
      <c r="P201" t="n">
        <v>0</v>
      </c>
      <c r="Q201" t="n">
        <v>2</v>
      </c>
      <c r="R201" s="2" t="inlineStr">
        <is>
          <t>Garnlav
Lunglav</t>
        </is>
      </c>
      <c r="S201">
        <f>HYPERLINK("https://klasma.github.io/Logging_2161/artfynd/A 28422-2024 artfynd.xlsx", "A 28422-2024")</f>
        <v/>
      </c>
      <c r="T201">
        <f>HYPERLINK("https://klasma.github.io/Logging_2161/kartor/A 28422-2024 karta.png", "A 28422-2024")</f>
        <v/>
      </c>
      <c r="V201">
        <f>HYPERLINK("https://klasma.github.io/Logging_2161/klagomål/A 28422-2024 FSC-klagomål.docx", "A 28422-2024")</f>
        <v/>
      </c>
      <c r="W201">
        <f>HYPERLINK("https://klasma.github.io/Logging_2161/klagomålsmail/A 28422-2024 FSC-klagomål mail.docx", "A 28422-2024")</f>
        <v/>
      </c>
      <c r="X201">
        <f>HYPERLINK("https://klasma.github.io/Logging_2161/tillsyn/A 28422-2024 tillsynsbegäran.docx", "A 28422-2024")</f>
        <v/>
      </c>
      <c r="Y201">
        <f>HYPERLINK("https://klasma.github.io/Logging_2161/tillsynsmail/A 28422-2024 tillsynsbegäran mail.docx", "A 28422-2024")</f>
        <v/>
      </c>
    </row>
    <row r="202" ht="15" customHeight="1">
      <c r="A202" t="inlineStr">
        <is>
          <t>A 23483-2025</t>
        </is>
      </c>
      <c r="B202" s="1" t="n">
        <v>45792.46190972222</v>
      </c>
      <c r="C202" s="1" t="n">
        <v>46036</v>
      </c>
      <c r="D202" t="inlineStr">
        <is>
          <t>GÄVLEBORGS LÄN</t>
        </is>
      </c>
      <c r="E202" t="inlineStr">
        <is>
          <t>LJUSDAL</t>
        </is>
      </c>
      <c r="F202" t="inlineStr">
        <is>
          <t>Sveaskog</t>
        </is>
      </c>
      <c r="G202" t="n">
        <v>3.6</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23483-2025 artfynd.xlsx", "A 23483-2025")</f>
        <v/>
      </c>
      <c r="T202">
        <f>HYPERLINK("https://klasma.github.io/Logging_2161/kartor/A 23483-2025 karta.png", "A 23483-2025")</f>
        <v/>
      </c>
      <c r="V202">
        <f>HYPERLINK("https://klasma.github.io/Logging_2161/klagomål/A 23483-2025 FSC-klagomål.docx", "A 23483-2025")</f>
        <v/>
      </c>
      <c r="W202">
        <f>HYPERLINK("https://klasma.github.io/Logging_2161/klagomålsmail/A 23483-2025 FSC-klagomål mail.docx", "A 23483-2025")</f>
        <v/>
      </c>
      <c r="X202">
        <f>HYPERLINK("https://klasma.github.io/Logging_2161/tillsyn/A 23483-2025 tillsynsbegäran.docx", "A 23483-2025")</f>
        <v/>
      </c>
      <c r="Y202">
        <f>HYPERLINK("https://klasma.github.io/Logging_2161/tillsynsmail/A 23483-2025 tillsynsbegäran mail.docx", "A 23483-2025")</f>
        <v/>
      </c>
    </row>
    <row r="203" ht="15" customHeight="1">
      <c r="A203" t="inlineStr">
        <is>
          <t>A 24949-2025</t>
        </is>
      </c>
      <c r="B203" s="1" t="n">
        <v>45799.56797453704</v>
      </c>
      <c r="C203" s="1" t="n">
        <v>46036</v>
      </c>
      <c r="D203" t="inlineStr">
        <is>
          <t>GÄVLEBORGS LÄN</t>
        </is>
      </c>
      <c r="E203" t="inlineStr">
        <is>
          <t>LJUSDAL</t>
        </is>
      </c>
      <c r="F203" t="inlineStr">
        <is>
          <t>Sveaskog</t>
        </is>
      </c>
      <c r="G203" t="n">
        <v>3</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24949-2025 artfynd.xlsx", "A 24949-2025")</f>
        <v/>
      </c>
      <c r="T203">
        <f>HYPERLINK("https://klasma.github.io/Logging_2161/kartor/A 24949-2025 karta.png", "A 24949-2025")</f>
        <v/>
      </c>
      <c r="V203">
        <f>HYPERLINK("https://klasma.github.io/Logging_2161/klagomål/A 24949-2025 FSC-klagomål.docx", "A 24949-2025")</f>
        <v/>
      </c>
      <c r="W203">
        <f>HYPERLINK("https://klasma.github.io/Logging_2161/klagomålsmail/A 24949-2025 FSC-klagomål mail.docx", "A 24949-2025")</f>
        <v/>
      </c>
      <c r="X203">
        <f>HYPERLINK("https://klasma.github.io/Logging_2161/tillsyn/A 24949-2025 tillsynsbegäran.docx", "A 24949-2025")</f>
        <v/>
      </c>
      <c r="Y203">
        <f>HYPERLINK("https://klasma.github.io/Logging_2161/tillsynsmail/A 24949-2025 tillsynsbegäran mail.docx", "A 24949-2025")</f>
        <v/>
      </c>
    </row>
    <row r="204" ht="15" customHeight="1">
      <c r="A204" t="inlineStr">
        <is>
          <t>A 26415-2025</t>
        </is>
      </c>
      <c r="B204" s="1" t="n">
        <v>45807.361875</v>
      </c>
      <c r="C204" s="1" t="n">
        <v>46036</v>
      </c>
      <c r="D204" t="inlineStr">
        <is>
          <t>GÄVLEBORGS LÄN</t>
        </is>
      </c>
      <c r="E204" t="inlineStr">
        <is>
          <t>LJUSDAL</t>
        </is>
      </c>
      <c r="F204" t="inlineStr">
        <is>
          <t>Naturvårdsverket</t>
        </is>
      </c>
      <c r="G204" t="n">
        <v>16.2</v>
      </c>
      <c r="H204" t="n">
        <v>2</v>
      </c>
      <c r="I204" t="n">
        <v>0</v>
      </c>
      <c r="J204" t="n">
        <v>1</v>
      </c>
      <c r="K204" t="n">
        <v>0</v>
      </c>
      <c r="L204" t="n">
        <v>0</v>
      </c>
      <c r="M204" t="n">
        <v>0</v>
      </c>
      <c r="N204" t="n">
        <v>0</v>
      </c>
      <c r="O204" t="n">
        <v>1</v>
      </c>
      <c r="P204" t="n">
        <v>0</v>
      </c>
      <c r="Q204" t="n">
        <v>2</v>
      </c>
      <c r="R204" s="2" t="inlineStr">
        <is>
          <t>Spillkråka
Revlummer</t>
        </is>
      </c>
      <c r="S204">
        <f>HYPERLINK("https://klasma.github.io/Logging_2161/artfynd/A 26415-2025 artfynd.xlsx", "A 26415-2025")</f>
        <v/>
      </c>
      <c r="T204">
        <f>HYPERLINK("https://klasma.github.io/Logging_2161/kartor/A 26415-2025 karta.png", "A 26415-2025")</f>
        <v/>
      </c>
      <c r="V204">
        <f>HYPERLINK("https://klasma.github.io/Logging_2161/klagomål/A 26415-2025 FSC-klagomål.docx", "A 26415-2025")</f>
        <v/>
      </c>
      <c r="W204">
        <f>HYPERLINK("https://klasma.github.io/Logging_2161/klagomålsmail/A 26415-2025 FSC-klagomål mail.docx", "A 26415-2025")</f>
        <v/>
      </c>
      <c r="X204">
        <f>HYPERLINK("https://klasma.github.io/Logging_2161/tillsyn/A 26415-2025 tillsynsbegäran.docx", "A 26415-2025")</f>
        <v/>
      </c>
      <c r="Y204">
        <f>HYPERLINK("https://klasma.github.io/Logging_2161/tillsynsmail/A 26415-2025 tillsynsbegäran mail.docx", "A 26415-2025")</f>
        <v/>
      </c>
      <c r="Z204">
        <f>HYPERLINK("https://klasma.github.io/Logging_2161/fåglar/A 26415-2025 prioriterade fågelarter.docx", "A 26415-2025")</f>
        <v/>
      </c>
    </row>
    <row r="205" ht="15" customHeight="1">
      <c r="A205" t="inlineStr">
        <is>
          <t>A 38115-2021</t>
        </is>
      </c>
      <c r="B205" s="1" t="n">
        <v>44405</v>
      </c>
      <c r="C205" s="1" t="n">
        <v>46036</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46036</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46036</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46036</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46036</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46036</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46036</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55216-2022</t>
        </is>
      </c>
      <c r="B212" s="1" t="n">
        <v>44886</v>
      </c>
      <c r="C212" s="1" t="n">
        <v>46036</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22470-2024</t>
        </is>
      </c>
      <c r="B213" s="1" t="n">
        <v>45446</v>
      </c>
      <c r="C213" s="1" t="n">
        <v>46036</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22470-2024 artfynd.xlsx", "A 22470-2024")</f>
        <v/>
      </c>
      <c r="T213">
        <f>HYPERLINK("https://klasma.github.io/Logging_2161/kartor/A 22470-2024 karta.png", "A 22470-2024")</f>
        <v/>
      </c>
      <c r="U213">
        <f>HYPERLINK("https://klasma.github.io/Logging_2161/knärot/A 22470-2024 karta knärot.png", "A 22470-2024")</f>
        <v/>
      </c>
      <c r="V213">
        <f>HYPERLINK("https://klasma.github.io/Logging_2161/klagomål/A 22470-2024 FSC-klagomål.docx", "A 22470-2024")</f>
        <v/>
      </c>
      <c r="W213">
        <f>HYPERLINK("https://klasma.github.io/Logging_2161/klagomålsmail/A 22470-2024 FSC-klagomål mail.docx", "A 22470-2024")</f>
        <v/>
      </c>
      <c r="X213">
        <f>HYPERLINK("https://klasma.github.io/Logging_2161/tillsyn/A 22470-2024 tillsynsbegäran.docx", "A 22470-2024")</f>
        <v/>
      </c>
      <c r="Y213">
        <f>HYPERLINK("https://klasma.github.io/Logging_2161/tillsynsmail/A 22470-2024 tillsynsbegäran mail.docx", "A 22470-2024")</f>
        <v/>
      </c>
    </row>
    <row r="214" ht="15" customHeight="1">
      <c r="A214" t="inlineStr">
        <is>
          <t>A 20656-2024</t>
        </is>
      </c>
      <c r="B214" s="1" t="n">
        <v>45436</v>
      </c>
      <c r="C214" s="1" t="n">
        <v>46036</v>
      </c>
      <c r="D214" t="inlineStr">
        <is>
          <t>GÄVLEBORGS LÄN</t>
        </is>
      </c>
      <c r="E214" t="inlineStr">
        <is>
          <t>LJUSDAL</t>
        </is>
      </c>
      <c r="F214" t="inlineStr">
        <is>
          <t>Sveaskog</t>
        </is>
      </c>
      <c r="G214" t="n">
        <v>2.7</v>
      </c>
      <c r="H214" t="n">
        <v>0</v>
      </c>
      <c r="I214" t="n">
        <v>0</v>
      </c>
      <c r="J214" t="n">
        <v>1</v>
      </c>
      <c r="K214" t="n">
        <v>0</v>
      </c>
      <c r="L214" t="n">
        <v>0</v>
      </c>
      <c r="M214" t="n">
        <v>0</v>
      </c>
      <c r="N214" t="n">
        <v>0</v>
      </c>
      <c r="O214" t="n">
        <v>1</v>
      </c>
      <c r="P214" t="n">
        <v>0</v>
      </c>
      <c r="Q214" t="n">
        <v>1</v>
      </c>
      <c r="R214" s="2" t="inlineStr">
        <is>
          <t>Tallticka</t>
        </is>
      </c>
      <c r="S214">
        <f>HYPERLINK("https://klasma.github.io/Logging_2161/artfynd/A 20656-2024 artfynd.xlsx", "A 20656-2024")</f>
        <v/>
      </c>
      <c r="T214">
        <f>HYPERLINK("https://klasma.github.io/Logging_2161/kartor/A 20656-2024 karta.png", "A 20656-2024")</f>
        <v/>
      </c>
      <c r="V214">
        <f>HYPERLINK("https://klasma.github.io/Logging_2161/klagomål/A 20656-2024 FSC-klagomål.docx", "A 20656-2024")</f>
        <v/>
      </c>
      <c r="W214">
        <f>HYPERLINK("https://klasma.github.io/Logging_2161/klagomålsmail/A 20656-2024 FSC-klagomål mail.docx", "A 20656-2024")</f>
        <v/>
      </c>
      <c r="X214">
        <f>HYPERLINK("https://klasma.github.io/Logging_2161/tillsyn/A 20656-2024 tillsynsbegäran.docx", "A 20656-2024")</f>
        <v/>
      </c>
      <c r="Y214">
        <f>HYPERLINK("https://klasma.github.io/Logging_2161/tillsynsmail/A 20656-2024 tillsynsbegäran mail.docx", "A 20656-2024")</f>
        <v/>
      </c>
    </row>
    <row r="215" ht="15" customHeight="1">
      <c r="A215" t="inlineStr">
        <is>
          <t>A 31417-2024</t>
        </is>
      </c>
      <c r="B215" s="1" t="n">
        <v>45505.62011574074</v>
      </c>
      <c r="C215" s="1" t="n">
        <v>46036</v>
      </c>
      <c r="D215" t="inlineStr">
        <is>
          <t>GÄVLEBORGS LÄN</t>
        </is>
      </c>
      <c r="E215" t="inlineStr">
        <is>
          <t>LJUSDAL</t>
        </is>
      </c>
      <c r="F215" t="inlineStr">
        <is>
          <t>Sveaskog</t>
        </is>
      </c>
      <c r="G215" t="n">
        <v>3</v>
      </c>
      <c r="H215" t="n">
        <v>0</v>
      </c>
      <c r="I215" t="n">
        <v>0</v>
      </c>
      <c r="J215" t="n">
        <v>1</v>
      </c>
      <c r="K215" t="n">
        <v>0</v>
      </c>
      <c r="L215" t="n">
        <v>0</v>
      </c>
      <c r="M215" t="n">
        <v>0</v>
      </c>
      <c r="N215" t="n">
        <v>0</v>
      </c>
      <c r="O215" t="n">
        <v>1</v>
      </c>
      <c r="P215" t="n">
        <v>0</v>
      </c>
      <c r="Q215" t="n">
        <v>1</v>
      </c>
      <c r="R215" s="2" t="inlineStr">
        <is>
          <t>Kolflarnlav</t>
        </is>
      </c>
      <c r="S215">
        <f>HYPERLINK("https://klasma.github.io/Logging_2161/artfynd/A 31417-2024 artfynd.xlsx", "A 31417-2024")</f>
        <v/>
      </c>
      <c r="T215">
        <f>HYPERLINK("https://klasma.github.io/Logging_2161/kartor/A 31417-2024 karta.png", "A 31417-2024")</f>
        <v/>
      </c>
      <c r="V215">
        <f>HYPERLINK("https://klasma.github.io/Logging_2161/klagomål/A 31417-2024 FSC-klagomål.docx", "A 31417-2024")</f>
        <v/>
      </c>
      <c r="W215">
        <f>HYPERLINK("https://klasma.github.io/Logging_2161/klagomålsmail/A 31417-2024 FSC-klagomål mail.docx", "A 31417-2024")</f>
        <v/>
      </c>
      <c r="X215">
        <f>HYPERLINK("https://klasma.github.io/Logging_2161/tillsyn/A 31417-2024 tillsynsbegäran.docx", "A 31417-2024")</f>
        <v/>
      </c>
      <c r="Y215">
        <f>HYPERLINK("https://klasma.github.io/Logging_2161/tillsynsmail/A 31417-2024 tillsynsbegäran mail.docx", "A 31417-2024")</f>
        <v/>
      </c>
    </row>
    <row r="216" ht="15" customHeight="1">
      <c r="A216" t="inlineStr">
        <is>
          <t>A 27884-2025</t>
        </is>
      </c>
      <c r="B216" s="1" t="n">
        <v>45817.44993055556</v>
      </c>
      <c r="C216" s="1" t="n">
        <v>46036</v>
      </c>
      <c r="D216" t="inlineStr">
        <is>
          <t>GÄVLEBORGS LÄN</t>
        </is>
      </c>
      <c r="E216" t="inlineStr">
        <is>
          <t>LJUSDAL</t>
        </is>
      </c>
      <c r="F216" t="inlineStr">
        <is>
          <t>Sveaskog</t>
        </is>
      </c>
      <c r="G216" t="n">
        <v>5.8</v>
      </c>
      <c r="H216" t="n">
        <v>0</v>
      </c>
      <c r="I216" t="n">
        <v>0</v>
      </c>
      <c r="J216" t="n">
        <v>1</v>
      </c>
      <c r="K216" t="n">
        <v>0</v>
      </c>
      <c r="L216" t="n">
        <v>0</v>
      </c>
      <c r="M216" t="n">
        <v>0</v>
      </c>
      <c r="N216" t="n">
        <v>0</v>
      </c>
      <c r="O216" t="n">
        <v>1</v>
      </c>
      <c r="P216" t="n">
        <v>0</v>
      </c>
      <c r="Q216" t="n">
        <v>1</v>
      </c>
      <c r="R216" s="2" t="inlineStr">
        <is>
          <t>Lunglav</t>
        </is>
      </c>
      <c r="S216">
        <f>HYPERLINK("https://klasma.github.io/Logging_2161/artfynd/A 27884-2025 artfynd.xlsx", "A 27884-2025")</f>
        <v/>
      </c>
      <c r="T216">
        <f>HYPERLINK("https://klasma.github.io/Logging_2161/kartor/A 27884-2025 karta.png", "A 27884-2025")</f>
        <v/>
      </c>
      <c r="V216">
        <f>HYPERLINK("https://klasma.github.io/Logging_2161/klagomål/A 27884-2025 FSC-klagomål.docx", "A 27884-2025")</f>
        <v/>
      </c>
      <c r="W216">
        <f>HYPERLINK("https://klasma.github.io/Logging_2161/klagomålsmail/A 27884-2025 FSC-klagomål mail.docx", "A 27884-2025")</f>
        <v/>
      </c>
      <c r="X216">
        <f>HYPERLINK("https://klasma.github.io/Logging_2161/tillsyn/A 27884-2025 tillsynsbegäran.docx", "A 27884-2025")</f>
        <v/>
      </c>
      <c r="Y216">
        <f>HYPERLINK("https://klasma.github.io/Logging_2161/tillsynsmail/A 27884-2025 tillsynsbegäran mail.docx", "A 27884-2025")</f>
        <v/>
      </c>
    </row>
    <row r="217" ht="15" customHeight="1">
      <c r="A217" t="inlineStr">
        <is>
          <t>A 34233-2024</t>
        </is>
      </c>
      <c r="B217" s="1" t="n">
        <v>45524.56537037037</v>
      </c>
      <c r="C217" s="1" t="n">
        <v>46036</v>
      </c>
      <c r="D217" t="inlineStr">
        <is>
          <t>GÄVLEBORGS LÄN</t>
        </is>
      </c>
      <c r="E217" t="inlineStr">
        <is>
          <t>LJUSDAL</t>
        </is>
      </c>
      <c r="F217" t="inlineStr">
        <is>
          <t>Sveaskog</t>
        </is>
      </c>
      <c r="G217" t="n">
        <v>7.5</v>
      </c>
      <c r="H217" t="n">
        <v>1</v>
      </c>
      <c r="I217" t="n">
        <v>1</v>
      </c>
      <c r="J217" t="n">
        <v>0</v>
      </c>
      <c r="K217" t="n">
        <v>0</v>
      </c>
      <c r="L217" t="n">
        <v>0</v>
      </c>
      <c r="M217" t="n">
        <v>0</v>
      </c>
      <c r="N217" t="n">
        <v>0</v>
      </c>
      <c r="O217" t="n">
        <v>0</v>
      </c>
      <c r="P217" t="n">
        <v>0</v>
      </c>
      <c r="Q217" t="n">
        <v>1</v>
      </c>
      <c r="R217" s="2" t="inlineStr">
        <is>
          <t>Plattlummer</t>
        </is>
      </c>
      <c r="S217">
        <f>HYPERLINK("https://klasma.github.io/Logging_2161/artfynd/A 34233-2024 artfynd.xlsx", "A 34233-2024")</f>
        <v/>
      </c>
      <c r="T217">
        <f>HYPERLINK("https://klasma.github.io/Logging_2161/kartor/A 34233-2024 karta.png", "A 34233-2024")</f>
        <v/>
      </c>
      <c r="V217">
        <f>HYPERLINK("https://klasma.github.io/Logging_2161/klagomål/A 34233-2024 FSC-klagomål.docx", "A 34233-2024")</f>
        <v/>
      </c>
      <c r="W217">
        <f>HYPERLINK("https://klasma.github.io/Logging_2161/klagomålsmail/A 34233-2024 FSC-klagomål mail.docx", "A 34233-2024")</f>
        <v/>
      </c>
      <c r="X217">
        <f>HYPERLINK("https://klasma.github.io/Logging_2161/tillsyn/A 34233-2024 tillsynsbegäran.docx", "A 34233-2024")</f>
        <v/>
      </c>
      <c r="Y217">
        <f>HYPERLINK("https://klasma.github.io/Logging_2161/tillsynsmail/A 34233-2024 tillsynsbegäran mail.docx", "A 34233-2024")</f>
        <v/>
      </c>
    </row>
    <row r="218" ht="15" customHeight="1">
      <c r="A218" t="inlineStr">
        <is>
          <t>A 49803-2022</t>
        </is>
      </c>
      <c r="B218" s="1" t="n">
        <v>44862.66302083333</v>
      </c>
      <c r="C218" s="1" t="n">
        <v>46036</v>
      </c>
      <c r="D218" t="inlineStr">
        <is>
          <t>GÄVLEBORGS LÄN</t>
        </is>
      </c>
      <c r="E218" t="inlineStr">
        <is>
          <t>LJUSDAL</t>
        </is>
      </c>
      <c r="F218" t="inlineStr">
        <is>
          <t>Sveaskog</t>
        </is>
      </c>
      <c r="G218" t="n">
        <v>1.9</v>
      </c>
      <c r="H218" t="n">
        <v>1</v>
      </c>
      <c r="I218" t="n">
        <v>0</v>
      </c>
      <c r="J218" t="n">
        <v>0</v>
      </c>
      <c r="K218" t="n">
        <v>0</v>
      </c>
      <c r="L218" t="n">
        <v>0</v>
      </c>
      <c r="M218" t="n">
        <v>0</v>
      </c>
      <c r="N218" t="n">
        <v>0</v>
      </c>
      <c r="O218" t="n">
        <v>0</v>
      </c>
      <c r="P218" t="n">
        <v>0</v>
      </c>
      <c r="Q218" t="n">
        <v>1</v>
      </c>
      <c r="R218" s="2" t="inlineStr">
        <is>
          <t>Fläcknycklar</t>
        </is>
      </c>
      <c r="S218">
        <f>HYPERLINK("https://klasma.github.io/Logging_2161/artfynd/A 49803-2022 artfynd.xlsx", "A 49803-2022")</f>
        <v/>
      </c>
      <c r="T218">
        <f>HYPERLINK("https://klasma.github.io/Logging_2161/kartor/A 49803-2022 karta.png", "A 49803-2022")</f>
        <v/>
      </c>
      <c r="V218">
        <f>HYPERLINK("https://klasma.github.io/Logging_2161/klagomål/A 49803-2022 FSC-klagomål.docx", "A 49803-2022")</f>
        <v/>
      </c>
      <c r="W218">
        <f>HYPERLINK("https://klasma.github.io/Logging_2161/klagomålsmail/A 49803-2022 FSC-klagomål mail.docx", "A 49803-2022")</f>
        <v/>
      </c>
      <c r="X218">
        <f>HYPERLINK("https://klasma.github.io/Logging_2161/tillsyn/A 49803-2022 tillsynsbegäran.docx", "A 49803-2022")</f>
        <v/>
      </c>
      <c r="Y218">
        <f>HYPERLINK("https://klasma.github.io/Logging_2161/tillsynsmail/A 49803-2022 tillsynsbegäran mail.docx", "A 49803-2022")</f>
        <v/>
      </c>
    </row>
    <row r="219" ht="15" customHeight="1">
      <c r="A219" t="inlineStr">
        <is>
          <t>A 38699-2025</t>
        </is>
      </c>
      <c r="B219" s="1" t="n">
        <v>45884.78680555556</v>
      </c>
      <c r="C219" s="1" t="n">
        <v>46036</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28521-2025</t>
        </is>
      </c>
      <c r="B220" s="1" t="n">
        <v>45819.49046296296</v>
      </c>
      <c r="C220" s="1" t="n">
        <v>46036</v>
      </c>
      <c r="D220" t="inlineStr">
        <is>
          <t>GÄVLEBORGS LÄN</t>
        </is>
      </c>
      <c r="E220" t="inlineStr">
        <is>
          <t>LJUSDAL</t>
        </is>
      </c>
      <c r="F220" t="inlineStr">
        <is>
          <t>Allmännings- och besparingsskogar</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HYPERLINK("https://klasma.github.io/Logging_2161/artfynd/A 28521-2025 artfynd.xlsx", "A 28521-2025")</f>
        <v/>
      </c>
      <c r="T220">
        <f>HYPERLINK("https://klasma.github.io/Logging_2161/kartor/A 28521-2025 karta.png", "A 28521-2025")</f>
        <v/>
      </c>
      <c r="V220">
        <f>HYPERLINK("https://klasma.github.io/Logging_2161/klagomål/A 28521-2025 FSC-klagomål.docx", "A 28521-2025")</f>
        <v/>
      </c>
      <c r="W220">
        <f>HYPERLINK("https://klasma.github.io/Logging_2161/klagomålsmail/A 28521-2025 FSC-klagomål mail.docx", "A 28521-2025")</f>
        <v/>
      </c>
      <c r="X220">
        <f>HYPERLINK("https://klasma.github.io/Logging_2161/tillsyn/A 28521-2025 tillsynsbegäran.docx", "A 28521-2025")</f>
        <v/>
      </c>
      <c r="Y220">
        <f>HYPERLINK("https://klasma.github.io/Logging_2161/tillsynsmail/A 28521-2025 tillsynsbegäran mail.docx", "A 28521-2025")</f>
        <v/>
      </c>
    </row>
    <row r="221" ht="15" customHeight="1">
      <c r="A221" t="inlineStr">
        <is>
          <t>A 56782-2023</t>
        </is>
      </c>
      <c r="B221" s="1" t="n">
        <v>45244</v>
      </c>
      <c r="C221" s="1" t="n">
        <v>46036</v>
      </c>
      <c r="D221" t="inlineStr">
        <is>
          <t>GÄVLEBORGS LÄN</t>
        </is>
      </c>
      <c r="E221" t="inlineStr">
        <is>
          <t>LJUSDAL</t>
        </is>
      </c>
      <c r="F221" t="inlineStr">
        <is>
          <t>Sveaskog</t>
        </is>
      </c>
      <c r="G221" t="n">
        <v>0.8</v>
      </c>
      <c r="H221" t="n">
        <v>1</v>
      </c>
      <c r="I221" t="n">
        <v>0</v>
      </c>
      <c r="J221" t="n">
        <v>1</v>
      </c>
      <c r="K221" t="n">
        <v>0</v>
      </c>
      <c r="L221" t="n">
        <v>0</v>
      </c>
      <c r="M221" t="n">
        <v>0</v>
      </c>
      <c r="N221" t="n">
        <v>0</v>
      </c>
      <c r="O221" t="n">
        <v>1</v>
      </c>
      <c r="P221" t="n">
        <v>0</v>
      </c>
      <c r="Q221" t="n">
        <v>1</v>
      </c>
      <c r="R221" s="2" t="inlineStr">
        <is>
          <t>Järpe</t>
        </is>
      </c>
      <c r="S221">
        <f>HYPERLINK("https://klasma.github.io/Logging_2161/artfynd/A 56782-2023 artfynd.xlsx", "A 56782-2023")</f>
        <v/>
      </c>
      <c r="T221">
        <f>HYPERLINK("https://klasma.github.io/Logging_2161/kartor/A 56782-2023 karta.png", "A 56782-2023")</f>
        <v/>
      </c>
      <c r="U221">
        <f>HYPERLINK("https://klasma.github.io/Logging_2161/knärot/A 56782-2023 karta knärot.png", "A 56782-2023")</f>
        <v/>
      </c>
      <c r="V221">
        <f>HYPERLINK("https://klasma.github.io/Logging_2161/klagomål/A 56782-2023 FSC-klagomål.docx", "A 56782-2023")</f>
        <v/>
      </c>
      <c r="W221">
        <f>HYPERLINK("https://klasma.github.io/Logging_2161/klagomålsmail/A 56782-2023 FSC-klagomål mail.docx", "A 56782-2023")</f>
        <v/>
      </c>
      <c r="X221">
        <f>HYPERLINK("https://klasma.github.io/Logging_2161/tillsyn/A 56782-2023 tillsynsbegäran.docx", "A 56782-2023")</f>
        <v/>
      </c>
      <c r="Y221">
        <f>HYPERLINK("https://klasma.github.io/Logging_2161/tillsynsmail/A 56782-2023 tillsynsbegäran mail.docx", "A 56782-2023")</f>
        <v/>
      </c>
      <c r="Z221">
        <f>HYPERLINK("https://klasma.github.io/Logging_2161/fåglar/A 56782-2023 prioriterade fågelarter.docx", "A 56782-2023")</f>
        <v/>
      </c>
    </row>
    <row r="222" ht="15" customHeight="1">
      <c r="A222" t="inlineStr">
        <is>
          <t>A 29292-2025</t>
        </is>
      </c>
      <c r="B222" s="1" t="n">
        <v>45824.44224537037</v>
      </c>
      <c r="C222" s="1" t="n">
        <v>46036</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29292-2025 artfynd.xlsx", "A 29292-2025")</f>
        <v/>
      </c>
      <c r="T222">
        <f>HYPERLINK("https://klasma.github.io/Logging_2161/kartor/A 29292-2025 karta.png", "A 29292-2025")</f>
        <v/>
      </c>
      <c r="V222">
        <f>HYPERLINK("https://klasma.github.io/Logging_2161/klagomål/A 29292-2025 FSC-klagomål.docx", "A 29292-2025")</f>
        <v/>
      </c>
      <c r="W222">
        <f>HYPERLINK("https://klasma.github.io/Logging_2161/klagomålsmail/A 29292-2025 FSC-klagomål mail.docx", "A 29292-2025")</f>
        <v/>
      </c>
      <c r="X222">
        <f>HYPERLINK("https://klasma.github.io/Logging_2161/tillsyn/A 29292-2025 tillsynsbegäran.docx", "A 29292-2025")</f>
        <v/>
      </c>
      <c r="Y222">
        <f>HYPERLINK("https://klasma.github.io/Logging_2161/tillsynsmail/A 29292-2025 tillsynsbegäran mail.docx", "A 29292-2025")</f>
        <v/>
      </c>
    </row>
    <row r="223" ht="15" customHeight="1">
      <c r="A223" t="inlineStr">
        <is>
          <t>A 39545-2025</t>
        </is>
      </c>
      <c r="B223" s="1" t="n">
        <v>45890.45697916667</v>
      </c>
      <c r="C223" s="1" t="n">
        <v>46036</v>
      </c>
      <c r="D223" t="inlineStr">
        <is>
          <t>GÄVLEBORGS LÄN</t>
        </is>
      </c>
      <c r="E223" t="inlineStr">
        <is>
          <t>LJUSDAL</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HYPERLINK("https://klasma.github.io/Logging_2161/artfynd/A 39545-2025 artfynd.xlsx", "A 39545-2025")</f>
        <v/>
      </c>
      <c r="T223">
        <f>HYPERLINK("https://klasma.github.io/Logging_2161/kartor/A 39545-2025 karta.png", "A 39545-2025")</f>
        <v/>
      </c>
      <c r="V223">
        <f>HYPERLINK("https://klasma.github.io/Logging_2161/klagomål/A 39545-2025 FSC-klagomål.docx", "A 39545-2025")</f>
        <v/>
      </c>
      <c r="W223">
        <f>HYPERLINK("https://klasma.github.io/Logging_2161/klagomålsmail/A 39545-2025 FSC-klagomål mail.docx", "A 39545-2025")</f>
        <v/>
      </c>
      <c r="X223">
        <f>HYPERLINK("https://klasma.github.io/Logging_2161/tillsyn/A 39545-2025 tillsynsbegäran.docx", "A 39545-2025")</f>
        <v/>
      </c>
      <c r="Y223">
        <f>HYPERLINK("https://klasma.github.io/Logging_2161/tillsynsmail/A 39545-2025 tillsynsbegäran mail.docx", "A 39545-2025")</f>
        <v/>
      </c>
    </row>
    <row r="224" ht="15" customHeight="1">
      <c r="A224" t="inlineStr">
        <is>
          <t>A 39547-2025</t>
        </is>
      </c>
      <c r="B224" s="1" t="n">
        <v>45890.45960648148</v>
      </c>
      <c r="C224" s="1" t="n">
        <v>46036</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Lunglav</t>
        </is>
      </c>
      <c r="S224">
        <f>HYPERLINK("https://klasma.github.io/Logging_2161/artfynd/A 39547-2025 artfynd.xlsx", "A 39547-2025")</f>
        <v/>
      </c>
      <c r="T224">
        <f>HYPERLINK("https://klasma.github.io/Logging_2161/kartor/A 39547-2025 karta.png", "A 39547-2025")</f>
        <v/>
      </c>
      <c r="V224">
        <f>HYPERLINK("https://klasma.github.io/Logging_2161/klagomål/A 39547-2025 FSC-klagomål.docx", "A 39547-2025")</f>
        <v/>
      </c>
      <c r="W224">
        <f>HYPERLINK("https://klasma.github.io/Logging_2161/klagomålsmail/A 39547-2025 FSC-klagomål mail.docx", "A 39547-2025")</f>
        <v/>
      </c>
      <c r="X224">
        <f>HYPERLINK("https://klasma.github.io/Logging_2161/tillsyn/A 39547-2025 tillsynsbegäran.docx", "A 39547-2025")</f>
        <v/>
      </c>
      <c r="Y224">
        <f>HYPERLINK("https://klasma.github.io/Logging_2161/tillsynsmail/A 39547-2025 tillsynsbegäran mail.docx", "A 39547-2025")</f>
        <v/>
      </c>
    </row>
    <row r="225" ht="15" customHeight="1">
      <c r="A225" t="inlineStr">
        <is>
          <t>A 30298-2025</t>
        </is>
      </c>
      <c r="B225" s="1" t="n">
        <v>45827.47530092593</v>
      </c>
      <c r="C225" s="1" t="n">
        <v>46036</v>
      </c>
      <c r="D225" t="inlineStr">
        <is>
          <t>GÄVLEBORGS LÄN</t>
        </is>
      </c>
      <c r="E225" t="inlineStr">
        <is>
          <t>LJUSDAL</t>
        </is>
      </c>
      <c r="F225" t="inlineStr">
        <is>
          <t>Sveaskog</t>
        </is>
      </c>
      <c r="G225" t="n">
        <v>8.800000000000001</v>
      </c>
      <c r="H225" t="n">
        <v>0</v>
      </c>
      <c r="I225" t="n">
        <v>0</v>
      </c>
      <c r="J225" t="n">
        <v>1</v>
      </c>
      <c r="K225" t="n">
        <v>0</v>
      </c>
      <c r="L225" t="n">
        <v>0</v>
      </c>
      <c r="M225" t="n">
        <v>0</v>
      </c>
      <c r="N225" t="n">
        <v>0</v>
      </c>
      <c r="O225" t="n">
        <v>1</v>
      </c>
      <c r="P225" t="n">
        <v>0</v>
      </c>
      <c r="Q225" t="n">
        <v>1</v>
      </c>
      <c r="R225" s="2" t="inlineStr">
        <is>
          <t>Kolflarnlav</t>
        </is>
      </c>
      <c r="S225">
        <f>HYPERLINK("https://klasma.github.io/Logging_2161/artfynd/A 30298-2025 artfynd.xlsx", "A 30298-2025")</f>
        <v/>
      </c>
      <c r="T225">
        <f>HYPERLINK("https://klasma.github.io/Logging_2161/kartor/A 30298-2025 karta.png", "A 30298-2025")</f>
        <v/>
      </c>
      <c r="V225">
        <f>HYPERLINK("https://klasma.github.io/Logging_2161/klagomål/A 30298-2025 FSC-klagomål.docx", "A 30298-2025")</f>
        <v/>
      </c>
      <c r="W225">
        <f>HYPERLINK("https://klasma.github.io/Logging_2161/klagomålsmail/A 30298-2025 FSC-klagomål mail.docx", "A 30298-2025")</f>
        <v/>
      </c>
      <c r="X225">
        <f>HYPERLINK("https://klasma.github.io/Logging_2161/tillsyn/A 30298-2025 tillsynsbegäran.docx", "A 30298-2025")</f>
        <v/>
      </c>
      <c r="Y225">
        <f>HYPERLINK("https://klasma.github.io/Logging_2161/tillsynsmail/A 30298-2025 tillsynsbegäran mail.docx", "A 30298-2025")</f>
        <v/>
      </c>
    </row>
    <row r="226" ht="15" customHeight="1">
      <c r="A226" t="inlineStr">
        <is>
          <t>A 30371-2025</t>
        </is>
      </c>
      <c r="B226" s="1" t="n">
        <v>45827.56134259259</v>
      </c>
      <c r="C226" s="1" t="n">
        <v>46036</v>
      </c>
      <c r="D226" t="inlineStr">
        <is>
          <t>GÄVLEBORGS LÄN</t>
        </is>
      </c>
      <c r="E226" t="inlineStr">
        <is>
          <t>LJUSDAL</t>
        </is>
      </c>
      <c r="F226" t="inlineStr">
        <is>
          <t>Sveaskog</t>
        </is>
      </c>
      <c r="G226" t="n">
        <v>4.6</v>
      </c>
      <c r="H226" t="n">
        <v>0</v>
      </c>
      <c r="I226" t="n">
        <v>0</v>
      </c>
      <c r="J226" t="n">
        <v>1</v>
      </c>
      <c r="K226" t="n">
        <v>0</v>
      </c>
      <c r="L226" t="n">
        <v>0</v>
      </c>
      <c r="M226" t="n">
        <v>0</v>
      </c>
      <c r="N226" t="n">
        <v>0</v>
      </c>
      <c r="O226" t="n">
        <v>1</v>
      </c>
      <c r="P226" t="n">
        <v>0</v>
      </c>
      <c r="Q226" t="n">
        <v>1</v>
      </c>
      <c r="R226" s="2" t="inlineStr">
        <is>
          <t>Kolflarnlav</t>
        </is>
      </c>
      <c r="S226">
        <f>HYPERLINK("https://klasma.github.io/Logging_2161/artfynd/A 30371-2025 artfynd.xlsx", "A 30371-2025")</f>
        <v/>
      </c>
      <c r="T226">
        <f>HYPERLINK("https://klasma.github.io/Logging_2161/kartor/A 30371-2025 karta.png", "A 30371-2025")</f>
        <v/>
      </c>
      <c r="V226">
        <f>HYPERLINK("https://klasma.github.io/Logging_2161/klagomål/A 30371-2025 FSC-klagomål.docx", "A 30371-2025")</f>
        <v/>
      </c>
      <c r="W226">
        <f>HYPERLINK("https://klasma.github.io/Logging_2161/klagomålsmail/A 30371-2025 FSC-klagomål mail.docx", "A 30371-2025")</f>
        <v/>
      </c>
      <c r="X226">
        <f>HYPERLINK("https://klasma.github.io/Logging_2161/tillsyn/A 30371-2025 tillsynsbegäran.docx", "A 30371-2025")</f>
        <v/>
      </c>
      <c r="Y226">
        <f>HYPERLINK("https://klasma.github.io/Logging_2161/tillsynsmail/A 30371-2025 tillsynsbegäran mail.docx", "A 30371-2025")</f>
        <v/>
      </c>
    </row>
    <row r="227" ht="15" customHeight="1">
      <c r="A227" t="inlineStr">
        <is>
          <t>A 30296-2025</t>
        </is>
      </c>
      <c r="B227" s="1" t="n">
        <v>45827.47434027777</v>
      </c>
      <c r="C227" s="1" t="n">
        <v>46036</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30296-2025 artfynd.xlsx", "A 30296-2025")</f>
        <v/>
      </c>
      <c r="T227">
        <f>HYPERLINK("https://klasma.github.io/Logging_2161/kartor/A 30296-2025 karta.png", "A 30296-2025")</f>
        <v/>
      </c>
      <c r="V227">
        <f>HYPERLINK("https://klasma.github.io/Logging_2161/klagomål/A 30296-2025 FSC-klagomål.docx", "A 30296-2025")</f>
        <v/>
      </c>
      <c r="W227">
        <f>HYPERLINK("https://klasma.github.io/Logging_2161/klagomålsmail/A 30296-2025 FSC-klagomål mail.docx", "A 30296-2025")</f>
        <v/>
      </c>
      <c r="X227">
        <f>HYPERLINK("https://klasma.github.io/Logging_2161/tillsyn/A 30296-2025 tillsynsbegäran.docx", "A 30296-2025")</f>
        <v/>
      </c>
      <c r="Y227">
        <f>HYPERLINK("https://klasma.github.io/Logging_2161/tillsynsmail/A 30296-2025 tillsynsbegäran mail.docx", "A 30296-2025")</f>
        <v/>
      </c>
    </row>
    <row r="228" ht="15" customHeight="1">
      <c r="A228" t="inlineStr">
        <is>
          <t>A 32499-2023</t>
        </is>
      </c>
      <c r="B228" s="1" t="n">
        <v>45121.30815972222</v>
      </c>
      <c r="C228" s="1" t="n">
        <v>46036</v>
      </c>
      <c r="D228" t="inlineStr">
        <is>
          <t>GÄVLEBORGS LÄN</t>
        </is>
      </c>
      <c r="E228" t="inlineStr">
        <is>
          <t>LJUSDAL</t>
        </is>
      </c>
      <c r="F228" t="inlineStr">
        <is>
          <t>Sveaskog</t>
        </is>
      </c>
      <c r="G228" t="n">
        <v>2.6</v>
      </c>
      <c r="H228" t="n">
        <v>1</v>
      </c>
      <c r="I228" t="n">
        <v>0</v>
      </c>
      <c r="J228" t="n">
        <v>0</v>
      </c>
      <c r="K228" t="n">
        <v>1</v>
      </c>
      <c r="L228" t="n">
        <v>0</v>
      </c>
      <c r="M228" t="n">
        <v>0</v>
      </c>
      <c r="N228" t="n">
        <v>0</v>
      </c>
      <c r="O228" t="n">
        <v>1</v>
      </c>
      <c r="P228" t="n">
        <v>1</v>
      </c>
      <c r="Q228" t="n">
        <v>1</v>
      </c>
      <c r="R228" s="2" t="inlineStr">
        <is>
          <t>Knärot</t>
        </is>
      </c>
      <c r="S228">
        <f>HYPERLINK("https://klasma.github.io/Logging_2161/artfynd/A 32499-2023 artfynd.xlsx", "A 32499-2023")</f>
        <v/>
      </c>
      <c r="T228">
        <f>HYPERLINK("https://klasma.github.io/Logging_2161/kartor/A 32499-2023 karta.png", "A 32499-2023")</f>
        <v/>
      </c>
      <c r="U228">
        <f>HYPERLINK("https://klasma.github.io/Logging_2161/knärot/A 32499-2023 karta knärot.png", "A 32499-2023")</f>
        <v/>
      </c>
      <c r="V228">
        <f>HYPERLINK("https://klasma.github.io/Logging_2161/klagomål/A 32499-2023 FSC-klagomål.docx", "A 32499-2023")</f>
        <v/>
      </c>
      <c r="W228">
        <f>HYPERLINK("https://klasma.github.io/Logging_2161/klagomålsmail/A 32499-2023 FSC-klagomål mail.docx", "A 32499-2023")</f>
        <v/>
      </c>
      <c r="X228">
        <f>HYPERLINK("https://klasma.github.io/Logging_2161/tillsyn/A 32499-2023 tillsynsbegäran.docx", "A 32499-2023")</f>
        <v/>
      </c>
      <c r="Y228">
        <f>HYPERLINK("https://klasma.github.io/Logging_2161/tillsynsmail/A 32499-2023 tillsynsbegäran mail.docx", "A 32499-2023")</f>
        <v/>
      </c>
    </row>
    <row r="229" ht="15" customHeight="1">
      <c r="A229" t="inlineStr">
        <is>
          <t>A 40214-2025</t>
        </is>
      </c>
      <c r="B229" s="1" t="n">
        <v>45894.68690972222</v>
      </c>
      <c r="C229" s="1" t="n">
        <v>46036</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40179-2025</t>
        </is>
      </c>
      <c r="B230" s="1" t="n">
        <v>45894.6367824074</v>
      </c>
      <c r="C230" s="1" t="n">
        <v>46036</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31828-2025</t>
        </is>
      </c>
      <c r="B231" s="1" t="n">
        <v>45834.58667824074</v>
      </c>
      <c r="C231" s="1" t="n">
        <v>46036</v>
      </c>
      <c r="D231" t="inlineStr">
        <is>
          <t>GÄVLEBORGS LÄN</t>
        </is>
      </c>
      <c r="E231" t="inlineStr">
        <is>
          <t>LJUSDAL</t>
        </is>
      </c>
      <c r="F231" t="inlineStr">
        <is>
          <t>Sveaskog</t>
        </is>
      </c>
      <c r="G231" t="n">
        <v>4</v>
      </c>
      <c r="H231" t="n">
        <v>0</v>
      </c>
      <c r="I231" t="n">
        <v>0</v>
      </c>
      <c r="J231" t="n">
        <v>1</v>
      </c>
      <c r="K231" t="n">
        <v>0</v>
      </c>
      <c r="L231" t="n">
        <v>0</v>
      </c>
      <c r="M231" t="n">
        <v>0</v>
      </c>
      <c r="N231" t="n">
        <v>0</v>
      </c>
      <c r="O231" t="n">
        <v>1</v>
      </c>
      <c r="P231" t="n">
        <v>0</v>
      </c>
      <c r="Q231" t="n">
        <v>1</v>
      </c>
      <c r="R231" s="2" t="inlineStr">
        <is>
          <t>Blå taggsvamp</t>
        </is>
      </c>
      <c r="S231">
        <f>HYPERLINK("https://klasma.github.io/Logging_2161/artfynd/A 31828-2025 artfynd.xlsx", "A 31828-2025")</f>
        <v/>
      </c>
      <c r="T231">
        <f>HYPERLINK("https://klasma.github.io/Logging_2161/kartor/A 31828-2025 karta.png", "A 31828-2025")</f>
        <v/>
      </c>
      <c r="V231">
        <f>HYPERLINK("https://klasma.github.io/Logging_2161/klagomål/A 31828-2025 FSC-klagomål.docx", "A 31828-2025")</f>
        <v/>
      </c>
      <c r="W231">
        <f>HYPERLINK("https://klasma.github.io/Logging_2161/klagomålsmail/A 31828-2025 FSC-klagomål mail.docx", "A 31828-2025")</f>
        <v/>
      </c>
      <c r="X231">
        <f>HYPERLINK("https://klasma.github.io/Logging_2161/tillsyn/A 31828-2025 tillsynsbegäran.docx", "A 31828-2025")</f>
        <v/>
      </c>
      <c r="Y231">
        <f>HYPERLINK("https://klasma.github.io/Logging_2161/tillsynsmail/A 31828-2025 tillsynsbegäran mail.docx", "A 31828-2025")</f>
        <v/>
      </c>
    </row>
    <row r="232" ht="15" customHeight="1">
      <c r="A232" t="inlineStr">
        <is>
          <t>A 34346-2024</t>
        </is>
      </c>
      <c r="B232" s="1" t="n">
        <v>45525.34310185185</v>
      </c>
      <c r="C232" s="1" t="n">
        <v>46036</v>
      </c>
      <c r="D232" t="inlineStr">
        <is>
          <t>GÄVLEBORGS LÄN</t>
        </is>
      </c>
      <c r="E232" t="inlineStr">
        <is>
          <t>LJUSDAL</t>
        </is>
      </c>
      <c r="F232" t="inlineStr">
        <is>
          <t>Holmen skog AB</t>
        </is>
      </c>
      <c r="G232" t="n">
        <v>6.8</v>
      </c>
      <c r="H232" t="n">
        <v>1</v>
      </c>
      <c r="I232" t="n">
        <v>0</v>
      </c>
      <c r="J232" t="n">
        <v>1</v>
      </c>
      <c r="K232" t="n">
        <v>0</v>
      </c>
      <c r="L232" t="n">
        <v>0</v>
      </c>
      <c r="M232" t="n">
        <v>0</v>
      </c>
      <c r="N232" t="n">
        <v>0</v>
      </c>
      <c r="O232" t="n">
        <v>1</v>
      </c>
      <c r="P232" t="n">
        <v>0</v>
      </c>
      <c r="Q232" t="n">
        <v>1</v>
      </c>
      <c r="R232" s="2" t="inlineStr">
        <is>
          <t>Talltita</t>
        </is>
      </c>
      <c r="S232">
        <f>HYPERLINK("https://klasma.github.io/Logging_2161/artfynd/A 34346-2024 artfynd.xlsx", "A 34346-2024")</f>
        <v/>
      </c>
      <c r="T232">
        <f>HYPERLINK("https://klasma.github.io/Logging_2161/kartor/A 34346-2024 karta.png", "A 34346-2024")</f>
        <v/>
      </c>
      <c r="V232">
        <f>HYPERLINK("https://klasma.github.io/Logging_2161/klagomål/A 34346-2024 FSC-klagomål.docx", "A 34346-2024")</f>
        <v/>
      </c>
      <c r="W232">
        <f>HYPERLINK("https://klasma.github.io/Logging_2161/klagomålsmail/A 34346-2024 FSC-klagomål mail.docx", "A 34346-2024")</f>
        <v/>
      </c>
      <c r="X232">
        <f>HYPERLINK("https://klasma.github.io/Logging_2161/tillsyn/A 34346-2024 tillsynsbegäran.docx", "A 34346-2024")</f>
        <v/>
      </c>
      <c r="Y232">
        <f>HYPERLINK("https://klasma.github.io/Logging_2161/tillsynsmail/A 34346-2024 tillsynsbegäran mail.docx", "A 34346-2024")</f>
        <v/>
      </c>
      <c r="Z232">
        <f>HYPERLINK("https://klasma.github.io/Logging_2161/fåglar/A 34346-2024 prioriterade fågelarter.docx", "A 34346-2024")</f>
        <v/>
      </c>
    </row>
    <row r="233" ht="15" customHeight="1">
      <c r="A233" t="inlineStr">
        <is>
          <t>A 32152-2025</t>
        </is>
      </c>
      <c r="B233" s="1" t="n">
        <v>45835.53287037037</v>
      </c>
      <c r="C233" s="1" t="n">
        <v>46036</v>
      </c>
      <c r="D233" t="inlineStr">
        <is>
          <t>GÄVLEBORGS LÄN</t>
        </is>
      </c>
      <c r="E233" t="inlineStr">
        <is>
          <t>LJUSDAL</t>
        </is>
      </c>
      <c r="F233" t="inlineStr">
        <is>
          <t>Allmännings- och besparingsskogar</t>
        </is>
      </c>
      <c r="G233" t="n">
        <v>3.1</v>
      </c>
      <c r="H233" t="n">
        <v>1</v>
      </c>
      <c r="I233" t="n">
        <v>0</v>
      </c>
      <c r="J233" t="n">
        <v>1</v>
      </c>
      <c r="K233" t="n">
        <v>0</v>
      </c>
      <c r="L233" t="n">
        <v>0</v>
      </c>
      <c r="M233" t="n">
        <v>0</v>
      </c>
      <c r="N233" t="n">
        <v>0</v>
      </c>
      <c r="O233" t="n">
        <v>1</v>
      </c>
      <c r="P233" t="n">
        <v>0</v>
      </c>
      <c r="Q233" t="n">
        <v>1</v>
      </c>
      <c r="R233" s="2" t="inlineStr">
        <is>
          <t>Talltita</t>
        </is>
      </c>
      <c r="S233">
        <f>HYPERLINK("https://klasma.github.io/Logging_2161/artfynd/A 32152-2025 artfynd.xlsx", "A 32152-2025")</f>
        <v/>
      </c>
      <c r="T233">
        <f>HYPERLINK("https://klasma.github.io/Logging_2161/kartor/A 32152-2025 karta.png", "A 32152-2025")</f>
        <v/>
      </c>
      <c r="V233">
        <f>HYPERLINK("https://klasma.github.io/Logging_2161/klagomål/A 32152-2025 FSC-klagomål.docx", "A 32152-2025")</f>
        <v/>
      </c>
      <c r="W233">
        <f>HYPERLINK("https://klasma.github.io/Logging_2161/klagomålsmail/A 32152-2025 FSC-klagomål mail.docx", "A 32152-2025")</f>
        <v/>
      </c>
      <c r="X233">
        <f>HYPERLINK("https://klasma.github.io/Logging_2161/tillsyn/A 32152-2025 tillsynsbegäran.docx", "A 32152-2025")</f>
        <v/>
      </c>
      <c r="Y233">
        <f>HYPERLINK("https://klasma.github.io/Logging_2161/tillsynsmail/A 32152-2025 tillsynsbegäran mail.docx", "A 32152-2025")</f>
        <v/>
      </c>
      <c r="Z233">
        <f>HYPERLINK("https://klasma.github.io/Logging_2161/fåglar/A 32152-2025 prioriterade fågelarter.docx", "A 32152-2025")</f>
        <v/>
      </c>
    </row>
    <row r="234" ht="15" customHeight="1">
      <c r="A234" t="inlineStr">
        <is>
          <t>A 40968-2025</t>
        </is>
      </c>
      <c r="B234" s="1" t="n">
        <v>45897.77994212963</v>
      </c>
      <c r="C234" s="1" t="n">
        <v>46036</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46036</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41010-2025</t>
        </is>
      </c>
      <c r="B236" s="1" t="n">
        <v>45898.35421296296</v>
      </c>
      <c r="C236" s="1" t="n">
        <v>46036</v>
      </c>
      <c r="D236" t="inlineStr">
        <is>
          <t>GÄVLEBORGS LÄN</t>
        </is>
      </c>
      <c r="E236" t="inlineStr">
        <is>
          <t>LJUSDAL</t>
        </is>
      </c>
      <c r="F236" t="inlineStr">
        <is>
          <t>Sveaskog</t>
        </is>
      </c>
      <c r="G236" t="n">
        <v>10.1</v>
      </c>
      <c r="H236" t="n">
        <v>1</v>
      </c>
      <c r="I236" t="n">
        <v>0</v>
      </c>
      <c r="J236" t="n">
        <v>0</v>
      </c>
      <c r="K236" t="n">
        <v>1</v>
      </c>
      <c r="L236" t="n">
        <v>0</v>
      </c>
      <c r="M236" t="n">
        <v>0</v>
      </c>
      <c r="N236" t="n">
        <v>0</v>
      </c>
      <c r="O236" t="n">
        <v>1</v>
      </c>
      <c r="P236" t="n">
        <v>1</v>
      </c>
      <c r="Q236" t="n">
        <v>1</v>
      </c>
      <c r="R236" s="2" t="inlineStr">
        <is>
          <t>Knärot</t>
        </is>
      </c>
      <c r="S236">
        <f>HYPERLINK("https://klasma.github.io/Logging_2161/artfynd/A 41010-2025 artfynd.xlsx", "A 41010-2025")</f>
        <v/>
      </c>
      <c r="T236">
        <f>HYPERLINK("https://klasma.github.io/Logging_2161/kartor/A 41010-2025 karta.png", "A 41010-2025")</f>
        <v/>
      </c>
      <c r="U236">
        <f>HYPERLINK("https://klasma.github.io/Logging_2161/knärot/A 41010-2025 karta knärot.png", "A 41010-2025")</f>
        <v/>
      </c>
      <c r="V236">
        <f>HYPERLINK("https://klasma.github.io/Logging_2161/klagomål/A 41010-2025 FSC-klagomål.docx", "A 41010-2025")</f>
        <v/>
      </c>
      <c r="W236">
        <f>HYPERLINK("https://klasma.github.io/Logging_2161/klagomålsmail/A 41010-2025 FSC-klagomål mail.docx", "A 41010-2025")</f>
        <v/>
      </c>
      <c r="X236">
        <f>HYPERLINK("https://klasma.github.io/Logging_2161/tillsyn/A 41010-2025 tillsynsbegäran.docx", "A 41010-2025")</f>
        <v/>
      </c>
      <c r="Y236">
        <f>HYPERLINK("https://klasma.github.io/Logging_2161/tillsynsmail/A 41010-2025 tillsynsbegäran mail.docx", "A 41010-2025")</f>
        <v/>
      </c>
    </row>
    <row r="237" ht="15" customHeight="1">
      <c r="A237" t="inlineStr">
        <is>
          <t>A 58239-2022</t>
        </is>
      </c>
      <c r="B237" s="1" t="n">
        <v>44901.40701388889</v>
      </c>
      <c r="C237" s="1" t="n">
        <v>46036</v>
      </c>
      <c r="D237" t="inlineStr">
        <is>
          <t>GÄVLEBORGS LÄN</t>
        </is>
      </c>
      <c r="E237" t="inlineStr">
        <is>
          <t>LJUSDAL</t>
        </is>
      </c>
      <c r="G237" t="n">
        <v>0.5</v>
      </c>
      <c r="H237" t="n">
        <v>1</v>
      </c>
      <c r="I237" t="n">
        <v>0</v>
      </c>
      <c r="J237" t="n">
        <v>0</v>
      </c>
      <c r="K237" t="n">
        <v>0</v>
      </c>
      <c r="L237" t="n">
        <v>0</v>
      </c>
      <c r="M237" t="n">
        <v>0</v>
      </c>
      <c r="N237" t="n">
        <v>0</v>
      </c>
      <c r="O237" t="n">
        <v>0</v>
      </c>
      <c r="P237" t="n">
        <v>0</v>
      </c>
      <c r="Q237" t="n">
        <v>1</v>
      </c>
      <c r="R237" s="2" t="inlineStr">
        <is>
          <t>Blåsippa</t>
        </is>
      </c>
      <c r="S237">
        <f>HYPERLINK("https://klasma.github.io/Logging_2161/artfynd/A 58239-2022 artfynd.xlsx", "A 58239-2022")</f>
        <v/>
      </c>
      <c r="T237">
        <f>HYPERLINK("https://klasma.github.io/Logging_2161/kartor/A 58239-2022 karta.png", "A 58239-2022")</f>
        <v/>
      </c>
      <c r="V237">
        <f>HYPERLINK("https://klasma.github.io/Logging_2161/klagomål/A 58239-2022 FSC-klagomål.docx", "A 58239-2022")</f>
        <v/>
      </c>
      <c r="W237">
        <f>HYPERLINK("https://klasma.github.io/Logging_2161/klagomålsmail/A 58239-2022 FSC-klagomål mail.docx", "A 58239-2022")</f>
        <v/>
      </c>
      <c r="X237">
        <f>HYPERLINK("https://klasma.github.io/Logging_2161/tillsyn/A 58239-2022 tillsynsbegäran.docx", "A 58239-2022")</f>
        <v/>
      </c>
      <c r="Y237">
        <f>HYPERLINK("https://klasma.github.io/Logging_2161/tillsynsmail/A 58239-2022 tillsynsbegäran mail.docx", "A 58239-2022")</f>
        <v/>
      </c>
    </row>
    <row r="238" ht="15" customHeight="1">
      <c r="A238" t="inlineStr">
        <is>
          <t>A 41457-2025</t>
        </is>
      </c>
      <c r="B238" s="1" t="n">
        <v>45901.44706018519</v>
      </c>
      <c r="C238" s="1" t="n">
        <v>46036</v>
      </c>
      <c r="D238" t="inlineStr">
        <is>
          <t>GÄVLEBORGS LÄN</t>
        </is>
      </c>
      <c r="E238" t="inlineStr">
        <is>
          <t>LJUSDAL</t>
        </is>
      </c>
      <c r="F238" t="inlineStr">
        <is>
          <t>Bergvik skog väst AB</t>
        </is>
      </c>
      <c r="G238" t="n">
        <v>3.2</v>
      </c>
      <c r="H238" t="n">
        <v>0</v>
      </c>
      <c r="I238" t="n">
        <v>0</v>
      </c>
      <c r="J238" t="n">
        <v>1</v>
      </c>
      <c r="K238" t="n">
        <v>0</v>
      </c>
      <c r="L238" t="n">
        <v>0</v>
      </c>
      <c r="M238" t="n">
        <v>0</v>
      </c>
      <c r="N238" t="n">
        <v>0</v>
      </c>
      <c r="O238" t="n">
        <v>1</v>
      </c>
      <c r="P238" t="n">
        <v>0</v>
      </c>
      <c r="Q238" t="n">
        <v>1</v>
      </c>
      <c r="R238" s="2" t="inlineStr">
        <is>
          <t>Garnlav</t>
        </is>
      </c>
      <c r="S238">
        <f>HYPERLINK("https://klasma.github.io/Logging_2161/artfynd/A 41457-2025 artfynd.xlsx", "A 41457-2025")</f>
        <v/>
      </c>
      <c r="T238">
        <f>HYPERLINK("https://klasma.github.io/Logging_2161/kartor/A 41457-2025 karta.png", "A 41457-2025")</f>
        <v/>
      </c>
      <c r="V238">
        <f>HYPERLINK("https://klasma.github.io/Logging_2161/klagomål/A 41457-2025 FSC-klagomål.docx", "A 41457-2025")</f>
        <v/>
      </c>
      <c r="W238">
        <f>HYPERLINK("https://klasma.github.io/Logging_2161/klagomålsmail/A 41457-2025 FSC-klagomål mail.docx", "A 41457-2025")</f>
        <v/>
      </c>
      <c r="X238">
        <f>HYPERLINK("https://klasma.github.io/Logging_2161/tillsyn/A 41457-2025 tillsynsbegäran.docx", "A 41457-2025")</f>
        <v/>
      </c>
      <c r="Y238">
        <f>HYPERLINK("https://klasma.github.io/Logging_2161/tillsynsmail/A 41457-2025 tillsynsbegäran mail.docx", "A 41457-2025")</f>
        <v/>
      </c>
    </row>
    <row r="239" ht="15" customHeight="1">
      <c r="A239" t="inlineStr">
        <is>
          <t>A 42008-2025</t>
        </is>
      </c>
      <c r="B239" s="1" t="n">
        <v>45903.56155092592</v>
      </c>
      <c r="C239" s="1" t="n">
        <v>46036</v>
      </c>
      <c r="D239" t="inlineStr">
        <is>
          <t>GÄVLEBORGS LÄN</t>
        </is>
      </c>
      <c r="E239" t="inlineStr">
        <is>
          <t>LJUSDAL</t>
        </is>
      </c>
      <c r="F239" t="inlineStr">
        <is>
          <t>Bergvik skog väst AB</t>
        </is>
      </c>
      <c r="G239" t="n">
        <v>0.8</v>
      </c>
      <c r="H239" t="n">
        <v>0</v>
      </c>
      <c r="I239" t="n">
        <v>0</v>
      </c>
      <c r="J239" t="n">
        <v>1</v>
      </c>
      <c r="K239" t="n">
        <v>0</v>
      </c>
      <c r="L239" t="n">
        <v>0</v>
      </c>
      <c r="M239" t="n">
        <v>0</v>
      </c>
      <c r="N239" t="n">
        <v>0</v>
      </c>
      <c r="O239" t="n">
        <v>1</v>
      </c>
      <c r="P239" t="n">
        <v>0</v>
      </c>
      <c r="Q239" t="n">
        <v>1</v>
      </c>
      <c r="R239" s="2" t="inlineStr">
        <is>
          <t>Lunglav</t>
        </is>
      </c>
      <c r="S239">
        <f>HYPERLINK("https://klasma.github.io/Logging_2161/artfynd/A 42008-2025 artfynd.xlsx", "A 42008-2025")</f>
        <v/>
      </c>
      <c r="T239">
        <f>HYPERLINK("https://klasma.github.io/Logging_2161/kartor/A 42008-2025 karta.png", "A 42008-2025")</f>
        <v/>
      </c>
      <c r="V239">
        <f>HYPERLINK("https://klasma.github.io/Logging_2161/klagomål/A 42008-2025 FSC-klagomål.docx", "A 42008-2025")</f>
        <v/>
      </c>
      <c r="W239">
        <f>HYPERLINK("https://klasma.github.io/Logging_2161/klagomålsmail/A 42008-2025 FSC-klagomål mail.docx", "A 42008-2025")</f>
        <v/>
      </c>
      <c r="X239">
        <f>HYPERLINK("https://klasma.github.io/Logging_2161/tillsyn/A 42008-2025 tillsynsbegäran.docx", "A 42008-2025")</f>
        <v/>
      </c>
      <c r="Y239">
        <f>HYPERLINK("https://klasma.github.io/Logging_2161/tillsynsmail/A 42008-2025 tillsynsbegäran mail.docx", "A 42008-2025")</f>
        <v/>
      </c>
    </row>
    <row r="240" ht="15" customHeight="1">
      <c r="A240" t="inlineStr">
        <is>
          <t>A 32489-2025</t>
        </is>
      </c>
      <c r="B240" s="1" t="n">
        <v>45838</v>
      </c>
      <c r="C240" s="1" t="n">
        <v>46036</v>
      </c>
      <c r="D240" t="inlineStr">
        <is>
          <t>GÄVLEBORGS LÄN</t>
        </is>
      </c>
      <c r="E240" t="inlineStr">
        <is>
          <t>LJUSDAL</t>
        </is>
      </c>
      <c r="F240" t="inlineStr">
        <is>
          <t>Allmännings- och besparingsskogar</t>
        </is>
      </c>
      <c r="G240" t="n">
        <v>21</v>
      </c>
      <c r="H240" t="n">
        <v>0</v>
      </c>
      <c r="I240" t="n">
        <v>0</v>
      </c>
      <c r="J240" t="n">
        <v>1</v>
      </c>
      <c r="K240" t="n">
        <v>0</v>
      </c>
      <c r="L240" t="n">
        <v>0</v>
      </c>
      <c r="M240" t="n">
        <v>0</v>
      </c>
      <c r="N240" t="n">
        <v>0</v>
      </c>
      <c r="O240" t="n">
        <v>1</v>
      </c>
      <c r="P240" t="n">
        <v>0</v>
      </c>
      <c r="Q240" t="n">
        <v>1</v>
      </c>
      <c r="R240" s="2" t="inlineStr">
        <is>
          <t>Garnlav</t>
        </is>
      </c>
      <c r="S240">
        <f>HYPERLINK("https://klasma.github.io/Logging_2161/artfynd/A 32489-2025 artfynd.xlsx", "A 32489-2025")</f>
        <v/>
      </c>
      <c r="T240">
        <f>HYPERLINK("https://klasma.github.io/Logging_2161/kartor/A 32489-2025 karta.png", "A 32489-2025")</f>
        <v/>
      </c>
      <c r="V240">
        <f>HYPERLINK("https://klasma.github.io/Logging_2161/klagomål/A 32489-2025 FSC-klagomål.docx", "A 32489-2025")</f>
        <v/>
      </c>
      <c r="W240">
        <f>HYPERLINK("https://klasma.github.io/Logging_2161/klagomålsmail/A 32489-2025 FSC-klagomål mail.docx", "A 32489-2025")</f>
        <v/>
      </c>
      <c r="X240">
        <f>HYPERLINK("https://klasma.github.io/Logging_2161/tillsyn/A 32489-2025 tillsynsbegäran.docx", "A 32489-2025")</f>
        <v/>
      </c>
      <c r="Y240">
        <f>HYPERLINK("https://klasma.github.io/Logging_2161/tillsynsmail/A 32489-2025 tillsynsbegäran mail.docx", "A 32489-2025")</f>
        <v/>
      </c>
    </row>
    <row r="241" ht="15" customHeight="1">
      <c r="A241" t="inlineStr">
        <is>
          <t>A 23777-2025</t>
        </is>
      </c>
      <c r="B241" s="1" t="n">
        <v>45793.50126157407</v>
      </c>
      <c r="C241" s="1" t="n">
        <v>46036</v>
      </c>
      <c r="D241" t="inlineStr">
        <is>
          <t>GÄVLEBORGS LÄN</t>
        </is>
      </c>
      <c r="E241" t="inlineStr">
        <is>
          <t>LJUSDAL</t>
        </is>
      </c>
      <c r="F241" t="inlineStr">
        <is>
          <t>Sveaskog</t>
        </is>
      </c>
      <c r="G241" t="n">
        <v>6.7</v>
      </c>
      <c r="H241" t="n">
        <v>1</v>
      </c>
      <c r="I241" t="n">
        <v>0</v>
      </c>
      <c r="J241" t="n">
        <v>0</v>
      </c>
      <c r="K241" t="n">
        <v>1</v>
      </c>
      <c r="L241" t="n">
        <v>0</v>
      </c>
      <c r="M241" t="n">
        <v>0</v>
      </c>
      <c r="N241" t="n">
        <v>0</v>
      </c>
      <c r="O241" t="n">
        <v>1</v>
      </c>
      <c r="P241" t="n">
        <v>1</v>
      </c>
      <c r="Q241" t="n">
        <v>1</v>
      </c>
      <c r="R241" s="2" t="inlineStr">
        <is>
          <t>Knärot</t>
        </is>
      </c>
      <c r="S241">
        <f>HYPERLINK("https://klasma.github.io/Logging_2161/artfynd/A 23777-2025 artfynd.xlsx", "A 23777-2025")</f>
        <v/>
      </c>
      <c r="T241">
        <f>HYPERLINK("https://klasma.github.io/Logging_2161/kartor/A 23777-2025 karta.png", "A 23777-2025")</f>
        <v/>
      </c>
      <c r="U241">
        <f>HYPERLINK("https://klasma.github.io/Logging_2161/knärot/A 23777-2025 karta knärot.png", "A 23777-2025")</f>
        <v/>
      </c>
      <c r="V241">
        <f>HYPERLINK("https://klasma.github.io/Logging_2161/klagomål/A 23777-2025 FSC-klagomål.docx", "A 23777-2025")</f>
        <v/>
      </c>
      <c r="W241">
        <f>HYPERLINK("https://klasma.github.io/Logging_2161/klagomålsmail/A 23777-2025 FSC-klagomål mail.docx", "A 23777-2025")</f>
        <v/>
      </c>
      <c r="X241">
        <f>HYPERLINK("https://klasma.github.io/Logging_2161/tillsyn/A 23777-2025 tillsynsbegäran.docx", "A 23777-2025")</f>
        <v/>
      </c>
      <c r="Y241">
        <f>HYPERLINK("https://klasma.github.io/Logging_2161/tillsynsmail/A 23777-2025 tillsynsbegäran mail.docx", "A 23777-2025")</f>
        <v/>
      </c>
    </row>
    <row r="242" ht="15" customHeight="1">
      <c r="A242" t="inlineStr">
        <is>
          <t>A 42018-2025</t>
        </is>
      </c>
      <c r="B242" s="1" t="n">
        <v>45903.58424768518</v>
      </c>
      <c r="C242" s="1" t="n">
        <v>46036</v>
      </c>
      <c r="D242" t="inlineStr">
        <is>
          <t>GÄVLEBORGS LÄN</t>
        </is>
      </c>
      <c r="E242" t="inlineStr">
        <is>
          <t>LJUSDAL</t>
        </is>
      </c>
      <c r="F242" t="inlineStr">
        <is>
          <t>Bergvik skog väst AB</t>
        </is>
      </c>
      <c r="G242" t="n">
        <v>0.7</v>
      </c>
      <c r="H242" t="n">
        <v>0</v>
      </c>
      <c r="I242" t="n">
        <v>0</v>
      </c>
      <c r="J242" t="n">
        <v>1</v>
      </c>
      <c r="K242" t="n">
        <v>0</v>
      </c>
      <c r="L242" t="n">
        <v>0</v>
      </c>
      <c r="M242" t="n">
        <v>0</v>
      </c>
      <c r="N242" t="n">
        <v>0</v>
      </c>
      <c r="O242" t="n">
        <v>1</v>
      </c>
      <c r="P242" t="n">
        <v>0</v>
      </c>
      <c r="Q242" t="n">
        <v>1</v>
      </c>
      <c r="R242" s="2" t="inlineStr">
        <is>
          <t>Skogshare</t>
        </is>
      </c>
      <c r="S242">
        <f>HYPERLINK("https://klasma.github.io/Logging_2161/artfynd/A 42018-2025 artfynd.xlsx", "A 42018-2025")</f>
        <v/>
      </c>
      <c r="T242">
        <f>HYPERLINK("https://klasma.github.io/Logging_2161/kartor/A 42018-2025 karta.png", "A 42018-2025")</f>
        <v/>
      </c>
      <c r="V242">
        <f>HYPERLINK("https://klasma.github.io/Logging_2161/klagomål/A 42018-2025 FSC-klagomål.docx", "A 42018-2025")</f>
        <v/>
      </c>
      <c r="W242">
        <f>HYPERLINK("https://klasma.github.io/Logging_2161/klagomålsmail/A 42018-2025 FSC-klagomål mail.docx", "A 42018-2025")</f>
        <v/>
      </c>
      <c r="X242">
        <f>HYPERLINK("https://klasma.github.io/Logging_2161/tillsyn/A 42018-2025 tillsynsbegäran.docx", "A 42018-2025")</f>
        <v/>
      </c>
      <c r="Y242">
        <f>HYPERLINK("https://klasma.github.io/Logging_2161/tillsynsmail/A 42018-2025 tillsynsbegäran mail.docx", "A 42018-2025")</f>
        <v/>
      </c>
    </row>
    <row r="243" ht="15" customHeight="1">
      <c r="A243" t="inlineStr">
        <is>
          <t>A 33338-2025</t>
        </is>
      </c>
      <c r="B243" s="1" t="n">
        <v>45841.35872685185</v>
      </c>
      <c r="C243" s="1" t="n">
        <v>46036</v>
      </c>
      <c r="D243" t="inlineStr">
        <is>
          <t>GÄVLEBORGS LÄN</t>
        </is>
      </c>
      <c r="E243" t="inlineStr">
        <is>
          <t>LJUSDAL</t>
        </is>
      </c>
      <c r="F243" t="inlineStr">
        <is>
          <t>Sveaskog</t>
        </is>
      </c>
      <c r="G243" t="n">
        <v>1.6</v>
      </c>
      <c r="H243" t="n">
        <v>1</v>
      </c>
      <c r="I243" t="n">
        <v>0</v>
      </c>
      <c r="J243" t="n">
        <v>0</v>
      </c>
      <c r="K243" t="n">
        <v>0</v>
      </c>
      <c r="L243" t="n">
        <v>0</v>
      </c>
      <c r="M243" t="n">
        <v>0</v>
      </c>
      <c r="N243" t="n">
        <v>0</v>
      </c>
      <c r="O243" t="n">
        <v>0</v>
      </c>
      <c r="P243" t="n">
        <v>0</v>
      </c>
      <c r="Q243" t="n">
        <v>1</v>
      </c>
      <c r="R243" s="2" t="inlineStr">
        <is>
          <t>Fläcknycklar</t>
        </is>
      </c>
      <c r="S243">
        <f>HYPERLINK("https://klasma.github.io/Logging_2161/artfynd/A 33338-2025 artfynd.xlsx", "A 33338-2025")</f>
        <v/>
      </c>
      <c r="T243">
        <f>HYPERLINK("https://klasma.github.io/Logging_2161/kartor/A 33338-2025 karta.png", "A 33338-2025")</f>
        <v/>
      </c>
      <c r="V243">
        <f>HYPERLINK("https://klasma.github.io/Logging_2161/klagomål/A 33338-2025 FSC-klagomål.docx", "A 33338-2025")</f>
        <v/>
      </c>
      <c r="W243">
        <f>HYPERLINK("https://klasma.github.io/Logging_2161/klagomålsmail/A 33338-2025 FSC-klagomål mail.docx", "A 33338-2025")</f>
        <v/>
      </c>
      <c r="X243">
        <f>HYPERLINK("https://klasma.github.io/Logging_2161/tillsyn/A 33338-2025 tillsynsbegäran.docx", "A 33338-2025")</f>
        <v/>
      </c>
      <c r="Y243">
        <f>HYPERLINK("https://klasma.github.io/Logging_2161/tillsynsmail/A 33338-2025 tillsynsbegäran mail.docx", "A 33338-2025")</f>
        <v/>
      </c>
    </row>
    <row r="244" ht="15" customHeight="1">
      <c r="A244" t="inlineStr">
        <is>
          <t>A 42183-2025</t>
        </is>
      </c>
      <c r="B244" s="1" t="n">
        <v>45904.45236111111</v>
      </c>
      <c r="C244" s="1" t="n">
        <v>46036</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42182-2025</t>
        </is>
      </c>
      <c r="B245" s="1" t="n">
        <v>45904.4516087963</v>
      </c>
      <c r="C245" s="1" t="n">
        <v>46036</v>
      </c>
      <c r="D245" t="inlineStr">
        <is>
          <t>GÄVLEBORGS LÄN</t>
        </is>
      </c>
      <c r="E245" t="inlineStr">
        <is>
          <t>LJUSDAL</t>
        </is>
      </c>
      <c r="F245" t="inlineStr">
        <is>
          <t>Allmännings- och besparingsskogar</t>
        </is>
      </c>
      <c r="G245" t="n">
        <v>5.7</v>
      </c>
      <c r="H245" t="n">
        <v>1</v>
      </c>
      <c r="I245" t="n">
        <v>0</v>
      </c>
      <c r="J245" t="n">
        <v>0</v>
      </c>
      <c r="K245" t="n">
        <v>0</v>
      </c>
      <c r="L245" t="n">
        <v>0</v>
      </c>
      <c r="M245" t="n">
        <v>0</v>
      </c>
      <c r="N245" t="n">
        <v>0</v>
      </c>
      <c r="O245" t="n">
        <v>0</v>
      </c>
      <c r="P245" t="n">
        <v>0</v>
      </c>
      <c r="Q245" t="n">
        <v>1</v>
      </c>
      <c r="R245" s="2" t="inlineStr">
        <is>
          <t>Revlummer</t>
        </is>
      </c>
      <c r="S245">
        <f>HYPERLINK("https://klasma.github.io/Logging_2161/artfynd/A 42182-2025 artfynd.xlsx", "A 42182-2025")</f>
        <v/>
      </c>
      <c r="T245">
        <f>HYPERLINK("https://klasma.github.io/Logging_2161/kartor/A 42182-2025 karta.png", "A 42182-2025")</f>
        <v/>
      </c>
      <c r="V245">
        <f>HYPERLINK("https://klasma.github.io/Logging_2161/klagomål/A 42182-2025 FSC-klagomål.docx", "A 42182-2025")</f>
        <v/>
      </c>
      <c r="W245">
        <f>HYPERLINK("https://klasma.github.io/Logging_2161/klagomålsmail/A 42182-2025 FSC-klagomål mail.docx", "A 42182-2025")</f>
        <v/>
      </c>
      <c r="X245">
        <f>HYPERLINK("https://klasma.github.io/Logging_2161/tillsyn/A 42182-2025 tillsynsbegäran.docx", "A 42182-2025")</f>
        <v/>
      </c>
      <c r="Y245">
        <f>HYPERLINK("https://klasma.github.io/Logging_2161/tillsynsmail/A 42182-2025 tillsynsbegäran mail.docx", "A 42182-2025")</f>
        <v/>
      </c>
    </row>
    <row r="246" ht="15" customHeight="1">
      <c r="A246" t="inlineStr">
        <is>
          <t>A 33933-2025</t>
        </is>
      </c>
      <c r="B246" s="1" t="n">
        <v>45842.63458333333</v>
      </c>
      <c r="C246" s="1" t="n">
        <v>46036</v>
      </c>
      <c r="D246" t="inlineStr">
        <is>
          <t>GÄVLEBORGS LÄN</t>
        </is>
      </c>
      <c r="E246" t="inlineStr">
        <is>
          <t>LJUSDAL</t>
        </is>
      </c>
      <c r="F246" t="inlineStr">
        <is>
          <t>Sveaskog</t>
        </is>
      </c>
      <c r="G246" t="n">
        <v>16.3</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33933-2025 artfynd.xlsx", "A 33933-2025")</f>
        <v/>
      </c>
      <c r="T246">
        <f>HYPERLINK("https://klasma.github.io/Logging_2161/kartor/A 33933-2025 karta.png", "A 33933-2025")</f>
        <v/>
      </c>
      <c r="V246">
        <f>HYPERLINK("https://klasma.github.io/Logging_2161/klagomål/A 33933-2025 FSC-klagomål.docx", "A 33933-2025")</f>
        <v/>
      </c>
      <c r="W246">
        <f>HYPERLINK("https://klasma.github.io/Logging_2161/klagomålsmail/A 33933-2025 FSC-klagomål mail.docx", "A 33933-2025")</f>
        <v/>
      </c>
      <c r="X246">
        <f>HYPERLINK("https://klasma.github.io/Logging_2161/tillsyn/A 33933-2025 tillsynsbegäran.docx", "A 33933-2025")</f>
        <v/>
      </c>
      <c r="Y246">
        <f>HYPERLINK("https://klasma.github.io/Logging_2161/tillsynsmail/A 33933-2025 tillsynsbegäran mail.docx", "A 33933-2025")</f>
        <v/>
      </c>
    </row>
    <row r="247" ht="15" customHeight="1">
      <c r="A247" t="inlineStr">
        <is>
          <t>A 34343-2025</t>
        </is>
      </c>
      <c r="B247" s="1" t="n">
        <v>45846.46173611111</v>
      </c>
      <c r="C247" s="1" t="n">
        <v>46036</v>
      </c>
      <c r="D247" t="inlineStr">
        <is>
          <t>GÄVLEBORGS LÄN</t>
        </is>
      </c>
      <c r="E247" t="inlineStr">
        <is>
          <t>LJUSDAL</t>
        </is>
      </c>
      <c r="F247" t="inlineStr">
        <is>
          <t>Bergvik skog väst AB</t>
        </is>
      </c>
      <c r="G247" t="n">
        <v>4.3</v>
      </c>
      <c r="H247" t="n">
        <v>0</v>
      </c>
      <c r="I247" t="n">
        <v>0</v>
      </c>
      <c r="J247" t="n">
        <v>1</v>
      </c>
      <c r="K247" t="n">
        <v>0</v>
      </c>
      <c r="L247" t="n">
        <v>0</v>
      </c>
      <c r="M247" t="n">
        <v>0</v>
      </c>
      <c r="N247" t="n">
        <v>0</v>
      </c>
      <c r="O247" t="n">
        <v>1</v>
      </c>
      <c r="P247" t="n">
        <v>0</v>
      </c>
      <c r="Q247" t="n">
        <v>1</v>
      </c>
      <c r="R247" s="2" t="inlineStr">
        <is>
          <t>Garnlav</t>
        </is>
      </c>
      <c r="S247">
        <f>HYPERLINK("https://klasma.github.io/Logging_2161/artfynd/A 34343-2025 artfynd.xlsx", "A 34343-2025")</f>
        <v/>
      </c>
      <c r="T247">
        <f>HYPERLINK("https://klasma.github.io/Logging_2161/kartor/A 34343-2025 karta.png", "A 34343-2025")</f>
        <v/>
      </c>
      <c r="V247">
        <f>HYPERLINK("https://klasma.github.io/Logging_2161/klagomål/A 34343-2025 FSC-klagomål.docx", "A 34343-2025")</f>
        <v/>
      </c>
      <c r="W247">
        <f>HYPERLINK("https://klasma.github.io/Logging_2161/klagomålsmail/A 34343-2025 FSC-klagomål mail.docx", "A 34343-2025")</f>
        <v/>
      </c>
      <c r="X247">
        <f>HYPERLINK("https://klasma.github.io/Logging_2161/tillsyn/A 34343-2025 tillsynsbegäran.docx", "A 34343-2025")</f>
        <v/>
      </c>
      <c r="Y247">
        <f>HYPERLINK("https://klasma.github.io/Logging_2161/tillsynsmail/A 34343-2025 tillsynsbegäran mail.docx", "A 34343-2025")</f>
        <v/>
      </c>
    </row>
    <row r="248" ht="15" customHeight="1">
      <c r="A248" t="inlineStr">
        <is>
          <t>A 38495-2025</t>
        </is>
      </c>
      <c r="B248" s="1" t="n">
        <v>45884.36899305556</v>
      </c>
      <c r="C248" s="1" t="n">
        <v>46036</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Kolflarnlav</t>
        </is>
      </c>
      <c r="S248">
        <f>HYPERLINK("https://klasma.github.io/Logging_2161/artfynd/A 38495-2025 artfynd.xlsx", "A 38495-2025")</f>
        <v/>
      </c>
      <c r="T248">
        <f>HYPERLINK("https://klasma.github.io/Logging_2161/kartor/A 38495-2025 karta.png", "A 38495-2025")</f>
        <v/>
      </c>
      <c r="V248">
        <f>HYPERLINK("https://klasma.github.io/Logging_2161/klagomål/A 38495-2025 FSC-klagomål.docx", "A 38495-2025")</f>
        <v/>
      </c>
      <c r="W248">
        <f>HYPERLINK("https://klasma.github.io/Logging_2161/klagomålsmail/A 38495-2025 FSC-klagomål mail.docx", "A 38495-2025")</f>
        <v/>
      </c>
      <c r="X248">
        <f>HYPERLINK("https://klasma.github.io/Logging_2161/tillsyn/A 38495-2025 tillsynsbegäran.docx", "A 38495-2025")</f>
        <v/>
      </c>
      <c r="Y248">
        <f>HYPERLINK("https://klasma.github.io/Logging_2161/tillsynsmail/A 38495-2025 tillsynsbegäran mail.docx", "A 38495-2025")</f>
        <v/>
      </c>
    </row>
    <row r="249" ht="15" customHeight="1">
      <c r="A249" t="inlineStr">
        <is>
          <t>A 18967-2025</t>
        </is>
      </c>
      <c r="B249" s="1" t="n">
        <v>45764.53628472222</v>
      </c>
      <c r="C249" s="1" t="n">
        <v>46036</v>
      </c>
      <c r="D249" t="inlineStr">
        <is>
          <t>GÄVLEBORGS LÄN</t>
        </is>
      </c>
      <c r="E249" t="inlineStr">
        <is>
          <t>LJUSDAL</t>
        </is>
      </c>
      <c r="F249" t="inlineStr">
        <is>
          <t>Sveaskog</t>
        </is>
      </c>
      <c r="G249" t="n">
        <v>6.8</v>
      </c>
      <c r="H249" t="n">
        <v>0</v>
      </c>
      <c r="I249" t="n">
        <v>0</v>
      </c>
      <c r="J249" t="n">
        <v>1</v>
      </c>
      <c r="K249" t="n">
        <v>0</v>
      </c>
      <c r="L249" t="n">
        <v>0</v>
      </c>
      <c r="M249" t="n">
        <v>0</v>
      </c>
      <c r="N249" t="n">
        <v>0</v>
      </c>
      <c r="O249" t="n">
        <v>1</v>
      </c>
      <c r="P249" t="n">
        <v>0</v>
      </c>
      <c r="Q249" t="n">
        <v>1</v>
      </c>
      <c r="R249" s="2" t="inlineStr">
        <is>
          <t>Lunglav</t>
        </is>
      </c>
      <c r="S249">
        <f>HYPERLINK("https://klasma.github.io/Logging_2161/artfynd/A 18967-2025 artfynd.xlsx", "A 18967-2025")</f>
        <v/>
      </c>
      <c r="T249">
        <f>HYPERLINK("https://klasma.github.io/Logging_2161/kartor/A 18967-2025 karta.png", "A 18967-2025")</f>
        <v/>
      </c>
      <c r="V249">
        <f>HYPERLINK("https://klasma.github.io/Logging_2161/klagomål/A 18967-2025 FSC-klagomål.docx", "A 18967-2025")</f>
        <v/>
      </c>
      <c r="W249">
        <f>HYPERLINK("https://klasma.github.io/Logging_2161/klagomålsmail/A 18967-2025 FSC-klagomål mail.docx", "A 18967-2025")</f>
        <v/>
      </c>
      <c r="X249">
        <f>HYPERLINK("https://klasma.github.io/Logging_2161/tillsyn/A 18967-2025 tillsynsbegäran.docx", "A 18967-2025")</f>
        <v/>
      </c>
      <c r="Y249">
        <f>HYPERLINK("https://klasma.github.io/Logging_2161/tillsynsmail/A 18967-2025 tillsynsbegäran mail.docx", "A 18967-2025")</f>
        <v/>
      </c>
    </row>
    <row r="250" ht="15" customHeight="1">
      <c r="A250" t="inlineStr">
        <is>
          <t>A 44835-2025</t>
        </is>
      </c>
      <c r="B250" s="1" t="n">
        <v>45918.41619212963</v>
      </c>
      <c r="C250" s="1" t="n">
        <v>46036</v>
      </c>
      <c r="D250" t="inlineStr">
        <is>
          <t>GÄVLEBORGS LÄN</t>
        </is>
      </c>
      <c r="E250" t="inlineStr">
        <is>
          <t>LJUSDAL</t>
        </is>
      </c>
      <c r="F250" t="inlineStr">
        <is>
          <t>Sveaskog</t>
        </is>
      </c>
      <c r="G250" t="n">
        <v>7.7</v>
      </c>
      <c r="H250" t="n">
        <v>0</v>
      </c>
      <c r="I250" t="n">
        <v>1</v>
      </c>
      <c r="J250" t="n">
        <v>0</v>
      </c>
      <c r="K250" t="n">
        <v>0</v>
      </c>
      <c r="L250" t="n">
        <v>0</v>
      </c>
      <c r="M250" t="n">
        <v>0</v>
      </c>
      <c r="N250" t="n">
        <v>0</v>
      </c>
      <c r="O250" t="n">
        <v>0</v>
      </c>
      <c r="P250" t="n">
        <v>0</v>
      </c>
      <c r="Q250" t="n">
        <v>1</v>
      </c>
      <c r="R250" s="2" t="inlineStr">
        <is>
          <t>Skarp dropptaggsvamp</t>
        </is>
      </c>
      <c r="S250">
        <f>HYPERLINK("https://klasma.github.io/Logging_2161/artfynd/A 44835-2025 artfynd.xlsx", "A 44835-2025")</f>
        <v/>
      </c>
      <c r="T250">
        <f>HYPERLINK("https://klasma.github.io/Logging_2161/kartor/A 44835-2025 karta.png", "A 44835-2025")</f>
        <v/>
      </c>
      <c r="V250">
        <f>HYPERLINK("https://klasma.github.io/Logging_2161/klagomål/A 44835-2025 FSC-klagomål.docx", "A 44835-2025")</f>
        <v/>
      </c>
      <c r="W250">
        <f>HYPERLINK("https://klasma.github.io/Logging_2161/klagomålsmail/A 44835-2025 FSC-klagomål mail.docx", "A 44835-2025")</f>
        <v/>
      </c>
      <c r="X250">
        <f>HYPERLINK("https://klasma.github.io/Logging_2161/tillsyn/A 44835-2025 tillsynsbegäran.docx", "A 44835-2025")</f>
        <v/>
      </c>
      <c r="Y250">
        <f>HYPERLINK("https://klasma.github.io/Logging_2161/tillsynsmail/A 44835-2025 tillsynsbegäran mail.docx", "A 44835-2025")</f>
        <v/>
      </c>
    </row>
    <row r="251" ht="15" customHeight="1">
      <c r="A251" t="inlineStr">
        <is>
          <t>A 58900-2021</t>
        </is>
      </c>
      <c r="B251" s="1" t="n">
        <v>44489</v>
      </c>
      <c r="C251" s="1" t="n">
        <v>46036</v>
      </c>
      <c r="D251" t="inlineStr">
        <is>
          <t>GÄVLEBORGS LÄN</t>
        </is>
      </c>
      <c r="E251" t="inlineStr">
        <is>
          <t>LJUSDAL</t>
        </is>
      </c>
      <c r="F251" t="inlineStr">
        <is>
          <t>Sveaskog</t>
        </is>
      </c>
      <c r="G251" t="n">
        <v>5.2</v>
      </c>
      <c r="H251" t="n">
        <v>0</v>
      </c>
      <c r="I251" t="n">
        <v>1</v>
      </c>
      <c r="J251" t="n">
        <v>0</v>
      </c>
      <c r="K251" t="n">
        <v>0</v>
      </c>
      <c r="L251" t="n">
        <v>0</v>
      </c>
      <c r="M251" t="n">
        <v>0</v>
      </c>
      <c r="N251" t="n">
        <v>0</v>
      </c>
      <c r="O251" t="n">
        <v>0</v>
      </c>
      <c r="P251" t="n">
        <v>0</v>
      </c>
      <c r="Q251" t="n">
        <v>1</v>
      </c>
      <c r="R251" s="2" t="inlineStr">
        <is>
          <t>Skuggblåslav</t>
        </is>
      </c>
      <c r="S251">
        <f>HYPERLINK("https://klasma.github.io/Logging_2161/artfynd/A 58900-2021 artfynd.xlsx", "A 58900-2021")</f>
        <v/>
      </c>
      <c r="T251">
        <f>HYPERLINK("https://klasma.github.io/Logging_2161/kartor/A 58900-2021 karta.png", "A 58900-2021")</f>
        <v/>
      </c>
      <c r="V251">
        <f>HYPERLINK("https://klasma.github.io/Logging_2161/klagomål/A 58900-2021 FSC-klagomål.docx", "A 58900-2021")</f>
        <v/>
      </c>
      <c r="W251">
        <f>HYPERLINK("https://klasma.github.io/Logging_2161/klagomålsmail/A 58900-2021 FSC-klagomål mail.docx", "A 58900-2021")</f>
        <v/>
      </c>
      <c r="X251">
        <f>HYPERLINK("https://klasma.github.io/Logging_2161/tillsyn/A 58900-2021 tillsynsbegäran.docx", "A 58900-2021")</f>
        <v/>
      </c>
      <c r="Y251">
        <f>HYPERLINK("https://klasma.github.io/Logging_2161/tillsynsmail/A 58900-2021 tillsynsbegäran mail.docx", "A 58900-2021")</f>
        <v/>
      </c>
    </row>
    <row r="252" ht="15" customHeight="1">
      <c r="A252" t="inlineStr">
        <is>
          <t>A 45895-2025</t>
        </is>
      </c>
      <c r="B252" s="1" t="n">
        <v>45923.67833333334</v>
      </c>
      <c r="C252" s="1" t="n">
        <v>46036</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55289-2024</t>
        </is>
      </c>
      <c r="B253" s="1" t="n">
        <v>45621.63445601852</v>
      </c>
      <c r="C253" s="1" t="n">
        <v>46036</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HYPERLINK("https://klasma.github.io/Logging_2161/artfynd/A 55289-2024 artfynd.xlsx", "A 55289-2024")</f>
        <v/>
      </c>
      <c r="T253">
        <f>HYPERLINK("https://klasma.github.io/Logging_2161/kartor/A 55289-2024 karta.png", "A 55289-2024")</f>
        <v/>
      </c>
      <c r="V253">
        <f>HYPERLINK("https://klasma.github.io/Logging_2161/klagomål/A 55289-2024 FSC-klagomål.docx", "A 55289-2024")</f>
        <v/>
      </c>
      <c r="W253">
        <f>HYPERLINK("https://klasma.github.io/Logging_2161/klagomålsmail/A 55289-2024 FSC-klagomål mail.docx", "A 55289-2024")</f>
        <v/>
      </c>
      <c r="X253">
        <f>HYPERLINK("https://klasma.github.io/Logging_2161/tillsyn/A 55289-2024 tillsynsbegäran.docx", "A 55289-2024")</f>
        <v/>
      </c>
      <c r="Y253">
        <f>HYPERLINK("https://klasma.github.io/Logging_2161/tillsynsmail/A 55289-2024 tillsynsbegäran mail.docx", "A 55289-2024")</f>
        <v/>
      </c>
    </row>
    <row r="254" ht="15" customHeight="1">
      <c r="A254" t="inlineStr">
        <is>
          <t>A 36737-2025</t>
        </is>
      </c>
      <c r="B254" s="1" t="n">
        <v>45873.52961805555</v>
      </c>
      <c r="C254" s="1" t="n">
        <v>46036</v>
      </c>
      <c r="D254" t="inlineStr">
        <is>
          <t>GÄVLEBORGS LÄN</t>
        </is>
      </c>
      <c r="E254" t="inlineStr">
        <is>
          <t>LJUSDAL</t>
        </is>
      </c>
      <c r="G254" t="n">
        <v>2.8</v>
      </c>
      <c r="H254" t="n">
        <v>1</v>
      </c>
      <c r="I254" t="n">
        <v>0</v>
      </c>
      <c r="J254" t="n">
        <v>1</v>
      </c>
      <c r="K254" t="n">
        <v>0</v>
      </c>
      <c r="L254" t="n">
        <v>0</v>
      </c>
      <c r="M254" t="n">
        <v>0</v>
      </c>
      <c r="N254" t="n">
        <v>0</v>
      </c>
      <c r="O254" t="n">
        <v>1</v>
      </c>
      <c r="P254" t="n">
        <v>0</v>
      </c>
      <c r="Q254" t="n">
        <v>1</v>
      </c>
      <c r="R254" s="2" t="inlineStr">
        <is>
          <t>Nordfladdermus</t>
        </is>
      </c>
      <c r="S254">
        <f>HYPERLINK("https://klasma.github.io/Logging_2161/artfynd/A 36737-2025 artfynd.xlsx", "A 36737-2025")</f>
        <v/>
      </c>
      <c r="T254">
        <f>HYPERLINK("https://klasma.github.io/Logging_2161/kartor/A 36737-2025 karta.png", "A 36737-2025")</f>
        <v/>
      </c>
      <c r="V254">
        <f>HYPERLINK("https://klasma.github.io/Logging_2161/klagomål/A 36737-2025 FSC-klagomål.docx", "A 36737-2025")</f>
        <v/>
      </c>
      <c r="W254">
        <f>HYPERLINK("https://klasma.github.io/Logging_2161/klagomålsmail/A 36737-2025 FSC-klagomål mail.docx", "A 36737-2025")</f>
        <v/>
      </c>
      <c r="X254">
        <f>HYPERLINK("https://klasma.github.io/Logging_2161/tillsyn/A 36737-2025 tillsynsbegäran.docx", "A 36737-2025")</f>
        <v/>
      </c>
      <c r="Y254">
        <f>HYPERLINK("https://klasma.github.io/Logging_2161/tillsynsmail/A 36737-2025 tillsynsbegäran mail.docx", "A 36737-2025")</f>
        <v/>
      </c>
    </row>
    <row r="255" ht="15" customHeight="1">
      <c r="A255" t="inlineStr">
        <is>
          <t>A 46741-2025</t>
        </is>
      </c>
      <c r="B255" s="1" t="n">
        <v>45926.60802083334</v>
      </c>
      <c r="C255" s="1" t="n">
        <v>46036</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48300-2025</t>
        </is>
      </c>
      <c r="B256" s="1" t="n">
        <v>45933.61099537037</v>
      </c>
      <c r="C256" s="1" t="n">
        <v>46036</v>
      </c>
      <c r="D256" t="inlineStr">
        <is>
          <t>GÄVLEBORGS LÄN</t>
        </is>
      </c>
      <c r="E256" t="inlineStr">
        <is>
          <t>LJUSDAL</t>
        </is>
      </c>
      <c r="F256" t="inlineStr">
        <is>
          <t>Sveaskog</t>
        </is>
      </c>
      <c r="G256" t="n">
        <v>8.800000000000001</v>
      </c>
      <c r="H256" t="n">
        <v>0</v>
      </c>
      <c r="I256" t="n">
        <v>0</v>
      </c>
      <c r="J256" t="n">
        <v>1</v>
      </c>
      <c r="K256" t="n">
        <v>0</v>
      </c>
      <c r="L256" t="n">
        <v>0</v>
      </c>
      <c r="M256" t="n">
        <v>0</v>
      </c>
      <c r="N256" t="n">
        <v>0</v>
      </c>
      <c r="O256" t="n">
        <v>1</v>
      </c>
      <c r="P256" t="n">
        <v>0</v>
      </c>
      <c r="Q256" t="n">
        <v>1</v>
      </c>
      <c r="R256" s="2" t="inlineStr">
        <is>
          <t>Garnlav</t>
        </is>
      </c>
      <c r="S256">
        <f>HYPERLINK("https://klasma.github.io/Logging_2161/artfynd/A 48300-2025 artfynd.xlsx", "A 48300-2025")</f>
        <v/>
      </c>
      <c r="T256">
        <f>HYPERLINK("https://klasma.github.io/Logging_2161/kartor/A 48300-2025 karta.png", "A 48300-2025")</f>
        <v/>
      </c>
      <c r="V256">
        <f>HYPERLINK("https://klasma.github.io/Logging_2161/klagomål/A 48300-2025 FSC-klagomål.docx", "A 48300-2025")</f>
        <v/>
      </c>
      <c r="W256">
        <f>HYPERLINK("https://klasma.github.io/Logging_2161/klagomålsmail/A 48300-2025 FSC-klagomål mail.docx", "A 48300-2025")</f>
        <v/>
      </c>
      <c r="X256">
        <f>HYPERLINK("https://klasma.github.io/Logging_2161/tillsyn/A 48300-2025 tillsynsbegäran.docx", "A 48300-2025")</f>
        <v/>
      </c>
      <c r="Y256">
        <f>HYPERLINK("https://klasma.github.io/Logging_2161/tillsynsmail/A 48300-2025 tillsynsbegäran mail.docx", "A 48300-2025")</f>
        <v/>
      </c>
    </row>
    <row r="257" ht="15" customHeight="1">
      <c r="A257" t="inlineStr">
        <is>
          <t>A 48330-2025</t>
        </is>
      </c>
      <c r="B257" s="1" t="n">
        <v>45933.63387731482</v>
      </c>
      <c r="C257" s="1" t="n">
        <v>46036</v>
      </c>
      <c r="D257" t="inlineStr">
        <is>
          <t>GÄVLEBORGS LÄN</t>
        </is>
      </c>
      <c r="E257" t="inlineStr">
        <is>
          <t>LJUSDAL</t>
        </is>
      </c>
      <c r="F257" t="inlineStr">
        <is>
          <t>Sveaskog</t>
        </is>
      </c>
      <c r="G257" t="n">
        <v>4.1</v>
      </c>
      <c r="H257" t="n">
        <v>1</v>
      </c>
      <c r="I257" t="n">
        <v>0</v>
      </c>
      <c r="J257" t="n">
        <v>1</v>
      </c>
      <c r="K257" t="n">
        <v>0</v>
      </c>
      <c r="L257" t="n">
        <v>0</v>
      </c>
      <c r="M257" t="n">
        <v>0</v>
      </c>
      <c r="N257" t="n">
        <v>0</v>
      </c>
      <c r="O257" t="n">
        <v>1</v>
      </c>
      <c r="P257" t="n">
        <v>0</v>
      </c>
      <c r="Q257" t="n">
        <v>1</v>
      </c>
      <c r="R257" s="2" t="inlineStr">
        <is>
          <t>Talltita</t>
        </is>
      </c>
      <c r="S257">
        <f>HYPERLINK("https://klasma.github.io/Logging_2161/artfynd/A 48330-2025 artfynd.xlsx", "A 48330-2025")</f>
        <v/>
      </c>
      <c r="T257">
        <f>HYPERLINK("https://klasma.github.io/Logging_2161/kartor/A 48330-2025 karta.png", "A 48330-2025")</f>
        <v/>
      </c>
      <c r="V257">
        <f>HYPERLINK("https://klasma.github.io/Logging_2161/klagomål/A 48330-2025 FSC-klagomål.docx", "A 48330-2025")</f>
        <v/>
      </c>
      <c r="W257">
        <f>HYPERLINK("https://klasma.github.io/Logging_2161/klagomålsmail/A 48330-2025 FSC-klagomål mail.docx", "A 48330-2025")</f>
        <v/>
      </c>
      <c r="X257">
        <f>HYPERLINK("https://klasma.github.io/Logging_2161/tillsyn/A 48330-2025 tillsynsbegäran.docx", "A 48330-2025")</f>
        <v/>
      </c>
      <c r="Y257">
        <f>HYPERLINK("https://klasma.github.io/Logging_2161/tillsynsmail/A 48330-2025 tillsynsbegäran mail.docx", "A 48330-2025")</f>
        <v/>
      </c>
      <c r="Z257">
        <f>HYPERLINK("https://klasma.github.io/Logging_2161/fåglar/A 48330-2025 prioriterade fågelarter.docx", "A 48330-2025")</f>
        <v/>
      </c>
    </row>
    <row r="258" ht="15" customHeight="1">
      <c r="A258" t="inlineStr">
        <is>
          <t>A 38105-2025</t>
        </is>
      </c>
      <c r="B258" s="1" t="n">
        <v>45882</v>
      </c>
      <c r="C258" s="1" t="n">
        <v>46036</v>
      </c>
      <c r="D258" t="inlineStr">
        <is>
          <t>GÄVLEBORGS LÄN</t>
        </is>
      </c>
      <c r="E258" t="inlineStr">
        <is>
          <t>LJUSDAL</t>
        </is>
      </c>
      <c r="F258" t="inlineStr">
        <is>
          <t>Bergvik skog väst AB</t>
        </is>
      </c>
      <c r="G258" t="n">
        <v>11.7</v>
      </c>
      <c r="H258" t="n">
        <v>0</v>
      </c>
      <c r="I258" t="n">
        <v>0</v>
      </c>
      <c r="J258" t="n">
        <v>1</v>
      </c>
      <c r="K258" t="n">
        <v>0</v>
      </c>
      <c r="L258" t="n">
        <v>0</v>
      </c>
      <c r="M258" t="n">
        <v>0</v>
      </c>
      <c r="N258" t="n">
        <v>0</v>
      </c>
      <c r="O258" t="n">
        <v>1</v>
      </c>
      <c r="P258" t="n">
        <v>0</v>
      </c>
      <c r="Q258" t="n">
        <v>1</v>
      </c>
      <c r="R258" s="2" t="inlineStr">
        <is>
          <t>Lunglav</t>
        </is>
      </c>
      <c r="S258">
        <f>HYPERLINK("https://klasma.github.io/Logging_2161/artfynd/A 38105-2025 artfynd.xlsx", "A 38105-2025")</f>
        <v/>
      </c>
      <c r="T258">
        <f>HYPERLINK("https://klasma.github.io/Logging_2161/kartor/A 38105-2025 karta.png", "A 38105-2025")</f>
        <v/>
      </c>
      <c r="V258">
        <f>HYPERLINK("https://klasma.github.io/Logging_2161/klagomål/A 38105-2025 FSC-klagomål.docx", "A 38105-2025")</f>
        <v/>
      </c>
      <c r="W258">
        <f>HYPERLINK("https://klasma.github.io/Logging_2161/klagomålsmail/A 38105-2025 FSC-klagomål mail.docx", "A 38105-2025")</f>
        <v/>
      </c>
      <c r="X258">
        <f>HYPERLINK("https://klasma.github.io/Logging_2161/tillsyn/A 38105-2025 tillsynsbegäran.docx", "A 38105-2025")</f>
        <v/>
      </c>
      <c r="Y258">
        <f>HYPERLINK("https://klasma.github.io/Logging_2161/tillsynsmail/A 38105-2025 tillsynsbegäran mail.docx", "A 38105-2025")</f>
        <v/>
      </c>
    </row>
    <row r="259" ht="15" customHeight="1">
      <c r="A259" t="inlineStr">
        <is>
          <t>A 32807-2024</t>
        </is>
      </c>
      <c r="B259" s="1" t="n">
        <v>45516</v>
      </c>
      <c r="C259" s="1" t="n">
        <v>46036</v>
      </c>
      <c r="D259" t="inlineStr">
        <is>
          <t>GÄVLEBORGS LÄN</t>
        </is>
      </c>
      <c r="E259" t="inlineStr">
        <is>
          <t>LJUSDAL</t>
        </is>
      </c>
      <c r="F259" t="inlineStr">
        <is>
          <t>Sveaskog</t>
        </is>
      </c>
      <c r="G259" t="n">
        <v>11.5</v>
      </c>
      <c r="H259" t="n">
        <v>0</v>
      </c>
      <c r="I259" t="n">
        <v>0</v>
      </c>
      <c r="J259" t="n">
        <v>1</v>
      </c>
      <c r="K259" t="n">
        <v>0</v>
      </c>
      <c r="L259" t="n">
        <v>0</v>
      </c>
      <c r="M259" t="n">
        <v>0</v>
      </c>
      <c r="N259" t="n">
        <v>0</v>
      </c>
      <c r="O259" t="n">
        <v>1</v>
      </c>
      <c r="P259" t="n">
        <v>0</v>
      </c>
      <c r="Q259" t="n">
        <v>1</v>
      </c>
      <c r="R259" s="2" t="inlineStr">
        <is>
          <t>Kolflarnlav</t>
        </is>
      </c>
      <c r="S259">
        <f>HYPERLINK("https://klasma.github.io/Logging_2161/artfynd/A 32807-2024 artfynd.xlsx", "A 32807-2024")</f>
        <v/>
      </c>
      <c r="T259">
        <f>HYPERLINK("https://klasma.github.io/Logging_2161/kartor/A 32807-2024 karta.png", "A 32807-2024")</f>
        <v/>
      </c>
      <c r="V259">
        <f>HYPERLINK("https://klasma.github.io/Logging_2161/klagomål/A 32807-2024 FSC-klagomål.docx", "A 32807-2024")</f>
        <v/>
      </c>
      <c r="W259">
        <f>HYPERLINK("https://klasma.github.io/Logging_2161/klagomålsmail/A 32807-2024 FSC-klagomål mail.docx", "A 32807-2024")</f>
        <v/>
      </c>
      <c r="X259">
        <f>HYPERLINK("https://klasma.github.io/Logging_2161/tillsyn/A 32807-2024 tillsynsbegäran.docx", "A 32807-2024")</f>
        <v/>
      </c>
      <c r="Y259">
        <f>HYPERLINK("https://klasma.github.io/Logging_2161/tillsynsmail/A 32807-2024 tillsynsbegäran mail.docx", "A 32807-2024")</f>
        <v/>
      </c>
    </row>
    <row r="260" ht="15" customHeight="1">
      <c r="A260" t="inlineStr">
        <is>
          <t>A 50315-2025</t>
        </is>
      </c>
      <c r="B260" s="1" t="n">
        <v>45944.44555555555</v>
      </c>
      <c r="C260" s="1" t="n">
        <v>46036</v>
      </c>
      <c r="D260" t="inlineStr">
        <is>
          <t>GÄVLEBORGS LÄN</t>
        </is>
      </c>
      <c r="E260" t="inlineStr">
        <is>
          <t>LJUSDAL</t>
        </is>
      </c>
      <c r="F260" t="inlineStr">
        <is>
          <t>Bergvik skog väst AB</t>
        </is>
      </c>
      <c r="G260" t="n">
        <v>11.2</v>
      </c>
      <c r="H260" t="n">
        <v>0</v>
      </c>
      <c r="I260" t="n">
        <v>0</v>
      </c>
      <c r="J260" t="n">
        <v>1</v>
      </c>
      <c r="K260" t="n">
        <v>0</v>
      </c>
      <c r="L260" t="n">
        <v>0</v>
      </c>
      <c r="M260" t="n">
        <v>0</v>
      </c>
      <c r="N260" t="n">
        <v>0</v>
      </c>
      <c r="O260" t="n">
        <v>1</v>
      </c>
      <c r="P260" t="n">
        <v>0</v>
      </c>
      <c r="Q260" t="n">
        <v>1</v>
      </c>
      <c r="R260" s="2" t="inlineStr">
        <is>
          <t>Garnlav</t>
        </is>
      </c>
      <c r="S260">
        <f>HYPERLINK("https://klasma.github.io/Logging_2161/artfynd/A 50315-2025 artfynd.xlsx", "A 50315-2025")</f>
        <v/>
      </c>
      <c r="T260">
        <f>HYPERLINK("https://klasma.github.io/Logging_2161/kartor/A 50315-2025 karta.png", "A 50315-2025")</f>
        <v/>
      </c>
      <c r="V260">
        <f>HYPERLINK("https://klasma.github.io/Logging_2161/klagomål/A 50315-2025 FSC-klagomål.docx", "A 50315-2025")</f>
        <v/>
      </c>
      <c r="W260">
        <f>HYPERLINK("https://klasma.github.io/Logging_2161/klagomålsmail/A 50315-2025 FSC-klagomål mail.docx", "A 50315-2025")</f>
        <v/>
      </c>
      <c r="X260">
        <f>HYPERLINK("https://klasma.github.io/Logging_2161/tillsyn/A 50315-2025 tillsynsbegäran.docx", "A 50315-2025")</f>
        <v/>
      </c>
      <c r="Y260">
        <f>HYPERLINK("https://klasma.github.io/Logging_2161/tillsynsmail/A 50315-2025 tillsynsbegäran mail.docx", "A 50315-2025")</f>
        <v/>
      </c>
    </row>
    <row r="261" ht="15" customHeight="1">
      <c r="A261" t="inlineStr">
        <is>
          <t>A 34974-2024</t>
        </is>
      </c>
      <c r="B261" s="1" t="n">
        <v>45527.54129629629</v>
      </c>
      <c r="C261" s="1" t="n">
        <v>46036</v>
      </c>
      <c r="D261" t="inlineStr">
        <is>
          <t>GÄVLEBORGS LÄN</t>
        </is>
      </c>
      <c r="E261" t="inlineStr">
        <is>
          <t>LJUSDAL</t>
        </is>
      </c>
      <c r="F261" t="inlineStr">
        <is>
          <t>Sveaskog</t>
        </is>
      </c>
      <c r="G261" t="n">
        <v>4.6</v>
      </c>
      <c r="H261" t="n">
        <v>0</v>
      </c>
      <c r="I261" t="n">
        <v>0</v>
      </c>
      <c r="J261" t="n">
        <v>1</v>
      </c>
      <c r="K261" t="n">
        <v>0</v>
      </c>
      <c r="L261" t="n">
        <v>0</v>
      </c>
      <c r="M261" t="n">
        <v>0</v>
      </c>
      <c r="N261" t="n">
        <v>0</v>
      </c>
      <c r="O261" t="n">
        <v>1</v>
      </c>
      <c r="P261" t="n">
        <v>0</v>
      </c>
      <c r="Q261" t="n">
        <v>1</v>
      </c>
      <c r="R261" s="2" t="inlineStr">
        <is>
          <t>Kolflarnlav</t>
        </is>
      </c>
      <c r="S261">
        <f>HYPERLINK("https://klasma.github.io/Logging_2161/artfynd/A 34974-2024 artfynd.xlsx", "A 34974-2024")</f>
        <v/>
      </c>
      <c r="T261">
        <f>HYPERLINK("https://klasma.github.io/Logging_2161/kartor/A 34974-2024 karta.png", "A 34974-2024")</f>
        <v/>
      </c>
      <c r="V261">
        <f>HYPERLINK("https://klasma.github.io/Logging_2161/klagomål/A 34974-2024 FSC-klagomål.docx", "A 34974-2024")</f>
        <v/>
      </c>
      <c r="W261">
        <f>HYPERLINK("https://klasma.github.io/Logging_2161/klagomålsmail/A 34974-2024 FSC-klagomål mail.docx", "A 34974-2024")</f>
        <v/>
      </c>
      <c r="X261">
        <f>HYPERLINK("https://klasma.github.io/Logging_2161/tillsyn/A 34974-2024 tillsynsbegäran.docx", "A 34974-2024")</f>
        <v/>
      </c>
      <c r="Y261">
        <f>HYPERLINK("https://klasma.github.io/Logging_2161/tillsynsmail/A 34974-2024 tillsynsbegäran mail.docx", "A 34974-2024")</f>
        <v/>
      </c>
    </row>
    <row r="262" ht="15" customHeight="1">
      <c r="A262" t="inlineStr">
        <is>
          <t>A 18734-2024</t>
        </is>
      </c>
      <c r="B262" s="1" t="n">
        <v>45426.48722222223</v>
      </c>
      <c r="C262" s="1" t="n">
        <v>46036</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46036</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37088-2024</t>
        </is>
      </c>
      <c r="B264" s="1" t="n">
        <v>45539.49841435185</v>
      </c>
      <c r="C264" s="1" t="n">
        <v>46036</v>
      </c>
      <c r="D264" t="inlineStr">
        <is>
          <t>GÄVLEBORGS LÄN</t>
        </is>
      </c>
      <c r="E264" t="inlineStr">
        <is>
          <t>LJUSDAL</t>
        </is>
      </c>
      <c r="F264" t="inlineStr">
        <is>
          <t>Sveaskog</t>
        </is>
      </c>
      <c r="G264" t="n">
        <v>9.699999999999999</v>
      </c>
      <c r="H264" t="n">
        <v>0</v>
      </c>
      <c r="I264" t="n">
        <v>0</v>
      </c>
      <c r="J264" t="n">
        <v>1</v>
      </c>
      <c r="K264" t="n">
        <v>0</v>
      </c>
      <c r="L264" t="n">
        <v>0</v>
      </c>
      <c r="M264" t="n">
        <v>0</v>
      </c>
      <c r="N264" t="n">
        <v>0</v>
      </c>
      <c r="O264" t="n">
        <v>1</v>
      </c>
      <c r="P264" t="n">
        <v>0</v>
      </c>
      <c r="Q264" t="n">
        <v>1</v>
      </c>
      <c r="R264" s="2" t="inlineStr">
        <is>
          <t>Skrovellav</t>
        </is>
      </c>
      <c r="S264">
        <f>HYPERLINK("https://klasma.github.io/Logging_2161/artfynd/A 37088-2024 artfynd.xlsx", "A 37088-2024")</f>
        <v/>
      </c>
      <c r="T264">
        <f>HYPERLINK("https://klasma.github.io/Logging_2161/kartor/A 37088-2024 karta.png", "A 37088-2024")</f>
        <v/>
      </c>
      <c r="V264">
        <f>HYPERLINK("https://klasma.github.io/Logging_2161/klagomål/A 37088-2024 FSC-klagomål.docx", "A 37088-2024")</f>
        <v/>
      </c>
      <c r="W264">
        <f>HYPERLINK("https://klasma.github.io/Logging_2161/klagomålsmail/A 37088-2024 FSC-klagomål mail.docx", "A 37088-2024")</f>
        <v/>
      </c>
      <c r="X264">
        <f>HYPERLINK("https://klasma.github.io/Logging_2161/tillsyn/A 37088-2024 tillsynsbegäran.docx", "A 37088-2024")</f>
        <v/>
      </c>
      <c r="Y264">
        <f>HYPERLINK("https://klasma.github.io/Logging_2161/tillsynsmail/A 37088-2024 tillsynsbegäran mail.docx", "A 37088-2024")</f>
        <v/>
      </c>
    </row>
    <row r="265" ht="15" customHeight="1">
      <c r="A265" t="inlineStr">
        <is>
          <t>A 34744-2024</t>
        </is>
      </c>
      <c r="B265" s="1" t="n">
        <v>45526.59482638889</v>
      </c>
      <c r="C265" s="1" t="n">
        <v>46036</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62102-2025</t>
        </is>
      </c>
      <c r="B266" s="1" t="n">
        <v>46006.40692129629</v>
      </c>
      <c r="C266" s="1" t="n">
        <v>46036</v>
      </c>
      <c r="D266" t="inlineStr">
        <is>
          <t>GÄVLEBORGS LÄN</t>
        </is>
      </c>
      <c r="E266" t="inlineStr">
        <is>
          <t>LJUSDAL</t>
        </is>
      </c>
      <c r="F266" t="inlineStr">
        <is>
          <t>SCA</t>
        </is>
      </c>
      <c r="G266" t="n">
        <v>5.7</v>
      </c>
      <c r="H266" t="n">
        <v>1</v>
      </c>
      <c r="I266" t="n">
        <v>0</v>
      </c>
      <c r="J266" t="n">
        <v>0</v>
      </c>
      <c r="K266" t="n">
        <v>0</v>
      </c>
      <c r="L266" t="n">
        <v>0</v>
      </c>
      <c r="M266" t="n">
        <v>0</v>
      </c>
      <c r="N266" t="n">
        <v>0</v>
      </c>
      <c r="O266" t="n">
        <v>0</v>
      </c>
      <c r="P266" t="n">
        <v>0</v>
      </c>
      <c r="Q266" t="n">
        <v>1</v>
      </c>
      <c r="R266" s="2" t="inlineStr">
        <is>
          <t>Blåsippa</t>
        </is>
      </c>
      <c r="S266">
        <f>HYPERLINK("https://klasma.github.io/Logging_2161/artfynd/A 62102-2025 artfynd.xlsx", "A 62102-2025")</f>
        <v/>
      </c>
      <c r="T266">
        <f>HYPERLINK("https://klasma.github.io/Logging_2161/kartor/A 62102-2025 karta.png", "A 62102-2025")</f>
        <v/>
      </c>
      <c r="V266">
        <f>HYPERLINK("https://klasma.github.io/Logging_2161/klagomål/A 62102-2025 FSC-klagomål.docx", "A 62102-2025")</f>
        <v/>
      </c>
      <c r="W266">
        <f>HYPERLINK("https://klasma.github.io/Logging_2161/klagomålsmail/A 62102-2025 FSC-klagomål mail.docx", "A 62102-2025")</f>
        <v/>
      </c>
      <c r="X266">
        <f>HYPERLINK("https://klasma.github.io/Logging_2161/tillsyn/A 62102-2025 tillsynsbegäran.docx", "A 62102-2025")</f>
        <v/>
      </c>
      <c r="Y266">
        <f>HYPERLINK("https://klasma.github.io/Logging_2161/tillsynsmail/A 62102-2025 tillsynsbegäran mail.docx", "A 62102-2025")</f>
        <v/>
      </c>
    </row>
    <row r="267" ht="15" customHeight="1">
      <c r="A267" t="inlineStr">
        <is>
          <t>A 55326-2024</t>
        </is>
      </c>
      <c r="B267" s="1" t="n">
        <v>45621.67460648148</v>
      </c>
      <c r="C267" s="1" t="n">
        <v>46036</v>
      </c>
      <c r="D267" t="inlineStr">
        <is>
          <t>GÄVLEBORGS LÄN</t>
        </is>
      </c>
      <c r="E267" t="inlineStr">
        <is>
          <t>LJUSDAL</t>
        </is>
      </c>
      <c r="G267" t="n">
        <v>11.1</v>
      </c>
      <c r="H267" t="n">
        <v>0</v>
      </c>
      <c r="I267" t="n">
        <v>0</v>
      </c>
      <c r="J267" t="n">
        <v>1</v>
      </c>
      <c r="K267" t="n">
        <v>0</v>
      </c>
      <c r="L267" t="n">
        <v>0</v>
      </c>
      <c r="M267" t="n">
        <v>0</v>
      </c>
      <c r="N267" t="n">
        <v>0</v>
      </c>
      <c r="O267" t="n">
        <v>1</v>
      </c>
      <c r="P267" t="n">
        <v>0</v>
      </c>
      <c r="Q267" t="n">
        <v>1</v>
      </c>
      <c r="R267" s="2" t="inlineStr">
        <is>
          <t>Vedskivlav</t>
        </is>
      </c>
      <c r="S267">
        <f>HYPERLINK("https://klasma.github.io/Logging_2161/artfynd/A 55326-2024 artfynd.xlsx", "A 55326-2024")</f>
        <v/>
      </c>
      <c r="T267">
        <f>HYPERLINK("https://klasma.github.io/Logging_2161/kartor/A 55326-2024 karta.png", "A 55326-2024")</f>
        <v/>
      </c>
      <c r="U267">
        <f>HYPERLINK("https://klasma.github.io/Logging_2161/knärot/A 55326-2024 karta knärot.png", "A 55326-2024")</f>
        <v/>
      </c>
      <c r="V267">
        <f>HYPERLINK("https://klasma.github.io/Logging_2161/klagomål/A 55326-2024 FSC-klagomål.docx", "A 55326-2024")</f>
        <v/>
      </c>
      <c r="W267">
        <f>HYPERLINK("https://klasma.github.io/Logging_2161/klagomålsmail/A 55326-2024 FSC-klagomål mail.docx", "A 55326-2024")</f>
        <v/>
      </c>
      <c r="X267">
        <f>HYPERLINK("https://klasma.github.io/Logging_2161/tillsyn/A 55326-2024 tillsynsbegäran.docx", "A 55326-2024")</f>
        <v/>
      </c>
      <c r="Y267">
        <f>HYPERLINK("https://klasma.github.io/Logging_2161/tillsynsmail/A 55326-2024 tillsynsbegäran mail.docx", "A 55326-2024")</f>
        <v/>
      </c>
    </row>
    <row r="268" ht="15" customHeight="1">
      <c r="A268" t="inlineStr">
        <is>
          <t>A 55498-2025</t>
        </is>
      </c>
      <c r="B268" s="1" t="n">
        <v>45971.5841087963</v>
      </c>
      <c r="C268" s="1" t="n">
        <v>46036</v>
      </c>
      <c r="D268" t="inlineStr">
        <is>
          <t>GÄVLEBORGS LÄN</t>
        </is>
      </c>
      <c r="E268" t="inlineStr">
        <is>
          <t>LJUSDAL</t>
        </is>
      </c>
      <c r="F268" t="inlineStr">
        <is>
          <t>Sveaskog</t>
        </is>
      </c>
      <c r="G268" t="n">
        <v>22.6</v>
      </c>
      <c r="H268" t="n">
        <v>0</v>
      </c>
      <c r="I268" t="n">
        <v>0</v>
      </c>
      <c r="J268" t="n">
        <v>1</v>
      </c>
      <c r="K268" t="n">
        <v>0</v>
      </c>
      <c r="L268" t="n">
        <v>0</v>
      </c>
      <c r="M268" t="n">
        <v>0</v>
      </c>
      <c r="N268" t="n">
        <v>0</v>
      </c>
      <c r="O268" t="n">
        <v>1</v>
      </c>
      <c r="P268" t="n">
        <v>0</v>
      </c>
      <c r="Q268" t="n">
        <v>1</v>
      </c>
      <c r="R268" s="2" t="inlineStr">
        <is>
          <t>Kolflarnlav</t>
        </is>
      </c>
      <c r="S268">
        <f>HYPERLINK("https://klasma.github.io/Logging_2161/artfynd/A 55498-2025 artfynd.xlsx", "A 55498-2025")</f>
        <v/>
      </c>
      <c r="T268">
        <f>HYPERLINK("https://klasma.github.io/Logging_2161/kartor/A 55498-2025 karta.png", "A 55498-2025")</f>
        <v/>
      </c>
      <c r="V268">
        <f>HYPERLINK("https://klasma.github.io/Logging_2161/klagomål/A 55498-2025 FSC-klagomål.docx", "A 55498-2025")</f>
        <v/>
      </c>
      <c r="W268">
        <f>HYPERLINK("https://klasma.github.io/Logging_2161/klagomålsmail/A 55498-2025 FSC-klagomål mail.docx", "A 55498-2025")</f>
        <v/>
      </c>
      <c r="X268">
        <f>HYPERLINK("https://klasma.github.io/Logging_2161/tillsyn/A 55498-2025 tillsynsbegäran.docx", "A 55498-2025")</f>
        <v/>
      </c>
      <c r="Y268">
        <f>HYPERLINK("https://klasma.github.io/Logging_2161/tillsynsmail/A 55498-2025 tillsynsbegäran mail.docx", "A 55498-2025")</f>
        <v/>
      </c>
    </row>
    <row r="269" ht="15" customHeight="1">
      <c r="A269" t="inlineStr">
        <is>
          <t>A 35080-2023</t>
        </is>
      </c>
      <c r="B269" s="1" t="n">
        <v>45145.42868055555</v>
      </c>
      <c r="C269" s="1" t="n">
        <v>46036</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Vedflamlav</t>
        </is>
      </c>
      <c r="S269">
        <f>HYPERLINK("https://klasma.github.io/Logging_2161/artfynd/A 35080-2023 artfynd.xlsx", "A 35080-2023")</f>
        <v/>
      </c>
      <c r="T269">
        <f>HYPERLINK("https://klasma.github.io/Logging_2161/kartor/A 35080-2023 karta.png", "A 35080-2023")</f>
        <v/>
      </c>
      <c r="V269">
        <f>HYPERLINK("https://klasma.github.io/Logging_2161/klagomål/A 35080-2023 FSC-klagomål.docx", "A 35080-2023")</f>
        <v/>
      </c>
      <c r="W269">
        <f>HYPERLINK("https://klasma.github.io/Logging_2161/klagomålsmail/A 35080-2023 FSC-klagomål mail.docx", "A 35080-2023")</f>
        <v/>
      </c>
      <c r="X269">
        <f>HYPERLINK("https://klasma.github.io/Logging_2161/tillsyn/A 35080-2023 tillsynsbegäran.docx", "A 35080-2023")</f>
        <v/>
      </c>
      <c r="Y269">
        <f>HYPERLINK("https://klasma.github.io/Logging_2161/tillsynsmail/A 35080-2023 tillsynsbegäran mail.docx", "A 35080-2023")</f>
        <v/>
      </c>
    </row>
    <row r="270" ht="15" customHeight="1">
      <c r="A270" t="inlineStr">
        <is>
          <t>A 56822-2025</t>
        </is>
      </c>
      <c r="B270" s="1" t="n">
        <v>45978.46439814815</v>
      </c>
      <c r="C270" s="1" t="n">
        <v>46036</v>
      </c>
      <c r="D270" t="inlineStr">
        <is>
          <t>GÄVLEBORGS LÄN</t>
        </is>
      </c>
      <c r="E270" t="inlineStr">
        <is>
          <t>LJUSDAL</t>
        </is>
      </c>
      <c r="F270" t="inlineStr">
        <is>
          <t>Allmännings- och besparingsskogar</t>
        </is>
      </c>
      <c r="G270" t="n">
        <v>17.2</v>
      </c>
      <c r="H270" t="n">
        <v>1</v>
      </c>
      <c r="I270" t="n">
        <v>0</v>
      </c>
      <c r="J270" t="n">
        <v>0</v>
      </c>
      <c r="K270" t="n">
        <v>1</v>
      </c>
      <c r="L270" t="n">
        <v>0</v>
      </c>
      <c r="M270" t="n">
        <v>0</v>
      </c>
      <c r="N270" t="n">
        <v>0</v>
      </c>
      <c r="O270" t="n">
        <v>1</v>
      </c>
      <c r="P270" t="n">
        <v>1</v>
      </c>
      <c r="Q270" t="n">
        <v>1</v>
      </c>
      <c r="R270" s="2" t="inlineStr">
        <is>
          <t>Knärot</t>
        </is>
      </c>
      <c r="S270">
        <f>HYPERLINK("https://klasma.github.io/Logging_2161/artfynd/A 56822-2025 artfynd.xlsx", "A 56822-2025")</f>
        <v/>
      </c>
      <c r="T270">
        <f>HYPERLINK("https://klasma.github.io/Logging_2161/kartor/A 56822-2025 karta.png", "A 56822-2025")</f>
        <v/>
      </c>
      <c r="U270">
        <f>HYPERLINK("https://klasma.github.io/Logging_2161/knärot/A 56822-2025 karta knärot.png", "A 56822-2025")</f>
        <v/>
      </c>
      <c r="V270">
        <f>HYPERLINK("https://klasma.github.io/Logging_2161/klagomål/A 56822-2025 FSC-klagomål.docx", "A 56822-2025")</f>
        <v/>
      </c>
      <c r="W270">
        <f>HYPERLINK("https://klasma.github.io/Logging_2161/klagomålsmail/A 56822-2025 FSC-klagomål mail.docx", "A 56822-2025")</f>
        <v/>
      </c>
      <c r="X270">
        <f>HYPERLINK("https://klasma.github.io/Logging_2161/tillsyn/A 56822-2025 tillsynsbegäran.docx", "A 56822-2025")</f>
        <v/>
      </c>
      <c r="Y270">
        <f>HYPERLINK("https://klasma.github.io/Logging_2161/tillsynsmail/A 56822-2025 tillsynsbegäran mail.docx", "A 56822-2025")</f>
        <v/>
      </c>
    </row>
    <row r="271" ht="15" customHeight="1">
      <c r="A271" t="inlineStr">
        <is>
          <t>A 34597-2024</t>
        </is>
      </c>
      <c r="B271" s="1" t="n">
        <v>45526</v>
      </c>
      <c r="C271" s="1" t="n">
        <v>46036</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46036</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46036</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46036</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59757-2025</t>
        </is>
      </c>
      <c r="B275" s="1" t="n">
        <v>45992.58902777778</v>
      </c>
      <c r="C275" s="1" t="n">
        <v>46036</v>
      </c>
      <c r="D275" t="inlineStr">
        <is>
          <t>GÄVLEBORGS LÄN</t>
        </is>
      </c>
      <c r="E275" t="inlineStr">
        <is>
          <t>LJUSDAL</t>
        </is>
      </c>
      <c r="F275" t="inlineStr">
        <is>
          <t>Allmännings- och besparingsskogar</t>
        </is>
      </c>
      <c r="G275" t="n">
        <v>17.1</v>
      </c>
      <c r="H275" t="n">
        <v>0</v>
      </c>
      <c r="I275" t="n">
        <v>0</v>
      </c>
      <c r="J275" t="n">
        <v>1</v>
      </c>
      <c r="K275" t="n">
        <v>0</v>
      </c>
      <c r="L275" t="n">
        <v>0</v>
      </c>
      <c r="M275" t="n">
        <v>0</v>
      </c>
      <c r="N275" t="n">
        <v>0</v>
      </c>
      <c r="O275" t="n">
        <v>1</v>
      </c>
      <c r="P275" t="n">
        <v>0</v>
      </c>
      <c r="Q275" t="n">
        <v>1</v>
      </c>
      <c r="R275" s="2" t="inlineStr">
        <is>
          <t>Kolflarnlav</t>
        </is>
      </c>
      <c r="S275">
        <f>HYPERLINK("https://klasma.github.io/Logging_2161/artfynd/A 59757-2025 artfynd.xlsx", "A 59757-2025")</f>
        <v/>
      </c>
      <c r="T275">
        <f>HYPERLINK("https://klasma.github.io/Logging_2161/kartor/A 59757-2025 karta.png", "A 59757-2025")</f>
        <v/>
      </c>
      <c r="V275">
        <f>HYPERLINK("https://klasma.github.io/Logging_2161/klagomål/A 59757-2025 FSC-klagomål.docx", "A 59757-2025")</f>
        <v/>
      </c>
      <c r="W275">
        <f>HYPERLINK("https://klasma.github.io/Logging_2161/klagomålsmail/A 59757-2025 FSC-klagomål mail.docx", "A 59757-2025")</f>
        <v/>
      </c>
      <c r="X275">
        <f>HYPERLINK("https://klasma.github.io/Logging_2161/tillsyn/A 59757-2025 tillsynsbegäran.docx", "A 59757-2025")</f>
        <v/>
      </c>
      <c r="Y275">
        <f>HYPERLINK("https://klasma.github.io/Logging_2161/tillsynsmail/A 59757-2025 tillsynsbegäran mail.docx", "A 59757-2025")</f>
        <v/>
      </c>
    </row>
    <row r="276" ht="15" customHeight="1">
      <c r="A276" t="inlineStr">
        <is>
          <t>A 33950-2024</t>
        </is>
      </c>
      <c r="B276" s="1" t="n">
        <v>45523.46476851852</v>
      </c>
      <c r="C276" s="1" t="n">
        <v>46036</v>
      </c>
      <c r="D276" t="inlineStr">
        <is>
          <t>GÄVLEBORGS LÄN</t>
        </is>
      </c>
      <c r="E276" t="inlineStr">
        <is>
          <t>LJUSDAL</t>
        </is>
      </c>
      <c r="F276" t="inlineStr">
        <is>
          <t>Sveaskog</t>
        </is>
      </c>
      <c r="G276" t="n">
        <v>3.6</v>
      </c>
      <c r="H276" t="n">
        <v>0</v>
      </c>
      <c r="I276" t="n">
        <v>0</v>
      </c>
      <c r="J276" t="n">
        <v>1</v>
      </c>
      <c r="K276" t="n">
        <v>0</v>
      </c>
      <c r="L276" t="n">
        <v>0</v>
      </c>
      <c r="M276" t="n">
        <v>0</v>
      </c>
      <c r="N276" t="n">
        <v>0</v>
      </c>
      <c r="O276" t="n">
        <v>1</v>
      </c>
      <c r="P276" t="n">
        <v>0</v>
      </c>
      <c r="Q276" t="n">
        <v>1</v>
      </c>
      <c r="R276" s="2" t="inlineStr">
        <is>
          <t>Lunglav</t>
        </is>
      </c>
      <c r="S276">
        <f>HYPERLINK("https://klasma.github.io/Logging_2161/artfynd/A 33950-2024 artfynd.xlsx", "A 33950-2024")</f>
        <v/>
      </c>
      <c r="T276">
        <f>HYPERLINK("https://klasma.github.io/Logging_2161/kartor/A 33950-2024 karta.png", "A 33950-2024")</f>
        <v/>
      </c>
      <c r="V276">
        <f>HYPERLINK("https://klasma.github.io/Logging_2161/klagomål/A 33950-2024 FSC-klagomål.docx", "A 33950-2024")</f>
        <v/>
      </c>
      <c r="W276">
        <f>HYPERLINK("https://klasma.github.io/Logging_2161/klagomålsmail/A 33950-2024 FSC-klagomål mail.docx", "A 33950-2024")</f>
        <v/>
      </c>
      <c r="X276">
        <f>HYPERLINK("https://klasma.github.io/Logging_2161/tillsyn/A 33950-2024 tillsynsbegäran.docx", "A 33950-2024")</f>
        <v/>
      </c>
      <c r="Y276">
        <f>HYPERLINK("https://klasma.github.io/Logging_2161/tillsynsmail/A 33950-2024 tillsynsbegäran mail.docx", "A 33950-2024")</f>
        <v/>
      </c>
    </row>
    <row r="277" ht="15" customHeight="1">
      <c r="A277" t="inlineStr">
        <is>
          <t>A 32171-2023</t>
        </is>
      </c>
      <c r="B277" s="1" t="n">
        <v>45107</v>
      </c>
      <c r="C277" s="1" t="n">
        <v>46036</v>
      </c>
      <c r="D277" t="inlineStr">
        <is>
          <t>GÄVLEBORGS LÄN</t>
        </is>
      </c>
      <c r="E277" t="inlineStr">
        <is>
          <t>LJUSDAL</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HYPERLINK("https://klasma.github.io/Logging_2161/artfynd/A 32171-2023 artfynd.xlsx", "A 32171-2023")</f>
        <v/>
      </c>
      <c r="T277">
        <f>HYPERLINK("https://klasma.github.io/Logging_2161/kartor/A 32171-2023 karta.png", "A 32171-2023")</f>
        <v/>
      </c>
      <c r="V277">
        <f>HYPERLINK("https://klasma.github.io/Logging_2161/klagomål/A 32171-2023 FSC-klagomål.docx", "A 32171-2023")</f>
        <v/>
      </c>
      <c r="W277">
        <f>HYPERLINK("https://klasma.github.io/Logging_2161/klagomålsmail/A 32171-2023 FSC-klagomål mail.docx", "A 32171-2023")</f>
        <v/>
      </c>
      <c r="X277">
        <f>HYPERLINK("https://klasma.github.io/Logging_2161/tillsyn/A 32171-2023 tillsynsbegäran.docx", "A 32171-2023")</f>
        <v/>
      </c>
      <c r="Y277">
        <f>HYPERLINK("https://klasma.github.io/Logging_2161/tillsynsmail/A 32171-2023 tillsynsbegäran mail.docx", "A 32171-2023")</f>
        <v/>
      </c>
      <c r="Z277">
        <f>HYPERLINK("https://klasma.github.io/Logging_2161/fåglar/A 32171-2023 prioriterade fågelarter.docx", "A 32171-2023")</f>
        <v/>
      </c>
    </row>
    <row r="278" ht="15" customHeight="1">
      <c r="A278" t="inlineStr">
        <is>
          <t>A 7148-2023</t>
        </is>
      </c>
      <c r="B278" s="1" t="n">
        <v>44970.45804398148</v>
      </c>
      <c r="C278" s="1" t="n">
        <v>46036</v>
      </c>
      <c r="D278" t="inlineStr">
        <is>
          <t>GÄVLEBORGS LÄN</t>
        </is>
      </c>
      <c r="E278" t="inlineStr">
        <is>
          <t>LJUSDAL</t>
        </is>
      </c>
      <c r="F278" t="inlineStr">
        <is>
          <t>Holmen skog AB</t>
        </is>
      </c>
      <c r="G278" t="n">
        <v>4.9</v>
      </c>
      <c r="H278" t="n">
        <v>0</v>
      </c>
      <c r="I278" t="n">
        <v>1</v>
      </c>
      <c r="J278" t="n">
        <v>0</v>
      </c>
      <c r="K278" t="n">
        <v>0</v>
      </c>
      <c r="L278" t="n">
        <v>0</v>
      </c>
      <c r="M278" t="n">
        <v>0</v>
      </c>
      <c r="N278" t="n">
        <v>0</v>
      </c>
      <c r="O278" t="n">
        <v>0</v>
      </c>
      <c r="P278" t="n">
        <v>0</v>
      </c>
      <c r="Q278" t="n">
        <v>1</v>
      </c>
      <c r="R278" s="2" t="inlineStr">
        <is>
          <t>Vedticka</t>
        </is>
      </c>
      <c r="S278">
        <f>HYPERLINK("https://klasma.github.io/Logging_2161/artfynd/A 7148-2023 artfynd.xlsx", "A 7148-2023")</f>
        <v/>
      </c>
      <c r="T278">
        <f>HYPERLINK("https://klasma.github.io/Logging_2161/kartor/A 7148-2023 karta.png", "A 7148-2023")</f>
        <v/>
      </c>
      <c r="V278">
        <f>HYPERLINK("https://klasma.github.io/Logging_2161/klagomål/A 7148-2023 FSC-klagomål.docx", "A 7148-2023")</f>
        <v/>
      </c>
      <c r="W278">
        <f>HYPERLINK("https://klasma.github.io/Logging_2161/klagomålsmail/A 7148-2023 FSC-klagomål mail.docx", "A 7148-2023")</f>
        <v/>
      </c>
      <c r="X278">
        <f>HYPERLINK("https://klasma.github.io/Logging_2161/tillsyn/A 7148-2023 tillsynsbegäran.docx", "A 7148-2023")</f>
        <v/>
      </c>
      <c r="Y278">
        <f>HYPERLINK("https://klasma.github.io/Logging_2161/tillsynsmail/A 7148-2023 tillsynsbegäran mail.docx", "A 7148-2023")</f>
        <v/>
      </c>
    </row>
    <row r="279" ht="15" customHeight="1">
      <c r="A279" t="inlineStr">
        <is>
          <t>A 51232-2023</t>
        </is>
      </c>
      <c r="B279" s="1" t="n">
        <v>45219.4621412037</v>
      </c>
      <c r="C279" s="1" t="n">
        <v>46036</v>
      </c>
      <c r="D279" t="inlineStr">
        <is>
          <t>GÄVLEBORGS LÄN</t>
        </is>
      </c>
      <c r="E279" t="inlineStr">
        <is>
          <t>LJUSDAL</t>
        </is>
      </c>
      <c r="F279" t="inlineStr">
        <is>
          <t>Sveaskog</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51232-2023 artfynd.xlsx", "A 51232-2023")</f>
        <v/>
      </c>
      <c r="T279">
        <f>HYPERLINK("https://klasma.github.io/Logging_2161/kartor/A 51232-2023 karta.png", "A 51232-2023")</f>
        <v/>
      </c>
      <c r="V279">
        <f>HYPERLINK("https://klasma.github.io/Logging_2161/klagomål/A 51232-2023 FSC-klagomål.docx", "A 51232-2023")</f>
        <v/>
      </c>
      <c r="W279">
        <f>HYPERLINK("https://klasma.github.io/Logging_2161/klagomålsmail/A 51232-2023 FSC-klagomål mail.docx", "A 51232-2023")</f>
        <v/>
      </c>
      <c r="X279">
        <f>HYPERLINK("https://klasma.github.io/Logging_2161/tillsyn/A 51232-2023 tillsynsbegäran.docx", "A 51232-2023")</f>
        <v/>
      </c>
      <c r="Y279">
        <f>HYPERLINK("https://klasma.github.io/Logging_2161/tillsynsmail/A 51232-2023 tillsynsbegäran mail.docx", "A 51232-2023")</f>
        <v/>
      </c>
    </row>
    <row r="280" ht="15" customHeight="1">
      <c r="A280" t="inlineStr">
        <is>
          <t>A 23644-2024</t>
        </is>
      </c>
      <c r="B280" s="1" t="n">
        <v>45454</v>
      </c>
      <c r="C280" s="1" t="n">
        <v>46036</v>
      </c>
      <c r="D280" t="inlineStr">
        <is>
          <t>GÄVLEBORGS LÄN</t>
        </is>
      </c>
      <c r="E280" t="inlineStr">
        <is>
          <t>LJUSDAL</t>
        </is>
      </c>
      <c r="F280" t="inlineStr">
        <is>
          <t>Sveaskog</t>
        </is>
      </c>
      <c r="G280" t="n">
        <v>26.6</v>
      </c>
      <c r="H280" t="n">
        <v>0</v>
      </c>
      <c r="I280" t="n">
        <v>0</v>
      </c>
      <c r="J280" t="n">
        <v>1</v>
      </c>
      <c r="K280" t="n">
        <v>0</v>
      </c>
      <c r="L280" t="n">
        <v>0</v>
      </c>
      <c r="M280" t="n">
        <v>0</v>
      </c>
      <c r="N280" t="n">
        <v>0</v>
      </c>
      <c r="O280" t="n">
        <v>1</v>
      </c>
      <c r="P280" t="n">
        <v>0</v>
      </c>
      <c r="Q280" t="n">
        <v>1</v>
      </c>
      <c r="R280" s="2" t="inlineStr">
        <is>
          <t>Kolflarnlav</t>
        </is>
      </c>
      <c r="S280">
        <f>HYPERLINK("https://klasma.github.io/Logging_2161/artfynd/A 23644-2024 artfynd.xlsx", "A 23644-2024")</f>
        <v/>
      </c>
      <c r="T280">
        <f>HYPERLINK("https://klasma.github.io/Logging_2161/kartor/A 23644-2024 karta.png", "A 23644-2024")</f>
        <v/>
      </c>
      <c r="V280">
        <f>HYPERLINK("https://klasma.github.io/Logging_2161/klagomål/A 23644-2024 FSC-klagomål.docx", "A 23644-2024")</f>
        <v/>
      </c>
      <c r="W280">
        <f>HYPERLINK("https://klasma.github.io/Logging_2161/klagomålsmail/A 23644-2024 FSC-klagomål mail.docx", "A 23644-2024")</f>
        <v/>
      </c>
      <c r="X280">
        <f>HYPERLINK("https://klasma.github.io/Logging_2161/tillsyn/A 23644-2024 tillsynsbegäran.docx", "A 23644-2024")</f>
        <v/>
      </c>
      <c r="Y280">
        <f>HYPERLINK("https://klasma.github.io/Logging_2161/tillsynsmail/A 23644-2024 tillsynsbegäran mail.docx", "A 23644-2024")</f>
        <v/>
      </c>
    </row>
    <row r="281" ht="15" customHeight="1">
      <c r="A281" t="inlineStr">
        <is>
          <t>A 24831-2024</t>
        </is>
      </c>
      <c r="B281" s="1" t="n">
        <v>45461.37734953704</v>
      </c>
      <c r="C281" s="1" t="n">
        <v>46036</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34235-2024</t>
        </is>
      </c>
      <c r="B282" s="1" t="n">
        <v>45524.56763888889</v>
      </c>
      <c r="C282" s="1" t="n">
        <v>46036</v>
      </c>
      <c r="D282" t="inlineStr">
        <is>
          <t>GÄVLEBORGS LÄN</t>
        </is>
      </c>
      <c r="E282" t="inlineStr">
        <is>
          <t>LJUSDAL</t>
        </is>
      </c>
      <c r="F282" t="inlineStr">
        <is>
          <t>Sveaskog</t>
        </is>
      </c>
      <c r="G282" t="n">
        <v>3.5</v>
      </c>
      <c r="H282" t="n">
        <v>1</v>
      </c>
      <c r="I282" t="n">
        <v>1</v>
      </c>
      <c r="J282" t="n">
        <v>0</v>
      </c>
      <c r="K282" t="n">
        <v>0</v>
      </c>
      <c r="L282" t="n">
        <v>0</v>
      </c>
      <c r="M282" t="n">
        <v>0</v>
      </c>
      <c r="N282" t="n">
        <v>0</v>
      </c>
      <c r="O282" t="n">
        <v>0</v>
      </c>
      <c r="P282" t="n">
        <v>0</v>
      </c>
      <c r="Q282" t="n">
        <v>1</v>
      </c>
      <c r="R282" s="2" t="inlineStr">
        <is>
          <t>Plattlummer</t>
        </is>
      </c>
      <c r="S282">
        <f>HYPERLINK("https://klasma.github.io/Logging_2161/artfynd/A 34235-2024 artfynd.xlsx", "A 34235-2024")</f>
        <v/>
      </c>
      <c r="T282">
        <f>HYPERLINK("https://klasma.github.io/Logging_2161/kartor/A 34235-2024 karta.png", "A 34235-2024")</f>
        <v/>
      </c>
      <c r="V282">
        <f>HYPERLINK("https://klasma.github.io/Logging_2161/klagomål/A 34235-2024 FSC-klagomål.docx", "A 34235-2024")</f>
        <v/>
      </c>
      <c r="W282">
        <f>HYPERLINK("https://klasma.github.io/Logging_2161/klagomålsmail/A 34235-2024 FSC-klagomål mail.docx", "A 34235-2024")</f>
        <v/>
      </c>
      <c r="X282">
        <f>HYPERLINK("https://klasma.github.io/Logging_2161/tillsyn/A 34235-2024 tillsynsbegäran.docx", "A 34235-2024")</f>
        <v/>
      </c>
      <c r="Y282">
        <f>HYPERLINK("https://klasma.github.io/Logging_2161/tillsynsmail/A 34235-2024 tillsynsbegäran mail.docx", "A 34235-2024")</f>
        <v/>
      </c>
    </row>
    <row r="283" ht="15" customHeight="1">
      <c r="A283" t="inlineStr">
        <is>
          <t>A 4696-2023</t>
        </is>
      </c>
      <c r="B283" s="1" t="n">
        <v>44957.47362268518</v>
      </c>
      <c r="C283" s="1" t="n">
        <v>46036</v>
      </c>
      <c r="D283" t="inlineStr">
        <is>
          <t>GÄVLEBORGS LÄN</t>
        </is>
      </c>
      <c r="E283" t="inlineStr">
        <is>
          <t>LJUSDAL</t>
        </is>
      </c>
      <c r="F283" t="inlineStr">
        <is>
          <t>Holmen skog AB</t>
        </is>
      </c>
      <c r="G283" t="n">
        <v>7.3</v>
      </c>
      <c r="H283" t="n">
        <v>0</v>
      </c>
      <c r="I283" t="n">
        <v>1</v>
      </c>
      <c r="J283" t="n">
        <v>0</v>
      </c>
      <c r="K283" t="n">
        <v>0</v>
      </c>
      <c r="L283" t="n">
        <v>0</v>
      </c>
      <c r="M283" t="n">
        <v>0</v>
      </c>
      <c r="N283" t="n">
        <v>0</v>
      </c>
      <c r="O283" t="n">
        <v>0</v>
      </c>
      <c r="P283" t="n">
        <v>0</v>
      </c>
      <c r="Q283" t="n">
        <v>1</v>
      </c>
      <c r="R283" s="2" t="inlineStr">
        <is>
          <t>Vedticka</t>
        </is>
      </c>
      <c r="S283">
        <f>HYPERLINK("https://klasma.github.io/Logging_2161/artfynd/A 4696-2023 artfynd.xlsx", "A 4696-2023")</f>
        <v/>
      </c>
      <c r="T283">
        <f>HYPERLINK("https://klasma.github.io/Logging_2161/kartor/A 4696-2023 karta.png", "A 4696-2023")</f>
        <v/>
      </c>
      <c r="V283">
        <f>HYPERLINK("https://klasma.github.io/Logging_2161/klagomål/A 4696-2023 FSC-klagomål.docx", "A 4696-2023")</f>
        <v/>
      </c>
      <c r="W283">
        <f>HYPERLINK("https://klasma.github.io/Logging_2161/klagomålsmail/A 4696-2023 FSC-klagomål mail.docx", "A 4696-2023")</f>
        <v/>
      </c>
      <c r="X283">
        <f>HYPERLINK("https://klasma.github.io/Logging_2161/tillsyn/A 4696-2023 tillsynsbegäran.docx", "A 4696-2023")</f>
        <v/>
      </c>
      <c r="Y283">
        <f>HYPERLINK("https://klasma.github.io/Logging_2161/tillsynsmail/A 4696-2023 tillsynsbegäran mail.docx", "A 4696-2023")</f>
        <v/>
      </c>
    </row>
    <row r="284" ht="15" customHeight="1">
      <c r="A284" t="inlineStr">
        <is>
          <t>A 37090-2024</t>
        </is>
      </c>
      <c r="B284" s="1" t="n">
        <v>45539.49916666667</v>
      </c>
      <c r="C284" s="1" t="n">
        <v>46036</v>
      </c>
      <c r="D284" t="inlineStr">
        <is>
          <t>GÄVLEBORGS LÄN</t>
        </is>
      </c>
      <c r="E284" t="inlineStr">
        <is>
          <t>LJUSDAL</t>
        </is>
      </c>
      <c r="F284" t="inlineStr">
        <is>
          <t>Sveaskog</t>
        </is>
      </c>
      <c r="G284" t="n">
        <v>2.6</v>
      </c>
      <c r="H284" t="n">
        <v>0</v>
      </c>
      <c r="I284" t="n">
        <v>0</v>
      </c>
      <c r="J284" t="n">
        <v>1</v>
      </c>
      <c r="K284" t="n">
        <v>0</v>
      </c>
      <c r="L284" t="n">
        <v>0</v>
      </c>
      <c r="M284" t="n">
        <v>0</v>
      </c>
      <c r="N284" t="n">
        <v>0</v>
      </c>
      <c r="O284" t="n">
        <v>1</v>
      </c>
      <c r="P284" t="n">
        <v>0</v>
      </c>
      <c r="Q284" t="n">
        <v>1</v>
      </c>
      <c r="R284" s="2" t="inlineStr">
        <is>
          <t>Skrovellav</t>
        </is>
      </c>
      <c r="S284">
        <f>HYPERLINK("https://klasma.github.io/Logging_2161/artfynd/A 37090-2024 artfynd.xlsx", "A 37090-2024")</f>
        <v/>
      </c>
      <c r="T284">
        <f>HYPERLINK("https://klasma.github.io/Logging_2161/kartor/A 37090-2024 karta.png", "A 37090-2024")</f>
        <v/>
      </c>
      <c r="V284">
        <f>HYPERLINK("https://klasma.github.io/Logging_2161/klagomål/A 37090-2024 FSC-klagomål.docx", "A 37090-2024")</f>
        <v/>
      </c>
      <c r="W284">
        <f>HYPERLINK("https://klasma.github.io/Logging_2161/klagomålsmail/A 37090-2024 FSC-klagomål mail.docx", "A 37090-2024")</f>
        <v/>
      </c>
      <c r="X284">
        <f>HYPERLINK("https://klasma.github.io/Logging_2161/tillsyn/A 37090-2024 tillsynsbegäran.docx", "A 37090-2024")</f>
        <v/>
      </c>
      <c r="Y284">
        <f>HYPERLINK("https://klasma.github.io/Logging_2161/tillsynsmail/A 37090-2024 tillsynsbegäran mail.docx", "A 37090-2024")</f>
        <v/>
      </c>
    </row>
    <row r="285" ht="15" customHeight="1">
      <c r="A285" t="inlineStr">
        <is>
          <t>A 25490-2021</t>
        </is>
      </c>
      <c r="B285" s="1" t="n">
        <v>44342</v>
      </c>
      <c r="C285" s="1" t="n">
        <v>46036</v>
      </c>
      <c r="D285" t="inlineStr">
        <is>
          <t>GÄVLEBORGS LÄN</t>
        </is>
      </c>
      <c r="E285" t="inlineStr">
        <is>
          <t>LJUSDAL</t>
        </is>
      </c>
      <c r="G285" t="n">
        <v>6.3</v>
      </c>
      <c r="H285" t="n">
        <v>1</v>
      </c>
      <c r="I285" t="n">
        <v>0</v>
      </c>
      <c r="J285" t="n">
        <v>1</v>
      </c>
      <c r="K285" t="n">
        <v>0</v>
      </c>
      <c r="L285" t="n">
        <v>0</v>
      </c>
      <c r="M285" t="n">
        <v>0</v>
      </c>
      <c r="N285" t="n">
        <v>0</v>
      </c>
      <c r="O285" t="n">
        <v>1</v>
      </c>
      <c r="P285" t="n">
        <v>0</v>
      </c>
      <c r="Q285" t="n">
        <v>1</v>
      </c>
      <c r="R285" s="2" t="inlineStr">
        <is>
          <t>Tretåig hackspett</t>
        </is>
      </c>
      <c r="S285">
        <f>HYPERLINK("https://klasma.github.io/Logging_2161/artfynd/A 25490-2021 artfynd.xlsx", "A 25490-2021")</f>
        <v/>
      </c>
      <c r="T285">
        <f>HYPERLINK("https://klasma.github.io/Logging_2161/kartor/A 25490-2021 karta.png", "A 25490-2021")</f>
        <v/>
      </c>
      <c r="U285">
        <f>HYPERLINK("https://klasma.github.io/Logging_2161/knärot/A 25490-2021 karta knärot.png", "A 25490-2021")</f>
        <v/>
      </c>
      <c r="V285">
        <f>HYPERLINK("https://klasma.github.io/Logging_2161/klagomål/A 25490-2021 FSC-klagomål.docx", "A 25490-2021")</f>
        <v/>
      </c>
      <c r="W285">
        <f>HYPERLINK("https://klasma.github.io/Logging_2161/klagomålsmail/A 25490-2021 FSC-klagomål mail.docx", "A 25490-2021")</f>
        <v/>
      </c>
      <c r="X285">
        <f>HYPERLINK("https://klasma.github.io/Logging_2161/tillsyn/A 25490-2021 tillsynsbegäran.docx", "A 25490-2021")</f>
        <v/>
      </c>
      <c r="Y285">
        <f>HYPERLINK("https://klasma.github.io/Logging_2161/tillsynsmail/A 25490-2021 tillsynsbegäran mail.docx", "A 25490-2021")</f>
        <v/>
      </c>
      <c r="Z285">
        <f>HYPERLINK("https://klasma.github.io/Logging_2161/fåglar/A 25490-2021 prioriterade fågelarter.docx", "A 25490-2021")</f>
        <v/>
      </c>
    </row>
    <row r="286" ht="15" customHeight="1">
      <c r="A286" t="inlineStr">
        <is>
          <t>A 26526-2023</t>
        </is>
      </c>
      <c r="B286" s="1" t="n">
        <v>45092.56519675926</v>
      </c>
      <c r="C286" s="1" t="n">
        <v>46036</v>
      </c>
      <c r="D286" t="inlineStr">
        <is>
          <t>GÄVLEBORGS LÄN</t>
        </is>
      </c>
      <c r="E286" t="inlineStr">
        <is>
          <t>LJUSDAL</t>
        </is>
      </c>
      <c r="F286" t="inlineStr">
        <is>
          <t>Sveaskog</t>
        </is>
      </c>
      <c r="G286" t="n">
        <v>3.6</v>
      </c>
      <c r="H286" t="n">
        <v>0</v>
      </c>
      <c r="I286" t="n">
        <v>0</v>
      </c>
      <c r="J286" t="n">
        <v>1</v>
      </c>
      <c r="K286" t="n">
        <v>0</v>
      </c>
      <c r="L286" t="n">
        <v>0</v>
      </c>
      <c r="M286" t="n">
        <v>0</v>
      </c>
      <c r="N286" t="n">
        <v>0</v>
      </c>
      <c r="O286" t="n">
        <v>1</v>
      </c>
      <c r="P286" t="n">
        <v>0</v>
      </c>
      <c r="Q286" t="n">
        <v>1</v>
      </c>
      <c r="R286" s="2" t="inlineStr">
        <is>
          <t>Kolflarnlav</t>
        </is>
      </c>
      <c r="S286">
        <f>HYPERLINK("https://klasma.github.io/Logging_2161/artfynd/A 26526-2023 artfynd.xlsx", "A 26526-2023")</f>
        <v/>
      </c>
      <c r="T286">
        <f>HYPERLINK("https://klasma.github.io/Logging_2161/kartor/A 26526-2023 karta.png", "A 26526-2023")</f>
        <v/>
      </c>
      <c r="V286">
        <f>HYPERLINK("https://klasma.github.io/Logging_2161/klagomål/A 26526-2023 FSC-klagomål.docx", "A 26526-2023")</f>
        <v/>
      </c>
      <c r="W286">
        <f>HYPERLINK("https://klasma.github.io/Logging_2161/klagomålsmail/A 26526-2023 FSC-klagomål mail.docx", "A 26526-2023")</f>
        <v/>
      </c>
      <c r="X286">
        <f>HYPERLINK("https://klasma.github.io/Logging_2161/tillsyn/A 26526-2023 tillsynsbegäran.docx", "A 26526-2023")</f>
        <v/>
      </c>
      <c r="Y286">
        <f>HYPERLINK("https://klasma.github.io/Logging_2161/tillsynsmail/A 26526-2023 tillsynsbegäran mail.docx", "A 26526-2023")</f>
        <v/>
      </c>
    </row>
    <row r="287" ht="15" customHeight="1">
      <c r="A287" t="inlineStr">
        <is>
          <t>A 53858-2023</t>
        </is>
      </c>
      <c r="B287" s="1" t="n">
        <v>45231</v>
      </c>
      <c r="C287" s="1" t="n">
        <v>46036</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21900-2024</t>
        </is>
      </c>
      <c r="B288" s="1" t="n">
        <v>45443.40680555555</v>
      </c>
      <c r="C288" s="1" t="n">
        <v>46036</v>
      </c>
      <c r="D288" t="inlineStr">
        <is>
          <t>GÄVLEBORGS LÄN</t>
        </is>
      </c>
      <c r="E288" t="inlineStr">
        <is>
          <t>LJUSDAL</t>
        </is>
      </c>
      <c r="F288" t="inlineStr">
        <is>
          <t>Sveaskog</t>
        </is>
      </c>
      <c r="G288" t="n">
        <v>1.6</v>
      </c>
      <c r="H288" t="n">
        <v>0</v>
      </c>
      <c r="I288" t="n">
        <v>0</v>
      </c>
      <c r="J288" t="n">
        <v>1</v>
      </c>
      <c r="K288" t="n">
        <v>0</v>
      </c>
      <c r="L288" t="n">
        <v>0</v>
      </c>
      <c r="M288" t="n">
        <v>0</v>
      </c>
      <c r="N288" t="n">
        <v>0</v>
      </c>
      <c r="O288" t="n">
        <v>1</v>
      </c>
      <c r="P288" t="n">
        <v>0</v>
      </c>
      <c r="Q288" t="n">
        <v>1</v>
      </c>
      <c r="R288" s="2" t="inlineStr">
        <is>
          <t>Lunglav</t>
        </is>
      </c>
      <c r="S288">
        <f>HYPERLINK("https://klasma.github.io/Logging_2161/artfynd/A 21900-2024 artfynd.xlsx", "A 21900-2024")</f>
        <v/>
      </c>
      <c r="T288">
        <f>HYPERLINK("https://klasma.github.io/Logging_2161/kartor/A 21900-2024 karta.png", "A 21900-2024")</f>
        <v/>
      </c>
      <c r="U288">
        <f>HYPERLINK("https://klasma.github.io/Logging_2161/knärot/A 21900-2024 karta knärot.png", "A 21900-2024")</f>
        <v/>
      </c>
      <c r="V288">
        <f>HYPERLINK("https://klasma.github.io/Logging_2161/klagomål/A 21900-2024 FSC-klagomål.docx", "A 21900-2024")</f>
        <v/>
      </c>
      <c r="W288">
        <f>HYPERLINK("https://klasma.github.io/Logging_2161/klagomålsmail/A 21900-2024 FSC-klagomål mail.docx", "A 21900-2024")</f>
        <v/>
      </c>
      <c r="X288">
        <f>HYPERLINK("https://klasma.github.io/Logging_2161/tillsyn/A 21900-2024 tillsynsbegäran.docx", "A 21900-2024")</f>
        <v/>
      </c>
      <c r="Y288">
        <f>HYPERLINK("https://klasma.github.io/Logging_2161/tillsynsmail/A 21900-2024 tillsynsbegäran mail.docx", "A 21900-2024")</f>
        <v/>
      </c>
    </row>
    <row r="289" ht="15" customHeight="1">
      <c r="A289" t="inlineStr">
        <is>
          <t>A 30115-2024</t>
        </is>
      </c>
      <c r="B289" s="1" t="n">
        <v>45489.47310185185</v>
      </c>
      <c r="C289" s="1" t="n">
        <v>46036</v>
      </c>
      <c r="D289" t="inlineStr">
        <is>
          <t>GÄVLEBORGS LÄN</t>
        </is>
      </c>
      <c r="E289" t="inlineStr">
        <is>
          <t>LJUSDAL</t>
        </is>
      </c>
      <c r="F289" t="inlineStr">
        <is>
          <t>Sveaskog</t>
        </is>
      </c>
      <c r="G289" t="n">
        <v>3.7</v>
      </c>
      <c r="H289" t="n">
        <v>0</v>
      </c>
      <c r="I289" t="n">
        <v>0</v>
      </c>
      <c r="J289" t="n">
        <v>1</v>
      </c>
      <c r="K289" t="n">
        <v>0</v>
      </c>
      <c r="L289" t="n">
        <v>0</v>
      </c>
      <c r="M289" t="n">
        <v>0</v>
      </c>
      <c r="N289" t="n">
        <v>0</v>
      </c>
      <c r="O289" t="n">
        <v>1</v>
      </c>
      <c r="P289" t="n">
        <v>0</v>
      </c>
      <c r="Q289" t="n">
        <v>1</v>
      </c>
      <c r="R289" s="2" t="inlineStr">
        <is>
          <t>Kolflarnlav</t>
        </is>
      </c>
      <c r="S289">
        <f>HYPERLINK("https://klasma.github.io/Logging_2161/artfynd/A 30115-2024 artfynd.xlsx", "A 30115-2024")</f>
        <v/>
      </c>
      <c r="T289">
        <f>HYPERLINK("https://klasma.github.io/Logging_2161/kartor/A 30115-2024 karta.png", "A 30115-2024")</f>
        <v/>
      </c>
      <c r="V289">
        <f>HYPERLINK("https://klasma.github.io/Logging_2161/klagomål/A 30115-2024 FSC-klagomål.docx", "A 30115-2024")</f>
        <v/>
      </c>
      <c r="W289">
        <f>HYPERLINK("https://klasma.github.io/Logging_2161/klagomålsmail/A 30115-2024 FSC-klagomål mail.docx", "A 30115-2024")</f>
        <v/>
      </c>
      <c r="X289">
        <f>HYPERLINK("https://klasma.github.io/Logging_2161/tillsyn/A 30115-2024 tillsynsbegäran.docx", "A 30115-2024")</f>
        <v/>
      </c>
      <c r="Y289">
        <f>HYPERLINK("https://klasma.github.io/Logging_2161/tillsynsmail/A 30115-2024 tillsynsbegäran mail.docx", "A 30115-2024")</f>
        <v/>
      </c>
    </row>
    <row r="290" ht="15" customHeight="1">
      <c r="A290" t="inlineStr">
        <is>
          <t>A 53286-2023</t>
        </is>
      </c>
      <c r="B290" s="1" t="n">
        <v>45229.57386574074</v>
      </c>
      <c r="C290" s="1" t="n">
        <v>46036</v>
      </c>
      <c r="D290" t="inlineStr">
        <is>
          <t>GÄVLEBORGS LÄN</t>
        </is>
      </c>
      <c r="E290" t="inlineStr">
        <is>
          <t>LJUSDAL</t>
        </is>
      </c>
      <c r="F290" t="inlineStr">
        <is>
          <t>Sveaskog</t>
        </is>
      </c>
      <c r="G290" t="n">
        <v>8</v>
      </c>
      <c r="H290" t="n">
        <v>0</v>
      </c>
      <c r="I290" t="n">
        <v>0</v>
      </c>
      <c r="J290" t="n">
        <v>1</v>
      </c>
      <c r="K290" t="n">
        <v>0</v>
      </c>
      <c r="L290" t="n">
        <v>0</v>
      </c>
      <c r="M290" t="n">
        <v>0</v>
      </c>
      <c r="N290" t="n">
        <v>0</v>
      </c>
      <c r="O290" t="n">
        <v>1</v>
      </c>
      <c r="P290" t="n">
        <v>0</v>
      </c>
      <c r="Q290" t="n">
        <v>1</v>
      </c>
      <c r="R290" s="2" t="inlineStr">
        <is>
          <t>Kolflarnlav</t>
        </is>
      </c>
      <c r="S290">
        <f>HYPERLINK("https://klasma.github.io/Logging_2161/artfynd/A 53286-2023 artfynd.xlsx", "A 53286-2023")</f>
        <v/>
      </c>
      <c r="T290">
        <f>HYPERLINK("https://klasma.github.io/Logging_2161/kartor/A 53286-2023 karta.png", "A 53286-2023")</f>
        <v/>
      </c>
      <c r="V290">
        <f>HYPERLINK("https://klasma.github.io/Logging_2161/klagomål/A 53286-2023 FSC-klagomål.docx", "A 53286-2023")</f>
        <v/>
      </c>
      <c r="W290">
        <f>HYPERLINK("https://klasma.github.io/Logging_2161/klagomålsmail/A 53286-2023 FSC-klagomål mail.docx", "A 53286-2023")</f>
        <v/>
      </c>
      <c r="X290">
        <f>HYPERLINK("https://klasma.github.io/Logging_2161/tillsyn/A 53286-2023 tillsynsbegäran.docx", "A 53286-2023")</f>
        <v/>
      </c>
      <c r="Y290">
        <f>HYPERLINK("https://klasma.github.io/Logging_2161/tillsynsmail/A 53286-2023 tillsynsbegäran mail.docx", "A 53286-2023")</f>
        <v/>
      </c>
    </row>
    <row r="291" ht="15" customHeight="1">
      <c r="A291" t="inlineStr">
        <is>
          <t>A 40943-2023</t>
        </is>
      </c>
      <c r="B291" s="1" t="n">
        <v>45173</v>
      </c>
      <c r="C291" s="1" t="n">
        <v>46036</v>
      </c>
      <c r="D291" t="inlineStr">
        <is>
          <t>GÄVLEBORGS LÄN</t>
        </is>
      </c>
      <c r="E291" t="inlineStr">
        <is>
          <t>LJUSDAL</t>
        </is>
      </c>
      <c r="G291" t="n">
        <v>5.8</v>
      </c>
      <c r="H291" t="n">
        <v>0</v>
      </c>
      <c r="I291" t="n">
        <v>0</v>
      </c>
      <c r="J291" t="n">
        <v>1</v>
      </c>
      <c r="K291" t="n">
        <v>0</v>
      </c>
      <c r="L291" t="n">
        <v>0</v>
      </c>
      <c r="M291" t="n">
        <v>0</v>
      </c>
      <c r="N291" t="n">
        <v>0</v>
      </c>
      <c r="O291" t="n">
        <v>1</v>
      </c>
      <c r="P291" t="n">
        <v>0</v>
      </c>
      <c r="Q291" t="n">
        <v>1</v>
      </c>
      <c r="R291" s="2" t="inlineStr">
        <is>
          <t>Mörk kolflarnlav</t>
        </is>
      </c>
      <c r="S291">
        <f>HYPERLINK("https://klasma.github.io/Logging_2161/artfynd/A 40943-2023 artfynd.xlsx", "A 40943-2023")</f>
        <v/>
      </c>
      <c r="T291">
        <f>HYPERLINK("https://klasma.github.io/Logging_2161/kartor/A 40943-2023 karta.png", "A 40943-2023")</f>
        <v/>
      </c>
      <c r="V291">
        <f>HYPERLINK("https://klasma.github.io/Logging_2161/klagomål/A 40943-2023 FSC-klagomål.docx", "A 40943-2023")</f>
        <v/>
      </c>
      <c r="W291">
        <f>HYPERLINK("https://klasma.github.io/Logging_2161/klagomålsmail/A 40943-2023 FSC-klagomål mail.docx", "A 40943-2023")</f>
        <v/>
      </c>
      <c r="X291">
        <f>HYPERLINK("https://klasma.github.io/Logging_2161/tillsyn/A 40943-2023 tillsynsbegäran.docx", "A 40943-2023")</f>
        <v/>
      </c>
      <c r="Y291">
        <f>HYPERLINK("https://klasma.github.io/Logging_2161/tillsynsmail/A 40943-2023 tillsynsbegäran mail.docx", "A 40943-2023")</f>
        <v/>
      </c>
    </row>
    <row r="292" ht="15" customHeight="1">
      <c r="A292" t="inlineStr">
        <is>
          <t>A 17471-2025</t>
        </is>
      </c>
      <c r="B292" s="1" t="n">
        <v>45757.47829861111</v>
      </c>
      <c r="C292" s="1" t="n">
        <v>46036</v>
      </c>
      <c r="D292" t="inlineStr">
        <is>
          <t>GÄVLEBORGS LÄN</t>
        </is>
      </c>
      <c r="E292" t="inlineStr">
        <is>
          <t>LJUSDAL</t>
        </is>
      </c>
      <c r="F292" t="inlineStr">
        <is>
          <t>Sveaskog</t>
        </is>
      </c>
      <c r="G292" t="n">
        <v>1.6</v>
      </c>
      <c r="H292" t="n">
        <v>0</v>
      </c>
      <c r="I292" t="n">
        <v>0</v>
      </c>
      <c r="J292" t="n">
        <v>1</v>
      </c>
      <c r="K292" t="n">
        <v>0</v>
      </c>
      <c r="L292" t="n">
        <v>0</v>
      </c>
      <c r="M292" t="n">
        <v>0</v>
      </c>
      <c r="N292" t="n">
        <v>0</v>
      </c>
      <c r="O292" t="n">
        <v>1</v>
      </c>
      <c r="P292" t="n">
        <v>0</v>
      </c>
      <c r="Q292" t="n">
        <v>1</v>
      </c>
      <c r="R292" s="2" t="inlineStr">
        <is>
          <t>Kolflarnlav</t>
        </is>
      </c>
      <c r="S292">
        <f>HYPERLINK("https://klasma.github.io/Logging_2161/artfynd/A 17471-2025 artfynd.xlsx", "A 17471-2025")</f>
        <v/>
      </c>
      <c r="T292">
        <f>HYPERLINK("https://klasma.github.io/Logging_2161/kartor/A 17471-2025 karta.png", "A 17471-2025")</f>
        <v/>
      </c>
      <c r="V292">
        <f>HYPERLINK("https://klasma.github.io/Logging_2161/klagomål/A 17471-2025 FSC-klagomål.docx", "A 17471-2025")</f>
        <v/>
      </c>
      <c r="W292">
        <f>HYPERLINK("https://klasma.github.io/Logging_2161/klagomålsmail/A 17471-2025 FSC-klagomål mail.docx", "A 17471-2025")</f>
        <v/>
      </c>
      <c r="X292">
        <f>HYPERLINK("https://klasma.github.io/Logging_2161/tillsyn/A 17471-2025 tillsynsbegäran.docx", "A 17471-2025")</f>
        <v/>
      </c>
      <c r="Y292">
        <f>HYPERLINK("https://klasma.github.io/Logging_2161/tillsynsmail/A 17471-2025 tillsynsbegäran mail.docx", "A 17471-2025")</f>
        <v/>
      </c>
    </row>
    <row r="293" ht="15" customHeight="1">
      <c r="A293" t="inlineStr">
        <is>
          <t>A 22667-2024</t>
        </is>
      </c>
      <c r="B293" s="1" t="n">
        <v>45447.94438657408</v>
      </c>
      <c r="C293" s="1" t="n">
        <v>46036</v>
      </c>
      <c r="D293" t="inlineStr">
        <is>
          <t>GÄVLEBORGS LÄN</t>
        </is>
      </c>
      <c r="E293" t="inlineStr">
        <is>
          <t>LJUSDAL</t>
        </is>
      </c>
      <c r="F293" t="inlineStr">
        <is>
          <t>SCA</t>
        </is>
      </c>
      <c r="G293" t="n">
        <v>5.3</v>
      </c>
      <c r="H293" t="n">
        <v>1</v>
      </c>
      <c r="I293" t="n">
        <v>0</v>
      </c>
      <c r="J293" t="n">
        <v>0</v>
      </c>
      <c r="K293" t="n">
        <v>1</v>
      </c>
      <c r="L293" t="n">
        <v>0</v>
      </c>
      <c r="M293" t="n">
        <v>0</v>
      </c>
      <c r="N293" t="n">
        <v>0</v>
      </c>
      <c r="O293" t="n">
        <v>1</v>
      </c>
      <c r="P293" t="n">
        <v>1</v>
      </c>
      <c r="Q293" t="n">
        <v>1</v>
      </c>
      <c r="R293" s="2" t="inlineStr">
        <is>
          <t>Knärot</t>
        </is>
      </c>
      <c r="S293">
        <f>HYPERLINK("https://klasma.github.io/Logging_2161/artfynd/A 22667-2024 artfynd.xlsx", "A 22667-2024")</f>
        <v/>
      </c>
      <c r="T293">
        <f>HYPERLINK("https://klasma.github.io/Logging_2161/kartor/A 22667-2024 karta.png", "A 22667-2024")</f>
        <v/>
      </c>
      <c r="U293">
        <f>HYPERLINK("https://klasma.github.io/Logging_2161/knärot/A 22667-2024 karta knärot.png", "A 22667-2024")</f>
        <v/>
      </c>
      <c r="V293">
        <f>HYPERLINK("https://klasma.github.io/Logging_2161/klagomål/A 22667-2024 FSC-klagomål.docx", "A 22667-2024")</f>
        <v/>
      </c>
      <c r="W293">
        <f>HYPERLINK("https://klasma.github.io/Logging_2161/klagomålsmail/A 22667-2024 FSC-klagomål mail.docx", "A 22667-2024")</f>
        <v/>
      </c>
      <c r="X293">
        <f>HYPERLINK("https://klasma.github.io/Logging_2161/tillsyn/A 22667-2024 tillsynsbegäran.docx", "A 22667-2024")</f>
        <v/>
      </c>
      <c r="Y293">
        <f>HYPERLINK("https://klasma.github.io/Logging_2161/tillsynsmail/A 22667-2024 tillsynsbegäran mail.docx", "A 22667-2024")</f>
        <v/>
      </c>
    </row>
    <row r="294" ht="15" customHeight="1">
      <c r="A294" t="inlineStr">
        <is>
          <t>A 53508-2024</t>
        </is>
      </c>
      <c r="B294" s="1" t="n">
        <v>45614.59193287037</v>
      </c>
      <c r="C294" s="1" t="n">
        <v>46036</v>
      </c>
      <c r="D294" t="inlineStr">
        <is>
          <t>GÄVLEBORGS LÄN</t>
        </is>
      </c>
      <c r="E294" t="inlineStr">
        <is>
          <t>LJUSDAL</t>
        </is>
      </c>
      <c r="G294" t="n">
        <v>2.4</v>
      </c>
      <c r="H294" t="n">
        <v>0</v>
      </c>
      <c r="I294" t="n">
        <v>0</v>
      </c>
      <c r="J294" t="n">
        <v>1</v>
      </c>
      <c r="K294" t="n">
        <v>0</v>
      </c>
      <c r="L294" t="n">
        <v>0</v>
      </c>
      <c r="M294" t="n">
        <v>0</v>
      </c>
      <c r="N294" t="n">
        <v>0</v>
      </c>
      <c r="O294" t="n">
        <v>1</v>
      </c>
      <c r="P294" t="n">
        <v>0</v>
      </c>
      <c r="Q294" t="n">
        <v>1</v>
      </c>
      <c r="R294" s="2" t="inlineStr">
        <is>
          <t>Lunglav</t>
        </is>
      </c>
      <c r="S294">
        <f>HYPERLINK("https://klasma.github.io/Logging_2161/artfynd/A 53508-2024 artfynd.xlsx", "A 53508-2024")</f>
        <v/>
      </c>
      <c r="T294">
        <f>HYPERLINK("https://klasma.github.io/Logging_2161/kartor/A 53508-2024 karta.png", "A 53508-2024")</f>
        <v/>
      </c>
      <c r="V294">
        <f>HYPERLINK("https://klasma.github.io/Logging_2161/klagomål/A 53508-2024 FSC-klagomål.docx", "A 53508-2024")</f>
        <v/>
      </c>
      <c r="W294">
        <f>HYPERLINK("https://klasma.github.io/Logging_2161/klagomålsmail/A 53508-2024 FSC-klagomål mail.docx", "A 53508-2024")</f>
        <v/>
      </c>
      <c r="X294">
        <f>HYPERLINK("https://klasma.github.io/Logging_2161/tillsyn/A 53508-2024 tillsynsbegäran.docx", "A 53508-2024")</f>
        <v/>
      </c>
      <c r="Y294">
        <f>HYPERLINK("https://klasma.github.io/Logging_2161/tillsynsmail/A 53508-2024 tillsynsbegäran mail.docx", "A 53508-2024")</f>
        <v/>
      </c>
    </row>
    <row r="295" ht="15" customHeight="1">
      <c r="A295" t="inlineStr">
        <is>
          <t>A 21282-2025</t>
        </is>
      </c>
      <c r="B295" s="1" t="n">
        <v>45779.6665162037</v>
      </c>
      <c r="C295" s="1" t="n">
        <v>46036</v>
      </c>
      <c r="D295" t="inlineStr">
        <is>
          <t>GÄVLEBORGS LÄN</t>
        </is>
      </c>
      <c r="E295" t="inlineStr">
        <is>
          <t>LJUSDAL</t>
        </is>
      </c>
      <c r="F295" t="inlineStr">
        <is>
          <t>Sveaskog</t>
        </is>
      </c>
      <c r="G295" t="n">
        <v>9.6</v>
      </c>
      <c r="H295" t="n">
        <v>0</v>
      </c>
      <c r="I295" t="n">
        <v>0</v>
      </c>
      <c r="J295" t="n">
        <v>1</v>
      </c>
      <c r="K295" t="n">
        <v>0</v>
      </c>
      <c r="L295" t="n">
        <v>0</v>
      </c>
      <c r="M295" t="n">
        <v>0</v>
      </c>
      <c r="N295" t="n">
        <v>0</v>
      </c>
      <c r="O295" t="n">
        <v>1</v>
      </c>
      <c r="P295" t="n">
        <v>0</v>
      </c>
      <c r="Q295" t="n">
        <v>1</v>
      </c>
      <c r="R295" s="2" t="inlineStr">
        <is>
          <t>Lunglav</t>
        </is>
      </c>
      <c r="S295">
        <f>HYPERLINK("https://klasma.github.io/Logging_2161/artfynd/A 21282-2025 artfynd.xlsx", "A 21282-2025")</f>
        <v/>
      </c>
      <c r="T295">
        <f>HYPERLINK("https://klasma.github.io/Logging_2161/kartor/A 21282-2025 karta.png", "A 21282-2025")</f>
        <v/>
      </c>
      <c r="V295">
        <f>HYPERLINK("https://klasma.github.io/Logging_2161/klagomål/A 21282-2025 FSC-klagomål.docx", "A 21282-2025")</f>
        <v/>
      </c>
      <c r="W295">
        <f>HYPERLINK("https://klasma.github.io/Logging_2161/klagomålsmail/A 21282-2025 FSC-klagomål mail.docx", "A 21282-2025")</f>
        <v/>
      </c>
      <c r="X295">
        <f>HYPERLINK("https://klasma.github.io/Logging_2161/tillsyn/A 21282-2025 tillsynsbegäran.docx", "A 21282-2025")</f>
        <v/>
      </c>
      <c r="Y295">
        <f>HYPERLINK("https://klasma.github.io/Logging_2161/tillsynsmail/A 21282-2025 tillsynsbegäran mail.docx", "A 21282-2025")</f>
        <v/>
      </c>
    </row>
    <row r="296" ht="15" customHeight="1">
      <c r="A296" t="inlineStr">
        <is>
          <t>A 22756-2025</t>
        </is>
      </c>
      <c r="B296" s="1" t="n">
        <v>45789.61898148148</v>
      </c>
      <c r="C296" s="1" t="n">
        <v>46036</v>
      </c>
      <c r="D296" t="inlineStr">
        <is>
          <t>GÄVLEBORGS LÄN</t>
        </is>
      </c>
      <c r="E296" t="inlineStr">
        <is>
          <t>LJUSDAL</t>
        </is>
      </c>
      <c r="F296" t="inlineStr">
        <is>
          <t>Sveaskog</t>
        </is>
      </c>
      <c r="G296" t="n">
        <v>6.7</v>
      </c>
      <c r="H296" t="n">
        <v>0</v>
      </c>
      <c r="I296" t="n">
        <v>0</v>
      </c>
      <c r="J296" t="n">
        <v>1</v>
      </c>
      <c r="K296" t="n">
        <v>0</v>
      </c>
      <c r="L296" t="n">
        <v>0</v>
      </c>
      <c r="M296" t="n">
        <v>0</v>
      </c>
      <c r="N296" t="n">
        <v>0</v>
      </c>
      <c r="O296" t="n">
        <v>1</v>
      </c>
      <c r="P296" t="n">
        <v>0</v>
      </c>
      <c r="Q296" t="n">
        <v>1</v>
      </c>
      <c r="R296" s="2" t="inlineStr">
        <is>
          <t>Lunglav</t>
        </is>
      </c>
      <c r="S296">
        <f>HYPERLINK("https://klasma.github.io/Logging_2161/artfynd/A 22756-2025 artfynd.xlsx", "A 22756-2025")</f>
        <v/>
      </c>
      <c r="T296">
        <f>HYPERLINK("https://klasma.github.io/Logging_2161/kartor/A 22756-2025 karta.png", "A 22756-2025")</f>
        <v/>
      </c>
      <c r="V296">
        <f>HYPERLINK("https://klasma.github.io/Logging_2161/klagomål/A 22756-2025 FSC-klagomål.docx", "A 22756-2025")</f>
        <v/>
      </c>
      <c r="W296">
        <f>HYPERLINK("https://klasma.github.io/Logging_2161/klagomålsmail/A 22756-2025 FSC-klagomål mail.docx", "A 22756-2025")</f>
        <v/>
      </c>
      <c r="X296">
        <f>HYPERLINK("https://klasma.github.io/Logging_2161/tillsyn/A 22756-2025 tillsynsbegäran.docx", "A 22756-2025")</f>
        <v/>
      </c>
      <c r="Y296">
        <f>HYPERLINK("https://klasma.github.io/Logging_2161/tillsynsmail/A 22756-2025 tillsynsbegäran mail.docx", "A 22756-2025")</f>
        <v/>
      </c>
    </row>
    <row r="297" ht="15" customHeight="1">
      <c r="A297" t="inlineStr">
        <is>
          <t>A 23829-2025</t>
        </is>
      </c>
      <c r="B297" s="1" t="n">
        <v>45793.59726851852</v>
      </c>
      <c r="C297" s="1" t="n">
        <v>46036</v>
      </c>
      <c r="D297" t="inlineStr">
        <is>
          <t>GÄVLEBORGS LÄN</t>
        </is>
      </c>
      <c r="E297" t="inlineStr">
        <is>
          <t>LJUSDAL</t>
        </is>
      </c>
      <c r="F297" t="inlineStr">
        <is>
          <t>Sveaskog</t>
        </is>
      </c>
      <c r="G297" t="n">
        <v>14.6</v>
      </c>
      <c r="H297" t="n">
        <v>0</v>
      </c>
      <c r="I297" t="n">
        <v>0</v>
      </c>
      <c r="J297" t="n">
        <v>1</v>
      </c>
      <c r="K297" t="n">
        <v>0</v>
      </c>
      <c r="L297" t="n">
        <v>0</v>
      </c>
      <c r="M297" t="n">
        <v>0</v>
      </c>
      <c r="N297" t="n">
        <v>0</v>
      </c>
      <c r="O297" t="n">
        <v>1</v>
      </c>
      <c r="P297" t="n">
        <v>0</v>
      </c>
      <c r="Q297" t="n">
        <v>1</v>
      </c>
      <c r="R297" s="2" t="inlineStr">
        <is>
          <t>Kolflarnlav</t>
        </is>
      </c>
      <c r="S297">
        <f>HYPERLINK("https://klasma.github.io/Logging_2161/artfynd/A 23829-2025 artfynd.xlsx", "A 23829-2025")</f>
        <v/>
      </c>
      <c r="T297">
        <f>HYPERLINK("https://klasma.github.io/Logging_2161/kartor/A 23829-2025 karta.png", "A 23829-2025")</f>
        <v/>
      </c>
      <c r="V297">
        <f>HYPERLINK("https://klasma.github.io/Logging_2161/klagomål/A 23829-2025 FSC-klagomål.docx", "A 23829-2025")</f>
        <v/>
      </c>
      <c r="W297">
        <f>HYPERLINK("https://klasma.github.io/Logging_2161/klagomålsmail/A 23829-2025 FSC-klagomål mail.docx", "A 23829-2025")</f>
        <v/>
      </c>
      <c r="X297">
        <f>HYPERLINK("https://klasma.github.io/Logging_2161/tillsyn/A 23829-2025 tillsynsbegäran.docx", "A 23829-2025")</f>
        <v/>
      </c>
      <c r="Y297">
        <f>HYPERLINK("https://klasma.github.io/Logging_2161/tillsynsmail/A 23829-2025 tillsynsbegäran mail.docx", "A 23829-2025")</f>
        <v/>
      </c>
    </row>
    <row r="298" ht="15" customHeight="1">
      <c r="A298" t="inlineStr">
        <is>
          <t>A 31125-2023</t>
        </is>
      </c>
      <c r="B298" s="1" t="n">
        <v>45113.69546296296</v>
      </c>
      <c r="C298" s="1" t="n">
        <v>46036</v>
      </c>
      <c r="D298" t="inlineStr">
        <is>
          <t>GÄVLEBORGS LÄN</t>
        </is>
      </c>
      <c r="E298" t="inlineStr">
        <is>
          <t>LJUSDAL</t>
        </is>
      </c>
      <c r="F298" t="inlineStr">
        <is>
          <t>Sveaskog</t>
        </is>
      </c>
      <c r="G298" t="n">
        <v>1.8</v>
      </c>
      <c r="H298" t="n">
        <v>0</v>
      </c>
      <c r="I298" t="n">
        <v>1</v>
      </c>
      <c r="J298" t="n">
        <v>0</v>
      </c>
      <c r="K298" t="n">
        <v>0</v>
      </c>
      <c r="L298" t="n">
        <v>0</v>
      </c>
      <c r="M298" t="n">
        <v>0</v>
      </c>
      <c r="N298" t="n">
        <v>0</v>
      </c>
      <c r="O298" t="n">
        <v>0</v>
      </c>
      <c r="P298" t="n">
        <v>0</v>
      </c>
      <c r="Q298" t="n">
        <v>1</v>
      </c>
      <c r="R298" s="2" t="inlineStr">
        <is>
          <t>Stuplav</t>
        </is>
      </c>
      <c r="S298">
        <f>HYPERLINK("https://klasma.github.io/Logging_2161/artfynd/A 31125-2023 artfynd.xlsx", "A 31125-2023")</f>
        <v/>
      </c>
      <c r="T298">
        <f>HYPERLINK("https://klasma.github.io/Logging_2161/kartor/A 31125-2023 karta.png", "A 31125-2023")</f>
        <v/>
      </c>
      <c r="V298">
        <f>HYPERLINK("https://klasma.github.io/Logging_2161/klagomål/A 31125-2023 FSC-klagomål.docx", "A 31125-2023")</f>
        <v/>
      </c>
      <c r="W298">
        <f>HYPERLINK("https://klasma.github.io/Logging_2161/klagomålsmail/A 31125-2023 FSC-klagomål mail.docx", "A 31125-2023")</f>
        <v/>
      </c>
      <c r="X298">
        <f>HYPERLINK("https://klasma.github.io/Logging_2161/tillsyn/A 31125-2023 tillsynsbegäran.docx", "A 31125-2023")</f>
        <v/>
      </c>
      <c r="Y298">
        <f>HYPERLINK("https://klasma.github.io/Logging_2161/tillsynsmail/A 31125-2023 tillsynsbegäran mail.docx", "A 31125-2023")</f>
        <v/>
      </c>
    </row>
    <row r="299" ht="15" customHeight="1">
      <c r="A299" t="inlineStr">
        <is>
          <t>A 24831-2025</t>
        </is>
      </c>
      <c r="B299" s="1" t="n">
        <v>45799.45872685185</v>
      </c>
      <c r="C299" s="1" t="n">
        <v>46036</v>
      </c>
      <c r="D299" t="inlineStr">
        <is>
          <t>GÄVLEBORGS LÄN</t>
        </is>
      </c>
      <c r="E299" t="inlineStr">
        <is>
          <t>LJUSDAL</t>
        </is>
      </c>
      <c r="F299" t="inlineStr">
        <is>
          <t>Sveaskog</t>
        </is>
      </c>
      <c r="G299" t="n">
        <v>25.9</v>
      </c>
      <c r="H299" t="n">
        <v>0</v>
      </c>
      <c r="I299" t="n">
        <v>0</v>
      </c>
      <c r="J299" t="n">
        <v>1</v>
      </c>
      <c r="K299" t="n">
        <v>0</v>
      </c>
      <c r="L299" t="n">
        <v>0</v>
      </c>
      <c r="M299" t="n">
        <v>0</v>
      </c>
      <c r="N299" t="n">
        <v>0</v>
      </c>
      <c r="O299" t="n">
        <v>1</v>
      </c>
      <c r="P299" t="n">
        <v>0</v>
      </c>
      <c r="Q299" t="n">
        <v>1</v>
      </c>
      <c r="R299" s="2" t="inlineStr">
        <is>
          <t>Lunglav</t>
        </is>
      </c>
      <c r="S299">
        <f>HYPERLINK("https://klasma.github.io/Logging_2161/artfynd/A 24831-2025 artfynd.xlsx", "A 24831-2025")</f>
        <v/>
      </c>
      <c r="T299">
        <f>HYPERLINK("https://klasma.github.io/Logging_2161/kartor/A 24831-2025 karta.png", "A 24831-2025")</f>
        <v/>
      </c>
      <c r="V299">
        <f>HYPERLINK("https://klasma.github.io/Logging_2161/klagomål/A 24831-2025 FSC-klagomål.docx", "A 24831-2025")</f>
        <v/>
      </c>
      <c r="W299">
        <f>HYPERLINK("https://klasma.github.io/Logging_2161/klagomålsmail/A 24831-2025 FSC-klagomål mail.docx", "A 24831-2025")</f>
        <v/>
      </c>
      <c r="X299">
        <f>HYPERLINK("https://klasma.github.io/Logging_2161/tillsyn/A 24831-2025 tillsynsbegäran.docx", "A 24831-2025")</f>
        <v/>
      </c>
      <c r="Y299">
        <f>HYPERLINK("https://klasma.github.io/Logging_2161/tillsynsmail/A 24831-2025 tillsynsbegäran mail.docx", "A 24831-2025")</f>
        <v/>
      </c>
    </row>
    <row r="300" ht="15" customHeight="1">
      <c r="A300" t="inlineStr">
        <is>
          <t>A 24959-2025</t>
        </is>
      </c>
      <c r="B300" s="1" t="n">
        <v>45799.57641203704</v>
      </c>
      <c r="C300" s="1" t="n">
        <v>46036</v>
      </c>
      <c r="D300" t="inlineStr">
        <is>
          <t>GÄVLEBORGS LÄN</t>
        </is>
      </c>
      <c r="E300" t="inlineStr">
        <is>
          <t>LJUSDAL</t>
        </is>
      </c>
      <c r="F300" t="inlineStr">
        <is>
          <t>Sveaskog</t>
        </is>
      </c>
      <c r="G300" t="n">
        <v>21.9</v>
      </c>
      <c r="H300" t="n">
        <v>0</v>
      </c>
      <c r="I300" t="n">
        <v>0</v>
      </c>
      <c r="J300" t="n">
        <v>1</v>
      </c>
      <c r="K300" t="n">
        <v>0</v>
      </c>
      <c r="L300" t="n">
        <v>0</v>
      </c>
      <c r="M300" t="n">
        <v>0</v>
      </c>
      <c r="N300" t="n">
        <v>0</v>
      </c>
      <c r="O300" t="n">
        <v>1</v>
      </c>
      <c r="P300" t="n">
        <v>0</v>
      </c>
      <c r="Q300" t="n">
        <v>1</v>
      </c>
      <c r="R300" s="2" t="inlineStr">
        <is>
          <t>Vedflamlav</t>
        </is>
      </c>
      <c r="S300">
        <f>HYPERLINK("https://klasma.github.io/Logging_2161/artfynd/A 24959-2025 artfynd.xlsx", "A 24959-2025")</f>
        <v/>
      </c>
      <c r="T300">
        <f>HYPERLINK("https://klasma.github.io/Logging_2161/kartor/A 24959-2025 karta.png", "A 24959-2025")</f>
        <v/>
      </c>
      <c r="V300">
        <f>HYPERLINK("https://klasma.github.io/Logging_2161/klagomål/A 24959-2025 FSC-klagomål.docx", "A 24959-2025")</f>
        <v/>
      </c>
      <c r="W300">
        <f>HYPERLINK("https://klasma.github.io/Logging_2161/klagomålsmail/A 24959-2025 FSC-klagomål mail.docx", "A 24959-2025")</f>
        <v/>
      </c>
      <c r="X300">
        <f>HYPERLINK("https://klasma.github.io/Logging_2161/tillsyn/A 24959-2025 tillsynsbegäran.docx", "A 24959-2025")</f>
        <v/>
      </c>
      <c r="Y300">
        <f>HYPERLINK("https://klasma.github.io/Logging_2161/tillsynsmail/A 24959-2025 tillsynsbegäran mail.docx", "A 24959-2025")</f>
        <v/>
      </c>
    </row>
    <row r="301" ht="15" customHeight="1">
      <c r="A301" t="inlineStr">
        <is>
          <t>A 21786-2022</t>
        </is>
      </c>
      <c r="B301" s="1" t="n">
        <v>44708.54719907408</v>
      </c>
      <c r="C301" s="1" t="n">
        <v>46036</v>
      </c>
      <c r="D301" t="inlineStr">
        <is>
          <t>GÄVLEBORGS LÄN</t>
        </is>
      </c>
      <c r="E301" t="inlineStr">
        <is>
          <t>LJUSDAL</t>
        </is>
      </c>
      <c r="F301" t="inlineStr">
        <is>
          <t>Holmen skog AB</t>
        </is>
      </c>
      <c r="G301" t="n">
        <v>1</v>
      </c>
      <c r="H301" t="n">
        <v>0</v>
      </c>
      <c r="I301" t="n">
        <v>1</v>
      </c>
      <c r="J301" t="n">
        <v>0</v>
      </c>
      <c r="K301" t="n">
        <v>0</v>
      </c>
      <c r="L301" t="n">
        <v>0</v>
      </c>
      <c r="M301" t="n">
        <v>0</v>
      </c>
      <c r="N301" t="n">
        <v>0</v>
      </c>
      <c r="O301" t="n">
        <v>0</v>
      </c>
      <c r="P301" t="n">
        <v>0</v>
      </c>
      <c r="Q301" t="n">
        <v>1</v>
      </c>
      <c r="R301" s="2" t="inlineStr">
        <is>
          <t>Vågbandad barkbock</t>
        </is>
      </c>
      <c r="S301">
        <f>HYPERLINK("https://klasma.github.io/Logging_2161/artfynd/A 21786-2022 artfynd.xlsx", "A 21786-2022")</f>
        <v/>
      </c>
      <c r="T301">
        <f>HYPERLINK("https://klasma.github.io/Logging_2161/kartor/A 21786-2022 karta.png", "A 21786-2022")</f>
        <v/>
      </c>
      <c r="V301">
        <f>HYPERLINK("https://klasma.github.io/Logging_2161/klagomål/A 21786-2022 FSC-klagomål.docx", "A 21786-2022")</f>
        <v/>
      </c>
      <c r="W301">
        <f>HYPERLINK("https://klasma.github.io/Logging_2161/klagomålsmail/A 21786-2022 FSC-klagomål mail.docx", "A 21786-2022")</f>
        <v/>
      </c>
      <c r="X301">
        <f>HYPERLINK("https://klasma.github.io/Logging_2161/tillsyn/A 21786-2022 tillsynsbegäran.docx", "A 21786-2022")</f>
        <v/>
      </c>
      <c r="Y301">
        <f>HYPERLINK("https://klasma.github.io/Logging_2161/tillsynsmail/A 21786-2022 tillsynsbegäran mail.docx", "A 21786-2022")</f>
        <v/>
      </c>
    </row>
    <row r="302" ht="15" customHeight="1">
      <c r="A302" t="inlineStr">
        <is>
          <t>A 26202-2025</t>
        </is>
      </c>
      <c r="B302" s="1" t="n">
        <v>45805.50910879629</v>
      </c>
      <c r="C302" s="1" t="n">
        <v>46036</v>
      </c>
      <c r="D302" t="inlineStr">
        <is>
          <t>GÄVLEBORGS LÄN</t>
        </is>
      </c>
      <c r="E302" t="inlineStr">
        <is>
          <t>LJUSDAL</t>
        </is>
      </c>
      <c r="G302" t="n">
        <v>3.3</v>
      </c>
      <c r="H302" t="n">
        <v>0</v>
      </c>
      <c r="I302" t="n">
        <v>0</v>
      </c>
      <c r="J302" t="n">
        <v>1</v>
      </c>
      <c r="K302" t="n">
        <v>0</v>
      </c>
      <c r="L302" t="n">
        <v>0</v>
      </c>
      <c r="M302" t="n">
        <v>0</v>
      </c>
      <c r="N302" t="n">
        <v>0</v>
      </c>
      <c r="O302" t="n">
        <v>1</v>
      </c>
      <c r="P302" t="n">
        <v>0</v>
      </c>
      <c r="Q302" t="n">
        <v>1</v>
      </c>
      <c r="R302" s="2" t="inlineStr">
        <is>
          <t>Violettgrå tagellav</t>
        </is>
      </c>
      <c r="S302">
        <f>HYPERLINK("https://klasma.github.io/Logging_2161/artfynd/A 26202-2025 artfynd.xlsx", "A 26202-2025")</f>
        <v/>
      </c>
      <c r="T302">
        <f>HYPERLINK("https://klasma.github.io/Logging_2161/kartor/A 26202-2025 karta.png", "A 26202-2025")</f>
        <v/>
      </c>
      <c r="V302">
        <f>HYPERLINK("https://klasma.github.io/Logging_2161/klagomål/A 26202-2025 FSC-klagomål.docx", "A 26202-2025")</f>
        <v/>
      </c>
      <c r="W302">
        <f>HYPERLINK("https://klasma.github.io/Logging_2161/klagomålsmail/A 26202-2025 FSC-klagomål mail.docx", "A 26202-2025")</f>
        <v/>
      </c>
      <c r="X302">
        <f>HYPERLINK("https://klasma.github.io/Logging_2161/tillsyn/A 26202-2025 tillsynsbegäran.docx", "A 26202-2025")</f>
        <v/>
      </c>
      <c r="Y302">
        <f>HYPERLINK("https://klasma.github.io/Logging_2161/tillsynsmail/A 26202-2025 tillsynsbegäran mail.docx", "A 26202-2025")</f>
        <v/>
      </c>
    </row>
    <row r="303" ht="15" customHeight="1">
      <c r="A303" t="inlineStr">
        <is>
          <t>A 30629-2022</t>
        </is>
      </c>
      <c r="B303" s="1" t="n">
        <v>44763.44366898148</v>
      </c>
      <c r="C303" s="1" t="n">
        <v>46036</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46036</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46036</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46036</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46036</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46036</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46036</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46036</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46036</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46036</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46036</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46036</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46036</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46036</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46036</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46036</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46036</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46036</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46036</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46036</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46036</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46036</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46036</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46036</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46036</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46036</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46036</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46036</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46036</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46036</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73750-2021</t>
        </is>
      </c>
      <c r="B333" s="1" t="n">
        <v>44552</v>
      </c>
      <c r="C333" s="1" t="n">
        <v>46036</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46036</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46036</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52839-2021</t>
        </is>
      </c>
      <c r="B336" s="1" t="n">
        <v>44467.4345949074</v>
      </c>
      <c r="C336" s="1" t="n">
        <v>46036</v>
      </c>
      <c r="D336" t="inlineStr">
        <is>
          <t>GÄVLEBORGS LÄN</t>
        </is>
      </c>
      <c r="E336" t="inlineStr">
        <is>
          <t>LJUSDAL</t>
        </is>
      </c>
      <c r="F336" t="inlineStr">
        <is>
          <t>Holmen skog AB</t>
        </is>
      </c>
      <c r="G336" t="n">
        <v>14.9</v>
      </c>
      <c r="H336" t="n">
        <v>0</v>
      </c>
      <c r="I336" t="n">
        <v>0</v>
      </c>
      <c r="J336" t="n">
        <v>0</v>
      </c>
      <c r="K336" t="n">
        <v>0</v>
      </c>
      <c r="L336" t="n">
        <v>0</v>
      </c>
      <c r="M336" t="n">
        <v>0</v>
      </c>
      <c r="N336" t="n">
        <v>0</v>
      </c>
      <c r="O336" t="n">
        <v>0</v>
      </c>
      <c r="P336" t="n">
        <v>0</v>
      </c>
      <c r="Q336" t="n">
        <v>0</v>
      </c>
      <c r="R336" s="2" t="inlineStr"/>
    </row>
    <row r="337" ht="15" customHeight="1">
      <c r="A337" t="inlineStr">
        <is>
          <t>A 34419-2022</t>
        </is>
      </c>
      <c r="B337" s="1" t="n">
        <v>44792</v>
      </c>
      <c r="C337" s="1" t="n">
        <v>46036</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19892-2022</t>
        </is>
      </c>
      <c r="B338" s="1" t="n">
        <v>44697</v>
      </c>
      <c r="C338" s="1" t="n">
        <v>46036</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43109-2021</t>
        </is>
      </c>
      <c r="B339" s="1" t="n">
        <v>44431.61394675926</v>
      </c>
      <c r="C339" s="1" t="n">
        <v>46036</v>
      </c>
      <c r="D339" t="inlineStr">
        <is>
          <t>GÄVLEBORGS LÄN</t>
        </is>
      </c>
      <c r="E339" t="inlineStr">
        <is>
          <t>LJUSDAL</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55055-2022</t>
        </is>
      </c>
      <c r="B340" s="1" t="n">
        <v>44886.58072916666</v>
      </c>
      <c r="C340" s="1" t="n">
        <v>46036</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46036</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46036</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24340-2022</t>
        </is>
      </c>
      <c r="B343" s="1" t="n">
        <v>44726</v>
      </c>
      <c r="C343" s="1" t="n">
        <v>46036</v>
      </c>
      <c r="D343" t="inlineStr">
        <is>
          <t>GÄVLEBORGS LÄN</t>
        </is>
      </c>
      <c r="E343" t="inlineStr">
        <is>
          <t>LJUSDAL</t>
        </is>
      </c>
      <c r="G343" t="n">
        <v>0.9</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46036</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46036</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46036</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46036</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46036</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46036</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46036</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46036</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46036</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46036</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46036</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46036</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46036</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46036</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46036</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46036</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46036</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46036</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24894-2021</t>
        </is>
      </c>
      <c r="B362" s="1" t="n">
        <v>44341</v>
      </c>
      <c r="C362" s="1" t="n">
        <v>46036</v>
      </c>
      <c r="D362" t="inlineStr">
        <is>
          <t>GÄVLEBORGS LÄN</t>
        </is>
      </c>
      <c r="E362" t="inlineStr">
        <is>
          <t>LJUSDAL</t>
        </is>
      </c>
      <c r="G362" t="n">
        <v>2.8</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46036</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46036</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51853-2022</t>
        </is>
      </c>
      <c r="B365" s="1" t="n">
        <v>44872</v>
      </c>
      <c r="C365" s="1" t="n">
        <v>46036</v>
      </c>
      <c r="D365" t="inlineStr">
        <is>
          <t>GÄVLEBORGS LÄN</t>
        </is>
      </c>
      <c r="E365" t="inlineStr">
        <is>
          <t>LJUSDAL</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46036</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46036</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46036</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46036</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46036</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46036</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46036</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46036</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46036</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46036</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46036</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46036</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46036</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46036</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46036</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46036</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46036</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62650-2021</t>
        </is>
      </c>
      <c r="B383" s="1" t="n">
        <v>44503.92040509259</v>
      </c>
      <c r="C383" s="1" t="n">
        <v>46036</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46036</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46036</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46036</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46036</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46036</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46036</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46036</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46036</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46036</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46036</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46036</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46036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46036</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46036</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46036</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46036</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46036</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46036</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3098-2022</t>
        </is>
      </c>
      <c r="B402" s="1" t="n">
        <v>44582</v>
      </c>
      <c r="C402" s="1" t="n">
        <v>46036</v>
      </c>
      <c r="D402" t="inlineStr">
        <is>
          <t>GÄVLEBORGS LÄN</t>
        </is>
      </c>
      <c r="E402" t="inlineStr">
        <is>
          <t>LJUSDAL</t>
        </is>
      </c>
      <c r="G402" t="n">
        <v>0.1</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46036</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46036</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46036</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46036</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46036</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46036</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46036</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46036</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46036</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46036</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46036</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46036</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46036</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46036</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46036</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46036</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46036</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46036</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46036</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46036</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46036</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46036</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46036</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46036</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46036</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46036</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46036</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46036</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46036</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46036</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46036</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46036</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46036</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33626-2022</t>
        </is>
      </c>
      <c r="B436" s="1" t="n">
        <v>44789</v>
      </c>
      <c r="C436" s="1" t="n">
        <v>46036</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44256-2021</t>
        </is>
      </c>
      <c r="B437" s="1" t="n">
        <v>44435.24907407408</v>
      </c>
      <c r="C437" s="1" t="n">
        <v>46036</v>
      </c>
      <c r="D437" t="inlineStr">
        <is>
          <t>GÄVLEBORGS LÄN</t>
        </is>
      </c>
      <c r="E437" t="inlineStr">
        <is>
          <t>LJUSDAL</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23957-2022</t>
        </is>
      </c>
      <c r="B438" s="1" t="n">
        <v>44722.68072916667</v>
      </c>
      <c r="C438" s="1" t="n">
        <v>46036</v>
      </c>
      <c r="D438" t="inlineStr">
        <is>
          <t>GÄVLEBORGS LÄN</t>
        </is>
      </c>
      <c r="E438" t="inlineStr">
        <is>
          <t>LJUSDAL</t>
        </is>
      </c>
      <c r="G438" t="n">
        <v>1.6</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46036</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46036</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46036</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46036</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46036</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46036</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46036</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46036</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46036</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46036</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46036</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46036</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46036</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46036</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46036</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46036</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66208-2021</t>
        </is>
      </c>
      <c r="B455" s="1" t="n">
        <v>44518.35971064815</v>
      </c>
      <c r="C455" s="1" t="n">
        <v>46036</v>
      </c>
      <c r="D455" t="inlineStr">
        <is>
          <t>GÄVLEBORGS LÄN</t>
        </is>
      </c>
      <c r="E455" t="inlineStr">
        <is>
          <t>LJUSDAL</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71698-2021</t>
        </is>
      </c>
      <c r="B456" s="1" t="n">
        <v>44543.43693287037</v>
      </c>
      <c r="C456" s="1" t="n">
        <v>46036</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62146-2021</t>
        </is>
      </c>
      <c r="B457" s="1" t="n">
        <v>44502</v>
      </c>
      <c r="C457" s="1" t="n">
        <v>46036</v>
      </c>
      <c r="D457" t="inlineStr">
        <is>
          <t>GÄVLEBORGS LÄN</t>
        </is>
      </c>
      <c r="E457" t="inlineStr">
        <is>
          <t>LJUSDAL</t>
        </is>
      </c>
      <c r="G457" t="n">
        <v>6</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46036</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46036</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46036</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37402-2021</t>
        </is>
      </c>
      <c r="B461" s="1" t="n">
        <v>44398.41361111111</v>
      </c>
      <c r="C461" s="1" t="n">
        <v>46036</v>
      </c>
      <c r="D461" t="inlineStr">
        <is>
          <t>GÄVLEBORGS LÄN</t>
        </is>
      </c>
      <c r="E461" t="inlineStr">
        <is>
          <t>LJUSDAL</t>
        </is>
      </c>
      <c r="G461" t="n">
        <v>1.7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46036</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46036</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46036</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46036</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46036</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46036</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46036</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46036</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46036</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46036</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46036</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32238-2022</t>
        </is>
      </c>
      <c r="B473" s="1" t="n">
        <v>44781</v>
      </c>
      <c r="C473" s="1" t="n">
        <v>46036</v>
      </c>
      <c r="D473" t="inlineStr">
        <is>
          <t>GÄVLEBORGS LÄN</t>
        </is>
      </c>
      <c r="E473" t="inlineStr">
        <is>
          <t>LJUSDAL</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5614-2022</t>
        </is>
      </c>
      <c r="B474" s="1" t="n">
        <v>44595</v>
      </c>
      <c r="C474" s="1" t="n">
        <v>46036</v>
      </c>
      <c r="D474" t="inlineStr">
        <is>
          <t>GÄVLEBORGS LÄN</t>
        </is>
      </c>
      <c r="E474" t="inlineStr">
        <is>
          <t>LJUSDAL</t>
        </is>
      </c>
      <c r="G474" t="n">
        <v>4.2</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46036</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46036</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9241-2023</t>
        </is>
      </c>
      <c r="B477" s="1" t="n">
        <v>44980</v>
      </c>
      <c r="C477" s="1" t="n">
        <v>46036</v>
      </c>
      <c r="D477" t="inlineStr">
        <is>
          <t>GÄVLEBORGS LÄN</t>
        </is>
      </c>
      <c r="E477" t="inlineStr">
        <is>
          <t>LJUSDAL</t>
        </is>
      </c>
      <c r="G477" t="n">
        <v>5.3</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46036</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24667-2024</t>
        </is>
      </c>
      <c r="B479" s="1" t="n">
        <v>45460.58346064815</v>
      </c>
      <c r="C479" s="1" t="n">
        <v>46036</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53450-2024</t>
        </is>
      </c>
      <c r="B480" s="1" t="n">
        <v>45614.5456712963</v>
      </c>
      <c r="C480" s="1" t="n">
        <v>46036</v>
      </c>
      <c r="D480" t="inlineStr">
        <is>
          <t>GÄVLEBORGS LÄN</t>
        </is>
      </c>
      <c r="E480" t="inlineStr">
        <is>
          <t>LJUSDAL</t>
        </is>
      </c>
      <c r="F480" t="inlineStr">
        <is>
          <t>Sveaskog</t>
        </is>
      </c>
      <c r="G480" t="n">
        <v>0.1</v>
      </c>
      <c r="H480" t="n">
        <v>0</v>
      </c>
      <c r="I480" t="n">
        <v>0</v>
      </c>
      <c r="J480" t="n">
        <v>0</v>
      </c>
      <c r="K480" t="n">
        <v>0</v>
      </c>
      <c r="L480" t="n">
        <v>0</v>
      </c>
      <c r="M480" t="n">
        <v>0</v>
      </c>
      <c r="N480" t="n">
        <v>0</v>
      </c>
      <c r="O480" t="n">
        <v>0</v>
      </c>
      <c r="P480" t="n">
        <v>0</v>
      </c>
      <c r="Q480" t="n">
        <v>0</v>
      </c>
      <c r="R480" s="2" t="inlineStr"/>
    </row>
    <row r="481" ht="15" customHeight="1">
      <c r="A481" t="inlineStr">
        <is>
          <t>A 49957-2024</t>
        </is>
      </c>
      <c r="B481" s="1" t="n">
        <v>45597.61802083333</v>
      </c>
      <c r="C481" s="1" t="n">
        <v>46036</v>
      </c>
      <c r="D481" t="inlineStr">
        <is>
          <t>GÄVLEBORGS LÄN</t>
        </is>
      </c>
      <c r="E481" t="inlineStr">
        <is>
          <t>LJUSDAL</t>
        </is>
      </c>
      <c r="G481" t="n">
        <v>4.6</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46036</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5415-2025</t>
        </is>
      </c>
      <c r="B483" s="1" t="n">
        <v>45692.67747685185</v>
      </c>
      <c r="C483" s="1" t="n">
        <v>46036</v>
      </c>
      <c r="D483" t="inlineStr">
        <is>
          <t>GÄVLEBORGS LÄN</t>
        </is>
      </c>
      <c r="E483" t="inlineStr">
        <is>
          <t>LJUSDAL</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2056-2025</t>
        </is>
      </c>
      <c r="B484" s="1" t="n">
        <v>45672.55016203703</v>
      </c>
      <c r="C484" s="1" t="n">
        <v>46036</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9191-2022</t>
        </is>
      </c>
      <c r="B485" s="1" t="n">
        <v>44615</v>
      </c>
      <c r="C485" s="1" t="n">
        <v>46036</v>
      </c>
      <c r="D485" t="inlineStr">
        <is>
          <t>GÄVLEBORGS LÄN</t>
        </is>
      </c>
      <c r="E485" t="inlineStr">
        <is>
          <t>LJUSDAL</t>
        </is>
      </c>
      <c r="G485" t="n">
        <v>1.5</v>
      </c>
      <c r="H485" t="n">
        <v>0</v>
      </c>
      <c r="I485" t="n">
        <v>0</v>
      </c>
      <c r="J485" t="n">
        <v>0</v>
      </c>
      <c r="K485" t="n">
        <v>0</v>
      </c>
      <c r="L485" t="n">
        <v>0</v>
      </c>
      <c r="M485" t="n">
        <v>0</v>
      </c>
      <c r="N485" t="n">
        <v>0</v>
      </c>
      <c r="O485" t="n">
        <v>0</v>
      </c>
      <c r="P485" t="n">
        <v>0</v>
      </c>
      <c r="Q485" t="n">
        <v>0</v>
      </c>
      <c r="R485" s="2" t="inlineStr"/>
    </row>
    <row r="486" ht="15" customHeight="1">
      <c r="A486" t="inlineStr">
        <is>
          <t>A 21941-2022</t>
        </is>
      </c>
      <c r="B486" s="1" t="n">
        <v>44711.48230324074</v>
      </c>
      <c r="C486" s="1" t="n">
        <v>46036</v>
      </c>
      <c r="D486" t="inlineStr">
        <is>
          <t>GÄVLEBORGS LÄN</t>
        </is>
      </c>
      <c r="E486" t="inlineStr">
        <is>
          <t>LJUSDAL</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6587-2021</t>
        </is>
      </c>
      <c r="B487" s="1" t="n">
        <v>44236</v>
      </c>
      <c r="C487" s="1" t="n">
        <v>46036</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48581-2021</t>
        </is>
      </c>
      <c r="B488" s="1" t="n">
        <v>44452.47513888889</v>
      </c>
      <c r="C488" s="1" t="n">
        <v>46036</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21346-2024</t>
        </is>
      </c>
      <c r="B489" s="1" t="n">
        <v>45440.92872685185</v>
      </c>
      <c r="C489" s="1" t="n">
        <v>46036</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21347-2024</t>
        </is>
      </c>
      <c r="B490" s="1" t="n">
        <v>45440.92880787037</v>
      </c>
      <c r="C490" s="1" t="n">
        <v>46036</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205-2025</t>
        </is>
      </c>
      <c r="B491" s="1" t="n">
        <v>45660.31962962963</v>
      </c>
      <c r="C491" s="1" t="n">
        <v>46036</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46036</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328-2024</t>
        </is>
      </c>
      <c r="B493" s="1" t="n">
        <v>45295</v>
      </c>
      <c r="C493" s="1" t="n">
        <v>46036</v>
      </c>
      <c r="D493" t="inlineStr">
        <is>
          <t>GÄVLEBORGS LÄN</t>
        </is>
      </c>
      <c r="E493" t="inlineStr">
        <is>
          <t>LJUSDAL</t>
        </is>
      </c>
      <c r="G493" t="n">
        <v>0.9</v>
      </c>
      <c r="H493" t="n">
        <v>0</v>
      </c>
      <c r="I493" t="n">
        <v>0</v>
      </c>
      <c r="J493" t="n">
        <v>0</v>
      </c>
      <c r="K493" t="n">
        <v>0</v>
      </c>
      <c r="L493" t="n">
        <v>0</v>
      </c>
      <c r="M493" t="n">
        <v>0</v>
      </c>
      <c r="N493" t="n">
        <v>0</v>
      </c>
      <c r="O493" t="n">
        <v>0</v>
      </c>
      <c r="P493" t="n">
        <v>0</v>
      </c>
      <c r="Q493" t="n">
        <v>0</v>
      </c>
      <c r="R493" s="2" t="inlineStr"/>
    </row>
    <row r="494" ht="15" customHeight="1">
      <c r="A494" t="inlineStr">
        <is>
          <t>A 28348-2023</t>
        </is>
      </c>
      <c r="B494" s="1" t="n">
        <v>45099.79817129629</v>
      </c>
      <c r="C494" s="1" t="n">
        <v>46036</v>
      </c>
      <c r="D494" t="inlineStr">
        <is>
          <t>GÄVLEBORGS LÄN</t>
        </is>
      </c>
      <c r="E494" t="inlineStr">
        <is>
          <t>LJUSDAL</t>
        </is>
      </c>
      <c r="G494" t="n">
        <v>2.6</v>
      </c>
      <c r="H494" t="n">
        <v>0</v>
      </c>
      <c r="I494" t="n">
        <v>0</v>
      </c>
      <c r="J494" t="n">
        <v>0</v>
      </c>
      <c r="K494" t="n">
        <v>0</v>
      </c>
      <c r="L494" t="n">
        <v>0</v>
      </c>
      <c r="M494" t="n">
        <v>0</v>
      </c>
      <c r="N494" t="n">
        <v>0</v>
      </c>
      <c r="O494" t="n">
        <v>0</v>
      </c>
      <c r="P494" t="n">
        <v>0</v>
      </c>
      <c r="Q494" t="n">
        <v>0</v>
      </c>
      <c r="R494" s="2" t="inlineStr"/>
    </row>
    <row r="495" ht="15" customHeight="1">
      <c r="A495" t="inlineStr">
        <is>
          <t>A 59883-2023</t>
        </is>
      </c>
      <c r="B495" s="1" t="n">
        <v>45257</v>
      </c>
      <c r="C495" s="1" t="n">
        <v>46036</v>
      </c>
      <c r="D495" t="inlineStr">
        <is>
          <t>GÄVLEBORGS LÄN</t>
        </is>
      </c>
      <c r="E495" t="inlineStr">
        <is>
          <t>LJUSDAL</t>
        </is>
      </c>
      <c r="G495" t="n">
        <v>16.6</v>
      </c>
      <c r="H495" t="n">
        <v>0</v>
      </c>
      <c r="I495" t="n">
        <v>0</v>
      </c>
      <c r="J495" t="n">
        <v>0</v>
      </c>
      <c r="K495" t="n">
        <v>0</v>
      </c>
      <c r="L495" t="n">
        <v>0</v>
      </c>
      <c r="M495" t="n">
        <v>0</v>
      </c>
      <c r="N495" t="n">
        <v>0</v>
      </c>
      <c r="O495" t="n">
        <v>0</v>
      </c>
      <c r="P495" t="n">
        <v>0</v>
      </c>
      <c r="Q495" t="n">
        <v>0</v>
      </c>
      <c r="R495" s="2" t="inlineStr"/>
    </row>
    <row r="496" ht="15" customHeight="1">
      <c r="A496" t="inlineStr">
        <is>
          <t>A 43180-2024</t>
        </is>
      </c>
      <c r="B496" s="1" t="n">
        <v>45567.66302083333</v>
      </c>
      <c r="C496" s="1" t="n">
        <v>46036</v>
      </c>
      <c r="D496" t="inlineStr">
        <is>
          <t>GÄVLEBORGS LÄN</t>
        </is>
      </c>
      <c r="E496" t="inlineStr">
        <is>
          <t>LJUSDAL</t>
        </is>
      </c>
      <c r="G496" t="n">
        <v>0.4</v>
      </c>
      <c r="H496" t="n">
        <v>0</v>
      </c>
      <c r="I496" t="n">
        <v>0</v>
      </c>
      <c r="J496" t="n">
        <v>0</v>
      </c>
      <c r="K496" t="n">
        <v>0</v>
      </c>
      <c r="L496" t="n">
        <v>0</v>
      </c>
      <c r="M496" t="n">
        <v>0</v>
      </c>
      <c r="N496" t="n">
        <v>0</v>
      </c>
      <c r="O496" t="n">
        <v>0</v>
      </c>
      <c r="P496" t="n">
        <v>0</v>
      </c>
      <c r="Q496" t="n">
        <v>0</v>
      </c>
      <c r="R496" s="2" t="inlineStr"/>
    </row>
    <row r="497" ht="15" customHeight="1">
      <c r="A497" t="inlineStr">
        <is>
          <t>A 21633-2024</t>
        </is>
      </c>
      <c r="B497" s="1" t="n">
        <v>45442.33913194444</v>
      </c>
      <c r="C497" s="1" t="n">
        <v>46036</v>
      </c>
      <c r="D497" t="inlineStr">
        <is>
          <t>GÄVLEBORGS LÄN</t>
        </is>
      </c>
      <c r="E497" t="inlineStr">
        <is>
          <t>LJUSDAL</t>
        </is>
      </c>
      <c r="G497" t="n">
        <v>3.1</v>
      </c>
      <c r="H497" t="n">
        <v>0</v>
      </c>
      <c r="I497" t="n">
        <v>0</v>
      </c>
      <c r="J497" t="n">
        <v>0</v>
      </c>
      <c r="K497" t="n">
        <v>0</v>
      </c>
      <c r="L497" t="n">
        <v>0</v>
      </c>
      <c r="M497" t="n">
        <v>0</v>
      </c>
      <c r="N497" t="n">
        <v>0</v>
      </c>
      <c r="O497" t="n">
        <v>0</v>
      </c>
      <c r="P497" t="n">
        <v>0</v>
      </c>
      <c r="Q497" t="n">
        <v>0</v>
      </c>
      <c r="R497" s="2" t="inlineStr"/>
    </row>
    <row r="498" ht="15" customHeight="1">
      <c r="A498" t="inlineStr">
        <is>
          <t>A 32879-2022</t>
        </is>
      </c>
      <c r="B498" s="1" t="n">
        <v>44784.54256944444</v>
      </c>
      <c r="C498" s="1" t="n">
        <v>46036</v>
      </c>
      <c r="D498" t="inlineStr">
        <is>
          <t>GÄVLEBORGS LÄN</t>
        </is>
      </c>
      <c r="E498" t="inlineStr">
        <is>
          <t>LJUSDAL</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24512-2022</t>
        </is>
      </c>
      <c r="B499" s="1" t="n">
        <v>44726</v>
      </c>
      <c r="C499" s="1" t="n">
        <v>46036</v>
      </c>
      <c r="D499" t="inlineStr">
        <is>
          <t>GÄVLEBORGS LÄN</t>
        </is>
      </c>
      <c r="E499" t="inlineStr">
        <is>
          <t>LJUSDAL</t>
        </is>
      </c>
      <c r="G499" t="n">
        <v>1.6</v>
      </c>
      <c r="H499" t="n">
        <v>0</v>
      </c>
      <c r="I499" t="n">
        <v>0</v>
      </c>
      <c r="J499" t="n">
        <v>0</v>
      </c>
      <c r="K499" t="n">
        <v>0</v>
      </c>
      <c r="L499" t="n">
        <v>0</v>
      </c>
      <c r="M499" t="n">
        <v>0</v>
      </c>
      <c r="N499" t="n">
        <v>0</v>
      </c>
      <c r="O499" t="n">
        <v>0</v>
      </c>
      <c r="P499" t="n">
        <v>0</v>
      </c>
      <c r="Q499" t="n">
        <v>0</v>
      </c>
      <c r="R499" s="2" t="inlineStr"/>
    </row>
    <row r="500" ht="15" customHeight="1">
      <c r="A500" t="inlineStr">
        <is>
          <t>A 11920-2025</t>
        </is>
      </c>
      <c r="B500" s="1" t="n">
        <v>45728.49407407407</v>
      </c>
      <c r="C500" s="1" t="n">
        <v>46036</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60197-2024</t>
        </is>
      </c>
      <c r="B501" s="1" t="n">
        <v>45642.6599537037</v>
      </c>
      <c r="C501" s="1" t="n">
        <v>46036</v>
      </c>
      <c r="D501" t="inlineStr">
        <is>
          <t>GÄVLEBORGS LÄN</t>
        </is>
      </c>
      <c r="E501" t="inlineStr">
        <is>
          <t>LJUSDAL</t>
        </is>
      </c>
      <c r="G501" t="n">
        <v>4.9</v>
      </c>
      <c r="H501" t="n">
        <v>0</v>
      </c>
      <c r="I501" t="n">
        <v>0</v>
      </c>
      <c r="J501" t="n">
        <v>0</v>
      </c>
      <c r="K501" t="n">
        <v>0</v>
      </c>
      <c r="L501" t="n">
        <v>0</v>
      </c>
      <c r="M501" t="n">
        <v>0</v>
      </c>
      <c r="N501" t="n">
        <v>0</v>
      </c>
      <c r="O501" t="n">
        <v>0</v>
      </c>
      <c r="P501" t="n">
        <v>0</v>
      </c>
      <c r="Q501" t="n">
        <v>0</v>
      </c>
      <c r="R501" s="2" t="inlineStr"/>
    </row>
    <row r="502" ht="15" customHeight="1">
      <c r="A502" t="inlineStr">
        <is>
          <t>A 42417-2024</t>
        </is>
      </c>
      <c r="B502" s="1" t="n">
        <v>45565.38208333333</v>
      </c>
      <c r="C502" s="1" t="n">
        <v>46036</v>
      </c>
      <c r="D502" t="inlineStr">
        <is>
          <t>GÄVLEBORGS LÄN</t>
        </is>
      </c>
      <c r="E502" t="inlineStr">
        <is>
          <t>LJUSDAL</t>
        </is>
      </c>
      <c r="G502" t="n">
        <v>5.3</v>
      </c>
      <c r="H502" t="n">
        <v>0</v>
      </c>
      <c r="I502" t="n">
        <v>0</v>
      </c>
      <c r="J502" t="n">
        <v>0</v>
      </c>
      <c r="K502" t="n">
        <v>0</v>
      </c>
      <c r="L502" t="n">
        <v>0</v>
      </c>
      <c r="M502" t="n">
        <v>0</v>
      </c>
      <c r="N502" t="n">
        <v>0</v>
      </c>
      <c r="O502" t="n">
        <v>0</v>
      </c>
      <c r="P502" t="n">
        <v>0</v>
      </c>
      <c r="Q502" t="n">
        <v>0</v>
      </c>
      <c r="R502" s="2" t="inlineStr"/>
    </row>
    <row r="503" ht="15" customHeight="1">
      <c r="A503" t="inlineStr">
        <is>
          <t>A 19954-2023</t>
        </is>
      </c>
      <c r="B503" s="1" t="n">
        <v>45054.54555555555</v>
      </c>
      <c r="C503" s="1" t="n">
        <v>46036</v>
      </c>
      <c r="D503" t="inlineStr">
        <is>
          <t>GÄVLEBORGS LÄN</t>
        </is>
      </c>
      <c r="E503" t="inlineStr">
        <is>
          <t>LJUSDAL</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50830-2024</t>
        </is>
      </c>
      <c r="B504" s="1" t="n">
        <v>45602.58806712963</v>
      </c>
      <c r="C504" s="1" t="n">
        <v>46036</v>
      </c>
      <c r="D504" t="inlineStr">
        <is>
          <t>GÄVLEBORGS LÄN</t>
        </is>
      </c>
      <c r="E504" t="inlineStr">
        <is>
          <t>LJUSDAL</t>
        </is>
      </c>
      <c r="F504" t="inlineStr">
        <is>
          <t>Holmen skog AB</t>
        </is>
      </c>
      <c r="G504" t="n">
        <v>16.9</v>
      </c>
      <c r="H504" t="n">
        <v>0</v>
      </c>
      <c r="I504" t="n">
        <v>0</v>
      </c>
      <c r="J504" t="n">
        <v>0</v>
      </c>
      <c r="K504" t="n">
        <v>0</v>
      </c>
      <c r="L504" t="n">
        <v>0</v>
      </c>
      <c r="M504" t="n">
        <v>0</v>
      </c>
      <c r="N504" t="n">
        <v>0</v>
      </c>
      <c r="O504" t="n">
        <v>0</v>
      </c>
      <c r="P504" t="n">
        <v>0</v>
      </c>
      <c r="Q504" t="n">
        <v>0</v>
      </c>
      <c r="R504" s="2" t="inlineStr"/>
    </row>
    <row r="505" ht="15" customHeight="1">
      <c r="A505" t="inlineStr">
        <is>
          <t>A 13551-2025</t>
        </is>
      </c>
      <c r="B505" s="1" t="n">
        <v>45736.54557870371</v>
      </c>
      <c r="C505" s="1" t="n">
        <v>46036</v>
      </c>
      <c r="D505" t="inlineStr">
        <is>
          <t>GÄVLEBORGS LÄN</t>
        </is>
      </c>
      <c r="E505" t="inlineStr">
        <is>
          <t>LJUSDAL</t>
        </is>
      </c>
      <c r="G505" t="n">
        <v>2.5</v>
      </c>
      <c r="H505" t="n">
        <v>0</v>
      </c>
      <c r="I505" t="n">
        <v>0</v>
      </c>
      <c r="J505" t="n">
        <v>0</v>
      </c>
      <c r="K505" t="n">
        <v>0</v>
      </c>
      <c r="L505" t="n">
        <v>0</v>
      </c>
      <c r="M505" t="n">
        <v>0</v>
      </c>
      <c r="N505" t="n">
        <v>0</v>
      </c>
      <c r="O505" t="n">
        <v>0</v>
      </c>
      <c r="P505" t="n">
        <v>0</v>
      </c>
      <c r="Q505" t="n">
        <v>0</v>
      </c>
      <c r="R505" s="2" t="inlineStr"/>
    </row>
    <row r="506" ht="15" customHeight="1">
      <c r="A506" t="inlineStr">
        <is>
          <t>A 59901-2022</t>
        </is>
      </c>
      <c r="B506" s="1" t="n">
        <v>44908.89185185185</v>
      </c>
      <c r="C506" s="1" t="n">
        <v>46036</v>
      </c>
      <c r="D506" t="inlineStr">
        <is>
          <t>GÄVLEBORGS LÄN</t>
        </is>
      </c>
      <c r="E506" t="inlineStr">
        <is>
          <t>LJUSDAL</t>
        </is>
      </c>
      <c r="G506" t="n">
        <v>10.3</v>
      </c>
      <c r="H506" t="n">
        <v>0</v>
      </c>
      <c r="I506" t="n">
        <v>0</v>
      </c>
      <c r="J506" t="n">
        <v>0</v>
      </c>
      <c r="K506" t="n">
        <v>0</v>
      </c>
      <c r="L506" t="n">
        <v>0</v>
      </c>
      <c r="M506" t="n">
        <v>0</v>
      </c>
      <c r="N506" t="n">
        <v>0</v>
      </c>
      <c r="O506" t="n">
        <v>0</v>
      </c>
      <c r="P506" t="n">
        <v>0</v>
      </c>
      <c r="Q506" t="n">
        <v>0</v>
      </c>
      <c r="R506" s="2" t="inlineStr"/>
    </row>
    <row r="507" ht="15" customHeight="1">
      <c r="A507" t="inlineStr">
        <is>
          <t>A 15295-2025</t>
        </is>
      </c>
      <c r="B507" s="1" t="n">
        <v>45745.77329861111</v>
      </c>
      <c r="C507" s="1" t="n">
        <v>46036</v>
      </c>
      <c r="D507" t="inlineStr">
        <is>
          <t>GÄVLEBORGS LÄN</t>
        </is>
      </c>
      <c r="E507" t="inlineStr">
        <is>
          <t>LJUSDAL</t>
        </is>
      </c>
      <c r="G507" t="n">
        <v>0.5</v>
      </c>
      <c r="H507" t="n">
        <v>0</v>
      </c>
      <c r="I507" t="n">
        <v>0</v>
      </c>
      <c r="J507" t="n">
        <v>0</v>
      </c>
      <c r="K507" t="n">
        <v>0</v>
      </c>
      <c r="L507" t="n">
        <v>0</v>
      </c>
      <c r="M507" t="n">
        <v>0</v>
      </c>
      <c r="N507" t="n">
        <v>0</v>
      </c>
      <c r="O507" t="n">
        <v>0</v>
      </c>
      <c r="P507" t="n">
        <v>0</v>
      </c>
      <c r="Q507" t="n">
        <v>0</v>
      </c>
      <c r="R507" s="2" t="inlineStr"/>
    </row>
    <row r="508" ht="15" customHeight="1">
      <c r="A508" t="inlineStr">
        <is>
          <t>A 61053-2023</t>
        </is>
      </c>
      <c r="B508" s="1" t="n">
        <v>45261.60179398148</v>
      </c>
      <c r="C508" s="1" t="n">
        <v>46036</v>
      </c>
      <c r="D508" t="inlineStr">
        <is>
          <t>GÄVLEBORGS LÄN</t>
        </is>
      </c>
      <c r="E508" t="inlineStr">
        <is>
          <t>LJUSDAL</t>
        </is>
      </c>
      <c r="G508" t="n">
        <v>1.3</v>
      </c>
      <c r="H508" t="n">
        <v>0</v>
      </c>
      <c r="I508" t="n">
        <v>0</v>
      </c>
      <c r="J508" t="n">
        <v>0</v>
      </c>
      <c r="K508" t="n">
        <v>0</v>
      </c>
      <c r="L508" t="n">
        <v>0</v>
      </c>
      <c r="M508" t="n">
        <v>0</v>
      </c>
      <c r="N508" t="n">
        <v>0</v>
      </c>
      <c r="O508" t="n">
        <v>0</v>
      </c>
      <c r="P508" t="n">
        <v>0</v>
      </c>
      <c r="Q508" t="n">
        <v>0</v>
      </c>
      <c r="R508" s="2" t="inlineStr"/>
    </row>
    <row r="509" ht="15" customHeight="1">
      <c r="A509" t="inlineStr">
        <is>
          <t>A 61092-2023</t>
        </is>
      </c>
      <c r="B509" s="1" t="n">
        <v>45261.64163194445</v>
      </c>
      <c r="C509" s="1" t="n">
        <v>46036</v>
      </c>
      <c r="D509" t="inlineStr">
        <is>
          <t>GÄVLEBORGS LÄN</t>
        </is>
      </c>
      <c r="E509" t="inlineStr">
        <is>
          <t>LJUSDAL</t>
        </is>
      </c>
      <c r="G509" t="n">
        <v>1.1</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46036</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18250-2025</t>
        </is>
      </c>
      <c r="B511" s="1" t="n">
        <v>45762.33427083334</v>
      </c>
      <c r="C511" s="1" t="n">
        <v>46036</v>
      </c>
      <c r="D511" t="inlineStr">
        <is>
          <t>GÄVLEBORGS LÄN</t>
        </is>
      </c>
      <c r="E511" t="inlineStr">
        <is>
          <t>LJUSDAL</t>
        </is>
      </c>
      <c r="G511" t="n">
        <v>1.9</v>
      </c>
      <c r="H511" t="n">
        <v>0</v>
      </c>
      <c r="I511" t="n">
        <v>0</v>
      </c>
      <c r="J511" t="n">
        <v>0</v>
      </c>
      <c r="K511" t="n">
        <v>0</v>
      </c>
      <c r="L511" t="n">
        <v>0</v>
      </c>
      <c r="M511" t="n">
        <v>0</v>
      </c>
      <c r="N511" t="n">
        <v>0</v>
      </c>
      <c r="O511" t="n">
        <v>0</v>
      </c>
      <c r="P511" t="n">
        <v>0</v>
      </c>
      <c r="Q511" t="n">
        <v>0</v>
      </c>
      <c r="R511" s="2" t="inlineStr"/>
    </row>
    <row r="512" ht="15" customHeight="1">
      <c r="A512" t="inlineStr">
        <is>
          <t>A 37767-2024</t>
        </is>
      </c>
      <c r="B512" s="1" t="n">
        <v>45541.80368055555</v>
      </c>
      <c r="C512" s="1" t="n">
        <v>46036</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591-2024</t>
        </is>
      </c>
      <c r="B513" s="1" t="n">
        <v>45299</v>
      </c>
      <c r="C513" s="1" t="n">
        <v>46036</v>
      </c>
      <c r="D513" t="inlineStr">
        <is>
          <t>GÄVLEBORGS LÄN</t>
        </is>
      </c>
      <c r="E513" t="inlineStr">
        <is>
          <t>LJUSDAL</t>
        </is>
      </c>
      <c r="G513" t="n">
        <v>14.1</v>
      </c>
      <c r="H513" t="n">
        <v>0</v>
      </c>
      <c r="I513" t="n">
        <v>0</v>
      </c>
      <c r="J513" t="n">
        <v>0</v>
      </c>
      <c r="K513" t="n">
        <v>0</v>
      </c>
      <c r="L513" t="n">
        <v>0</v>
      </c>
      <c r="M513" t="n">
        <v>0</v>
      </c>
      <c r="N513" t="n">
        <v>0</v>
      </c>
      <c r="O513" t="n">
        <v>0</v>
      </c>
      <c r="P513" t="n">
        <v>0</v>
      </c>
      <c r="Q513" t="n">
        <v>0</v>
      </c>
      <c r="R513" s="2" t="inlineStr"/>
    </row>
    <row r="514" ht="15" customHeight="1">
      <c r="A514" t="inlineStr">
        <is>
          <t>A 50712-2024</t>
        </is>
      </c>
      <c r="B514" s="1" t="n">
        <v>45602.3834375</v>
      </c>
      <c r="C514" s="1" t="n">
        <v>46036</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1820-2024</t>
        </is>
      </c>
      <c r="B515" s="1" t="n">
        <v>45307</v>
      </c>
      <c r="C515" s="1" t="n">
        <v>46036</v>
      </c>
      <c r="D515" t="inlineStr">
        <is>
          <t>GÄVLEBORGS LÄN</t>
        </is>
      </c>
      <c r="E515" t="inlineStr">
        <is>
          <t>LJUSDAL</t>
        </is>
      </c>
      <c r="G515" t="n">
        <v>2.2</v>
      </c>
      <c r="H515" t="n">
        <v>0</v>
      </c>
      <c r="I515" t="n">
        <v>0</v>
      </c>
      <c r="J515" t="n">
        <v>0</v>
      </c>
      <c r="K515" t="n">
        <v>0</v>
      </c>
      <c r="L515" t="n">
        <v>0</v>
      </c>
      <c r="M515" t="n">
        <v>0</v>
      </c>
      <c r="N515" t="n">
        <v>0</v>
      </c>
      <c r="O515" t="n">
        <v>0</v>
      </c>
      <c r="P515" t="n">
        <v>0</v>
      </c>
      <c r="Q515" t="n">
        <v>0</v>
      </c>
      <c r="R515" s="2" t="inlineStr"/>
    </row>
    <row r="516" ht="15" customHeight="1">
      <c r="A516" t="inlineStr">
        <is>
          <t>A 71068-2021</t>
        </is>
      </c>
      <c r="B516" s="1" t="n">
        <v>44538</v>
      </c>
      <c r="C516" s="1" t="n">
        <v>46036</v>
      </c>
      <c r="D516" t="inlineStr">
        <is>
          <t>GÄVLEBORGS LÄN</t>
        </is>
      </c>
      <c r="E516" t="inlineStr">
        <is>
          <t>LJUSDAL</t>
        </is>
      </c>
      <c r="G516" t="n">
        <v>5.8</v>
      </c>
      <c r="H516" t="n">
        <v>0</v>
      </c>
      <c r="I516" t="n">
        <v>0</v>
      </c>
      <c r="J516" t="n">
        <v>0</v>
      </c>
      <c r="K516" t="n">
        <v>0</v>
      </c>
      <c r="L516" t="n">
        <v>0</v>
      </c>
      <c r="M516" t="n">
        <v>0</v>
      </c>
      <c r="N516" t="n">
        <v>0</v>
      </c>
      <c r="O516" t="n">
        <v>0</v>
      </c>
      <c r="P516" t="n">
        <v>0</v>
      </c>
      <c r="Q516" t="n">
        <v>0</v>
      </c>
      <c r="R516" s="2" t="inlineStr"/>
    </row>
    <row r="517" ht="15" customHeight="1">
      <c r="A517" t="inlineStr">
        <is>
          <t>A 4221-2024</t>
        </is>
      </c>
      <c r="B517" s="1" t="n">
        <v>45324</v>
      </c>
      <c r="C517" s="1" t="n">
        <v>46036</v>
      </c>
      <c r="D517" t="inlineStr">
        <is>
          <t>GÄVLEBORGS LÄN</t>
        </is>
      </c>
      <c r="E517" t="inlineStr">
        <is>
          <t>LJUSDAL</t>
        </is>
      </c>
      <c r="G517" t="n">
        <v>14.5</v>
      </c>
      <c r="H517" t="n">
        <v>0</v>
      </c>
      <c r="I517" t="n">
        <v>0</v>
      </c>
      <c r="J517" t="n">
        <v>0</v>
      </c>
      <c r="K517" t="n">
        <v>0</v>
      </c>
      <c r="L517" t="n">
        <v>0</v>
      </c>
      <c r="M517" t="n">
        <v>0</v>
      </c>
      <c r="N517" t="n">
        <v>0</v>
      </c>
      <c r="O517" t="n">
        <v>0</v>
      </c>
      <c r="P517" t="n">
        <v>0</v>
      </c>
      <c r="Q517" t="n">
        <v>0</v>
      </c>
      <c r="R517" s="2" t="inlineStr"/>
    </row>
    <row r="518" ht="15" customHeight="1">
      <c r="A518" t="inlineStr">
        <is>
          <t>A 4230-2024</t>
        </is>
      </c>
      <c r="B518" s="1" t="n">
        <v>45324</v>
      </c>
      <c r="C518" s="1" t="n">
        <v>46036</v>
      </c>
      <c r="D518" t="inlineStr">
        <is>
          <t>GÄVLEBORGS LÄN</t>
        </is>
      </c>
      <c r="E518" t="inlineStr">
        <is>
          <t>LJUSDAL</t>
        </is>
      </c>
      <c r="G518" t="n">
        <v>1.2</v>
      </c>
      <c r="H518" t="n">
        <v>0</v>
      </c>
      <c r="I518" t="n">
        <v>0</v>
      </c>
      <c r="J518" t="n">
        <v>0</v>
      </c>
      <c r="K518" t="n">
        <v>0</v>
      </c>
      <c r="L518" t="n">
        <v>0</v>
      </c>
      <c r="M518" t="n">
        <v>0</v>
      </c>
      <c r="N518" t="n">
        <v>0</v>
      </c>
      <c r="O518" t="n">
        <v>0</v>
      </c>
      <c r="P518" t="n">
        <v>0</v>
      </c>
      <c r="Q518" t="n">
        <v>0</v>
      </c>
      <c r="R518" s="2" t="inlineStr"/>
    </row>
    <row r="519" ht="15" customHeight="1">
      <c r="A519" t="inlineStr">
        <is>
          <t>A 42949-2023</t>
        </is>
      </c>
      <c r="B519" s="1" t="n">
        <v>45182</v>
      </c>
      <c r="C519" s="1" t="n">
        <v>46036</v>
      </c>
      <c r="D519" t="inlineStr">
        <is>
          <t>GÄVLEBORGS LÄN</t>
        </is>
      </c>
      <c r="E519" t="inlineStr">
        <is>
          <t>LJUSDAL</t>
        </is>
      </c>
      <c r="G519" t="n">
        <v>10.4</v>
      </c>
      <c r="H519" t="n">
        <v>0</v>
      </c>
      <c r="I519" t="n">
        <v>0</v>
      </c>
      <c r="J519" t="n">
        <v>0</v>
      </c>
      <c r="K519" t="n">
        <v>0</v>
      </c>
      <c r="L519" t="n">
        <v>0</v>
      </c>
      <c r="M519" t="n">
        <v>0</v>
      </c>
      <c r="N519" t="n">
        <v>0</v>
      </c>
      <c r="O519" t="n">
        <v>0</v>
      </c>
      <c r="P519" t="n">
        <v>0</v>
      </c>
      <c r="Q519" t="n">
        <v>0</v>
      </c>
      <c r="R519" s="2" t="inlineStr"/>
    </row>
    <row r="520" ht="15" customHeight="1">
      <c r="A520" t="inlineStr">
        <is>
          <t>A 52090-2024</t>
        </is>
      </c>
      <c r="B520" s="1" t="n">
        <v>45608</v>
      </c>
      <c r="C520" s="1" t="n">
        <v>46036</v>
      </c>
      <c r="D520" t="inlineStr">
        <is>
          <t>GÄVLEBORGS LÄN</t>
        </is>
      </c>
      <c r="E520" t="inlineStr">
        <is>
          <t>LJUSDAL</t>
        </is>
      </c>
      <c r="G520" t="n">
        <v>0.3</v>
      </c>
      <c r="H520" t="n">
        <v>0</v>
      </c>
      <c r="I520" t="n">
        <v>0</v>
      </c>
      <c r="J520" t="n">
        <v>0</v>
      </c>
      <c r="K520" t="n">
        <v>0</v>
      </c>
      <c r="L520" t="n">
        <v>0</v>
      </c>
      <c r="M520" t="n">
        <v>0</v>
      </c>
      <c r="N520" t="n">
        <v>0</v>
      </c>
      <c r="O520" t="n">
        <v>0</v>
      </c>
      <c r="P520" t="n">
        <v>0</v>
      </c>
      <c r="Q520" t="n">
        <v>0</v>
      </c>
      <c r="R520" s="2" t="inlineStr"/>
    </row>
    <row r="521" ht="15" customHeight="1">
      <c r="A521" t="inlineStr">
        <is>
          <t>A 59826-2022</t>
        </is>
      </c>
      <c r="B521" s="1" t="n">
        <v>44908.60137731482</v>
      </c>
      <c r="C521" s="1" t="n">
        <v>46036</v>
      </c>
      <c r="D521" t="inlineStr">
        <is>
          <t>GÄVLEBORGS LÄN</t>
        </is>
      </c>
      <c r="E521" t="inlineStr">
        <is>
          <t>LJUSDAL</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10176-2023</t>
        </is>
      </c>
      <c r="B522" s="1" t="n">
        <v>44986.47180555556</v>
      </c>
      <c r="C522" s="1" t="n">
        <v>46036</v>
      </c>
      <c r="D522" t="inlineStr">
        <is>
          <t>GÄVLEBORGS LÄN</t>
        </is>
      </c>
      <c r="E522" t="inlineStr">
        <is>
          <t>LJUSDAL</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25991-2023</t>
        </is>
      </c>
      <c r="B523" s="1" t="n">
        <v>45090.92539351852</v>
      </c>
      <c r="C523" s="1" t="n">
        <v>46036</v>
      </c>
      <c r="D523" t="inlineStr">
        <is>
          <t>GÄVLEBORGS LÄN</t>
        </is>
      </c>
      <c r="E523" t="inlineStr">
        <is>
          <t>LJUSDAL</t>
        </is>
      </c>
      <c r="G523" t="n">
        <v>9.5</v>
      </c>
      <c r="H523" t="n">
        <v>0</v>
      </c>
      <c r="I523" t="n">
        <v>0</v>
      </c>
      <c r="J523" t="n">
        <v>0</v>
      </c>
      <c r="K523" t="n">
        <v>0</v>
      </c>
      <c r="L523" t="n">
        <v>0</v>
      </c>
      <c r="M523" t="n">
        <v>0</v>
      </c>
      <c r="N523" t="n">
        <v>0</v>
      </c>
      <c r="O523" t="n">
        <v>0</v>
      </c>
      <c r="P523" t="n">
        <v>0</v>
      </c>
      <c r="Q523" t="n">
        <v>0</v>
      </c>
      <c r="R523" s="2" t="inlineStr"/>
    </row>
    <row r="524" ht="15" customHeight="1">
      <c r="A524" t="inlineStr">
        <is>
          <t>A 28003-2024</t>
        </is>
      </c>
      <c r="B524" s="1" t="n">
        <v>45476</v>
      </c>
      <c r="C524" s="1" t="n">
        <v>46036</v>
      </c>
      <c r="D524" t="inlineStr">
        <is>
          <t>GÄVLEBORGS LÄN</t>
        </is>
      </c>
      <c r="E524" t="inlineStr">
        <is>
          <t>LJUSDAL</t>
        </is>
      </c>
      <c r="F524" t="inlineStr">
        <is>
          <t>Allmännings- och besparingsskogar</t>
        </is>
      </c>
      <c r="G524" t="n">
        <v>1.8</v>
      </c>
      <c r="H524" t="n">
        <v>0</v>
      </c>
      <c r="I524" t="n">
        <v>0</v>
      </c>
      <c r="J524" t="n">
        <v>0</v>
      </c>
      <c r="K524" t="n">
        <v>0</v>
      </c>
      <c r="L524" t="n">
        <v>0</v>
      </c>
      <c r="M524" t="n">
        <v>0</v>
      </c>
      <c r="N524" t="n">
        <v>0</v>
      </c>
      <c r="O524" t="n">
        <v>0</v>
      </c>
      <c r="P524" t="n">
        <v>0</v>
      </c>
      <c r="Q524" t="n">
        <v>0</v>
      </c>
      <c r="R524" s="2" t="inlineStr"/>
    </row>
    <row r="525" ht="15" customHeight="1">
      <c r="A525" t="inlineStr">
        <is>
          <t>A 54820-2024</t>
        </is>
      </c>
      <c r="B525" s="1" t="n">
        <v>45618.53278935186</v>
      </c>
      <c r="C525" s="1" t="n">
        <v>46036</v>
      </c>
      <c r="D525" t="inlineStr">
        <is>
          <t>GÄVLEBORGS LÄN</t>
        </is>
      </c>
      <c r="E525" t="inlineStr">
        <is>
          <t>LJUSDAL</t>
        </is>
      </c>
      <c r="G525" t="n">
        <v>2.8</v>
      </c>
      <c r="H525" t="n">
        <v>0</v>
      </c>
      <c r="I525" t="n">
        <v>0</v>
      </c>
      <c r="J525" t="n">
        <v>0</v>
      </c>
      <c r="K525" t="n">
        <v>0</v>
      </c>
      <c r="L525" t="n">
        <v>0</v>
      </c>
      <c r="M525" t="n">
        <v>0</v>
      </c>
      <c r="N525" t="n">
        <v>0</v>
      </c>
      <c r="O525" t="n">
        <v>0</v>
      </c>
      <c r="P525" t="n">
        <v>0</v>
      </c>
      <c r="Q525" t="n">
        <v>0</v>
      </c>
      <c r="R525" s="2" t="inlineStr"/>
    </row>
    <row r="526" ht="15" customHeight="1">
      <c r="A526" t="inlineStr">
        <is>
          <t>A 4212-2025</t>
        </is>
      </c>
      <c r="B526" s="1" t="n">
        <v>45685</v>
      </c>
      <c r="C526" s="1" t="n">
        <v>46036</v>
      </c>
      <c r="D526" t="inlineStr">
        <is>
          <t>GÄVLEBORGS LÄN</t>
        </is>
      </c>
      <c r="E526" t="inlineStr">
        <is>
          <t>LJUSDAL</t>
        </is>
      </c>
      <c r="G526" t="n">
        <v>1.7</v>
      </c>
      <c r="H526" t="n">
        <v>0</v>
      </c>
      <c r="I526" t="n">
        <v>0</v>
      </c>
      <c r="J526" t="n">
        <v>0</v>
      </c>
      <c r="K526" t="n">
        <v>0</v>
      </c>
      <c r="L526" t="n">
        <v>0</v>
      </c>
      <c r="M526" t="n">
        <v>0</v>
      </c>
      <c r="N526" t="n">
        <v>0</v>
      </c>
      <c r="O526" t="n">
        <v>0</v>
      </c>
      <c r="P526" t="n">
        <v>0</v>
      </c>
      <c r="Q526" t="n">
        <v>0</v>
      </c>
      <c r="R526" s="2" t="inlineStr"/>
    </row>
    <row r="527" ht="15" customHeight="1">
      <c r="A527" t="inlineStr">
        <is>
          <t>A 30782-2024</t>
        </is>
      </c>
      <c r="B527" s="1" t="n">
        <v>45496.95054398148</v>
      </c>
      <c r="C527" s="1" t="n">
        <v>46036</v>
      </c>
      <c r="D527" t="inlineStr">
        <is>
          <t>GÄVLEBORGS LÄN</t>
        </is>
      </c>
      <c r="E527" t="inlineStr">
        <is>
          <t>LJUSDAL</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58530-2022</t>
        </is>
      </c>
      <c r="B528" s="1" t="n">
        <v>44902.43958333333</v>
      </c>
      <c r="C528" s="1" t="n">
        <v>46036</v>
      </c>
      <c r="D528" t="inlineStr">
        <is>
          <t>GÄVLEBORGS LÄN</t>
        </is>
      </c>
      <c r="E528" t="inlineStr">
        <is>
          <t>LJUSDAL</t>
        </is>
      </c>
      <c r="G528" t="n">
        <v>4.8</v>
      </c>
      <c r="H528" t="n">
        <v>0</v>
      </c>
      <c r="I528" t="n">
        <v>0</v>
      </c>
      <c r="J528" t="n">
        <v>0</v>
      </c>
      <c r="K528" t="n">
        <v>0</v>
      </c>
      <c r="L528" t="n">
        <v>0</v>
      </c>
      <c r="M528" t="n">
        <v>0</v>
      </c>
      <c r="N528" t="n">
        <v>0</v>
      </c>
      <c r="O528" t="n">
        <v>0</v>
      </c>
      <c r="P528" t="n">
        <v>0</v>
      </c>
      <c r="Q528" t="n">
        <v>0</v>
      </c>
      <c r="R528" s="2" t="inlineStr"/>
    </row>
    <row r="529" ht="15" customHeight="1">
      <c r="A529" t="inlineStr">
        <is>
          <t>A 30240-2023</t>
        </is>
      </c>
      <c r="B529" s="1" t="n">
        <v>45110.66166666667</v>
      </c>
      <c r="C529" s="1" t="n">
        <v>46036</v>
      </c>
      <c r="D529" t="inlineStr">
        <is>
          <t>GÄVLEBORGS LÄN</t>
        </is>
      </c>
      <c r="E529" t="inlineStr">
        <is>
          <t>LJUSDAL</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19200-2022</t>
        </is>
      </c>
      <c r="B530" s="1" t="n">
        <v>44691</v>
      </c>
      <c r="C530" s="1" t="n">
        <v>46036</v>
      </c>
      <c r="D530" t="inlineStr">
        <is>
          <t>GÄVLEBORGS LÄN</t>
        </is>
      </c>
      <c r="E530" t="inlineStr">
        <is>
          <t>LJUSDAL</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27460-2023</t>
        </is>
      </c>
      <c r="B531" s="1" t="n">
        <v>45097</v>
      </c>
      <c r="C531" s="1" t="n">
        <v>46036</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9363-2024</t>
        </is>
      </c>
      <c r="B532" s="1" t="n">
        <v>45359.33664351852</v>
      </c>
      <c r="C532" s="1" t="n">
        <v>46036</v>
      </c>
      <c r="D532" t="inlineStr">
        <is>
          <t>GÄVLEBORGS LÄN</t>
        </is>
      </c>
      <c r="E532" t="inlineStr">
        <is>
          <t>LJUSDAL</t>
        </is>
      </c>
      <c r="G532" t="n">
        <v>1.6</v>
      </c>
      <c r="H532" t="n">
        <v>0</v>
      </c>
      <c r="I532" t="n">
        <v>0</v>
      </c>
      <c r="J532" t="n">
        <v>0</v>
      </c>
      <c r="K532" t="n">
        <v>0</v>
      </c>
      <c r="L532" t="n">
        <v>0</v>
      </c>
      <c r="M532" t="n">
        <v>0</v>
      </c>
      <c r="N532" t="n">
        <v>0</v>
      </c>
      <c r="O532" t="n">
        <v>0</v>
      </c>
      <c r="P532" t="n">
        <v>0</v>
      </c>
      <c r="Q532" t="n">
        <v>0</v>
      </c>
      <c r="R532" s="2" t="inlineStr"/>
    </row>
    <row r="533" ht="15" customHeight="1">
      <c r="A533" t="inlineStr">
        <is>
          <t>A 50392-2023</t>
        </is>
      </c>
      <c r="B533" s="1" t="n">
        <v>45216.63394675926</v>
      </c>
      <c r="C533" s="1" t="n">
        <v>46036</v>
      </c>
      <c r="D533" t="inlineStr">
        <is>
          <t>GÄVLEBORGS LÄN</t>
        </is>
      </c>
      <c r="E533" t="inlineStr">
        <is>
          <t>LJUSDAL</t>
        </is>
      </c>
      <c r="G533" t="n">
        <v>6.5</v>
      </c>
      <c r="H533" t="n">
        <v>0</v>
      </c>
      <c r="I533" t="n">
        <v>0</v>
      </c>
      <c r="J533" t="n">
        <v>0</v>
      </c>
      <c r="K533" t="n">
        <v>0</v>
      </c>
      <c r="L533" t="n">
        <v>0</v>
      </c>
      <c r="M533" t="n">
        <v>0</v>
      </c>
      <c r="N533" t="n">
        <v>0</v>
      </c>
      <c r="O533" t="n">
        <v>0</v>
      </c>
      <c r="P533" t="n">
        <v>0</v>
      </c>
      <c r="Q533" t="n">
        <v>0</v>
      </c>
      <c r="R533" s="2" t="inlineStr"/>
    </row>
    <row r="534" ht="15" customHeight="1">
      <c r="A534" t="inlineStr">
        <is>
          <t>A 4275-2023</t>
        </is>
      </c>
      <c r="B534" s="1" t="n">
        <v>44953.5824537037</v>
      </c>
      <c r="C534" s="1" t="n">
        <v>46036</v>
      </c>
      <c r="D534" t="inlineStr">
        <is>
          <t>GÄVLEBORGS LÄN</t>
        </is>
      </c>
      <c r="E534" t="inlineStr">
        <is>
          <t>LJUSDAL</t>
        </is>
      </c>
      <c r="F534" t="inlineStr">
        <is>
          <t>Holmen skog AB</t>
        </is>
      </c>
      <c r="G534" t="n">
        <v>16.4</v>
      </c>
      <c r="H534" t="n">
        <v>0</v>
      </c>
      <c r="I534" t="n">
        <v>0</v>
      </c>
      <c r="J534" t="n">
        <v>0</v>
      </c>
      <c r="K534" t="n">
        <v>0</v>
      </c>
      <c r="L534" t="n">
        <v>0</v>
      </c>
      <c r="M534" t="n">
        <v>0</v>
      </c>
      <c r="N534" t="n">
        <v>0</v>
      </c>
      <c r="O534" t="n">
        <v>0</v>
      </c>
      <c r="P534" t="n">
        <v>0</v>
      </c>
      <c r="Q534" t="n">
        <v>0</v>
      </c>
      <c r="R534" s="2" t="inlineStr"/>
    </row>
    <row r="535" ht="15" customHeight="1">
      <c r="A535" t="inlineStr">
        <is>
          <t>A 38596-2022</t>
        </is>
      </c>
      <c r="B535" s="1" t="n">
        <v>44813.58180555556</v>
      </c>
      <c r="C535" s="1" t="n">
        <v>46036</v>
      </c>
      <c r="D535" t="inlineStr">
        <is>
          <t>GÄVLEBORGS LÄN</t>
        </is>
      </c>
      <c r="E535" t="inlineStr">
        <is>
          <t>LJUSDAL</t>
        </is>
      </c>
      <c r="G535" t="n">
        <v>3.1</v>
      </c>
      <c r="H535" t="n">
        <v>0</v>
      </c>
      <c r="I535" t="n">
        <v>0</v>
      </c>
      <c r="J535" t="n">
        <v>0</v>
      </c>
      <c r="K535" t="n">
        <v>0</v>
      </c>
      <c r="L535" t="n">
        <v>0</v>
      </c>
      <c r="M535" t="n">
        <v>0</v>
      </c>
      <c r="N535" t="n">
        <v>0</v>
      </c>
      <c r="O535" t="n">
        <v>0</v>
      </c>
      <c r="P535" t="n">
        <v>0</v>
      </c>
      <c r="Q535" t="n">
        <v>0</v>
      </c>
      <c r="R535" s="2" t="inlineStr"/>
    </row>
    <row r="536" ht="15" customHeight="1">
      <c r="A536" t="inlineStr">
        <is>
          <t>A 15825-2025</t>
        </is>
      </c>
      <c r="B536" s="1" t="n">
        <v>45748.70894675926</v>
      </c>
      <c r="C536" s="1" t="n">
        <v>46036</v>
      </c>
      <c r="D536" t="inlineStr">
        <is>
          <t>GÄVLEBORGS LÄN</t>
        </is>
      </c>
      <c r="E536" t="inlineStr">
        <is>
          <t>LJUSDAL</t>
        </is>
      </c>
      <c r="F536" t="inlineStr">
        <is>
          <t>SCA</t>
        </is>
      </c>
      <c r="G536" t="n">
        <v>9.9</v>
      </c>
      <c r="H536" t="n">
        <v>0</v>
      </c>
      <c r="I536" t="n">
        <v>0</v>
      </c>
      <c r="J536" t="n">
        <v>0</v>
      </c>
      <c r="K536" t="n">
        <v>0</v>
      </c>
      <c r="L536" t="n">
        <v>0</v>
      </c>
      <c r="M536" t="n">
        <v>0</v>
      </c>
      <c r="N536" t="n">
        <v>0</v>
      </c>
      <c r="O536" t="n">
        <v>0</v>
      </c>
      <c r="P536" t="n">
        <v>0</v>
      </c>
      <c r="Q536" t="n">
        <v>0</v>
      </c>
      <c r="R536" s="2" t="inlineStr"/>
      <c r="U536">
        <f>HYPERLINK("https://klasma.github.io/Logging_2161/knärot/A 15825-2025 karta knärot.png", "A 15825-2025")</f>
        <v/>
      </c>
      <c r="V536">
        <f>HYPERLINK("https://klasma.github.io/Logging_2161/klagomål/A 15825-2025 FSC-klagomål.docx", "A 15825-2025")</f>
        <v/>
      </c>
      <c r="W536">
        <f>HYPERLINK("https://klasma.github.io/Logging_2161/klagomålsmail/A 15825-2025 FSC-klagomål mail.docx", "A 15825-2025")</f>
        <v/>
      </c>
      <c r="X536">
        <f>HYPERLINK("https://klasma.github.io/Logging_2161/tillsyn/A 15825-2025 tillsynsbegäran.docx", "A 15825-2025")</f>
        <v/>
      </c>
      <c r="Y536">
        <f>HYPERLINK("https://klasma.github.io/Logging_2161/tillsynsmail/A 15825-2025 tillsynsbegäran mail.docx", "A 15825-2025")</f>
        <v/>
      </c>
    </row>
    <row r="537" ht="15" customHeight="1">
      <c r="A537" t="inlineStr">
        <is>
          <t>A 13337-2024</t>
        </is>
      </c>
      <c r="B537" s="1" t="n">
        <v>45386</v>
      </c>
      <c r="C537" s="1" t="n">
        <v>46036</v>
      </c>
      <c r="D537" t="inlineStr">
        <is>
          <t>GÄVLEBORGS LÄN</t>
        </is>
      </c>
      <c r="E537" t="inlineStr">
        <is>
          <t>LJUSDAL</t>
        </is>
      </c>
      <c r="G537" t="n">
        <v>0.4</v>
      </c>
      <c r="H537" t="n">
        <v>0</v>
      </c>
      <c r="I537" t="n">
        <v>0</v>
      </c>
      <c r="J537" t="n">
        <v>0</v>
      </c>
      <c r="K537" t="n">
        <v>0</v>
      </c>
      <c r="L537" t="n">
        <v>0</v>
      </c>
      <c r="M537" t="n">
        <v>0</v>
      </c>
      <c r="N537" t="n">
        <v>0</v>
      </c>
      <c r="O537" t="n">
        <v>0</v>
      </c>
      <c r="P537" t="n">
        <v>0</v>
      </c>
      <c r="Q537" t="n">
        <v>0</v>
      </c>
      <c r="R537" s="2" t="inlineStr"/>
    </row>
    <row r="538" ht="15" customHeight="1">
      <c r="A538" t="inlineStr">
        <is>
          <t>A 36061-2024</t>
        </is>
      </c>
      <c r="B538" s="1" t="n">
        <v>45533.63870370371</v>
      </c>
      <c r="C538" s="1" t="n">
        <v>46036</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42937-2022</t>
        </is>
      </c>
      <c r="B539" s="1" t="n">
        <v>44833</v>
      </c>
      <c r="C539" s="1" t="n">
        <v>46036</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61091-2024</t>
        </is>
      </c>
      <c r="B540" s="1" t="n">
        <v>45645.54240740741</v>
      </c>
      <c r="C540" s="1" t="n">
        <v>46036</v>
      </c>
      <c r="D540" t="inlineStr">
        <is>
          <t>GÄVLEBORGS LÄN</t>
        </is>
      </c>
      <c r="E540" t="inlineStr">
        <is>
          <t>LJUSDAL</t>
        </is>
      </c>
      <c r="G540" t="n">
        <v>1.5</v>
      </c>
      <c r="H540" t="n">
        <v>0</v>
      </c>
      <c r="I540" t="n">
        <v>0</v>
      </c>
      <c r="J540" t="n">
        <v>0</v>
      </c>
      <c r="K540" t="n">
        <v>0</v>
      </c>
      <c r="L540" t="n">
        <v>0</v>
      </c>
      <c r="M540" t="n">
        <v>0</v>
      </c>
      <c r="N540" t="n">
        <v>0</v>
      </c>
      <c r="O540" t="n">
        <v>0</v>
      </c>
      <c r="P540" t="n">
        <v>0</v>
      </c>
      <c r="Q540" t="n">
        <v>0</v>
      </c>
      <c r="R540" s="2" t="inlineStr"/>
    </row>
    <row r="541" ht="15" customHeight="1">
      <c r="A541" t="inlineStr">
        <is>
          <t>A 45768-2024</t>
        </is>
      </c>
      <c r="B541" s="1" t="n">
        <v>45579</v>
      </c>
      <c r="C541" s="1" t="n">
        <v>46036</v>
      </c>
      <c r="D541" t="inlineStr">
        <is>
          <t>GÄVLEBORGS LÄN</t>
        </is>
      </c>
      <c r="E541" t="inlineStr">
        <is>
          <t>LJUSDAL</t>
        </is>
      </c>
      <c r="G541" t="n">
        <v>0.7</v>
      </c>
      <c r="H541" t="n">
        <v>0</v>
      </c>
      <c r="I541" t="n">
        <v>0</v>
      </c>
      <c r="J541" t="n">
        <v>0</v>
      </c>
      <c r="K541" t="n">
        <v>0</v>
      </c>
      <c r="L541" t="n">
        <v>0</v>
      </c>
      <c r="M541" t="n">
        <v>0</v>
      </c>
      <c r="N541" t="n">
        <v>0</v>
      </c>
      <c r="O541" t="n">
        <v>0</v>
      </c>
      <c r="P541" t="n">
        <v>0</v>
      </c>
      <c r="Q541" t="n">
        <v>0</v>
      </c>
      <c r="R541" s="2" t="inlineStr"/>
    </row>
    <row r="542" ht="15" customHeight="1">
      <c r="A542" t="inlineStr">
        <is>
          <t>A 51599-2024</t>
        </is>
      </c>
      <c r="B542" s="1" t="n">
        <v>45604</v>
      </c>
      <c r="C542" s="1" t="n">
        <v>46036</v>
      </c>
      <c r="D542" t="inlineStr">
        <is>
          <t>GÄVLEBORGS LÄN</t>
        </is>
      </c>
      <c r="E542" t="inlineStr">
        <is>
          <t>LJUSDAL</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46036</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13519-2021</t>
        </is>
      </c>
      <c r="B544" s="1" t="n">
        <v>44273</v>
      </c>
      <c r="C544" s="1" t="n">
        <v>46036</v>
      </c>
      <c r="D544" t="inlineStr">
        <is>
          <t>GÄVLEBORGS LÄN</t>
        </is>
      </c>
      <c r="E544" t="inlineStr">
        <is>
          <t>LJUSDAL</t>
        </is>
      </c>
      <c r="F544" t="inlineStr">
        <is>
          <t>Sveaskog</t>
        </is>
      </c>
      <c r="G544" t="n">
        <v>17.2</v>
      </c>
      <c r="H544" t="n">
        <v>0</v>
      </c>
      <c r="I544" t="n">
        <v>0</v>
      </c>
      <c r="J544" t="n">
        <v>0</v>
      </c>
      <c r="K544" t="n">
        <v>0</v>
      </c>
      <c r="L544" t="n">
        <v>0</v>
      </c>
      <c r="M544" t="n">
        <v>0</v>
      </c>
      <c r="N544" t="n">
        <v>0</v>
      </c>
      <c r="O544" t="n">
        <v>0</v>
      </c>
      <c r="P544" t="n">
        <v>0</v>
      </c>
      <c r="Q544" t="n">
        <v>0</v>
      </c>
      <c r="R544" s="2" t="inlineStr"/>
    </row>
    <row r="545" ht="15" customHeight="1">
      <c r="A545" t="inlineStr">
        <is>
          <t>A 67794-2021</t>
        </is>
      </c>
      <c r="B545" s="1" t="n">
        <v>44525.42381944445</v>
      </c>
      <c r="C545" s="1" t="n">
        <v>46036</v>
      </c>
      <c r="D545" t="inlineStr">
        <is>
          <t>GÄVLEBORGS LÄN</t>
        </is>
      </c>
      <c r="E545" t="inlineStr">
        <is>
          <t>LJUSDAL</t>
        </is>
      </c>
      <c r="F545" t="inlineStr">
        <is>
          <t>Allmännings- och besparingsskogar</t>
        </is>
      </c>
      <c r="G545" t="n">
        <v>3.1</v>
      </c>
      <c r="H545" t="n">
        <v>0</v>
      </c>
      <c r="I545" t="n">
        <v>0</v>
      </c>
      <c r="J545" t="n">
        <v>0</v>
      </c>
      <c r="K545" t="n">
        <v>0</v>
      </c>
      <c r="L545" t="n">
        <v>0</v>
      </c>
      <c r="M545" t="n">
        <v>0</v>
      </c>
      <c r="N545" t="n">
        <v>0</v>
      </c>
      <c r="O545" t="n">
        <v>0</v>
      </c>
      <c r="P545" t="n">
        <v>0</v>
      </c>
      <c r="Q545" t="n">
        <v>0</v>
      </c>
      <c r="R545" s="2" t="inlineStr"/>
    </row>
    <row r="546" ht="15" customHeight="1">
      <c r="A546" t="inlineStr">
        <is>
          <t>A 33347-2024</t>
        </is>
      </c>
      <c r="B546" s="1" t="n">
        <v>45519.36583333334</v>
      </c>
      <c r="C546" s="1" t="n">
        <v>46036</v>
      </c>
      <c r="D546" t="inlineStr">
        <is>
          <t>GÄVLEBORGS LÄN</t>
        </is>
      </c>
      <c r="E546" t="inlineStr">
        <is>
          <t>LJUSDAL</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13884-2025</t>
        </is>
      </c>
      <c r="B547" s="1" t="n">
        <v>45737.60386574074</v>
      </c>
      <c r="C547" s="1" t="n">
        <v>46036</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57664-2024</t>
        </is>
      </c>
      <c r="B548" s="1" t="n">
        <v>45630.61591435185</v>
      </c>
      <c r="C548" s="1" t="n">
        <v>46036</v>
      </c>
      <c r="D548" t="inlineStr">
        <is>
          <t>GÄVLEBORGS LÄN</t>
        </is>
      </c>
      <c r="E548" t="inlineStr">
        <is>
          <t>LJUSDAL</t>
        </is>
      </c>
      <c r="G548" t="n">
        <v>1.7</v>
      </c>
      <c r="H548" t="n">
        <v>0</v>
      </c>
      <c r="I548" t="n">
        <v>0</v>
      </c>
      <c r="J548" t="n">
        <v>0</v>
      </c>
      <c r="K548" t="n">
        <v>0</v>
      </c>
      <c r="L548" t="n">
        <v>0</v>
      </c>
      <c r="M548" t="n">
        <v>0</v>
      </c>
      <c r="N548" t="n">
        <v>0</v>
      </c>
      <c r="O548" t="n">
        <v>0</v>
      </c>
      <c r="P548" t="n">
        <v>0</v>
      </c>
      <c r="Q548" t="n">
        <v>0</v>
      </c>
      <c r="R548" s="2" t="inlineStr"/>
    </row>
    <row r="549" ht="15" customHeight="1">
      <c r="A549" t="inlineStr">
        <is>
          <t>A 57315-2024</t>
        </is>
      </c>
      <c r="B549" s="1" t="n">
        <v>45629.61274305556</v>
      </c>
      <c r="C549" s="1" t="n">
        <v>46036</v>
      </c>
      <c r="D549" t="inlineStr">
        <is>
          <t>GÄVLEBORGS LÄN</t>
        </is>
      </c>
      <c r="E549" t="inlineStr">
        <is>
          <t>LJUSDAL</t>
        </is>
      </c>
      <c r="G549" t="n">
        <v>0.9</v>
      </c>
      <c r="H549" t="n">
        <v>0</v>
      </c>
      <c r="I549" t="n">
        <v>0</v>
      </c>
      <c r="J549" t="n">
        <v>0</v>
      </c>
      <c r="K549" t="n">
        <v>0</v>
      </c>
      <c r="L549" t="n">
        <v>0</v>
      </c>
      <c r="M549" t="n">
        <v>0</v>
      </c>
      <c r="N549" t="n">
        <v>0</v>
      </c>
      <c r="O549" t="n">
        <v>0</v>
      </c>
      <c r="P549" t="n">
        <v>0</v>
      </c>
      <c r="Q549" t="n">
        <v>0</v>
      </c>
      <c r="R549" s="2" t="inlineStr"/>
    </row>
    <row r="550" ht="15" customHeight="1">
      <c r="A550" t="inlineStr">
        <is>
          <t>A 23930-2023</t>
        </is>
      </c>
      <c r="B550" s="1" t="n">
        <v>45078</v>
      </c>
      <c r="C550" s="1" t="n">
        <v>46036</v>
      </c>
      <c r="D550" t="inlineStr">
        <is>
          <t>GÄVLEBORGS LÄN</t>
        </is>
      </c>
      <c r="E550" t="inlineStr">
        <is>
          <t>LJUSDAL</t>
        </is>
      </c>
      <c r="G550" t="n">
        <v>3.8</v>
      </c>
      <c r="H550" t="n">
        <v>0</v>
      </c>
      <c r="I550" t="n">
        <v>0</v>
      </c>
      <c r="J550" t="n">
        <v>0</v>
      </c>
      <c r="K550" t="n">
        <v>0</v>
      </c>
      <c r="L550" t="n">
        <v>0</v>
      </c>
      <c r="M550" t="n">
        <v>0</v>
      </c>
      <c r="N550" t="n">
        <v>0</v>
      </c>
      <c r="O550" t="n">
        <v>0</v>
      </c>
      <c r="P550" t="n">
        <v>0</v>
      </c>
      <c r="Q550" t="n">
        <v>0</v>
      </c>
      <c r="R550" s="2" t="inlineStr"/>
    </row>
    <row r="551" ht="15" customHeight="1">
      <c r="A551" t="inlineStr">
        <is>
          <t>A 18130-2024</t>
        </is>
      </c>
      <c r="B551" s="1" t="n">
        <v>45420.56704861111</v>
      </c>
      <c r="C551" s="1" t="n">
        <v>46036</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1570-2025</t>
        </is>
      </c>
      <c r="B552" s="1" t="n">
        <v>45670.55271990741</v>
      </c>
      <c r="C552" s="1" t="n">
        <v>46036</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58113-2022</t>
        </is>
      </c>
      <c r="B553" s="1" t="n">
        <v>44900.65167824074</v>
      </c>
      <c r="C553" s="1" t="n">
        <v>46036</v>
      </c>
      <c r="D553" t="inlineStr">
        <is>
          <t>GÄVLEBORGS LÄN</t>
        </is>
      </c>
      <c r="E553" t="inlineStr">
        <is>
          <t>LJUSDAL</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18357-2024</t>
        </is>
      </c>
      <c r="B554" s="1" t="n">
        <v>45422.71068287037</v>
      </c>
      <c r="C554" s="1" t="n">
        <v>46036</v>
      </c>
      <c r="D554" t="inlineStr">
        <is>
          <t>GÄVLEBORGS LÄN</t>
        </is>
      </c>
      <c r="E554" t="inlineStr">
        <is>
          <t>LJUSDAL</t>
        </is>
      </c>
      <c r="G554" t="n">
        <v>3.8</v>
      </c>
      <c r="H554" t="n">
        <v>0</v>
      </c>
      <c r="I554" t="n">
        <v>0</v>
      </c>
      <c r="J554" t="n">
        <v>0</v>
      </c>
      <c r="K554" t="n">
        <v>0</v>
      </c>
      <c r="L554" t="n">
        <v>0</v>
      </c>
      <c r="M554" t="n">
        <v>0</v>
      </c>
      <c r="N554" t="n">
        <v>0</v>
      </c>
      <c r="O554" t="n">
        <v>0</v>
      </c>
      <c r="P554" t="n">
        <v>0</v>
      </c>
      <c r="Q554" t="n">
        <v>0</v>
      </c>
      <c r="R554" s="2" t="inlineStr"/>
    </row>
    <row r="555" ht="15" customHeight="1">
      <c r="A555" t="inlineStr">
        <is>
          <t>A 50169-2024</t>
        </is>
      </c>
      <c r="B555" s="1" t="n">
        <v>45600.46696759259</v>
      </c>
      <c r="C555" s="1" t="n">
        <v>46036</v>
      </c>
      <c r="D555" t="inlineStr">
        <is>
          <t>GÄVLEBORGS LÄN</t>
        </is>
      </c>
      <c r="E555" t="inlineStr">
        <is>
          <t>LJUSDAL</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22155-2022</t>
        </is>
      </c>
      <c r="B556" s="1" t="n">
        <v>44712</v>
      </c>
      <c r="C556" s="1" t="n">
        <v>46036</v>
      </c>
      <c r="D556" t="inlineStr">
        <is>
          <t>GÄVLEBORGS LÄN</t>
        </is>
      </c>
      <c r="E556" t="inlineStr">
        <is>
          <t>LJUSDAL</t>
        </is>
      </c>
      <c r="G556" t="n">
        <v>0.8</v>
      </c>
      <c r="H556" t="n">
        <v>0</v>
      </c>
      <c r="I556" t="n">
        <v>0</v>
      </c>
      <c r="J556" t="n">
        <v>0</v>
      </c>
      <c r="K556" t="n">
        <v>0</v>
      </c>
      <c r="L556" t="n">
        <v>0</v>
      </c>
      <c r="M556" t="n">
        <v>0</v>
      </c>
      <c r="N556" t="n">
        <v>0</v>
      </c>
      <c r="O556" t="n">
        <v>0</v>
      </c>
      <c r="P556" t="n">
        <v>0</v>
      </c>
      <c r="Q556" t="n">
        <v>0</v>
      </c>
      <c r="R556" s="2" t="inlineStr"/>
    </row>
    <row r="557" ht="15" customHeight="1">
      <c r="A557" t="inlineStr">
        <is>
          <t>A 2370-2023</t>
        </is>
      </c>
      <c r="B557" s="1" t="n">
        <v>44942</v>
      </c>
      <c r="C557" s="1" t="n">
        <v>46036</v>
      </c>
      <c r="D557" t="inlineStr">
        <is>
          <t>GÄVLEBORGS LÄN</t>
        </is>
      </c>
      <c r="E557" t="inlineStr">
        <is>
          <t>LJUSDAL</t>
        </is>
      </c>
      <c r="G557" t="n">
        <v>3.2</v>
      </c>
      <c r="H557" t="n">
        <v>0</v>
      </c>
      <c r="I557" t="n">
        <v>0</v>
      </c>
      <c r="J557" t="n">
        <v>0</v>
      </c>
      <c r="K557" t="n">
        <v>0</v>
      </c>
      <c r="L557" t="n">
        <v>0</v>
      </c>
      <c r="M557" t="n">
        <v>0</v>
      </c>
      <c r="N557" t="n">
        <v>0</v>
      </c>
      <c r="O557" t="n">
        <v>0</v>
      </c>
      <c r="P557" t="n">
        <v>0</v>
      </c>
      <c r="Q557" t="n">
        <v>0</v>
      </c>
      <c r="R557" s="2" t="inlineStr"/>
    </row>
    <row r="558" ht="15" customHeight="1">
      <c r="A558" t="inlineStr">
        <is>
          <t>A 15285-2023</t>
        </is>
      </c>
      <c r="B558" s="1" t="n">
        <v>45019.43928240741</v>
      </c>
      <c r="C558" s="1" t="n">
        <v>46036</v>
      </c>
      <c r="D558" t="inlineStr">
        <is>
          <t>GÄVLEBORGS LÄN</t>
        </is>
      </c>
      <c r="E558" t="inlineStr">
        <is>
          <t>LJUSDAL</t>
        </is>
      </c>
      <c r="F558" t="inlineStr">
        <is>
          <t>Holmen skog AB</t>
        </is>
      </c>
      <c r="G558" t="n">
        <v>1.8</v>
      </c>
      <c r="H558" t="n">
        <v>0</v>
      </c>
      <c r="I558" t="n">
        <v>0</v>
      </c>
      <c r="J558" t="n">
        <v>0</v>
      </c>
      <c r="K558" t="n">
        <v>0</v>
      </c>
      <c r="L558" t="n">
        <v>0</v>
      </c>
      <c r="M558" t="n">
        <v>0</v>
      </c>
      <c r="N558" t="n">
        <v>0</v>
      </c>
      <c r="O558" t="n">
        <v>0</v>
      </c>
      <c r="P558" t="n">
        <v>0</v>
      </c>
      <c r="Q558" t="n">
        <v>0</v>
      </c>
      <c r="R558" s="2" t="inlineStr"/>
    </row>
    <row r="559" ht="15" customHeight="1">
      <c r="A559" t="inlineStr">
        <is>
          <t>A 48654-2022</t>
        </is>
      </c>
      <c r="B559" s="1" t="n">
        <v>44859.43793981482</v>
      </c>
      <c r="C559" s="1" t="n">
        <v>46036</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59252-2024</t>
        </is>
      </c>
      <c r="B560" s="1" t="n">
        <v>45637.59668981482</v>
      </c>
      <c r="C560" s="1" t="n">
        <v>46036</v>
      </c>
      <c r="D560" t="inlineStr">
        <is>
          <t>GÄVLEBORGS LÄN</t>
        </is>
      </c>
      <c r="E560" t="inlineStr">
        <is>
          <t>LJUSDAL</t>
        </is>
      </c>
      <c r="G560" t="n">
        <v>0.2</v>
      </c>
      <c r="H560" t="n">
        <v>0</v>
      </c>
      <c r="I560" t="n">
        <v>0</v>
      </c>
      <c r="J560" t="n">
        <v>0</v>
      </c>
      <c r="K560" t="n">
        <v>0</v>
      </c>
      <c r="L560" t="n">
        <v>0</v>
      </c>
      <c r="M560" t="n">
        <v>0</v>
      </c>
      <c r="N560" t="n">
        <v>0</v>
      </c>
      <c r="O560" t="n">
        <v>0</v>
      </c>
      <c r="P560" t="n">
        <v>0</v>
      </c>
      <c r="Q560" t="n">
        <v>0</v>
      </c>
      <c r="R560" s="2" t="inlineStr"/>
    </row>
    <row r="561" ht="15" customHeight="1">
      <c r="A561" t="inlineStr">
        <is>
          <t>A 61420-2024</t>
        </is>
      </c>
      <c r="B561" s="1" t="n">
        <v>45646.45043981481</v>
      </c>
      <c r="C561" s="1" t="n">
        <v>46036</v>
      </c>
      <c r="D561" t="inlineStr">
        <is>
          <t>GÄVLEBORGS LÄN</t>
        </is>
      </c>
      <c r="E561" t="inlineStr">
        <is>
          <t>LJUSDAL</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45536-2023</t>
        </is>
      </c>
      <c r="B562" s="1" t="n">
        <v>45194.5497800926</v>
      </c>
      <c r="C562" s="1" t="n">
        <v>46036</v>
      </c>
      <c r="D562" t="inlineStr">
        <is>
          <t>GÄVLEBORGS LÄN</t>
        </is>
      </c>
      <c r="E562" t="inlineStr">
        <is>
          <t>LJUSDAL</t>
        </is>
      </c>
      <c r="G562" t="n">
        <v>10.7</v>
      </c>
      <c r="H562" t="n">
        <v>0</v>
      </c>
      <c r="I562" t="n">
        <v>0</v>
      </c>
      <c r="J562" t="n">
        <v>0</v>
      </c>
      <c r="K562" t="n">
        <v>0</v>
      </c>
      <c r="L562" t="n">
        <v>0</v>
      </c>
      <c r="M562" t="n">
        <v>0</v>
      </c>
      <c r="N562" t="n">
        <v>0</v>
      </c>
      <c r="O562" t="n">
        <v>0</v>
      </c>
      <c r="P562" t="n">
        <v>0</v>
      </c>
      <c r="Q562" t="n">
        <v>0</v>
      </c>
      <c r="R562" s="2" t="inlineStr"/>
    </row>
    <row r="563" ht="15" customHeight="1">
      <c r="A563" t="inlineStr">
        <is>
          <t>A 18096-2021</t>
        </is>
      </c>
      <c r="B563" s="1" t="n">
        <v>44302.4797800926</v>
      </c>
      <c r="C563" s="1" t="n">
        <v>46036</v>
      </c>
      <c r="D563" t="inlineStr">
        <is>
          <t>GÄVLEBORGS LÄN</t>
        </is>
      </c>
      <c r="E563" t="inlineStr">
        <is>
          <t>LJUSDAL</t>
        </is>
      </c>
      <c r="G563" t="n">
        <v>2.8</v>
      </c>
      <c r="H563" t="n">
        <v>0</v>
      </c>
      <c r="I563" t="n">
        <v>0</v>
      </c>
      <c r="J563" t="n">
        <v>0</v>
      </c>
      <c r="K563" t="n">
        <v>0</v>
      </c>
      <c r="L563" t="n">
        <v>0</v>
      </c>
      <c r="M563" t="n">
        <v>0</v>
      </c>
      <c r="N563" t="n">
        <v>0</v>
      </c>
      <c r="O563" t="n">
        <v>0</v>
      </c>
      <c r="P563" t="n">
        <v>0</v>
      </c>
      <c r="Q563" t="n">
        <v>0</v>
      </c>
      <c r="R563" s="2" t="inlineStr"/>
    </row>
    <row r="564" ht="15" customHeight="1">
      <c r="A564" t="inlineStr">
        <is>
          <t>A 44092-2024</t>
        </is>
      </c>
      <c r="B564" s="1" t="n">
        <v>45572.62274305556</v>
      </c>
      <c r="C564" s="1" t="n">
        <v>46036</v>
      </c>
      <c r="D564" t="inlineStr">
        <is>
          <t>GÄVLEBORGS LÄN</t>
        </is>
      </c>
      <c r="E564" t="inlineStr">
        <is>
          <t>LJUSDAL</t>
        </is>
      </c>
      <c r="G564" t="n">
        <v>1.3</v>
      </c>
      <c r="H564" t="n">
        <v>0</v>
      </c>
      <c r="I564" t="n">
        <v>0</v>
      </c>
      <c r="J564" t="n">
        <v>0</v>
      </c>
      <c r="K564" t="n">
        <v>0</v>
      </c>
      <c r="L564" t="n">
        <v>0</v>
      </c>
      <c r="M564" t="n">
        <v>0</v>
      </c>
      <c r="N564" t="n">
        <v>0</v>
      </c>
      <c r="O564" t="n">
        <v>0</v>
      </c>
      <c r="P564" t="n">
        <v>0</v>
      </c>
      <c r="Q564" t="n">
        <v>0</v>
      </c>
      <c r="R564" s="2" t="inlineStr"/>
    </row>
    <row r="565" ht="15" customHeight="1">
      <c r="A565" t="inlineStr">
        <is>
          <t>A 28460-2022</t>
        </is>
      </c>
      <c r="B565" s="1" t="n">
        <v>44747</v>
      </c>
      <c r="C565" s="1" t="n">
        <v>46036</v>
      </c>
      <c r="D565" t="inlineStr">
        <is>
          <t>GÄVLEBORGS LÄN</t>
        </is>
      </c>
      <c r="E565" t="inlineStr">
        <is>
          <t>LJUSDAL</t>
        </is>
      </c>
      <c r="G565" t="n">
        <v>4</v>
      </c>
      <c r="H565" t="n">
        <v>0</v>
      </c>
      <c r="I565" t="n">
        <v>0</v>
      </c>
      <c r="J565" t="n">
        <v>0</v>
      </c>
      <c r="K565" t="n">
        <v>0</v>
      </c>
      <c r="L565" t="n">
        <v>0</v>
      </c>
      <c r="M565" t="n">
        <v>0</v>
      </c>
      <c r="N565" t="n">
        <v>0</v>
      </c>
      <c r="O565" t="n">
        <v>0</v>
      </c>
      <c r="P565" t="n">
        <v>0</v>
      </c>
      <c r="Q565" t="n">
        <v>0</v>
      </c>
      <c r="R565" s="2" t="inlineStr"/>
    </row>
    <row r="566" ht="15" customHeight="1">
      <c r="A566" t="inlineStr">
        <is>
          <t>A 44020-2023</t>
        </is>
      </c>
      <c r="B566" s="1" t="n">
        <v>45188</v>
      </c>
      <c r="C566" s="1" t="n">
        <v>46036</v>
      </c>
      <c r="D566" t="inlineStr">
        <is>
          <t>GÄVLEBORGS LÄN</t>
        </is>
      </c>
      <c r="E566" t="inlineStr">
        <is>
          <t>LJUSDAL</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32579-2024</t>
        </is>
      </c>
      <c r="B567" s="1" t="n">
        <v>45513</v>
      </c>
      <c r="C567" s="1" t="n">
        <v>46036</v>
      </c>
      <c r="D567" t="inlineStr">
        <is>
          <t>GÄVLEBORGS LÄN</t>
        </is>
      </c>
      <c r="E567" t="inlineStr">
        <is>
          <t>LJUSDAL</t>
        </is>
      </c>
      <c r="F567" t="inlineStr">
        <is>
          <t>Sveaskog</t>
        </is>
      </c>
      <c r="G567" t="n">
        <v>33.7</v>
      </c>
      <c r="H567" t="n">
        <v>0</v>
      </c>
      <c r="I567" t="n">
        <v>0</v>
      </c>
      <c r="J567" t="n">
        <v>0</v>
      </c>
      <c r="K567" t="n">
        <v>0</v>
      </c>
      <c r="L567" t="n">
        <v>0</v>
      </c>
      <c r="M567" t="n">
        <v>0</v>
      </c>
      <c r="N567" t="n">
        <v>0</v>
      </c>
      <c r="O567" t="n">
        <v>0</v>
      </c>
      <c r="P567" t="n">
        <v>0</v>
      </c>
      <c r="Q567" t="n">
        <v>0</v>
      </c>
      <c r="R567" s="2" t="inlineStr"/>
    </row>
    <row r="568" ht="15" customHeight="1">
      <c r="A568" t="inlineStr">
        <is>
          <t>A 30818-2024</t>
        </is>
      </c>
      <c r="B568" s="1" t="n">
        <v>45497.46219907407</v>
      </c>
      <c r="C568" s="1" t="n">
        <v>46036</v>
      </c>
      <c r="D568" t="inlineStr">
        <is>
          <t>GÄVLEBORGS LÄN</t>
        </is>
      </c>
      <c r="E568" t="inlineStr">
        <is>
          <t>LJUSDAL</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11286-2022</t>
        </is>
      </c>
      <c r="B569" s="1" t="n">
        <v>44629.92833333334</v>
      </c>
      <c r="C569" s="1" t="n">
        <v>46036</v>
      </c>
      <c r="D569" t="inlineStr">
        <is>
          <t>GÄVLEBORGS LÄN</t>
        </is>
      </c>
      <c r="E569" t="inlineStr">
        <is>
          <t>LJUSDAL</t>
        </is>
      </c>
      <c r="G569" t="n">
        <v>11.5</v>
      </c>
      <c r="H569" t="n">
        <v>0</v>
      </c>
      <c r="I569" t="n">
        <v>0</v>
      </c>
      <c r="J569" t="n">
        <v>0</v>
      </c>
      <c r="K569" t="n">
        <v>0</v>
      </c>
      <c r="L569" t="n">
        <v>0</v>
      </c>
      <c r="M569" t="n">
        <v>0</v>
      </c>
      <c r="N569" t="n">
        <v>0</v>
      </c>
      <c r="O569" t="n">
        <v>0</v>
      </c>
      <c r="P569" t="n">
        <v>0</v>
      </c>
      <c r="Q569" t="n">
        <v>0</v>
      </c>
      <c r="R569" s="2" t="inlineStr"/>
    </row>
    <row r="570" ht="15" customHeight="1">
      <c r="A570" t="inlineStr">
        <is>
          <t>A 9935-2022</t>
        </is>
      </c>
      <c r="B570" s="1" t="n">
        <v>44620.92258101852</v>
      </c>
      <c r="C570" s="1" t="n">
        <v>46036</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55983-2024</t>
        </is>
      </c>
      <c r="B571" s="1" t="n">
        <v>45623.66719907407</v>
      </c>
      <c r="C571" s="1" t="n">
        <v>46036</v>
      </c>
      <c r="D571" t="inlineStr">
        <is>
          <t>GÄVLEBORGS LÄN</t>
        </is>
      </c>
      <c r="E571" t="inlineStr">
        <is>
          <t>LJUSDAL</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35683-2023</t>
        </is>
      </c>
      <c r="B572" s="1" t="n">
        <v>45147</v>
      </c>
      <c r="C572" s="1" t="n">
        <v>46036</v>
      </c>
      <c r="D572" t="inlineStr">
        <is>
          <t>GÄVLEBORGS LÄN</t>
        </is>
      </c>
      <c r="E572" t="inlineStr">
        <is>
          <t>LJUSDAL</t>
        </is>
      </c>
      <c r="G572" t="n">
        <v>2.9</v>
      </c>
      <c r="H572" t="n">
        <v>0</v>
      </c>
      <c r="I572" t="n">
        <v>0</v>
      </c>
      <c r="J572" t="n">
        <v>0</v>
      </c>
      <c r="K572" t="n">
        <v>0</v>
      </c>
      <c r="L572" t="n">
        <v>0</v>
      </c>
      <c r="M572" t="n">
        <v>0</v>
      </c>
      <c r="N572" t="n">
        <v>0</v>
      </c>
      <c r="O572" t="n">
        <v>0</v>
      </c>
      <c r="P572" t="n">
        <v>0</v>
      </c>
      <c r="Q572" t="n">
        <v>0</v>
      </c>
      <c r="R572" s="2" t="inlineStr"/>
    </row>
    <row r="573" ht="15" customHeight="1">
      <c r="A573" t="inlineStr">
        <is>
          <t>A 20025-2025</t>
        </is>
      </c>
      <c r="B573" s="1" t="n">
        <v>45772.34452546296</v>
      </c>
      <c r="C573" s="1" t="n">
        <v>46036</v>
      </c>
      <c r="D573" t="inlineStr">
        <is>
          <t>GÄVLEBORGS LÄN</t>
        </is>
      </c>
      <c r="E573" t="inlineStr">
        <is>
          <t>LJUSDAL</t>
        </is>
      </c>
      <c r="F573" t="inlineStr">
        <is>
          <t>SCA</t>
        </is>
      </c>
      <c r="G573" t="n">
        <v>11.5</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46036</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24838-2024</t>
        </is>
      </c>
      <c r="B575" s="1" t="n">
        <v>45461.40820601852</v>
      </c>
      <c r="C575" s="1" t="n">
        <v>46036</v>
      </c>
      <c r="D575" t="inlineStr">
        <is>
          <t>GÄVLEBORGS LÄN</t>
        </is>
      </c>
      <c r="E575" t="inlineStr">
        <is>
          <t>LJUSDAL</t>
        </is>
      </c>
      <c r="G575" t="n">
        <v>1.3</v>
      </c>
      <c r="H575" t="n">
        <v>0</v>
      </c>
      <c r="I575" t="n">
        <v>0</v>
      </c>
      <c r="J575" t="n">
        <v>0</v>
      </c>
      <c r="K575" t="n">
        <v>0</v>
      </c>
      <c r="L575" t="n">
        <v>0</v>
      </c>
      <c r="M575" t="n">
        <v>0</v>
      </c>
      <c r="N575" t="n">
        <v>0</v>
      </c>
      <c r="O575" t="n">
        <v>0</v>
      </c>
      <c r="P575" t="n">
        <v>0</v>
      </c>
      <c r="Q575" t="n">
        <v>0</v>
      </c>
      <c r="R575" s="2" t="inlineStr"/>
    </row>
    <row r="576" ht="15" customHeight="1">
      <c r="A576" t="inlineStr">
        <is>
          <t>A 23928-2024</t>
        </is>
      </c>
      <c r="B576" s="1" t="n">
        <v>45455.93178240741</v>
      </c>
      <c r="C576" s="1" t="n">
        <v>46036</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43423-2022</t>
        </is>
      </c>
      <c r="B577" s="1" t="n">
        <v>44834.94996527778</v>
      </c>
      <c r="C577" s="1" t="n">
        <v>46036</v>
      </c>
      <c r="D577" t="inlineStr">
        <is>
          <t>GÄVLEBORGS LÄN</t>
        </is>
      </c>
      <c r="E577" t="inlineStr">
        <is>
          <t>LJUSDAL</t>
        </is>
      </c>
      <c r="F577" t="inlineStr">
        <is>
          <t>SCA</t>
        </is>
      </c>
      <c r="G577" t="n">
        <v>6.2</v>
      </c>
      <c r="H577" t="n">
        <v>0</v>
      </c>
      <c r="I577" t="n">
        <v>0</v>
      </c>
      <c r="J577" t="n">
        <v>0</v>
      </c>
      <c r="K577" t="n">
        <v>0</v>
      </c>
      <c r="L577" t="n">
        <v>0</v>
      </c>
      <c r="M577" t="n">
        <v>0</v>
      </c>
      <c r="N577" t="n">
        <v>0</v>
      </c>
      <c r="O577" t="n">
        <v>0</v>
      </c>
      <c r="P577" t="n">
        <v>0</v>
      </c>
      <c r="Q577" t="n">
        <v>0</v>
      </c>
      <c r="R577" s="2" t="inlineStr"/>
    </row>
    <row r="578" ht="15" customHeight="1">
      <c r="A578" t="inlineStr">
        <is>
          <t>A 27409-2025</t>
        </is>
      </c>
      <c r="B578" s="1" t="n">
        <v>45812.74663194444</v>
      </c>
      <c r="C578" s="1" t="n">
        <v>46036</v>
      </c>
      <c r="D578" t="inlineStr">
        <is>
          <t>GÄVLEBORGS LÄN</t>
        </is>
      </c>
      <c r="E578" t="inlineStr">
        <is>
          <t>LJUSDAL</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27200-2025</t>
        </is>
      </c>
      <c r="B579" s="1" t="n">
        <v>45812.3918287037</v>
      </c>
      <c r="C579" s="1" t="n">
        <v>46036</v>
      </c>
      <c r="D579" t="inlineStr">
        <is>
          <t>GÄVLEBORGS LÄN</t>
        </is>
      </c>
      <c r="E579" t="inlineStr">
        <is>
          <t>LJUSDAL</t>
        </is>
      </c>
      <c r="G579" t="n">
        <v>7.7</v>
      </c>
      <c r="H579" t="n">
        <v>0</v>
      </c>
      <c r="I579" t="n">
        <v>0</v>
      </c>
      <c r="J579" t="n">
        <v>0</v>
      </c>
      <c r="K579" t="n">
        <v>0</v>
      </c>
      <c r="L579" t="n">
        <v>0</v>
      </c>
      <c r="M579" t="n">
        <v>0</v>
      </c>
      <c r="N579" t="n">
        <v>0</v>
      </c>
      <c r="O579" t="n">
        <v>0</v>
      </c>
      <c r="P579" t="n">
        <v>0</v>
      </c>
      <c r="Q579" t="n">
        <v>0</v>
      </c>
      <c r="R579" s="2" t="inlineStr"/>
    </row>
    <row r="580" ht="15" customHeight="1">
      <c r="A580" t="inlineStr">
        <is>
          <t>A 45703-2023</t>
        </is>
      </c>
      <c r="B580" s="1" t="n">
        <v>45195</v>
      </c>
      <c r="C580" s="1" t="n">
        <v>46036</v>
      </c>
      <c r="D580" t="inlineStr">
        <is>
          <t>GÄVLEBORGS LÄN</t>
        </is>
      </c>
      <c r="E580" t="inlineStr">
        <is>
          <t>LJUSDAL</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27241-2025</t>
        </is>
      </c>
      <c r="B581" s="1" t="n">
        <v>45812.45516203704</v>
      </c>
      <c r="C581" s="1" t="n">
        <v>46036</v>
      </c>
      <c r="D581" t="inlineStr">
        <is>
          <t>GÄVLEBORGS LÄN</t>
        </is>
      </c>
      <c r="E581" t="inlineStr">
        <is>
          <t>LJUSDAL</t>
        </is>
      </c>
      <c r="G581" t="n">
        <v>0.6</v>
      </c>
      <c r="H581" t="n">
        <v>0</v>
      </c>
      <c r="I581" t="n">
        <v>0</v>
      </c>
      <c r="J581" t="n">
        <v>0</v>
      </c>
      <c r="K581" t="n">
        <v>0</v>
      </c>
      <c r="L581" t="n">
        <v>0</v>
      </c>
      <c r="M581" t="n">
        <v>0</v>
      </c>
      <c r="N581" t="n">
        <v>0</v>
      </c>
      <c r="O581" t="n">
        <v>0</v>
      </c>
      <c r="P581" t="n">
        <v>0</v>
      </c>
      <c r="Q581" t="n">
        <v>0</v>
      </c>
      <c r="R581" s="2" t="inlineStr"/>
    </row>
    <row r="582" ht="15" customHeight="1">
      <c r="A582" t="inlineStr">
        <is>
          <t>A 34103-2023</t>
        </is>
      </c>
      <c r="B582" s="1" t="n">
        <v>45135.59890046297</v>
      </c>
      <c r="C582" s="1" t="n">
        <v>46036</v>
      </c>
      <c r="D582" t="inlineStr">
        <is>
          <t>GÄVLEBORGS LÄN</t>
        </is>
      </c>
      <c r="E582" t="inlineStr">
        <is>
          <t>LJUSDAL</t>
        </is>
      </c>
      <c r="F582" t="inlineStr">
        <is>
          <t>Holmen skog AB</t>
        </is>
      </c>
      <c r="G582" t="n">
        <v>4.4</v>
      </c>
      <c r="H582" t="n">
        <v>0</v>
      </c>
      <c r="I582" t="n">
        <v>0</v>
      </c>
      <c r="J582" t="n">
        <v>0</v>
      </c>
      <c r="K582" t="n">
        <v>0</v>
      </c>
      <c r="L582" t="n">
        <v>0</v>
      </c>
      <c r="M582" t="n">
        <v>0</v>
      </c>
      <c r="N582" t="n">
        <v>0</v>
      </c>
      <c r="O582" t="n">
        <v>0</v>
      </c>
      <c r="P582" t="n">
        <v>0</v>
      </c>
      <c r="Q582" t="n">
        <v>0</v>
      </c>
      <c r="R582" s="2" t="inlineStr"/>
    </row>
    <row r="583" ht="15" customHeight="1">
      <c r="A583" t="inlineStr">
        <is>
          <t>A 27376-2025</t>
        </is>
      </c>
      <c r="B583" s="1" t="n">
        <v>45812.65765046296</v>
      </c>
      <c r="C583" s="1" t="n">
        <v>46036</v>
      </c>
      <c r="D583" t="inlineStr">
        <is>
          <t>GÄVLEBORGS LÄN</t>
        </is>
      </c>
      <c r="E583" t="inlineStr">
        <is>
          <t>LJUSDAL</t>
        </is>
      </c>
      <c r="G583" t="n">
        <v>6.1</v>
      </c>
      <c r="H583" t="n">
        <v>0</v>
      </c>
      <c r="I583" t="n">
        <v>0</v>
      </c>
      <c r="J583" t="n">
        <v>0</v>
      </c>
      <c r="K583" t="n">
        <v>0</v>
      </c>
      <c r="L583" t="n">
        <v>0</v>
      </c>
      <c r="M583" t="n">
        <v>0</v>
      </c>
      <c r="N583" t="n">
        <v>0</v>
      </c>
      <c r="O583" t="n">
        <v>0</v>
      </c>
      <c r="P583" t="n">
        <v>0</v>
      </c>
      <c r="Q583" t="n">
        <v>0</v>
      </c>
      <c r="R583" s="2" t="inlineStr"/>
    </row>
    <row r="584" ht="15" customHeight="1">
      <c r="A584" t="inlineStr">
        <is>
          <t>A 27443-2025</t>
        </is>
      </c>
      <c r="B584" s="1" t="n">
        <v>45813.3215625</v>
      </c>
      <c r="C584" s="1" t="n">
        <v>46036</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58598-2024</t>
        </is>
      </c>
      <c r="B585" s="1" t="n">
        <v>45635.54087962963</v>
      </c>
      <c r="C585" s="1" t="n">
        <v>46036</v>
      </c>
      <c r="D585" t="inlineStr">
        <is>
          <t>GÄVLEBORGS LÄN</t>
        </is>
      </c>
      <c r="E585" t="inlineStr">
        <is>
          <t>LJUSDAL</t>
        </is>
      </c>
      <c r="F585" t="inlineStr">
        <is>
          <t>Allmännings- och besparingsskogar</t>
        </is>
      </c>
      <c r="G585" t="n">
        <v>0.5</v>
      </c>
      <c r="H585" t="n">
        <v>0</v>
      </c>
      <c r="I585" t="n">
        <v>0</v>
      </c>
      <c r="J585" t="n">
        <v>0</v>
      </c>
      <c r="K585" t="n">
        <v>0</v>
      </c>
      <c r="L585" t="n">
        <v>0</v>
      </c>
      <c r="M585" t="n">
        <v>0</v>
      </c>
      <c r="N585" t="n">
        <v>0</v>
      </c>
      <c r="O585" t="n">
        <v>0</v>
      </c>
      <c r="P585" t="n">
        <v>0</v>
      </c>
      <c r="Q585" t="n">
        <v>0</v>
      </c>
      <c r="R585" s="2" t="inlineStr"/>
    </row>
    <row r="586" ht="15" customHeight="1">
      <c r="A586" t="inlineStr">
        <is>
          <t>A 27373-2025</t>
        </is>
      </c>
      <c r="B586" s="1" t="n">
        <v>45812.65377314815</v>
      </c>
      <c r="C586" s="1" t="n">
        <v>46036</v>
      </c>
      <c r="D586" t="inlineStr">
        <is>
          <t>GÄVLEBORGS LÄN</t>
        </is>
      </c>
      <c r="E586" t="inlineStr">
        <is>
          <t>LJUSDAL</t>
        </is>
      </c>
      <c r="G586" t="n">
        <v>8.9</v>
      </c>
      <c r="H586" t="n">
        <v>0</v>
      </c>
      <c r="I586" t="n">
        <v>0</v>
      </c>
      <c r="J586" t="n">
        <v>0</v>
      </c>
      <c r="K586" t="n">
        <v>0</v>
      </c>
      <c r="L586" t="n">
        <v>0</v>
      </c>
      <c r="M586" t="n">
        <v>0</v>
      </c>
      <c r="N586" t="n">
        <v>0</v>
      </c>
      <c r="O586" t="n">
        <v>0</v>
      </c>
      <c r="P586" t="n">
        <v>0</v>
      </c>
      <c r="Q586" t="n">
        <v>0</v>
      </c>
      <c r="R586" s="2" t="inlineStr"/>
    </row>
    <row r="587" ht="15" customHeight="1">
      <c r="A587" t="inlineStr">
        <is>
          <t>A 27408-2025</t>
        </is>
      </c>
      <c r="B587" s="1" t="n">
        <v>45812.74564814815</v>
      </c>
      <c r="C587" s="1" t="n">
        <v>46036</v>
      </c>
      <c r="D587" t="inlineStr">
        <is>
          <t>GÄVLEBORGS LÄN</t>
        </is>
      </c>
      <c r="E587" t="inlineStr">
        <is>
          <t>LJUSDAL</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27410-2025</t>
        </is>
      </c>
      <c r="B588" s="1" t="n">
        <v>45812.74857638889</v>
      </c>
      <c r="C588" s="1" t="n">
        <v>46036</v>
      </c>
      <c r="D588" t="inlineStr">
        <is>
          <t>GÄVLEBORGS LÄN</t>
        </is>
      </c>
      <c r="E588" t="inlineStr">
        <is>
          <t>LJUSDAL</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38641-2025</t>
        </is>
      </c>
      <c r="B589" s="1" t="n">
        <v>45884.57607638889</v>
      </c>
      <c r="C589" s="1" t="n">
        <v>46036</v>
      </c>
      <c r="D589" t="inlineStr">
        <is>
          <t>GÄVLEBORGS LÄN</t>
        </is>
      </c>
      <c r="E589" t="inlineStr">
        <is>
          <t>LJUSDAL</t>
        </is>
      </c>
      <c r="G589" t="n">
        <v>9.1</v>
      </c>
      <c r="H589" t="n">
        <v>0</v>
      </c>
      <c r="I589" t="n">
        <v>0</v>
      </c>
      <c r="J589" t="n">
        <v>0</v>
      </c>
      <c r="K589" t="n">
        <v>0</v>
      </c>
      <c r="L589" t="n">
        <v>0</v>
      </c>
      <c r="M589" t="n">
        <v>0</v>
      </c>
      <c r="N589" t="n">
        <v>0</v>
      </c>
      <c r="O589" t="n">
        <v>0</v>
      </c>
      <c r="P589" t="n">
        <v>0</v>
      </c>
      <c r="Q589" t="n">
        <v>0</v>
      </c>
      <c r="R589" s="2" t="inlineStr"/>
    </row>
    <row r="590" ht="15" customHeight="1">
      <c r="A590" t="inlineStr">
        <is>
          <t>A 34113-2023</t>
        </is>
      </c>
      <c r="B590" s="1" t="n">
        <v>45135.62081018519</v>
      </c>
      <c r="C590" s="1" t="n">
        <v>46036</v>
      </c>
      <c r="D590" t="inlineStr">
        <is>
          <t>GÄVLEBORGS LÄN</t>
        </is>
      </c>
      <c r="E590" t="inlineStr">
        <is>
          <t>LJUSDAL</t>
        </is>
      </c>
      <c r="F590" t="inlineStr">
        <is>
          <t>Holmen skog AB</t>
        </is>
      </c>
      <c r="G590" t="n">
        <v>6.6</v>
      </c>
      <c r="H590" t="n">
        <v>0</v>
      </c>
      <c r="I590" t="n">
        <v>0</v>
      </c>
      <c r="J590" t="n">
        <v>0</v>
      </c>
      <c r="K590" t="n">
        <v>0</v>
      </c>
      <c r="L590" t="n">
        <v>0</v>
      </c>
      <c r="M590" t="n">
        <v>0</v>
      </c>
      <c r="N590" t="n">
        <v>0</v>
      </c>
      <c r="O590" t="n">
        <v>0</v>
      </c>
      <c r="P590" t="n">
        <v>0</v>
      </c>
      <c r="Q590" t="n">
        <v>0</v>
      </c>
      <c r="R590" s="2" t="inlineStr"/>
    </row>
    <row r="591" ht="15" customHeight="1">
      <c r="A591" t="inlineStr">
        <is>
          <t>A 27599-2025</t>
        </is>
      </c>
      <c r="B591" s="1" t="n">
        <v>45813.52609953703</v>
      </c>
      <c r="C591" s="1" t="n">
        <v>46036</v>
      </c>
      <c r="D591" t="inlineStr">
        <is>
          <t>GÄVLEBORGS LÄN</t>
        </is>
      </c>
      <c r="E591" t="inlineStr">
        <is>
          <t>LJUSDAL</t>
        </is>
      </c>
      <c r="G591" t="n">
        <v>4</v>
      </c>
      <c r="H591" t="n">
        <v>0</v>
      </c>
      <c r="I591" t="n">
        <v>0</v>
      </c>
      <c r="J591" t="n">
        <v>0</v>
      </c>
      <c r="K591" t="n">
        <v>0</v>
      </c>
      <c r="L591" t="n">
        <v>0</v>
      </c>
      <c r="M591" t="n">
        <v>0</v>
      </c>
      <c r="N591" t="n">
        <v>0</v>
      </c>
      <c r="O591" t="n">
        <v>0</v>
      </c>
      <c r="P591" t="n">
        <v>0</v>
      </c>
      <c r="Q591" t="n">
        <v>0</v>
      </c>
      <c r="R591" s="2" t="inlineStr"/>
    </row>
    <row r="592" ht="15" customHeight="1">
      <c r="A592" t="inlineStr">
        <is>
          <t>A 38232-2024</t>
        </is>
      </c>
      <c r="B592" s="1" t="n">
        <v>45545.55649305556</v>
      </c>
      <c r="C592" s="1" t="n">
        <v>46036</v>
      </c>
      <c r="D592" t="inlineStr">
        <is>
          <t>GÄVLEBORGS LÄN</t>
        </is>
      </c>
      <c r="E592" t="inlineStr">
        <is>
          <t>LJUSDAL</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27305-2025</t>
        </is>
      </c>
      <c r="B593" s="1" t="n">
        <v>45812.57285879629</v>
      </c>
      <c r="C593" s="1" t="n">
        <v>46036</v>
      </c>
      <c r="D593" t="inlineStr">
        <is>
          <t>GÄVLEBORGS LÄN</t>
        </is>
      </c>
      <c r="E593" t="inlineStr">
        <is>
          <t>LJUSDAL</t>
        </is>
      </c>
      <c r="F593" t="inlineStr">
        <is>
          <t>Allmännings- och besparingsskogar</t>
        </is>
      </c>
      <c r="G593" t="n">
        <v>0.5</v>
      </c>
      <c r="H593" t="n">
        <v>0</v>
      </c>
      <c r="I593" t="n">
        <v>0</v>
      </c>
      <c r="J593" t="n">
        <v>0</v>
      </c>
      <c r="K593" t="n">
        <v>0</v>
      </c>
      <c r="L593" t="n">
        <v>0</v>
      </c>
      <c r="M593" t="n">
        <v>0</v>
      </c>
      <c r="N593" t="n">
        <v>0</v>
      </c>
      <c r="O593" t="n">
        <v>0</v>
      </c>
      <c r="P593" t="n">
        <v>0</v>
      </c>
      <c r="Q593" t="n">
        <v>0</v>
      </c>
      <c r="R593" s="2" t="inlineStr"/>
    </row>
    <row r="594" ht="15" customHeight="1">
      <c r="A594" t="inlineStr">
        <is>
          <t>A 33052-2024</t>
        </is>
      </c>
      <c r="B594" s="1" t="n">
        <v>45517.63001157407</v>
      </c>
      <c r="C594" s="1" t="n">
        <v>46036</v>
      </c>
      <c r="D594" t="inlineStr">
        <is>
          <t>GÄVLEBORGS LÄN</t>
        </is>
      </c>
      <c r="E594" t="inlineStr">
        <is>
          <t>LJUSDAL</t>
        </is>
      </c>
      <c r="F594" t="inlineStr">
        <is>
          <t>Allmännings- och besparingsskogar</t>
        </is>
      </c>
      <c r="G594" t="n">
        <v>1.9</v>
      </c>
      <c r="H594" t="n">
        <v>0</v>
      </c>
      <c r="I594" t="n">
        <v>0</v>
      </c>
      <c r="J594" t="n">
        <v>0</v>
      </c>
      <c r="K594" t="n">
        <v>0</v>
      </c>
      <c r="L594" t="n">
        <v>0</v>
      </c>
      <c r="M594" t="n">
        <v>0</v>
      </c>
      <c r="N594" t="n">
        <v>0</v>
      </c>
      <c r="O594" t="n">
        <v>0</v>
      </c>
      <c r="P594" t="n">
        <v>0</v>
      </c>
      <c r="Q594" t="n">
        <v>0</v>
      </c>
      <c r="R594" s="2" t="inlineStr"/>
    </row>
    <row r="595" ht="15" customHeight="1">
      <c r="A595" t="inlineStr">
        <is>
          <t>A 64018-2023</t>
        </is>
      </c>
      <c r="B595" s="1" t="n">
        <v>45278.9264699074</v>
      </c>
      <c r="C595" s="1" t="n">
        <v>46036</v>
      </c>
      <c r="D595" t="inlineStr">
        <is>
          <t>GÄVLEBORGS LÄN</t>
        </is>
      </c>
      <c r="E595" t="inlineStr">
        <is>
          <t>LJUSDAL</t>
        </is>
      </c>
      <c r="G595" t="n">
        <v>5.4</v>
      </c>
      <c r="H595" t="n">
        <v>0</v>
      </c>
      <c r="I595" t="n">
        <v>0</v>
      </c>
      <c r="J595" t="n">
        <v>0</v>
      </c>
      <c r="K595" t="n">
        <v>0</v>
      </c>
      <c r="L595" t="n">
        <v>0</v>
      </c>
      <c r="M595" t="n">
        <v>0</v>
      </c>
      <c r="N595" t="n">
        <v>0</v>
      </c>
      <c r="O595" t="n">
        <v>0</v>
      </c>
      <c r="P595" t="n">
        <v>0</v>
      </c>
      <c r="Q595" t="n">
        <v>0</v>
      </c>
      <c r="R595" s="2" t="inlineStr"/>
    </row>
    <row r="596" ht="15" customHeight="1">
      <c r="A596" t="inlineStr">
        <is>
          <t>A 41994-2024</t>
        </is>
      </c>
      <c r="B596" s="1" t="n">
        <v>45561.64641203704</v>
      </c>
      <c r="C596" s="1" t="n">
        <v>46036</v>
      </c>
      <c r="D596" t="inlineStr">
        <is>
          <t>GÄVLEBORGS LÄN</t>
        </is>
      </c>
      <c r="E596" t="inlineStr">
        <is>
          <t>LJUSDAL</t>
        </is>
      </c>
      <c r="G596" t="n">
        <v>0.4</v>
      </c>
      <c r="H596" t="n">
        <v>0</v>
      </c>
      <c r="I596" t="n">
        <v>0</v>
      </c>
      <c r="J596" t="n">
        <v>0</v>
      </c>
      <c r="K596" t="n">
        <v>0</v>
      </c>
      <c r="L596" t="n">
        <v>0</v>
      </c>
      <c r="M596" t="n">
        <v>0</v>
      </c>
      <c r="N596" t="n">
        <v>0</v>
      </c>
      <c r="O596" t="n">
        <v>0</v>
      </c>
      <c r="P596" t="n">
        <v>0</v>
      </c>
      <c r="Q596" t="n">
        <v>0</v>
      </c>
      <c r="R596" s="2" t="inlineStr"/>
    </row>
    <row r="597" ht="15" customHeight="1">
      <c r="A597" t="inlineStr">
        <is>
          <t>A 27186-2025</t>
        </is>
      </c>
      <c r="B597" s="1" t="n">
        <v>45812.36540509259</v>
      </c>
      <c r="C597" s="1" t="n">
        <v>46036</v>
      </c>
      <c r="D597" t="inlineStr">
        <is>
          <t>GÄVLEBORGS LÄN</t>
        </is>
      </c>
      <c r="E597" t="inlineStr">
        <is>
          <t>LJUSDAL</t>
        </is>
      </c>
      <c r="F597" t="inlineStr">
        <is>
          <t>Holmen skog AB</t>
        </is>
      </c>
      <c r="G597" t="n">
        <v>3.5</v>
      </c>
      <c r="H597" t="n">
        <v>0</v>
      </c>
      <c r="I597" t="n">
        <v>0</v>
      </c>
      <c r="J597" t="n">
        <v>0</v>
      </c>
      <c r="K597" t="n">
        <v>0</v>
      </c>
      <c r="L597" t="n">
        <v>0</v>
      </c>
      <c r="M597" t="n">
        <v>0</v>
      </c>
      <c r="N597" t="n">
        <v>0</v>
      </c>
      <c r="O597" t="n">
        <v>0</v>
      </c>
      <c r="P597" t="n">
        <v>0</v>
      </c>
      <c r="Q597" t="n">
        <v>0</v>
      </c>
      <c r="R597" s="2" t="inlineStr"/>
    </row>
    <row r="598" ht="15" customHeight="1">
      <c r="A598" t="inlineStr">
        <is>
          <t>A 27839-2025</t>
        </is>
      </c>
      <c r="B598" s="1" t="n">
        <v>45817.37427083333</v>
      </c>
      <c r="C598" s="1" t="n">
        <v>46036</v>
      </c>
      <c r="D598" t="inlineStr">
        <is>
          <t>GÄVLEBORGS LÄN</t>
        </is>
      </c>
      <c r="E598" t="inlineStr">
        <is>
          <t>LJUSDAL</t>
        </is>
      </c>
      <c r="F598" t="inlineStr">
        <is>
          <t>Holmen skog AB</t>
        </is>
      </c>
      <c r="G598" t="n">
        <v>20.9</v>
      </c>
      <c r="H598" t="n">
        <v>0</v>
      </c>
      <c r="I598" t="n">
        <v>0</v>
      </c>
      <c r="J598" t="n">
        <v>0</v>
      </c>
      <c r="K598" t="n">
        <v>0</v>
      </c>
      <c r="L598" t="n">
        <v>0</v>
      </c>
      <c r="M598" t="n">
        <v>0</v>
      </c>
      <c r="N598" t="n">
        <v>0</v>
      </c>
      <c r="O598" t="n">
        <v>0</v>
      </c>
      <c r="P598" t="n">
        <v>0</v>
      </c>
      <c r="Q598" t="n">
        <v>0</v>
      </c>
      <c r="R598" s="2" t="inlineStr"/>
    </row>
    <row r="599" ht="15" customHeight="1">
      <c r="A599" t="inlineStr">
        <is>
          <t>A 48848-2024</t>
        </is>
      </c>
      <c r="B599" s="1" t="n">
        <v>45593.8021875</v>
      </c>
      <c r="C599" s="1" t="n">
        <v>46036</v>
      </c>
      <c r="D599" t="inlineStr">
        <is>
          <t>GÄVLEBORGS LÄN</t>
        </is>
      </c>
      <c r="E599" t="inlineStr">
        <is>
          <t>LJUSDAL</t>
        </is>
      </c>
      <c r="F599" t="inlineStr">
        <is>
          <t>Bergvik skog väst AB</t>
        </is>
      </c>
      <c r="G599" t="n">
        <v>5.4</v>
      </c>
      <c r="H599" t="n">
        <v>0</v>
      </c>
      <c r="I599" t="n">
        <v>0</v>
      </c>
      <c r="J599" t="n">
        <v>0</v>
      </c>
      <c r="K599" t="n">
        <v>0</v>
      </c>
      <c r="L599" t="n">
        <v>0</v>
      </c>
      <c r="M599" t="n">
        <v>0</v>
      </c>
      <c r="N599" t="n">
        <v>0</v>
      </c>
      <c r="O599" t="n">
        <v>0</v>
      </c>
      <c r="P599" t="n">
        <v>0</v>
      </c>
      <c r="Q599" t="n">
        <v>0</v>
      </c>
      <c r="R599" s="2" t="inlineStr"/>
    </row>
    <row r="600" ht="15" customHeight="1">
      <c r="A600" t="inlineStr">
        <is>
          <t>A 38573-2025</t>
        </is>
      </c>
      <c r="B600" s="1" t="n">
        <v>45884.46380787037</v>
      </c>
      <c r="C600" s="1" t="n">
        <v>46036</v>
      </c>
      <c r="D600" t="inlineStr">
        <is>
          <t>GÄVLEBORGS LÄN</t>
        </is>
      </c>
      <c r="E600" t="inlineStr">
        <is>
          <t>LJUSDAL</t>
        </is>
      </c>
      <c r="G600" t="n">
        <v>1.8</v>
      </c>
      <c r="H600" t="n">
        <v>0</v>
      </c>
      <c r="I600" t="n">
        <v>0</v>
      </c>
      <c r="J600" t="n">
        <v>0</v>
      </c>
      <c r="K600" t="n">
        <v>0</v>
      </c>
      <c r="L600" t="n">
        <v>0</v>
      </c>
      <c r="M600" t="n">
        <v>0</v>
      </c>
      <c r="N600" t="n">
        <v>0</v>
      </c>
      <c r="O600" t="n">
        <v>0</v>
      </c>
      <c r="P600" t="n">
        <v>0</v>
      </c>
      <c r="Q600" t="n">
        <v>0</v>
      </c>
      <c r="R600" s="2" t="inlineStr"/>
    </row>
    <row r="601" ht="15" customHeight="1">
      <c r="A601" t="inlineStr">
        <is>
          <t>A 27723-2024</t>
        </is>
      </c>
      <c r="B601" s="1" t="n">
        <v>45475.4027662037</v>
      </c>
      <c r="C601" s="1" t="n">
        <v>46036</v>
      </c>
      <c r="D601" t="inlineStr">
        <is>
          <t>GÄVLEBORGS LÄN</t>
        </is>
      </c>
      <c r="E601" t="inlineStr">
        <is>
          <t>LJUSDAL</t>
        </is>
      </c>
      <c r="G601" t="n">
        <v>3.7</v>
      </c>
      <c r="H601" t="n">
        <v>0</v>
      </c>
      <c r="I601" t="n">
        <v>0</v>
      </c>
      <c r="J601" t="n">
        <v>0</v>
      </c>
      <c r="K601" t="n">
        <v>0</v>
      </c>
      <c r="L601" t="n">
        <v>0</v>
      </c>
      <c r="M601" t="n">
        <v>0</v>
      </c>
      <c r="N601" t="n">
        <v>0</v>
      </c>
      <c r="O601" t="n">
        <v>0</v>
      </c>
      <c r="P601" t="n">
        <v>0</v>
      </c>
      <c r="Q601" t="n">
        <v>0</v>
      </c>
      <c r="R601" s="2" t="inlineStr"/>
    </row>
    <row r="602" ht="15" customHeight="1">
      <c r="A602" t="inlineStr">
        <is>
          <t>A 27905-2025</t>
        </is>
      </c>
      <c r="B602" s="1" t="n">
        <v>45817.46819444445</v>
      </c>
      <c r="C602" s="1" t="n">
        <v>46036</v>
      </c>
      <c r="D602" t="inlineStr">
        <is>
          <t>GÄVLEBORGS LÄN</t>
        </is>
      </c>
      <c r="E602" t="inlineStr">
        <is>
          <t>LJUSDAL</t>
        </is>
      </c>
      <c r="F602" t="inlineStr">
        <is>
          <t>Holmen skog AB</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27916-2025</t>
        </is>
      </c>
      <c r="B603" s="1" t="n">
        <v>45817.48046296297</v>
      </c>
      <c r="C603" s="1" t="n">
        <v>46036</v>
      </c>
      <c r="D603" t="inlineStr">
        <is>
          <t>GÄVLEBORGS LÄN</t>
        </is>
      </c>
      <c r="E603" t="inlineStr">
        <is>
          <t>LJUSDAL</t>
        </is>
      </c>
      <c r="G603" t="n">
        <v>1.9</v>
      </c>
      <c r="H603" t="n">
        <v>0</v>
      </c>
      <c r="I603" t="n">
        <v>0</v>
      </c>
      <c r="J603" t="n">
        <v>0</v>
      </c>
      <c r="K603" t="n">
        <v>0</v>
      </c>
      <c r="L603" t="n">
        <v>0</v>
      </c>
      <c r="M603" t="n">
        <v>0</v>
      </c>
      <c r="N603" t="n">
        <v>0</v>
      </c>
      <c r="O603" t="n">
        <v>0</v>
      </c>
      <c r="P603" t="n">
        <v>0</v>
      </c>
      <c r="Q603" t="n">
        <v>0</v>
      </c>
      <c r="R603" s="2" t="inlineStr"/>
    </row>
    <row r="604" ht="15" customHeight="1">
      <c r="A604" t="inlineStr">
        <is>
          <t>A 27928-2025</t>
        </is>
      </c>
      <c r="B604" s="1" t="n">
        <v>45817.49019675926</v>
      </c>
      <c r="C604" s="1" t="n">
        <v>46036</v>
      </c>
      <c r="D604" t="inlineStr">
        <is>
          <t>GÄVLEBORGS LÄN</t>
        </is>
      </c>
      <c r="E604" t="inlineStr">
        <is>
          <t>LJUSDAL</t>
        </is>
      </c>
      <c r="G604" t="n">
        <v>2.6</v>
      </c>
      <c r="H604" t="n">
        <v>0</v>
      </c>
      <c r="I604" t="n">
        <v>0</v>
      </c>
      <c r="J604" t="n">
        <v>0</v>
      </c>
      <c r="K604" t="n">
        <v>0</v>
      </c>
      <c r="L604" t="n">
        <v>0</v>
      </c>
      <c r="M604" t="n">
        <v>0</v>
      </c>
      <c r="N604" t="n">
        <v>0</v>
      </c>
      <c r="O604" t="n">
        <v>0</v>
      </c>
      <c r="P604" t="n">
        <v>0</v>
      </c>
      <c r="Q604" t="n">
        <v>0</v>
      </c>
      <c r="R604" s="2" t="inlineStr"/>
    </row>
    <row r="605" ht="15" customHeight="1">
      <c r="A605" t="inlineStr">
        <is>
          <t>A 15750-2022</t>
        </is>
      </c>
      <c r="B605" s="1" t="n">
        <v>44663</v>
      </c>
      <c r="C605" s="1" t="n">
        <v>46036</v>
      </c>
      <c r="D605" t="inlineStr">
        <is>
          <t>GÄVLEBORGS LÄN</t>
        </is>
      </c>
      <c r="E605" t="inlineStr">
        <is>
          <t>LJUSDAL</t>
        </is>
      </c>
      <c r="G605" t="n">
        <v>3.1</v>
      </c>
      <c r="H605" t="n">
        <v>0</v>
      </c>
      <c r="I605" t="n">
        <v>0</v>
      </c>
      <c r="J605" t="n">
        <v>0</v>
      </c>
      <c r="K605" t="n">
        <v>0</v>
      </c>
      <c r="L605" t="n">
        <v>0</v>
      </c>
      <c r="M605" t="n">
        <v>0</v>
      </c>
      <c r="N605" t="n">
        <v>0</v>
      </c>
      <c r="O605" t="n">
        <v>0</v>
      </c>
      <c r="P605" t="n">
        <v>0</v>
      </c>
      <c r="Q605" t="n">
        <v>0</v>
      </c>
      <c r="R605" s="2" t="inlineStr"/>
    </row>
    <row r="606" ht="15" customHeight="1">
      <c r="A606" t="inlineStr">
        <is>
          <t>A 1332-2025</t>
        </is>
      </c>
      <c r="B606" s="1" t="n">
        <v>45667.57828703704</v>
      </c>
      <c r="C606" s="1" t="n">
        <v>46036</v>
      </c>
      <c r="D606" t="inlineStr">
        <is>
          <t>GÄVLEBORGS LÄN</t>
        </is>
      </c>
      <c r="E606" t="inlineStr">
        <is>
          <t>LJUSDAL</t>
        </is>
      </c>
      <c r="F606" t="inlineStr">
        <is>
          <t>Holmen skog AB</t>
        </is>
      </c>
      <c r="G606" t="n">
        <v>4.4</v>
      </c>
      <c r="H606" t="n">
        <v>0</v>
      </c>
      <c r="I606" t="n">
        <v>0</v>
      </c>
      <c r="J606" t="n">
        <v>0</v>
      </c>
      <c r="K606" t="n">
        <v>0</v>
      </c>
      <c r="L606" t="n">
        <v>0</v>
      </c>
      <c r="M606" t="n">
        <v>0</v>
      </c>
      <c r="N606" t="n">
        <v>0</v>
      </c>
      <c r="O606" t="n">
        <v>0</v>
      </c>
      <c r="P606" t="n">
        <v>0</v>
      </c>
      <c r="Q606" t="n">
        <v>0</v>
      </c>
      <c r="R606" s="2" t="inlineStr"/>
    </row>
    <row r="607" ht="15" customHeight="1">
      <c r="A607" t="inlineStr">
        <is>
          <t>A 38559-2025</t>
        </is>
      </c>
      <c r="B607" s="1" t="n">
        <v>45884.44716435186</v>
      </c>
      <c r="C607" s="1" t="n">
        <v>46036</v>
      </c>
      <c r="D607" t="inlineStr">
        <is>
          <t>GÄVLEBORGS LÄN</t>
        </is>
      </c>
      <c r="E607" t="inlineStr">
        <is>
          <t>LJUSDAL</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27817-2025</t>
        </is>
      </c>
      <c r="B608" s="1" t="n">
        <v>45817.33469907408</v>
      </c>
      <c r="C608" s="1" t="n">
        <v>46036</v>
      </c>
      <c r="D608" t="inlineStr">
        <is>
          <t>GÄVLEBORGS LÄN</t>
        </is>
      </c>
      <c r="E608" t="inlineStr">
        <is>
          <t>LJUSDAL</t>
        </is>
      </c>
      <c r="G608" t="n">
        <v>8.9</v>
      </c>
      <c r="H608" t="n">
        <v>0</v>
      </c>
      <c r="I608" t="n">
        <v>0</v>
      </c>
      <c r="J608" t="n">
        <v>0</v>
      </c>
      <c r="K608" t="n">
        <v>0</v>
      </c>
      <c r="L608" t="n">
        <v>0</v>
      </c>
      <c r="M608" t="n">
        <v>0</v>
      </c>
      <c r="N608" t="n">
        <v>0</v>
      </c>
      <c r="O608" t="n">
        <v>0</v>
      </c>
      <c r="P608" t="n">
        <v>0</v>
      </c>
      <c r="Q608" t="n">
        <v>0</v>
      </c>
      <c r="R608" s="2" t="inlineStr"/>
    </row>
    <row r="609" ht="15" customHeight="1">
      <c r="A609" t="inlineStr">
        <is>
          <t>A 27932-2025</t>
        </is>
      </c>
      <c r="B609" s="1" t="n">
        <v>45817.49524305556</v>
      </c>
      <c r="C609" s="1" t="n">
        <v>46036</v>
      </c>
      <c r="D609" t="inlineStr">
        <is>
          <t>GÄVLEBORGS LÄN</t>
        </is>
      </c>
      <c r="E609" t="inlineStr">
        <is>
          <t>LJUSDAL</t>
        </is>
      </c>
      <c r="F609" t="inlineStr">
        <is>
          <t>Holmen skog AB</t>
        </is>
      </c>
      <c r="G609" t="n">
        <v>18.2</v>
      </c>
      <c r="H609" t="n">
        <v>0</v>
      </c>
      <c r="I609" t="n">
        <v>0</v>
      </c>
      <c r="J609" t="n">
        <v>0</v>
      </c>
      <c r="K609" t="n">
        <v>0</v>
      </c>
      <c r="L609" t="n">
        <v>0</v>
      </c>
      <c r="M609" t="n">
        <v>0</v>
      </c>
      <c r="N609" t="n">
        <v>0</v>
      </c>
      <c r="O609" t="n">
        <v>0</v>
      </c>
      <c r="P609" t="n">
        <v>0</v>
      </c>
      <c r="Q609" t="n">
        <v>0</v>
      </c>
      <c r="R609" s="2" t="inlineStr"/>
    </row>
    <row r="610" ht="15" customHeight="1">
      <c r="A610" t="inlineStr">
        <is>
          <t>A 27976-2025</t>
        </is>
      </c>
      <c r="B610" s="1" t="n">
        <v>45817.57092592592</v>
      </c>
      <c r="C610" s="1" t="n">
        <v>46036</v>
      </c>
      <c r="D610" t="inlineStr">
        <is>
          <t>GÄVLEBORGS LÄN</t>
        </is>
      </c>
      <c r="E610" t="inlineStr">
        <is>
          <t>LJUSDAL</t>
        </is>
      </c>
      <c r="G610" t="n">
        <v>3.9</v>
      </c>
      <c r="H610" t="n">
        <v>0</v>
      </c>
      <c r="I610" t="n">
        <v>0</v>
      </c>
      <c r="J610" t="n">
        <v>0</v>
      </c>
      <c r="K610" t="n">
        <v>0</v>
      </c>
      <c r="L610" t="n">
        <v>0</v>
      </c>
      <c r="M610" t="n">
        <v>0</v>
      </c>
      <c r="N610" t="n">
        <v>0</v>
      </c>
      <c r="O610" t="n">
        <v>0</v>
      </c>
      <c r="P610" t="n">
        <v>0</v>
      </c>
      <c r="Q610" t="n">
        <v>0</v>
      </c>
      <c r="R610" s="2" t="inlineStr"/>
    </row>
    <row r="611" ht="15" customHeight="1">
      <c r="A611" t="inlineStr">
        <is>
          <t>A 27970-2025</t>
        </is>
      </c>
      <c r="B611" s="1" t="n">
        <v>45817.56043981481</v>
      </c>
      <c r="C611" s="1" t="n">
        <v>46036</v>
      </c>
      <c r="D611" t="inlineStr">
        <is>
          <t>GÄVLEBORGS LÄN</t>
        </is>
      </c>
      <c r="E611" t="inlineStr">
        <is>
          <t>LJUSDAL</t>
        </is>
      </c>
      <c r="G611" t="n">
        <v>1</v>
      </c>
      <c r="H611" t="n">
        <v>0</v>
      </c>
      <c r="I611" t="n">
        <v>0</v>
      </c>
      <c r="J611" t="n">
        <v>0</v>
      </c>
      <c r="K611" t="n">
        <v>0</v>
      </c>
      <c r="L611" t="n">
        <v>0</v>
      </c>
      <c r="M611" t="n">
        <v>0</v>
      </c>
      <c r="N611" t="n">
        <v>0</v>
      </c>
      <c r="O611" t="n">
        <v>0</v>
      </c>
      <c r="P611" t="n">
        <v>0</v>
      </c>
      <c r="Q611" t="n">
        <v>0</v>
      </c>
      <c r="R611" s="2" t="inlineStr"/>
    </row>
    <row r="612" ht="15" customHeight="1">
      <c r="A612" t="inlineStr">
        <is>
          <t>A 10521-2025</t>
        </is>
      </c>
      <c r="B612" s="1" t="n">
        <v>45721.42797453704</v>
      </c>
      <c r="C612" s="1" t="n">
        <v>46036</v>
      </c>
      <c r="D612" t="inlineStr">
        <is>
          <t>GÄVLEBORGS LÄN</t>
        </is>
      </c>
      <c r="E612" t="inlineStr">
        <is>
          <t>LJUSDAL</t>
        </is>
      </c>
      <c r="F612" t="inlineStr">
        <is>
          <t>SCA</t>
        </is>
      </c>
      <c r="G612" t="n">
        <v>14.5</v>
      </c>
      <c r="H612" t="n">
        <v>0</v>
      </c>
      <c r="I612" t="n">
        <v>0</v>
      </c>
      <c r="J612" t="n">
        <v>0</v>
      </c>
      <c r="K612" t="n">
        <v>0</v>
      </c>
      <c r="L612" t="n">
        <v>0</v>
      </c>
      <c r="M612" t="n">
        <v>0</v>
      </c>
      <c r="N612" t="n">
        <v>0</v>
      </c>
      <c r="O612" t="n">
        <v>0</v>
      </c>
      <c r="P612" t="n">
        <v>0</v>
      </c>
      <c r="Q612" t="n">
        <v>0</v>
      </c>
      <c r="R612" s="2" t="inlineStr"/>
    </row>
    <row r="613" ht="15" customHeight="1">
      <c r="A613" t="inlineStr">
        <is>
          <t>A 25570-2024</t>
        </is>
      </c>
      <c r="B613" s="1" t="n">
        <v>45463.58728009259</v>
      </c>
      <c r="C613" s="1" t="n">
        <v>46036</v>
      </c>
      <c r="D613" t="inlineStr">
        <is>
          <t>GÄVLEBORGS LÄN</t>
        </is>
      </c>
      <c r="E613" t="inlineStr">
        <is>
          <t>LJUSDAL</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67380-2021</t>
        </is>
      </c>
      <c r="B614" s="1" t="n">
        <v>44523</v>
      </c>
      <c r="C614" s="1" t="n">
        <v>46036</v>
      </c>
      <c r="D614" t="inlineStr">
        <is>
          <t>GÄVLEBORGS LÄN</t>
        </is>
      </c>
      <c r="E614" t="inlineStr">
        <is>
          <t>LJUSDAL</t>
        </is>
      </c>
      <c r="G614" t="n">
        <v>4.6</v>
      </c>
      <c r="H614" t="n">
        <v>0</v>
      </c>
      <c r="I614" t="n">
        <v>0</v>
      </c>
      <c r="J614" t="n">
        <v>0</v>
      </c>
      <c r="K614" t="n">
        <v>0</v>
      </c>
      <c r="L614" t="n">
        <v>0</v>
      </c>
      <c r="M614" t="n">
        <v>0</v>
      </c>
      <c r="N614" t="n">
        <v>0</v>
      </c>
      <c r="O614" t="n">
        <v>0</v>
      </c>
      <c r="P614" t="n">
        <v>0</v>
      </c>
      <c r="Q614" t="n">
        <v>0</v>
      </c>
      <c r="R614" s="2" t="inlineStr"/>
    </row>
    <row r="615" ht="15" customHeight="1">
      <c r="A615" t="inlineStr">
        <is>
          <t>A 52921-2024</t>
        </is>
      </c>
      <c r="B615" s="1" t="n">
        <v>45610.71336805556</v>
      </c>
      <c r="C615" s="1" t="n">
        <v>46036</v>
      </c>
      <c r="D615" t="inlineStr">
        <is>
          <t>GÄVLEBORGS LÄN</t>
        </is>
      </c>
      <c r="E615" t="inlineStr">
        <is>
          <t>LJUSDAL</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28648-2025</t>
        </is>
      </c>
      <c r="B616" s="1" t="n">
        <v>45819.64917824074</v>
      </c>
      <c r="C616" s="1" t="n">
        <v>46036</v>
      </c>
      <c r="D616" t="inlineStr">
        <is>
          <t>GÄVLEBORGS LÄN</t>
        </is>
      </c>
      <c r="E616" t="inlineStr">
        <is>
          <t>LJUSDAL</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35024-2024</t>
        </is>
      </c>
      <c r="B617" s="1" t="n">
        <v>45527.60289351852</v>
      </c>
      <c r="C617" s="1" t="n">
        <v>46036</v>
      </c>
      <c r="D617" t="inlineStr">
        <is>
          <t>GÄVLEBORGS LÄN</t>
        </is>
      </c>
      <c r="E617" t="inlineStr">
        <is>
          <t>LJUSDAL</t>
        </is>
      </c>
      <c r="G617" t="n">
        <v>0.7</v>
      </c>
      <c r="H617" t="n">
        <v>0</v>
      </c>
      <c r="I617" t="n">
        <v>0</v>
      </c>
      <c r="J617" t="n">
        <v>0</v>
      </c>
      <c r="K617" t="n">
        <v>0</v>
      </c>
      <c r="L617" t="n">
        <v>0</v>
      </c>
      <c r="M617" t="n">
        <v>0</v>
      </c>
      <c r="N617" t="n">
        <v>0</v>
      </c>
      <c r="O617" t="n">
        <v>0</v>
      </c>
      <c r="P617" t="n">
        <v>0</v>
      </c>
      <c r="Q617" t="n">
        <v>0</v>
      </c>
      <c r="R617" s="2" t="inlineStr"/>
    </row>
    <row r="618" ht="15" customHeight="1">
      <c r="A618" t="inlineStr">
        <is>
          <t>A 28638-2025</t>
        </is>
      </c>
      <c r="B618" s="1" t="n">
        <v>45819.63609953703</v>
      </c>
      <c r="C618" s="1" t="n">
        <v>46036</v>
      </c>
      <c r="D618" t="inlineStr">
        <is>
          <t>GÄVLEBORGS LÄN</t>
        </is>
      </c>
      <c r="E618" t="inlineStr">
        <is>
          <t>LJUSDAL</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38758-2025</t>
        </is>
      </c>
      <c r="B619" s="1" t="n">
        <v>45887.39670138889</v>
      </c>
      <c r="C619" s="1" t="n">
        <v>46036</v>
      </c>
      <c r="D619" t="inlineStr">
        <is>
          <t>GÄVLEBORGS LÄN</t>
        </is>
      </c>
      <c r="E619" t="inlineStr">
        <is>
          <t>LJUSDAL</t>
        </is>
      </c>
      <c r="G619" t="n">
        <v>4.4</v>
      </c>
      <c r="H619" t="n">
        <v>0</v>
      </c>
      <c r="I619" t="n">
        <v>0</v>
      </c>
      <c r="J619" t="n">
        <v>0</v>
      </c>
      <c r="K619" t="n">
        <v>0</v>
      </c>
      <c r="L619" t="n">
        <v>0</v>
      </c>
      <c r="M619" t="n">
        <v>0</v>
      </c>
      <c r="N619" t="n">
        <v>0</v>
      </c>
      <c r="O619" t="n">
        <v>0</v>
      </c>
      <c r="P619" t="n">
        <v>0</v>
      </c>
      <c r="Q619" t="n">
        <v>0</v>
      </c>
      <c r="R619" s="2" t="inlineStr"/>
    </row>
    <row r="620" ht="15" customHeight="1">
      <c r="A620" t="inlineStr">
        <is>
          <t>A 13094-2023</t>
        </is>
      </c>
      <c r="B620" s="1" t="n">
        <v>45002.43677083333</v>
      </c>
      <c r="C620" s="1" t="n">
        <v>46036</v>
      </c>
      <c r="D620" t="inlineStr">
        <is>
          <t>GÄVLEBORGS LÄN</t>
        </is>
      </c>
      <c r="E620" t="inlineStr">
        <is>
          <t>LJUSDAL</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28584-2025</t>
        </is>
      </c>
      <c r="B621" s="1" t="n">
        <v>45819.57846064815</v>
      </c>
      <c r="C621" s="1" t="n">
        <v>46036</v>
      </c>
      <c r="D621" t="inlineStr">
        <is>
          <t>GÄVLEBORGS LÄN</t>
        </is>
      </c>
      <c r="E621" t="inlineStr">
        <is>
          <t>LJUSDAL</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32121-2025</t>
        </is>
      </c>
      <c r="B622" s="1" t="n">
        <v>45835.49260416667</v>
      </c>
      <c r="C622" s="1" t="n">
        <v>46036</v>
      </c>
      <c r="D622" t="inlineStr">
        <is>
          <t>GÄVLEBORGS LÄN</t>
        </is>
      </c>
      <c r="E622" t="inlineStr">
        <is>
          <t>LJUSDAL</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58783-2022</t>
        </is>
      </c>
      <c r="B623" s="1" t="n">
        <v>44903</v>
      </c>
      <c r="C623" s="1" t="n">
        <v>46036</v>
      </c>
      <c r="D623" t="inlineStr">
        <is>
          <t>GÄVLEBORGS LÄN</t>
        </is>
      </c>
      <c r="E623" t="inlineStr">
        <is>
          <t>LJUSDAL</t>
        </is>
      </c>
      <c r="F623" t="inlineStr">
        <is>
          <t>Kyrkan</t>
        </is>
      </c>
      <c r="G623" t="n">
        <v>5.1</v>
      </c>
      <c r="H623" t="n">
        <v>0</v>
      </c>
      <c r="I623" t="n">
        <v>0</v>
      </c>
      <c r="J623" t="n">
        <v>0</v>
      </c>
      <c r="K623" t="n">
        <v>0</v>
      </c>
      <c r="L623" t="n">
        <v>0</v>
      </c>
      <c r="M623" t="n">
        <v>0</v>
      </c>
      <c r="N623" t="n">
        <v>0</v>
      </c>
      <c r="O623" t="n">
        <v>0</v>
      </c>
      <c r="P623" t="n">
        <v>0</v>
      </c>
      <c r="Q623" t="n">
        <v>0</v>
      </c>
      <c r="R623" s="2" t="inlineStr"/>
    </row>
    <row r="624" ht="15" customHeight="1">
      <c r="A624" t="inlineStr">
        <is>
          <t>A 29014-2025</t>
        </is>
      </c>
      <c r="B624" s="1" t="n">
        <v>45821.40796296296</v>
      </c>
      <c r="C624" s="1" t="n">
        <v>46036</v>
      </c>
      <c r="D624" t="inlineStr">
        <is>
          <t>GÄVLEBORGS LÄN</t>
        </is>
      </c>
      <c r="E624" t="inlineStr">
        <is>
          <t>LJUSDAL</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54926-2024</t>
        </is>
      </c>
      <c r="B625" s="1" t="n">
        <v>45618.71902777778</v>
      </c>
      <c r="C625" s="1" t="n">
        <v>46036</v>
      </c>
      <c r="D625" t="inlineStr">
        <is>
          <t>GÄVLEBORGS LÄN</t>
        </is>
      </c>
      <c r="E625" t="inlineStr">
        <is>
          <t>LJUSDAL</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28903-2025</t>
        </is>
      </c>
      <c r="B626" s="1" t="n">
        <v>45820.64299768519</v>
      </c>
      <c r="C626" s="1" t="n">
        <v>46036</v>
      </c>
      <c r="D626" t="inlineStr">
        <is>
          <t>GÄVLEBORGS LÄN</t>
        </is>
      </c>
      <c r="E626" t="inlineStr">
        <is>
          <t>LJUSDAL</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27440-2025</t>
        </is>
      </c>
      <c r="B627" s="1" t="n">
        <v>45813.3159375</v>
      </c>
      <c r="C627" s="1" t="n">
        <v>46036</v>
      </c>
      <c r="D627" t="inlineStr">
        <is>
          <t>GÄVLEBORGS LÄN</t>
        </is>
      </c>
      <c r="E627" t="inlineStr">
        <is>
          <t>LJUSDAL</t>
        </is>
      </c>
      <c r="G627" t="n">
        <v>3.3</v>
      </c>
      <c r="H627" t="n">
        <v>0</v>
      </c>
      <c r="I627" t="n">
        <v>0</v>
      </c>
      <c r="J627" t="n">
        <v>0</v>
      </c>
      <c r="K627" t="n">
        <v>0</v>
      </c>
      <c r="L627" t="n">
        <v>0</v>
      </c>
      <c r="M627" t="n">
        <v>0</v>
      </c>
      <c r="N627" t="n">
        <v>0</v>
      </c>
      <c r="O627" t="n">
        <v>0</v>
      </c>
      <c r="P627" t="n">
        <v>0</v>
      </c>
      <c r="Q627" t="n">
        <v>0</v>
      </c>
      <c r="R627" s="2" t="inlineStr"/>
    </row>
    <row r="628" ht="15" customHeight="1">
      <c r="A628" t="inlineStr">
        <is>
          <t>A 30673-2025</t>
        </is>
      </c>
      <c r="B628" s="1" t="n">
        <v>45831.51881944444</v>
      </c>
      <c r="C628" s="1" t="n">
        <v>46036</v>
      </c>
      <c r="D628" t="inlineStr">
        <is>
          <t>GÄVLEBORGS LÄN</t>
        </is>
      </c>
      <c r="E628" t="inlineStr">
        <is>
          <t>LJUSDAL</t>
        </is>
      </c>
      <c r="G628" t="n">
        <v>3.9</v>
      </c>
      <c r="H628" t="n">
        <v>0</v>
      </c>
      <c r="I628" t="n">
        <v>0</v>
      </c>
      <c r="J628" t="n">
        <v>0</v>
      </c>
      <c r="K628" t="n">
        <v>0</v>
      </c>
      <c r="L628" t="n">
        <v>0</v>
      </c>
      <c r="M628" t="n">
        <v>0</v>
      </c>
      <c r="N628" t="n">
        <v>0</v>
      </c>
      <c r="O628" t="n">
        <v>0</v>
      </c>
      <c r="P628" t="n">
        <v>0</v>
      </c>
      <c r="Q628" t="n">
        <v>0</v>
      </c>
      <c r="R628" s="2" t="inlineStr"/>
    </row>
    <row r="629" ht="15" customHeight="1">
      <c r="A629" t="inlineStr">
        <is>
          <t>A 28955-2025</t>
        </is>
      </c>
      <c r="B629" s="1" t="n">
        <v>45821.28813657408</v>
      </c>
      <c r="C629" s="1" t="n">
        <v>46036</v>
      </c>
      <c r="D629" t="inlineStr">
        <is>
          <t>GÄVLEBORGS LÄN</t>
        </is>
      </c>
      <c r="E629" t="inlineStr">
        <is>
          <t>LJUSDAL</t>
        </is>
      </c>
      <c r="F629" t="inlineStr">
        <is>
          <t>Bergvik skog väst AB</t>
        </is>
      </c>
      <c r="G629" t="n">
        <v>1.2</v>
      </c>
      <c r="H629" t="n">
        <v>0</v>
      </c>
      <c r="I629" t="n">
        <v>0</v>
      </c>
      <c r="J629" t="n">
        <v>0</v>
      </c>
      <c r="K629" t="n">
        <v>0</v>
      </c>
      <c r="L629" t="n">
        <v>0</v>
      </c>
      <c r="M629" t="n">
        <v>0</v>
      </c>
      <c r="N629" t="n">
        <v>0</v>
      </c>
      <c r="O629" t="n">
        <v>0</v>
      </c>
      <c r="P629" t="n">
        <v>0</v>
      </c>
      <c r="Q629" t="n">
        <v>0</v>
      </c>
      <c r="R629" s="2" t="inlineStr"/>
    </row>
    <row r="630" ht="15" customHeight="1">
      <c r="A630" t="inlineStr">
        <is>
          <t>A 39108-2025</t>
        </is>
      </c>
      <c r="B630" s="1" t="n">
        <v>45888.53942129629</v>
      </c>
      <c r="C630" s="1" t="n">
        <v>46036</v>
      </c>
      <c r="D630" t="inlineStr">
        <is>
          <t>GÄVLEBORGS LÄN</t>
        </is>
      </c>
      <c r="E630" t="inlineStr">
        <is>
          <t>LJUSDAL</t>
        </is>
      </c>
      <c r="F630" t="inlineStr">
        <is>
          <t>Allmännings- och besparingsskogar</t>
        </is>
      </c>
      <c r="G630" t="n">
        <v>3.7</v>
      </c>
      <c r="H630" t="n">
        <v>0</v>
      </c>
      <c r="I630" t="n">
        <v>0</v>
      </c>
      <c r="J630" t="n">
        <v>0</v>
      </c>
      <c r="K630" t="n">
        <v>0</v>
      </c>
      <c r="L630" t="n">
        <v>0</v>
      </c>
      <c r="M630" t="n">
        <v>0</v>
      </c>
      <c r="N630" t="n">
        <v>0</v>
      </c>
      <c r="O630" t="n">
        <v>0</v>
      </c>
      <c r="P630" t="n">
        <v>0</v>
      </c>
      <c r="Q630" t="n">
        <v>0</v>
      </c>
      <c r="R630" s="2" t="inlineStr"/>
    </row>
    <row r="631" ht="15" customHeight="1">
      <c r="A631" t="inlineStr">
        <is>
          <t>A 29493-2025</t>
        </is>
      </c>
      <c r="B631" s="1" t="n">
        <v>45824.80202546297</v>
      </c>
      <c r="C631" s="1" t="n">
        <v>46036</v>
      </c>
      <c r="D631" t="inlineStr">
        <is>
          <t>GÄVLEBORGS LÄN</t>
        </is>
      </c>
      <c r="E631" t="inlineStr">
        <is>
          <t>LJUSDAL</t>
        </is>
      </c>
      <c r="G631" t="n">
        <v>3.2</v>
      </c>
      <c r="H631" t="n">
        <v>0</v>
      </c>
      <c r="I631" t="n">
        <v>0</v>
      </c>
      <c r="J631" t="n">
        <v>0</v>
      </c>
      <c r="K631" t="n">
        <v>0</v>
      </c>
      <c r="L631" t="n">
        <v>0</v>
      </c>
      <c r="M631" t="n">
        <v>0</v>
      </c>
      <c r="N631" t="n">
        <v>0</v>
      </c>
      <c r="O631" t="n">
        <v>0</v>
      </c>
      <c r="P631" t="n">
        <v>0</v>
      </c>
      <c r="Q631" t="n">
        <v>0</v>
      </c>
      <c r="R631" s="2" t="inlineStr"/>
    </row>
    <row r="632" ht="15" customHeight="1">
      <c r="A632" t="inlineStr">
        <is>
          <t>A 39012-2025</t>
        </is>
      </c>
      <c r="B632" s="1" t="n">
        <v>45888.35570601852</v>
      </c>
      <c r="C632" s="1" t="n">
        <v>46036</v>
      </c>
      <c r="D632" t="inlineStr">
        <is>
          <t>GÄVLEBORGS LÄN</t>
        </is>
      </c>
      <c r="E632" t="inlineStr">
        <is>
          <t>LJUSDAL</t>
        </is>
      </c>
      <c r="F632" t="inlineStr">
        <is>
          <t>Allmännings- och besparingsskogar</t>
        </is>
      </c>
      <c r="G632" t="n">
        <v>1.2</v>
      </c>
      <c r="H632" t="n">
        <v>0</v>
      </c>
      <c r="I632" t="n">
        <v>0</v>
      </c>
      <c r="J632" t="n">
        <v>0</v>
      </c>
      <c r="K632" t="n">
        <v>0</v>
      </c>
      <c r="L632" t="n">
        <v>0</v>
      </c>
      <c r="M632" t="n">
        <v>0</v>
      </c>
      <c r="N632" t="n">
        <v>0</v>
      </c>
      <c r="O632" t="n">
        <v>0</v>
      </c>
      <c r="P632" t="n">
        <v>0</v>
      </c>
      <c r="Q632" t="n">
        <v>0</v>
      </c>
      <c r="R632" s="2" t="inlineStr"/>
    </row>
    <row r="633" ht="15" customHeight="1">
      <c r="A633" t="inlineStr">
        <is>
          <t>A 7603-2024</t>
        </is>
      </c>
      <c r="B633" s="1" t="n">
        <v>45348.56818287037</v>
      </c>
      <c r="C633" s="1" t="n">
        <v>46036</v>
      </c>
      <c r="D633" t="inlineStr">
        <is>
          <t>GÄVLEBORGS LÄN</t>
        </is>
      </c>
      <c r="E633" t="inlineStr">
        <is>
          <t>LJUSDAL</t>
        </is>
      </c>
      <c r="G633" t="n">
        <v>3.2</v>
      </c>
      <c r="H633" t="n">
        <v>0</v>
      </c>
      <c r="I633" t="n">
        <v>0</v>
      </c>
      <c r="J633" t="n">
        <v>0</v>
      </c>
      <c r="K633" t="n">
        <v>0</v>
      </c>
      <c r="L633" t="n">
        <v>0</v>
      </c>
      <c r="M633" t="n">
        <v>0</v>
      </c>
      <c r="N633" t="n">
        <v>0</v>
      </c>
      <c r="O633" t="n">
        <v>0</v>
      </c>
      <c r="P633" t="n">
        <v>0</v>
      </c>
      <c r="Q633" t="n">
        <v>0</v>
      </c>
      <c r="R633" s="2" t="inlineStr"/>
    </row>
    <row r="634" ht="15" customHeight="1">
      <c r="A634" t="inlineStr">
        <is>
          <t>A 39215-2025</t>
        </is>
      </c>
      <c r="B634" s="1" t="n">
        <v>45888.79549768518</v>
      </c>
      <c r="C634" s="1" t="n">
        <v>46036</v>
      </c>
      <c r="D634" t="inlineStr">
        <is>
          <t>GÄVLEBORGS LÄN</t>
        </is>
      </c>
      <c r="E634" t="inlineStr">
        <is>
          <t>LJUSDAL</t>
        </is>
      </c>
      <c r="G634" t="n">
        <v>1.9</v>
      </c>
      <c r="H634" t="n">
        <v>0</v>
      </c>
      <c r="I634" t="n">
        <v>0</v>
      </c>
      <c r="J634" t="n">
        <v>0</v>
      </c>
      <c r="K634" t="n">
        <v>0</v>
      </c>
      <c r="L634" t="n">
        <v>0</v>
      </c>
      <c r="M634" t="n">
        <v>0</v>
      </c>
      <c r="N634" t="n">
        <v>0</v>
      </c>
      <c r="O634" t="n">
        <v>0</v>
      </c>
      <c r="P634" t="n">
        <v>0</v>
      </c>
      <c r="Q634" t="n">
        <v>0</v>
      </c>
      <c r="R634" s="2" t="inlineStr"/>
    </row>
    <row r="635" ht="15" customHeight="1">
      <c r="A635" t="inlineStr">
        <is>
          <t>A 17475-2025</t>
        </is>
      </c>
      <c r="B635" s="1" t="n">
        <v>45757.48234953704</v>
      </c>
      <c r="C635" s="1" t="n">
        <v>46036</v>
      </c>
      <c r="D635" t="inlineStr">
        <is>
          <t>GÄVLEBORGS LÄN</t>
        </is>
      </c>
      <c r="E635" t="inlineStr">
        <is>
          <t>LJUSDAL</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29254-2025</t>
        </is>
      </c>
      <c r="B636" s="1" t="n">
        <v>45824.38350694445</v>
      </c>
      <c r="C636" s="1" t="n">
        <v>46036</v>
      </c>
      <c r="D636" t="inlineStr">
        <is>
          <t>GÄVLEBORGS LÄN</t>
        </is>
      </c>
      <c r="E636" t="inlineStr">
        <is>
          <t>LJUSDAL</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29523-2025</t>
        </is>
      </c>
      <c r="B637" s="1" t="n">
        <v>45825.33288194444</v>
      </c>
      <c r="C637" s="1" t="n">
        <v>46036</v>
      </c>
      <c r="D637" t="inlineStr">
        <is>
          <t>GÄVLEBORGS LÄN</t>
        </is>
      </c>
      <c r="E637" t="inlineStr">
        <is>
          <t>LJUSDAL</t>
        </is>
      </c>
      <c r="G637" t="n">
        <v>1.2</v>
      </c>
      <c r="H637" t="n">
        <v>0</v>
      </c>
      <c r="I637" t="n">
        <v>0</v>
      </c>
      <c r="J637" t="n">
        <v>0</v>
      </c>
      <c r="K637" t="n">
        <v>0</v>
      </c>
      <c r="L637" t="n">
        <v>0</v>
      </c>
      <c r="M637" t="n">
        <v>0</v>
      </c>
      <c r="N637" t="n">
        <v>0</v>
      </c>
      <c r="O637" t="n">
        <v>0</v>
      </c>
      <c r="P637" t="n">
        <v>0</v>
      </c>
      <c r="Q637" t="n">
        <v>0</v>
      </c>
      <c r="R637" s="2" t="inlineStr"/>
    </row>
    <row r="638" ht="15" customHeight="1">
      <c r="A638" t="inlineStr">
        <is>
          <t>A 30961-2025</t>
        </is>
      </c>
      <c r="B638" s="1" t="n">
        <v>45832.44423611111</v>
      </c>
      <c r="C638" s="1" t="n">
        <v>46036</v>
      </c>
      <c r="D638" t="inlineStr">
        <is>
          <t>GÄVLEBORGS LÄN</t>
        </is>
      </c>
      <c r="E638" t="inlineStr">
        <is>
          <t>LJUSDAL</t>
        </is>
      </c>
      <c r="G638" t="n">
        <v>3.2</v>
      </c>
      <c r="H638" t="n">
        <v>0</v>
      </c>
      <c r="I638" t="n">
        <v>0</v>
      </c>
      <c r="J638" t="n">
        <v>0</v>
      </c>
      <c r="K638" t="n">
        <v>0</v>
      </c>
      <c r="L638" t="n">
        <v>0</v>
      </c>
      <c r="M638" t="n">
        <v>0</v>
      </c>
      <c r="N638" t="n">
        <v>0</v>
      </c>
      <c r="O638" t="n">
        <v>0</v>
      </c>
      <c r="P638" t="n">
        <v>0</v>
      </c>
      <c r="Q638" t="n">
        <v>0</v>
      </c>
      <c r="R638" s="2" t="inlineStr"/>
    </row>
    <row r="639" ht="15" customHeight="1">
      <c r="A639" t="inlineStr">
        <is>
          <t>A 29415-2025</t>
        </is>
      </c>
      <c r="B639" s="1" t="n">
        <v>45824.62717592593</v>
      </c>
      <c r="C639" s="1" t="n">
        <v>46036</v>
      </c>
      <c r="D639" t="inlineStr">
        <is>
          <t>GÄVLEBORGS LÄN</t>
        </is>
      </c>
      <c r="E639" t="inlineStr">
        <is>
          <t>LJUSDAL</t>
        </is>
      </c>
      <c r="G639" t="n">
        <v>15.1</v>
      </c>
      <c r="H639" t="n">
        <v>0</v>
      </c>
      <c r="I639" t="n">
        <v>0</v>
      </c>
      <c r="J639" t="n">
        <v>0</v>
      </c>
      <c r="K639" t="n">
        <v>0</v>
      </c>
      <c r="L639" t="n">
        <v>0</v>
      </c>
      <c r="M639" t="n">
        <v>0</v>
      </c>
      <c r="N639" t="n">
        <v>0</v>
      </c>
      <c r="O639" t="n">
        <v>0</v>
      </c>
      <c r="P639" t="n">
        <v>0</v>
      </c>
      <c r="Q639" t="n">
        <v>0</v>
      </c>
      <c r="R639" s="2" t="inlineStr"/>
    </row>
    <row r="640" ht="15" customHeight="1">
      <c r="A640" t="inlineStr">
        <is>
          <t>A 29491-2025</t>
        </is>
      </c>
      <c r="B640" s="1" t="n">
        <v>45824.78724537037</v>
      </c>
      <c r="C640" s="1" t="n">
        <v>46036</v>
      </c>
      <c r="D640" t="inlineStr">
        <is>
          <t>GÄVLEBORGS LÄN</t>
        </is>
      </c>
      <c r="E640" t="inlineStr">
        <is>
          <t>LJUSDAL</t>
        </is>
      </c>
      <c r="G640" t="n">
        <v>1.4</v>
      </c>
      <c r="H640" t="n">
        <v>0</v>
      </c>
      <c r="I640" t="n">
        <v>0</v>
      </c>
      <c r="J640" t="n">
        <v>0</v>
      </c>
      <c r="K640" t="n">
        <v>0</v>
      </c>
      <c r="L640" t="n">
        <v>0</v>
      </c>
      <c r="M640" t="n">
        <v>0</v>
      </c>
      <c r="N640" t="n">
        <v>0</v>
      </c>
      <c r="O640" t="n">
        <v>0</v>
      </c>
      <c r="P640" t="n">
        <v>0</v>
      </c>
      <c r="Q640" t="n">
        <v>0</v>
      </c>
      <c r="R640" s="2" t="inlineStr"/>
    </row>
    <row r="641" ht="15" customHeight="1">
      <c r="A641" t="inlineStr">
        <is>
          <t>A 29252-2025</t>
        </is>
      </c>
      <c r="B641" s="1" t="n">
        <v>45824.37804398148</v>
      </c>
      <c r="C641" s="1" t="n">
        <v>46036</v>
      </c>
      <c r="D641" t="inlineStr">
        <is>
          <t>GÄVLEBORGS LÄN</t>
        </is>
      </c>
      <c r="E641" t="inlineStr">
        <is>
          <t>LJUSDAL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29358-2025</t>
        </is>
      </c>
      <c r="B642" s="1" t="n">
        <v>45824.55981481481</v>
      </c>
      <c r="C642" s="1" t="n">
        <v>46036</v>
      </c>
      <c r="D642" t="inlineStr">
        <is>
          <t>GÄVLEBORGS LÄN</t>
        </is>
      </c>
      <c r="E642" t="inlineStr">
        <is>
          <t>LJUSDAL</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29013-2025</t>
        </is>
      </c>
      <c r="B643" s="1" t="n">
        <v>45821.40672453704</v>
      </c>
      <c r="C643" s="1" t="n">
        <v>46036</v>
      </c>
      <c r="D643" t="inlineStr">
        <is>
          <t>GÄVLEBORGS LÄN</t>
        </is>
      </c>
      <c r="E643" t="inlineStr">
        <is>
          <t>LJUSDAL</t>
        </is>
      </c>
      <c r="F643" t="inlineStr">
        <is>
          <t>SCA</t>
        </is>
      </c>
      <c r="G643" t="n">
        <v>13.5</v>
      </c>
      <c r="H643" t="n">
        <v>0</v>
      </c>
      <c r="I643" t="n">
        <v>0</v>
      </c>
      <c r="J643" t="n">
        <v>0</v>
      </c>
      <c r="K643" t="n">
        <v>0</v>
      </c>
      <c r="L643" t="n">
        <v>0</v>
      </c>
      <c r="M643" t="n">
        <v>0</v>
      </c>
      <c r="N643" t="n">
        <v>0</v>
      </c>
      <c r="O643" t="n">
        <v>0</v>
      </c>
      <c r="P643" t="n">
        <v>0</v>
      </c>
      <c r="Q643" t="n">
        <v>0</v>
      </c>
      <c r="R643" s="2" t="inlineStr"/>
    </row>
    <row r="644" ht="15" customHeight="1">
      <c r="A644" t="inlineStr">
        <is>
          <t>A 29526-2025</t>
        </is>
      </c>
      <c r="B644" s="1" t="n">
        <v>45825.34037037037</v>
      </c>
      <c r="C644" s="1" t="n">
        <v>46036</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39051-2025</t>
        </is>
      </c>
      <c r="B645" s="1" t="n">
        <v>45888.44715277778</v>
      </c>
      <c r="C645" s="1" t="n">
        <v>46036</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39076-2025</t>
        </is>
      </c>
      <c r="B646" s="1" t="n">
        <v>45888.47826388889</v>
      </c>
      <c r="C646" s="1" t="n">
        <v>46036</v>
      </c>
      <c r="D646" t="inlineStr">
        <is>
          <t>GÄVLEBORGS LÄN</t>
        </is>
      </c>
      <c r="E646" t="inlineStr">
        <is>
          <t>LJUSDAL</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39840-2025</t>
        </is>
      </c>
      <c r="B647" s="1" t="n">
        <v>45891.57127314815</v>
      </c>
      <c r="C647" s="1" t="n">
        <v>46036</v>
      </c>
      <c r="D647" t="inlineStr">
        <is>
          <t>GÄVLEBORGS LÄN</t>
        </is>
      </c>
      <c r="E647" t="inlineStr">
        <is>
          <t>LJUSDAL</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22627-2023</t>
        </is>
      </c>
      <c r="B648" s="1" t="n">
        <v>45071.58001157407</v>
      </c>
      <c r="C648" s="1" t="n">
        <v>46036</v>
      </c>
      <c r="D648" t="inlineStr">
        <is>
          <t>GÄVLEBORGS LÄN</t>
        </is>
      </c>
      <c r="E648" t="inlineStr">
        <is>
          <t>LJUSDAL</t>
        </is>
      </c>
      <c r="F648" t="inlineStr">
        <is>
          <t>Holmen skog AB</t>
        </is>
      </c>
      <c r="G648" t="n">
        <v>3</v>
      </c>
      <c r="H648" t="n">
        <v>0</v>
      </c>
      <c r="I648" t="n">
        <v>0</v>
      </c>
      <c r="J648" t="n">
        <v>0</v>
      </c>
      <c r="K648" t="n">
        <v>0</v>
      </c>
      <c r="L648" t="n">
        <v>0</v>
      </c>
      <c r="M648" t="n">
        <v>0</v>
      </c>
      <c r="N648" t="n">
        <v>0</v>
      </c>
      <c r="O648" t="n">
        <v>0</v>
      </c>
      <c r="P648" t="n">
        <v>0</v>
      </c>
      <c r="Q648" t="n">
        <v>0</v>
      </c>
      <c r="R648" s="2" t="inlineStr"/>
    </row>
    <row r="649" ht="15" customHeight="1">
      <c r="A649" t="inlineStr">
        <is>
          <t>A 2396-2024</t>
        </is>
      </c>
      <c r="B649" s="1" t="n">
        <v>45310</v>
      </c>
      <c r="C649" s="1" t="n">
        <v>46036</v>
      </c>
      <c r="D649" t="inlineStr">
        <is>
          <t>GÄVLEBORGS LÄN</t>
        </is>
      </c>
      <c r="E649" t="inlineStr">
        <is>
          <t>LJUSDAL</t>
        </is>
      </c>
      <c r="G649" t="n">
        <v>3</v>
      </c>
      <c r="H649" t="n">
        <v>0</v>
      </c>
      <c r="I649" t="n">
        <v>0</v>
      </c>
      <c r="J649" t="n">
        <v>0</v>
      </c>
      <c r="K649" t="n">
        <v>0</v>
      </c>
      <c r="L649" t="n">
        <v>0</v>
      </c>
      <c r="M649" t="n">
        <v>0</v>
      </c>
      <c r="N649" t="n">
        <v>0</v>
      </c>
      <c r="O649" t="n">
        <v>0</v>
      </c>
      <c r="P649" t="n">
        <v>0</v>
      </c>
      <c r="Q649" t="n">
        <v>0</v>
      </c>
      <c r="R649" s="2" t="inlineStr"/>
    </row>
    <row r="650" ht="15" customHeight="1">
      <c r="A650" t="inlineStr">
        <is>
          <t>A 19190-2024</t>
        </is>
      </c>
      <c r="B650" s="1" t="n">
        <v>45428</v>
      </c>
      <c r="C650" s="1" t="n">
        <v>46036</v>
      </c>
      <c r="D650" t="inlineStr">
        <is>
          <t>GÄVLEBORGS LÄN</t>
        </is>
      </c>
      <c r="E650" t="inlineStr">
        <is>
          <t>LJUSDAL</t>
        </is>
      </c>
      <c r="G650" t="n">
        <v>4.8</v>
      </c>
      <c r="H650" t="n">
        <v>0</v>
      </c>
      <c r="I650" t="n">
        <v>0</v>
      </c>
      <c r="J650" t="n">
        <v>0</v>
      </c>
      <c r="K650" t="n">
        <v>0</v>
      </c>
      <c r="L650" t="n">
        <v>0</v>
      </c>
      <c r="M650" t="n">
        <v>0</v>
      </c>
      <c r="N650" t="n">
        <v>0</v>
      </c>
      <c r="O650" t="n">
        <v>0</v>
      </c>
      <c r="P650" t="n">
        <v>0</v>
      </c>
      <c r="Q650" t="n">
        <v>0</v>
      </c>
      <c r="R650" s="2" t="inlineStr"/>
    </row>
    <row r="651" ht="15" customHeight="1">
      <c r="A651" t="inlineStr">
        <is>
          <t>A 44048-2022</t>
        </is>
      </c>
      <c r="B651" s="1" t="n">
        <v>44838.94913194444</v>
      </c>
      <c r="C651" s="1" t="n">
        <v>46036</v>
      </c>
      <c r="D651" t="inlineStr">
        <is>
          <t>GÄVLEBORGS LÄN</t>
        </is>
      </c>
      <c r="E651" t="inlineStr">
        <is>
          <t>LJUSDAL</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52729-2023</t>
        </is>
      </c>
      <c r="B652" s="1" t="n">
        <v>45225.92707175926</v>
      </c>
      <c r="C652" s="1" t="n">
        <v>46036</v>
      </c>
      <c r="D652" t="inlineStr">
        <is>
          <t>GÄVLEBORGS LÄN</t>
        </is>
      </c>
      <c r="E652" t="inlineStr">
        <is>
          <t>LJUSDAL</t>
        </is>
      </c>
      <c r="G652" t="n">
        <v>3.1</v>
      </c>
      <c r="H652" t="n">
        <v>0</v>
      </c>
      <c r="I652" t="n">
        <v>0</v>
      </c>
      <c r="J652" t="n">
        <v>0</v>
      </c>
      <c r="K652" t="n">
        <v>0</v>
      </c>
      <c r="L652" t="n">
        <v>0</v>
      </c>
      <c r="M652" t="n">
        <v>0</v>
      </c>
      <c r="N652" t="n">
        <v>0</v>
      </c>
      <c r="O652" t="n">
        <v>0</v>
      </c>
      <c r="P652" t="n">
        <v>0</v>
      </c>
      <c r="Q652" t="n">
        <v>0</v>
      </c>
      <c r="R652" s="2" t="inlineStr"/>
    </row>
    <row r="653" ht="15" customHeight="1">
      <c r="A653" t="inlineStr">
        <is>
          <t>A 53544-2023</t>
        </is>
      </c>
      <c r="B653" s="1" t="n">
        <v>45230.46125</v>
      </c>
      <c r="C653" s="1" t="n">
        <v>46036</v>
      </c>
      <c r="D653" t="inlineStr">
        <is>
          <t>GÄVLEBORGS LÄN</t>
        </is>
      </c>
      <c r="E653" t="inlineStr">
        <is>
          <t>LJUSDAL</t>
        </is>
      </c>
      <c r="G653" t="n">
        <v>1.2</v>
      </c>
      <c r="H653" t="n">
        <v>0</v>
      </c>
      <c r="I653" t="n">
        <v>0</v>
      </c>
      <c r="J653" t="n">
        <v>0</v>
      </c>
      <c r="K653" t="n">
        <v>0</v>
      </c>
      <c r="L653" t="n">
        <v>0</v>
      </c>
      <c r="M653" t="n">
        <v>0</v>
      </c>
      <c r="N653" t="n">
        <v>0</v>
      </c>
      <c r="O653" t="n">
        <v>0</v>
      </c>
      <c r="P653" t="n">
        <v>0</v>
      </c>
      <c r="Q653" t="n">
        <v>0</v>
      </c>
      <c r="R653" s="2" t="inlineStr"/>
    </row>
    <row r="654" ht="15" customHeight="1">
      <c r="A654" t="inlineStr">
        <is>
          <t>A 30082-2025</t>
        </is>
      </c>
      <c r="B654" s="1" t="n">
        <v>45826.6516550926</v>
      </c>
      <c r="C654" s="1" t="n">
        <v>46036</v>
      </c>
      <c r="D654" t="inlineStr">
        <is>
          <t>GÄVLEBORGS LÄN</t>
        </is>
      </c>
      <c r="E654" t="inlineStr">
        <is>
          <t>LJUSDAL</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52837-2023</t>
        </is>
      </c>
      <c r="B655" s="1" t="n">
        <v>45226.41961805556</v>
      </c>
      <c r="C655" s="1" t="n">
        <v>46036</v>
      </c>
      <c r="D655" t="inlineStr">
        <is>
          <t>GÄVLEBORGS LÄN</t>
        </is>
      </c>
      <c r="E655" t="inlineStr">
        <is>
          <t>LJUSDAL</t>
        </is>
      </c>
      <c r="G655" t="n">
        <v>3</v>
      </c>
      <c r="H655" t="n">
        <v>0</v>
      </c>
      <c r="I655" t="n">
        <v>0</v>
      </c>
      <c r="J655" t="n">
        <v>0</v>
      </c>
      <c r="K655" t="n">
        <v>0</v>
      </c>
      <c r="L655" t="n">
        <v>0</v>
      </c>
      <c r="M655" t="n">
        <v>0</v>
      </c>
      <c r="N655" t="n">
        <v>0</v>
      </c>
      <c r="O655" t="n">
        <v>0</v>
      </c>
      <c r="P655" t="n">
        <v>0</v>
      </c>
      <c r="Q655" t="n">
        <v>0</v>
      </c>
      <c r="R655" s="2" t="inlineStr"/>
    </row>
    <row r="656" ht="15" customHeight="1">
      <c r="A656" t="inlineStr">
        <is>
          <t>A 39554-2025</t>
        </is>
      </c>
      <c r="B656" s="1" t="n">
        <v>45890.46740740741</v>
      </c>
      <c r="C656" s="1" t="n">
        <v>46036</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39537-2025</t>
        </is>
      </c>
      <c r="B657" s="1" t="n">
        <v>45890.44887731481</v>
      </c>
      <c r="C657" s="1" t="n">
        <v>46036</v>
      </c>
      <c r="D657" t="inlineStr">
        <is>
          <t>GÄVLEBORGS LÄN</t>
        </is>
      </c>
      <c r="E657" t="inlineStr">
        <is>
          <t>LJUSDAL</t>
        </is>
      </c>
      <c r="G657" t="n">
        <v>2.7</v>
      </c>
      <c r="H657" t="n">
        <v>0</v>
      </c>
      <c r="I657" t="n">
        <v>0</v>
      </c>
      <c r="J657" t="n">
        <v>0</v>
      </c>
      <c r="K657" t="n">
        <v>0</v>
      </c>
      <c r="L657" t="n">
        <v>0</v>
      </c>
      <c r="M657" t="n">
        <v>0</v>
      </c>
      <c r="N657" t="n">
        <v>0</v>
      </c>
      <c r="O657" t="n">
        <v>0</v>
      </c>
      <c r="P657" t="n">
        <v>0</v>
      </c>
      <c r="Q657" t="n">
        <v>0</v>
      </c>
      <c r="R657" s="2" t="inlineStr"/>
    </row>
    <row r="658" ht="15" customHeight="1">
      <c r="A658" t="inlineStr">
        <is>
          <t>A 29314-2024</t>
        </is>
      </c>
      <c r="B658" s="1" t="n">
        <v>45483.40184027778</v>
      </c>
      <c r="C658" s="1" t="n">
        <v>46036</v>
      </c>
      <c r="D658" t="inlineStr">
        <is>
          <t>GÄVLEBORGS LÄN</t>
        </is>
      </c>
      <c r="E658" t="inlineStr">
        <is>
          <t>LJUSDAL</t>
        </is>
      </c>
      <c r="G658" t="n">
        <v>4.4</v>
      </c>
      <c r="H658" t="n">
        <v>0</v>
      </c>
      <c r="I658" t="n">
        <v>0</v>
      </c>
      <c r="J658" t="n">
        <v>0</v>
      </c>
      <c r="K658" t="n">
        <v>0</v>
      </c>
      <c r="L658" t="n">
        <v>0</v>
      </c>
      <c r="M658" t="n">
        <v>0</v>
      </c>
      <c r="N658" t="n">
        <v>0</v>
      </c>
      <c r="O658" t="n">
        <v>0</v>
      </c>
      <c r="P658" t="n">
        <v>0</v>
      </c>
      <c r="Q658" t="n">
        <v>0</v>
      </c>
      <c r="R658" s="2" t="inlineStr"/>
    </row>
    <row r="659" ht="15" customHeight="1">
      <c r="A659" t="inlineStr">
        <is>
          <t>A 39551-2025</t>
        </is>
      </c>
      <c r="B659" s="1" t="n">
        <v>45890.4650925926</v>
      </c>
      <c r="C659" s="1" t="n">
        <v>46036</v>
      </c>
      <c r="D659" t="inlineStr">
        <is>
          <t>GÄVLEBORGS LÄN</t>
        </is>
      </c>
      <c r="E659" t="inlineStr">
        <is>
          <t>LJUSDAL</t>
        </is>
      </c>
      <c r="G659" t="n">
        <v>1.8</v>
      </c>
      <c r="H659" t="n">
        <v>0</v>
      </c>
      <c r="I659" t="n">
        <v>0</v>
      </c>
      <c r="J659" t="n">
        <v>0</v>
      </c>
      <c r="K659" t="n">
        <v>0</v>
      </c>
      <c r="L659" t="n">
        <v>0</v>
      </c>
      <c r="M659" t="n">
        <v>0</v>
      </c>
      <c r="N659" t="n">
        <v>0</v>
      </c>
      <c r="O659" t="n">
        <v>0</v>
      </c>
      <c r="P659" t="n">
        <v>0</v>
      </c>
      <c r="Q659" t="n">
        <v>0</v>
      </c>
      <c r="R659" s="2" t="inlineStr"/>
    </row>
    <row r="660" ht="15" customHeight="1">
      <c r="A660" t="inlineStr">
        <is>
          <t>A 47292-2023</t>
        </is>
      </c>
      <c r="B660" s="1" t="n">
        <v>45202.47064814815</v>
      </c>
      <c r="C660" s="1" t="n">
        <v>46036</v>
      </c>
      <c r="D660" t="inlineStr">
        <is>
          <t>GÄVLEBORGS LÄN</t>
        </is>
      </c>
      <c r="E660" t="inlineStr">
        <is>
          <t>LJUSDAL</t>
        </is>
      </c>
      <c r="G660" t="n">
        <v>2.1</v>
      </c>
      <c r="H660" t="n">
        <v>0</v>
      </c>
      <c r="I660" t="n">
        <v>0</v>
      </c>
      <c r="J660" t="n">
        <v>0</v>
      </c>
      <c r="K660" t="n">
        <v>0</v>
      </c>
      <c r="L660" t="n">
        <v>0</v>
      </c>
      <c r="M660" t="n">
        <v>0</v>
      </c>
      <c r="N660" t="n">
        <v>0</v>
      </c>
      <c r="O660" t="n">
        <v>0</v>
      </c>
      <c r="P660" t="n">
        <v>0</v>
      </c>
      <c r="Q660" t="n">
        <v>0</v>
      </c>
      <c r="R660" s="2" t="inlineStr"/>
    </row>
    <row r="661" ht="15" customHeight="1">
      <c r="A661" t="inlineStr">
        <is>
          <t>A 24256-2025</t>
        </is>
      </c>
      <c r="B661" s="1" t="n">
        <v>45797.40541666667</v>
      </c>
      <c r="C661" s="1" t="n">
        <v>46036</v>
      </c>
      <c r="D661" t="inlineStr">
        <is>
          <t>GÄVLEBORGS LÄN</t>
        </is>
      </c>
      <c r="E661" t="inlineStr">
        <is>
          <t>LJUSDAL</t>
        </is>
      </c>
      <c r="G661" t="n">
        <v>14.9</v>
      </c>
      <c r="H661" t="n">
        <v>0</v>
      </c>
      <c r="I661" t="n">
        <v>0</v>
      </c>
      <c r="J661" t="n">
        <v>0</v>
      </c>
      <c r="K661" t="n">
        <v>0</v>
      </c>
      <c r="L661" t="n">
        <v>0</v>
      </c>
      <c r="M661" t="n">
        <v>0</v>
      </c>
      <c r="N661" t="n">
        <v>0</v>
      </c>
      <c r="O661" t="n">
        <v>0</v>
      </c>
      <c r="P661" t="n">
        <v>0</v>
      </c>
      <c r="Q661" t="n">
        <v>0</v>
      </c>
      <c r="R661" s="2" t="inlineStr"/>
    </row>
    <row r="662" ht="15" customHeight="1">
      <c r="A662" t="inlineStr">
        <is>
          <t>A 39695-2025</t>
        </is>
      </c>
      <c r="B662" s="1" t="n">
        <v>45890</v>
      </c>
      <c r="C662" s="1" t="n">
        <v>46036</v>
      </c>
      <c r="D662" t="inlineStr">
        <is>
          <t>GÄVLEBORGS LÄN</t>
        </is>
      </c>
      <c r="E662" t="inlineStr">
        <is>
          <t>LJUSDAL</t>
        </is>
      </c>
      <c r="G662" t="n">
        <v>4.3</v>
      </c>
      <c r="H662" t="n">
        <v>0</v>
      </c>
      <c r="I662" t="n">
        <v>0</v>
      </c>
      <c r="J662" t="n">
        <v>0</v>
      </c>
      <c r="K662" t="n">
        <v>0</v>
      </c>
      <c r="L662" t="n">
        <v>0</v>
      </c>
      <c r="M662" t="n">
        <v>0</v>
      </c>
      <c r="N662" t="n">
        <v>0</v>
      </c>
      <c r="O662" t="n">
        <v>0</v>
      </c>
      <c r="P662" t="n">
        <v>0</v>
      </c>
      <c r="Q662" t="n">
        <v>0</v>
      </c>
      <c r="R662" s="2" t="inlineStr"/>
    </row>
    <row r="663" ht="15" customHeight="1">
      <c r="A663" t="inlineStr">
        <is>
          <t>A 39621-2025</t>
        </is>
      </c>
      <c r="B663" s="1" t="n">
        <v>45890.5737962963</v>
      </c>
      <c r="C663" s="1" t="n">
        <v>46036</v>
      </c>
      <c r="D663" t="inlineStr">
        <is>
          <t>GÄVLEBORGS LÄN</t>
        </is>
      </c>
      <c r="E663" t="inlineStr">
        <is>
          <t>LJUSDAL</t>
        </is>
      </c>
      <c r="F663" t="inlineStr">
        <is>
          <t>SCA</t>
        </is>
      </c>
      <c r="G663" t="n">
        <v>8.4</v>
      </c>
      <c r="H663" t="n">
        <v>0</v>
      </c>
      <c r="I663" t="n">
        <v>0</v>
      </c>
      <c r="J663" t="n">
        <v>0</v>
      </c>
      <c r="K663" t="n">
        <v>0</v>
      </c>
      <c r="L663" t="n">
        <v>0</v>
      </c>
      <c r="M663" t="n">
        <v>0</v>
      </c>
      <c r="N663" t="n">
        <v>0</v>
      </c>
      <c r="O663" t="n">
        <v>0</v>
      </c>
      <c r="P663" t="n">
        <v>0</v>
      </c>
      <c r="Q663" t="n">
        <v>0</v>
      </c>
      <c r="R663" s="2" t="inlineStr"/>
    </row>
    <row r="664" ht="15" customHeight="1">
      <c r="A664" t="inlineStr">
        <is>
          <t>A 39708-2025</t>
        </is>
      </c>
      <c r="B664" s="1" t="n">
        <v>45890.83747685186</v>
      </c>
      <c r="C664" s="1" t="n">
        <v>46036</v>
      </c>
      <c r="D664" t="inlineStr">
        <is>
          <t>GÄVLEBORGS LÄN</t>
        </is>
      </c>
      <c r="E664" t="inlineStr">
        <is>
          <t>LJUSDAL</t>
        </is>
      </c>
      <c r="F664" t="inlineStr">
        <is>
          <t>Holmen skog AB</t>
        </is>
      </c>
      <c r="G664" t="n">
        <v>10.4</v>
      </c>
      <c r="H664" t="n">
        <v>0</v>
      </c>
      <c r="I664" t="n">
        <v>0</v>
      </c>
      <c r="J664" t="n">
        <v>0</v>
      </c>
      <c r="K664" t="n">
        <v>0</v>
      </c>
      <c r="L664" t="n">
        <v>0</v>
      </c>
      <c r="M664" t="n">
        <v>0</v>
      </c>
      <c r="N664" t="n">
        <v>0</v>
      </c>
      <c r="O664" t="n">
        <v>0</v>
      </c>
      <c r="P664" t="n">
        <v>0</v>
      </c>
      <c r="Q664" t="n">
        <v>0</v>
      </c>
      <c r="R664" s="2" t="inlineStr"/>
    </row>
    <row r="665" ht="15" customHeight="1">
      <c r="A665" t="inlineStr">
        <is>
          <t>A 26611-2023</t>
        </is>
      </c>
      <c r="B665" s="1" t="n">
        <v>45092.69458333333</v>
      </c>
      <c r="C665" s="1" t="n">
        <v>46036</v>
      </c>
      <c r="D665" t="inlineStr">
        <is>
          <t>GÄVLEBORGS LÄN</t>
        </is>
      </c>
      <c r="E665" t="inlineStr">
        <is>
          <t>LJUSDAL</t>
        </is>
      </c>
      <c r="G665" t="n">
        <v>1.5</v>
      </c>
      <c r="H665" t="n">
        <v>0</v>
      </c>
      <c r="I665" t="n">
        <v>0</v>
      </c>
      <c r="J665" t="n">
        <v>0</v>
      </c>
      <c r="K665" t="n">
        <v>0</v>
      </c>
      <c r="L665" t="n">
        <v>0</v>
      </c>
      <c r="M665" t="n">
        <v>0</v>
      </c>
      <c r="N665" t="n">
        <v>0</v>
      </c>
      <c r="O665" t="n">
        <v>0</v>
      </c>
      <c r="P665" t="n">
        <v>0</v>
      </c>
      <c r="Q665" t="n">
        <v>0</v>
      </c>
      <c r="R665" s="2" t="inlineStr"/>
    </row>
    <row r="666" ht="15" customHeight="1">
      <c r="A666" t="inlineStr">
        <is>
          <t>A 29790-2023</t>
        </is>
      </c>
      <c r="B666" s="1" t="n">
        <v>45107.52090277777</v>
      </c>
      <c r="C666" s="1" t="n">
        <v>46036</v>
      </c>
      <c r="D666" t="inlineStr">
        <is>
          <t>GÄVLEBORGS LÄN</t>
        </is>
      </c>
      <c r="E666" t="inlineStr">
        <is>
          <t>LJUSDAL</t>
        </is>
      </c>
      <c r="G666" t="n">
        <v>4.8</v>
      </c>
      <c r="H666" t="n">
        <v>0</v>
      </c>
      <c r="I666" t="n">
        <v>0</v>
      </c>
      <c r="J666" t="n">
        <v>0</v>
      </c>
      <c r="K666" t="n">
        <v>0</v>
      </c>
      <c r="L666" t="n">
        <v>0</v>
      </c>
      <c r="M666" t="n">
        <v>0</v>
      </c>
      <c r="N666" t="n">
        <v>0</v>
      </c>
      <c r="O666" t="n">
        <v>0</v>
      </c>
      <c r="P666" t="n">
        <v>0</v>
      </c>
      <c r="Q666" t="n">
        <v>0</v>
      </c>
      <c r="R666" s="2" t="inlineStr"/>
    </row>
    <row r="667" ht="15" customHeight="1">
      <c r="A667" t="inlineStr">
        <is>
          <t>A 27512-2023</t>
        </is>
      </c>
      <c r="B667" s="1" t="n">
        <v>45097</v>
      </c>
      <c r="C667" s="1" t="n">
        <v>46036</v>
      </c>
      <c r="D667" t="inlineStr">
        <is>
          <t>GÄVLEBORGS LÄN</t>
        </is>
      </c>
      <c r="E667" t="inlineStr">
        <is>
          <t>LJUSDAL</t>
        </is>
      </c>
      <c r="F667" t="inlineStr">
        <is>
          <t>Holmen skog AB</t>
        </is>
      </c>
      <c r="G667" t="n">
        <v>1.1</v>
      </c>
      <c r="H667" t="n">
        <v>0</v>
      </c>
      <c r="I667" t="n">
        <v>0</v>
      </c>
      <c r="J667" t="n">
        <v>0</v>
      </c>
      <c r="K667" t="n">
        <v>0</v>
      </c>
      <c r="L667" t="n">
        <v>0</v>
      </c>
      <c r="M667" t="n">
        <v>0</v>
      </c>
      <c r="N667" t="n">
        <v>0</v>
      </c>
      <c r="O667" t="n">
        <v>0</v>
      </c>
      <c r="P667" t="n">
        <v>0</v>
      </c>
      <c r="Q667" t="n">
        <v>0</v>
      </c>
      <c r="R667" s="2" t="inlineStr"/>
    </row>
    <row r="668" ht="15" customHeight="1">
      <c r="A668" t="inlineStr">
        <is>
          <t>A 40362-2025</t>
        </is>
      </c>
      <c r="B668" s="1" t="n">
        <v>45895.49094907408</v>
      </c>
      <c r="C668" s="1" t="n">
        <v>46036</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30665-2025</t>
        </is>
      </c>
      <c r="B669" s="1" t="n">
        <v>45831.51395833334</v>
      </c>
      <c r="C669" s="1" t="n">
        <v>46036</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5850-2023</t>
        </is>
      </c>
      <c r="B670" s="1" t="n">
        <v>44963.58248842593</v>
      </c>
      <c r="C670" s="1" t="n">
        <v>46036</v>
      </c>
      <c r="D670" t="inlineStr">
        <is>
          <t>GÄVLEBORGS LÄN</t>
        </is>
      </c>
      <c r="E670" t="inlineStr">
        <is>
          <t>LJUSDAL</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40019-2025</t>
        </is>
      </c>
      <c r="B671" s="1" t="n">
        <v>45894.35270833333</v>
      </c>
      <c r="C671" s="1" t="n">
        <v>46036</v>
      </c>
      <c r="D671" t="inlineStr">
        <is>
          <t>GÄVLEBORGS LÄN</t>
        </is>
      </c>
      <c r="E671" t="inlineStr">
        <is>
          <t>LJUSDAL</t>
        </is>
      </c>
      <c r="F671" t="inlineStr">
        <is>
          <t>Allmännings- och besparingsskogar</t>
        </is>
      </c>
      <c r="G671" t="n">
        <v>12.2</v>
      </c>
      <c r="H671" t="n">
        <v>0</v>
      </c>
      <c r="I671" t="n">
        <v>0</v>
      </c>
      <c r="J671" t="n">
        <v>0</v>
      </c>
      <c r="K671" t="n">
        <v>0</v>
      </c>
      <c r="L671" t="n">
        <v>0</v>
      </c>
      <c r="M671" t="n">
        <v>0</v>
      </c>
      <c r="N671" t="n">
        <v>0</v>
      </c>
      <c r="O671" t="n">
        <v>0</v>
      </c>
      <c r="P671" t="n">
        <v>0</v>
      </c>
      <c r="Q671" t="n">
        <v>0</v>
      </c>
      <c r="R671" s="2" t="inlineStr"/>
    </row>
    <row r="672" ht="15" customHeight="1">
      <c r="A672" t="inlineStr">
        <is>
          <t>A 30496-2025</t>
        </is>
      </c>
      <c r="B672" s="1" t="n">
        <v>45830.71666666667</v>
      </c>
      <c r="C672" s="1" t="n">
        <v>46036</v>
      </c>
      <c r="D672" t="inlineStr">
        <is>
          <t>GÄVLEBORGS LÄN</t>
        </is>
      </c>
      <c r="E672" t="inlineStr">
        <is>
          <t>LJUSDAL</t>
        </is>
      </c>
      <c r="G672" t="n">
        <v>7.8</v>
      </c>
      <c r="H672" t="n">
        <v>0</v>
      </c>
      <c r="I672" t="n">
        <v>0</v>
      </c>
      <c r="J672" t="n">
        <v>0</v>
      </c>
      <c r="K672" t="n">
        <v>0</v>
      </c>
      <c r="L672" t="n">
        <v>0</v>
      </c>
      <c r="M672" t="n">
        <v>0</v>
      </c>
      <c r="N672" t="n">
        <v>0</v>
      </c>
      <c r="O672" t="n">
        <v>0</v>
      </c>
      <c r="P672" t="n">
        <v>0</v>
      </c>
      <c r="Q672" t="n">
        <v>0</v>
      </c>
      <c r="R672" s="2" t="inlineStr"/>
    </row>
    <row r="673" ht="15" customHeight="1">
      <c r="A673" t="inlineStr">
        <is>
          <t>A 40355-2025</t>
        </is>
      </c>
      <c r="B673" s="1" t="n">
        <v>45895.48716435185</v>
      </c>
      <c r="C673" s="1" t="n">
        <v>46036</v>
      </c>
      <c r="D673" t="inlineStr">
        <is>
          <t>GÄVLEBORGS LÄN</t>
        </is>
      </c>
      <c r="E673" t="inlineStr">
        <is>
          <t>LJUSDAL</t>
        </is>
      </c>
      <c r="G673" t="n">
        <v>0.8</v>
      </c>
      <c r="H673" t="n">
        <v>0</v>
      </c>
      <c r="I673" t="n">
        <v>0</v>
      </c>
      <c r="J673" t="n">
        <v>0</v>
      </c>
      <c r="K673" t="n">
        <v>0</v>
      </c>
      <c r="L673" t="n">
        <v>0</v>
      </c>
      <c r="M673" t="n">
        <v>0</v>
      </c>
      <c r="N673" t="n">
        <v>0</v>
      </c>
      <c r="O673" t="n">
        <v>0</v>
      </c>
      <c r="P673" t="n">
        <v>0</v>
      </c>
      <c r="Q673" t="n">
        <v>0</v>
      </c>
      <c r="R673" s="2" t="inlineStr"/>
    </row>
    <row r="674" ht="15" customHeight="1">
      <c r="A674" t="inlineStr">
        <is>
          <t>A 30577-2025</t>
        </is>
      </c>
      <c r="B674" s="1" t="n">
        <v>45831.41457175926</v>
      </c>
      <c r="C674" s="1" t="n">
        <v>46036</v>
      </c>
      <c r="D674" t="inlineStr">
        <is>
          <t>GÄVLEBORGS LÄN</t>
        </is>
      </c>
      <c r="E674" t="inlineStr">
        <is>
          <t>LJUSDAL</t>
        </is>
      </c>
      <c r="F674" t="inlineStr">
        <is>
          <t>Sveaskog</t>
        </is>
      </c>
      <c r="G674" t="n">
        <v>4.5</v>
      </c>
      <c r="H674" t="n">
        <v>0</v>
      </c>
      <c r="I674" t="n">
        <v>0</v>
      </c>
      <c r="J674" t="n">
        <v>0</v>
      </c>
      <c r="K674" t="n">
        <v>0</v>
      </c>
      <c r="L674" t="n">
        <v>0</v>
      </c>
      <c r="M674" t="n">
        <v>0</v>
      </c>
      <c r="N674" t="n">
        <v>0</v>
      </c>
      <c r="O674" t="n">
        <v>0</v>
      </c>
      <c r="P674" t="n">
        <v>0</v>
      </c>
      <c r="Q674" t="n">
        <v>0</v>
      </c>
      <c r="R674" s="2" t="inlineStr"/>
    </row>
    <row r="675" ht="15" customHeight="1">
      <c r="A675" t="inlineStr">
        <is>
          <t>A 30589-2025</t>
        </is>
      </c>
      <c r="B675" s="1" t="n">
        <v>45831.43140046296</v>
      </c>
      <c r="C675" s="1" t="n">
        <v>46036</v>
      </c>
      <c r="D675" t="inlineStr">
        <is>
          <t>GÄVLEBORGS LÄN</t>
        </is>
      </c>
      <c r="E675" t="inlineStr">
        <is>
          <t>LJUSDAL</t>
        </is>
      </c>
      <c r="F675" t="inlineStr">
        <is>
          <t>Holmen skog AB</t>
        </is>
      </c>
      <c r="G675" t="n">
        <v>32.3</v>
      </c>
      <c r="H675" t="n">
        <v>0</v>
      </c>
      <c r="I675" t="n">
        <v>0</v>
      </c>
      <c r="J675" t="n">
        <v>0</v>
      </c>
      <c r="K675" t="n">
        <v>0</v>
      </c>
      <c r="L675" t="n">
        <v>0</v>
      </c>
      <c r="M675" t="n">
        <v>0</v>
      </c>
      <c r="N675" t="n">
        <v>0</v>
      </c>
      <c r="O675" t="n">
        <v>0</v>
      </c>
      <c r="P675" t="n">
        <v>0</v>
      </c>
      <c r="Q675" t="n">
        <v>0</v>
      </c>
      <c r="R675" s="2" t="inlineStr"/>
    </row>
    <row r="676" ht="15" customHeight="1">
      <c r="A676" t="inlineStr">
        <is>
          <t>A 30677-2025</t>
        </is>
      </c>
      <c r="B676" s="1" t="n">
        <v>45831.52335648148</v>
      </c>
      <c r="C676" s="1" t="n">
        <v>46036</v>
      </c>
      <c r="D676" t="inlineStr">
        <is>
          <t>GÄVLEBORGS LÄN</t>
        </is>
      </c>
      <c r="E676" t="inlineStr">
        <is>
          <t>LJUSDAL</t>
        </is>
      </c>
      <c r="G676" t="n">
        <v>5.4</v>
      </c>
      <c r="H676" t="n">
        <v>0</v>
      </c>
      <c r="I676" t="n">
        <v>0</v>
      </c>
      <c r="J676" t="n">
        <v>0</v>
      </c>
      <c r="K676" t="n">
        <v>0</v>
      </c>
      <c r="L676" t="n">
        <v>0</v>
      </c>
      <c r="M676" t="n">
        <v>0</v>
      </c>
      <c r="N676" t="n">
        <v>0</v>
      </c>
      <c r="O676" t="n">
        <v>0</v>
      </c>
      <c r="P676" t="n">
        <v>0</v>
      </c>
      <c r="Q676" t="n">
        <v>0</v>
      </c>
      <c r="R676" s="2" t="inlineStr"/>
    </row>
    <row r="677" ht="15" customHeight="1">
      <c r="A677" t="inlineStr">
        <is>
          <t>A 30681-2025</t>
        </is>
      </c>
      <c r="B677" s="1" t="n">
        <v>45831.52996527778</v>
      </c>
      <c r="C677" s="1" t="n">
        <v>46036</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30686-2025</t>
        </is>
      </c>
      <c r="B678" s="1" t="n">
        <v>45831.53361111111</v>
      </c>
      <c r="C678" s="1" t="n">
        <v>46036</v>
      </c>
      <c r="D678" t="inlineStr">
        <is>
          <t>GÄVLEBORGS LÄN</t>
        </is>
      </c>
      <c r="E678" t="inlineStr">
        <is>
          <t>LJUSDAL</t>
        </is>
      </c>
      <c r="F678" t="inlineStr">
        <is>
          <t>Bergvik skog väst AB</t>
        </is>
      </c>
      <c r="G678" t="n">
        <v>9.9</v>
      </c>
      <c r="H678" t="n">
        <v>0</v>
      </c>
      <c r="I678" t="n">
        <v>0</v>
      </c>
      <c r="J678" t="n">
        <v>0</v>
      </c>
      <c r="K678" t="n">
        <v>0</v>
      </c>
      <c r="L678" t="n">
        <v>0</v>
      </c>
      <c r="M678" t="n">
        <v>0</v>
      </c>
      <c r="N678" t="n">
        <v>0</v>
      </c>
      <c r="O678" t="n">
        <v>0</v>
      </c>
      <c r="P678" t="n">
        <v>0</v>
      </c>
      <c r="Q678" t="n">
        <v>0</v>
      </c>
      <c r="R678" s="2" t="inlineStr"/>
    </row>
    <row r="679" ht="15" customHeight="1">
      <c r="A679" t="inlineStr">
        <is>
          <t>A 31140-2025</t>
        </is>
      </c>
      <c r="B679" s="1" t="n">
        <v>45832.63648148148</v>
      </c>
      <c r="C679" s="1" t="n">
        <v>46036</v>
      </c>
      <c r="D679" t="inlineStr">
        <is>
          <t>GÄVLEBORGS LÄN</t>
        </is>
      </c>
      <c r="E679" t="inlineStr">
        <is>
          <t>LJUSDAL</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18008-2025</t>
        </is>
      </c>
      <c r="B680" s="1" t="n">
        <v>45761.42759259259</v>
      </c>
      <c r="C680" s="1" t="n">
        <v>46036</v>
      </c>
      <c r="D680" t="inlineStr">
        <is>
          <t>GÄVLEBORGS LÄN</t>
        </is>
      </c>
      <c r="E680" t="inlineStr">
        <is>
          <t>LJUSDAL</t>
        </is>
      </c>
      <c r="G680" t="n">
        <v>4.5</v>
      </c>
      <c r="H680" t="n">
        <v>0</v>
      </c>
      <c r="I680" t="n">
        <v>0</v>
      </c>
      <c r="J680" t="n">
        <v>0</v>
      </c>
      <c r="K680" t="n">
        <v>0</v>
      </c>
      <c r="L680" t="n">
        <v>0</v>
      </c>
      <c r="M680" t="n">
        <v>0</v>
      </c>
      <c r="N680" t="n">
        <v>0</v>
      </c>
      <c r="O680" t="n">
        <v>0</v>
      </c>
      <c r="P680" t="n">
        <v>0</v>
      </c>
      <c r="Q680" t="n">
        <v>0</v>
      </c>
      <c r="R680" s="2" t="inlineStr"/>
    </row>
    <row r="681" ht="15" customHeight="1">
      <c r="A681" t="inlineStr">
        <is>
          <t>A 30937-2025</t>
        </is>
      </c>
      <c r="B681" s="1" t="n">
        <v>45832.40670138889</v>
      </c>
      <c r="C681" s="1" t="n">
        <v>46036</v>
      </c>
      <c r="D681" t="inlineStr">
        <is>
          <t>GÄVLEBORGS LÄN</t>
        </is>
      </c>
      <c r="E681" t="inlineStr">
        <is>
          <t>LJUSDAL</t>
        </is>
      </c>
      <c r="G681" t="n">
        <v>1.5</v>
      </c>
      <c r="H681" t="n">
        <v>0</v>
      </c>
      <c r="I681" t="n">
        <v>0</v>
      </c>
      <c r="J681" t="n">
        <v>0</v>
      </c>
      <c r="K681" t="n">
        <v>0</v>
      </c>
      <c r="L681" t="n">
        <v>0</v>
      </c>
      <c r="M681" t="n">
        <v>0</v>
      </c>
      <c r="N681" t="n">
        <v>0</v>
      </c>
      <c r="O681" t="n">
        <v>0</v>
      </c>
      <c r="P681" t="n">
        <v>0</v>
      </c>
      <c r="Q681" t="n">
        <v>0</v>
      </c>
      <c r="R681" s="2" t="inlineStr"/>
    </row>
    <row r="682" ht="15" customHeight="1">
      <c r="A682" t="inlineStr">
        <is>
          <t>A 23429-2025</t>
        </is>
      </c>
      <c r="B682" s="1" t="n">
        <v>45792</v>
      </c>
      <c r="C682" s="1" t="n">
        <v>46036</v>
      </c>
      <c r="D682" t="inlineStr">
        <is>
          <t>GÄVLEBORGS LÄN</t>
        </is>
      </c>
      <c r="E682" t="inlineStr">
        <is>
          <t>LJUSDAL</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31064-2025</t>
        </is>
      </c>
      <c r="B683" s="1" t="n">
        <v>45832.57532407407</v>
      </c>
      <c r="C683" s="1" t="n">
        <v>46036</v>
      </c>
      <c r="D683" t="inlineStr">
        <is>
          <t>GÄVLEBORGS LÄN</t>
        </is>
      </c>
      <c r="E683" t="inlineStr">
        <is>
          <t>LJUSDAL</t>
        </is>
      </c>
      <c r="F683" t="inlineStr">
        <is>
          <t>Allmännings- och besparingsskogar</t>
        </is>
      </c>
      <c r="G683" t="n">
        <v>1.3</v>
      </c>
      <c r="H683" t="n">
        <v>0</v>
      </c>
      <c r="I683" t="n">
        <v>0</v>
      </c>
      <c r="J683" t="n">
        <v>0</v>
      </c>
      <c r="K683" t="n">
        <v>0</v>
      </c>
      <c r="L683" t="n">
        <v>0</v>
      </c>
      <c r="M683" t="n">
        <v>0</v>
      </c>
      <c r="N683" t="n">
        <v>0</v>
      </c>
      <c r="O683" t="n">
        <v>0</v>
      </c>
      <c r="P683" t="n">
        <v>0</v>
      </c>
      <c r="Q683" t="n">
        <v>0</v>
      </c>
      <c r="R683" s="2" t="inlineStr"/>
    </row>
    <row r="684" ht="15" customHeight="1">
      <c r="A684" t="inlineStr">
        <is>
          <t>A 31126-2025</t>
        </is>
      </c>
      <c r="B684" s="1" t="n">
        <v>45832.62875</v>
      </c>
      <c r="C684" s="1" t="n">
        <v>46036</v>
      </c>
      <c r="D684" t="inlineStr">
        <is>
          <t>GÄVLEBORGS LÄN</t>
        </is>
      </c>
      <c r="E684" t="inlineStr">
        <is>
          <t>LJUSDAL</t>
        </is>
      </c>
      <c r="F684" t="inlineStr">
        <is>
          <t>Sveaskog</t>
        </is>
      </c>
      <c r="G684" t="n">
        <v>5</v>
      </c>
      <c r="H684" t="n">
        <v>0</v>
      </c>
      <c r="I684" t="n">
        <v>0</v>
      </c>
      <c r="J684" t="n">
        <v>0</v>
      </c>
      <c r="K684" t="n">
        <v>0</v>
      </c>
      <c r="L684" t="n">
        <v>0</v>
      </c>
      <c r="M684" t="n">
        <v>0</v>
      </c>
      <c r="N684" t="n">
        <v>0</v>
      </c>
      <c r="O684" t="n">
        <v>0</v>
      </c>
      <c r="P684" t="n">
        <v>0</v>
      </c>
      <c r="Q684" t="n">
        <v>0</v>
      </c>
      <c r="R684" s="2" t="inlineStr"/>
    </row>
    <row r="685" ht="15" customHeight="1">
      <c r="A685" t="inlineStr">
        <is>
          <t>A 31130-2025</t>
        </is>
      </c>
      <c r="B685" s="1" t="n">
        <v>45832.63040509259</v>
      </c>
      <c r="C685" s="1" t="n">
        <v>46036</v>
      </c>
      <c r="D685" t="inlineStr">
        <is>
          <t>GÄVLEBORGS LÄN</t>
        </is>
      </c>
      <c r="E685" t="inlineStr">
        <is>
          <t>LJUSDAL</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40790-2025</t>
        </is>
      </c>
      <c r="B686" s="1" t="n">
        <v>45897.44836805556</v>
      </c>
      <c r="C686" s="1" t="n">
        <v>46036</v>
      </c>
      <c r="D686" t="inlineStr">
        <is>
          <t>GÄVLEBORGS LÄN</t>
        </is>
      </c>
      <c r="E686" t="inlineStr">
        <is>
          <t>LJUSDAL</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31040-2025</t>
        </is>
      </c>
      <c r="B687" s="1" t="n">
        <v>45832.55109953704</v>
      </c>
      <c r="C687" s="1" t="n">
        <v>46036</v>
      </c>
      <c r="D687" t="inlineStr">
        <is>
          <t>GÄVLEBORGS LÄN</t>
        </is>
      </c>
      <c r="E687" t="inlineStr">
        <is>
          <t>LJUSDAL</t>
        </is>
      </c>
      <c r="G687" t="n">
        <v>1.9</v>
      </c>
      <c r="H687" t="n">
        <v>0</v>
      </c>
      <c r="I687" t="n">
        <v>0</v>
      </c>
      <c r="J687" t="n">
        <v>0</v>
      </c>
      <c r="K687" t="n">
        <v>0</v>
      </c>
      <c r="L687" t="n">
        <v>0</v>
      </c>
      <c r="M687" t="n">
        <v>0</v>
      </c>
      <c r="N687" t="n">
        <v>0</v>
      </c>
      <c r="O687" t="n">
        <v>0</v>
      </c>
      <c r="P687" t="n">
        <v>0</v>
      </c>
      <c r="Q687" t="n">
        <v>0</v>
      </c>
      <c r="R687" s="2" t="inlineStr"/>
    </row>
    <row r="688" ht="15" customHeight="1">
      <c r="A688" t="inlineStr">
        <is>
          <t>A 49527-2025</t>
        </is>
      </c>
      <c r="B688" s="1" t="n">
        <v>45939.40607638889</v>
      </c>
      <c r="C688" s="1" t="n">
        <v>46036</v>
      </c>
      <c r="D688" t="inlineStr">
        <is>
          <t>GÄVLEBORGS LÄN</t>
        </is>
      </c>
      <c r="E688" t="inlineStr">
        <is>
          <t>LJUSDAL</t>
        </is>
      </c>
      <c r="G688" t="n">
        <v>2.3</v>
      </c>
      <c r="H688" t="n">
        <v>0</v>
      </c>
      <c r="I688" t="n">
        <v>0</v>
      </c>
      <c r="J688" t="n">
        <v>0</v>
      </c>
      <c r="K688" t="n">
        <v>0</v>
      </c>
      <c r="L688" t="n">
        <v>0</v>
      </c>
      <c r="M688" t="n">
        <v>0</v>
      </c>
      <c r="N688" t="n">
        <v>0</v>
      </c>
      <c r="O688" t="n">
        <v>0</v>
      </c>
      <c r="P688" t="n">
        <v>0</v>
      </c>
      <c r="Q688" t="n">
        <v>0</v>
      </c>
      <c r="R688" s="2" t="inlineStr"/>
    </row>
    <row r="689" ht="15" customHeight="1">
      <c r="A689" t="inlineStr">
        <is>
          <t>A 30926-2025</t>
        </is>
      </c>
      <c r="B689" s="1" t="n">
        <v>45832.38623842593</v>
      </c>
      <c r="C689" s="1" t="n">
        <v>46036</v>
      </c>
      <c r="D689" t="inlineStr">
        <is>
          <t>GÄVLEBORGS LÄN</t>
        </is>
      </c>
      <c r="E689" t="inlineStr">
        <is>
          <t>LJUSDAL</t>
        </is>
      </c>
      <c r="G689" t="n">
        <v>1.2</v>
      </c>
      <c r="H689" t="n">
        <v>0</v>
      </c>
      <c r="I689" t="n">
        <v>0</v>
      </c>
      <c r="J689" t="n">
        <v>0</v>
      </c>
      <c r="K689" t="n">
        <v>0</v>
      </c>
      <c r="L689" t="n">
        <v>0</v>
      </c>
      <c r="M689" t="n">
        <v>0</v>
      </c>
      <c r="N689" t="n">
        <v>0</v>
      </c>
      <c r="O689" t="n">
        <v>0</v>
      </c>
      <c r="P689" t="n">
        <v>0</v>
      </c>
      <c r="Q689" t="n">
        <v>0</v>
      </c>
      <c r="R689" s="2" t="inlineStr"/>
    </row>
    <row r="690" ht="15" customHeight="1">
      <c r="A690" t="inlineStr">
        <is>
          <t>A 40689-2025</t>
        </is>
      </c>
      <c r="B690" s="1" t="n">
        <v>45896.92719907407</v>
      </c>
      <c r="C690" s="1" t="n">
        <v>46036</v>
      </c>
      <c r="D690" t="inlineStr">
        <is>
          <t>GÄVLEBORGS LÄN</t>
        </is>
      </c>
      <c r="E690" t="inlineStr">
        <is>
          <t>LJUSDAL</t>
        </is>
      </c>
      <c r="G690" t="n">
        <v>1.5</v>
      </c>
      <c r="H690" t="n">
        <v>0</v>
      </c>
      <c r="I690" t="n">
        <v>0</v>
      </c>
      <c r="J690" t="n">
        <v>0</v>
      </c>
      <c r="K690" t="n">
        <v>0</v>
      </c>
      <c r="L690" t="n">
        <v>0</v>
      </c>
      <c r="M690" t="n">
        <v>0</v>
      </c>
      <c r="N690" t="n">
        <v>0</v>
      </c>
      <c r="O690" t="n">
        <v>0</v>
      </c>
      <c r="P690" t="n">
        <v>0</v>
      </c>
      <c r="Q690" t="n">
        <v>0</v>
      </c>
      <c r="R690" s="2" t="inlineStr"/>
    </row>
    <row r="691" ht="15" customHeight="1">
      <c r="A691" t="inlineStr">
        <is>
          <t>A 34058-2022</t>
        </is>
      </c>
      <c r="B691" s="1" t="n">
        <v>44791.37611111111</v>
      </c>
      <c r="C691" s="1" t="n">
        <v>46036</v>
      </c>
      <c r="D691" t="inlineStr">
        <is>
          <t>GÄVLEBORGS LÄN</t>
        </is>
      </c>
      <c r="E691" t="inlineStr">
        <is>
          <t>LJUSDAL</t>
        </is>
      </c>
      <c r="G691" t="n">
        <v>2.2</v>
      </c>
      <c r="H691" t="n">
        <v>0</v>
      </c>
      <c r="I691" t="n">
        <v>0</v>
      </c>
      <c r="J691" t="n">
        <v>0</v>
      </c>
      <c r="K691" t="n">
        <v>0</v>
      </c>
      <c r="L691" t="n">
        <v>0</v>
      </c>
      <c r="M691" t="n">
        <v>0</v>
      </c>
      <c r="N691" t="n">
        <v>0</v>
      </c>
      <c r="O691" t="n">
        <v>0</v>
      </c>
      <c r="P691" t="n">
        <v>0</v>
      </c>
      <c r="Q691" t="n">
        <v>0</v>
      </c>
      <c r="R691" s="2" t="inlineStr"/>
    </row>
    <row r="692" ht="15" customHeight="1">
      <c r="A692" t="inlineStr">
        <is>
          <t>A 40747-2025</t>
        </is>
      </c>
      <c r="B692" s="1" t="n">
        <v>45897.37946759259</v>
      </c>
      <c r="C692" s="1" t="n">
        <v>46036</v>
      </c>
      <c r="D692" t="inlineStr">
        <is>
          <t>GÄVLEBORGS LÄN</t>
        </is>
      </c>
      <c r="E692" t="inlineStr">
        <is>
          <t>LJUSDAL</t>
        </is>
      </c>
      <c r="F692" t="inlineStr">
        <is>
          <t>Kommuner</t>
        </is>
      </c>
      <c r="G692" t="n">
        <v>4.1</v>
      </c>
      <c r="H692" t="n">
        <v>0</v>
      </c>
      <c r="I692" t="n">
        <v>0</v>
      </c>
      <c r="J692" t="n">
        <v>0</v>
      </c>
      <c r="K692" t="n">
        <v>0</v>
      </c>
      <c r="L692" t="n">
        <v>0</v>
      </c>
      <c r="M692" t="n">
        <v>0</v>
      </c>
      <c r="N692" t="n">
        <v>0</v>
      </c>
      <c r="O692" t="n">
        <v>0</v>
      </c>
      <c r="P692" t="n">
        <v>0</v>
      </c>
      <c r="Q692" t="n">
        <v>0</v>
      </c>
      <c r="R692" s="2" t="inlineStr"/>
    </row>
    <row r="693" ht="15" customHeight="1">
      <c r="A693" t="inlineStr">
        <is>
          <t>A 31028-2025</t>
        </is>
      </c>
      <c r="B693" s="1" t="n">
        <v>45832.53422453703</v>
      </c>
      <c r="C693" s="1" t="n">
        <v>46036</v>
      </c>
      <c r="D693" t="inlineStr">
        <is>
          <t>GÄVLEBORGS LÄN</t>
        </is>
      </c>
      <c r="E693" t="inlineStr">
        <is>
          <t>LJUSDAL</t>
        </is>
      </c>
      <c r="G693" t="n">
        <v>20.5</v>
      </c>
      <c r="H693" t="n">
        <v>0</v>
      </c>
      <c r="I693" t="n">
        <v>0</v>
      </c>
      <c r="J693" t="n">
        <v>0</v>
      </c>
      <c r="K693" t="n">
        <v>0</v>
      </c>
      <c r="L693" t="n">
        <v>0</v>
      </c>
      <c r="M693" t="n">
        <v>0</v>
      </c>
      <c r="N693" t="n">
        <v>0</v>
      </c>
      <c r="O693" t="n">
        <v>0</v>
      </c>
      <c r="P693" t="n">
        <v>0</v>
      </c>
      <c r="Q693" t="n">
        <v>0</v>
      </c>
      <c r="R693" s="2" t="inlineStr"/>
    </row>
    <row r="694" ht="15" customHeight="1">
      <c r="A694" t="inlineStr">
        <is>
          <t>A 4195-2023</t>
        </is>
      </c>
      <c r="B694" s="1" t="n">
        <v>44953.43362268519</v>
      </c>
      <c r="C694" s="1" t="n">
        <v>46036</v>
      </c>
      <c r="D694" t="inlineStr">
        <is>
          <t>GÄVLEBORGS LÄN</t>
        </is>
      </c>
      <c r="E694" t="inlineStr">
        <is>
          <t>LJUSDAL</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30979-2025</t>
        </is>
      </c>
      <c r="B695" s="1" t="n">
        <v>45832.4678587963</v>
      </c>
      <c r="C695" s="1" t="n">
        <v>46036</v>
      </c>
      <c r="D695" t="inlineStr">
        <is>
          <t>GÄVLEBORGS LÄN</t>
        </is>
      </c>
      <c r="E695" t="inlineStr">
        <is>
          <t>LJUSDAL</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31072-2025</t>
        </is>
      </c>
      <c r="B696" s="1" t="n">
        <v>45832.57938657407</v>
      </c>
      <c r="C696" s="1" t="n">
        <v>46036</v>
      </c>
      <c r="D696" t="inlineStr">
        <is>
          <t>GÄVLEBORGS LÄN</t>
        </is>
      </c>
      <c r="E696" t="inlineStr">
        <is>
          <t>LJUSDAL</t>
        </is>
      </c>
      <c r="F696" t="inlineStr">
        <is>
          <t>Holmen skog AB</t>
        </is>
      </c>
      <c r="G696" t="n">
        <v>6.8</v>
      </c>
      <c r="H696" t="n">
        <v>0</v>
      </c>
      <c r="I696" t="n">
        <v>0</v>
      </c>
      <c r="J696" t="n">
        <v>0</v>
      </c>
      <c r="K696" t="n">
        <v>0</v>
      </c>
      <c r="L696" t="n">
        <v>0</v>
      </c>
      <c r="M696" t="n">
        <v>0</v>
      </c>
      <c r="N696" t="n">
        <v>0</v>
      </c>
      <c r="O696" t="n">
        <v>0</v>
      </c>
      <c r="P696" t="n">
        <v>0</v>
      </c>
      <c r="Q696" t="n">
        <v>0</v>
      </c>
      <c r="R696" s="2" t="inlineStr"/>
    </row>
    <row r="697" ht="15" customHeight="1">
      <c r="A697" t="inlineStr">
        <is>
          <t>A 835-2023</t>
        </is>
      </c>
      <c r="B697" s="1" t="n">
        <v>44931</v>
      </c>
      <c r="C697" s="1" t="n">
        <v>46036</v>
      </c>
      <c r="D697" t="inlineStr">
        <is>
          <t>GÄVLEBORGS LÄN</t>
        </is>
      </c>
      <c r="E697" t="inlineStr">
        <is>
          <t>LJUSDAL</t>
        </is>
      </c>
      <c r="G697" t="n">
        <v>2.2</v>
      </c>
      <c r="H697" t="n">
        <v>0</v>
      </c>
      <c r="I697" t="n">
        <v>0</v>
      </c>
      <c r="J697" t="n">
        <v>0</v>
      </c>
      <c r="K697" t="n">
        <v>0</v>
      </c>
      <c r="L697" t="n">
        <v>0</v>
      </c>
      <c r="M697" t="n">
        <v>0</v>
      </c>
      <c r="N697" t="n">
        <v>0</v>
      </c>
      <c r="O697" t="n">
        <v>0</v>
      </c>
      <c r="P697" t="n">
        <v>0</v>
      </c>
      <c r="Q697" t="n">
        <v>0</v>
      </c>
      <c r="R697" s="2" t="inlineStr"/>
    </row>
    <row r="698" ht="15" customHeight="1">
      <c r="A698" t="inlineStr">
        <is>
          <t>A 29686-2023</t>
        </is>
      </c>
      <c r="B698" s="1" t="n">
        <v>45107.38175925926</v>
      </c>
      <c r="C698" s="1" t="n">
        <v>46036</v>
      </c>
      <c r="D698" t="inlineStr">
        <is>
          <t>GÄVLEBORGS LÄN</t>
        </is>
      </c>
      <c r="E698" t="inlineStr">
        <is>
          <t>LJUSDAL</t>
        </is>
      </c>
      <c r="G698" t="n">
        <v>1.6</v>
      </c>
      <c r="H698" t="n">
        <v>0</v>
      </c>
      <c r="I698" t="n">
        <v>0</v>
      </c>
      <c r="J698" t="n">
        <v>0</v>
      </c>
      <c r="K698" t="n">
        <v>0</v>
      </c>
      <c r="L698" t="n">
        <v>0</v>
      </c>
      <c r="M698" t="n">
        <v>0</v>
      </c>
      <c r="N698" t="n">
        <v>0</v>
      </c>
      <c r="O698" t="n">
        <v>0</v>
      </c>
      <c r="P698" t="n">
        <v>0</v>
      </c>
      <c r="Q698" t="n">
        <v>0</v>
      </c>
      <c r="R698" s="2" t="inlineStr"/>
    </row>
    <row r="699" ht="15" customHeight="1">
      <c r="A699" t="inlineStr">
        <is>
          <t>A 36070-2025</t>
        </is>
      </c>
      <c r="B699" s="1" t="n">
        <v>45866</v>
      </c>
      <c r="C699" s="1" t="n">
        <v>46036</v>
      </c>
      <c r="D699" t="inlineStr">
        <is>
          <t>GÄVLEBORGS LÄN</t>
        </is>
      </c>
      <c r="E699" t="inlineStr">
        <is>
          <t>LJUSDAL</t>
        </is>
      </c>
      <c r="G699" t="n">
        <v>6.7</v>
      </c>
      <c r="H699" t="n">
        <v>0</v>
      </c>
      <c r="I699" t="n">
        <v>0</v>
      </c>
      <c r="J699" t="n">
        <v>0</v>
      </c>
      <c r="K699" t="n">
        <v>0</v>
      </c>
      <c r="L699" t="n">
        <v>0</v>
      </c>
      <c r="M699" t="n">
        <v>0</v>
      </c>
      <c r="N699" t="n">
        <v>0</v>
      </c>
      <c r="O699" t="n">
        <v>0</v>
      </c>
      <c r="P699" t="n">
        <v>0</v>
      </c>
      <c r="Q699" t="n">
        <v>0</v>
      </c>
      <c r="R699" s="2" t="inlineStr"/>
    </row>
    <row r="700" ht="15" customHeight="1">
      <c r="A700" t="inlineStr">
        <is>
          <t>A 31035-2025</t>
        </is>
      </c>
      <c r="B700" s="1" t="n">
        <v>45832.544375</v>
      </c>
      <c r="C700" s="1" t="n">
        <v>46036</v>
      </c>
      <c r="D700" t="inlineStr">
        <is>
          <t>GÄVLEBORGS LÄN</t>
        </is>
      </c>
      <c r="E700" t="inlineStr">
        <is>
          <t>LJUSDAL</t>
        </is>
      </c>
      <c r="G700" t="n">
        <v>4.9</v>
      </c>
      <c r="H700" t="n">
        <v>0</v>
      </c>
      <c r="I700" t="n">
        <v>0</v>
      </c>
      <c r="J700" t="n">
        <v>0</v>
      </c>
      <c r="K700" t="n">
        <v>0</v>
      </c>
      <c r="L700" t="n">
        <v>0</v>
      </c>
      <c r="M700" t="n">
        <v>0</v>
      </c>
      <c r="N700" t="n">
        <v>0</v>
      </c>
      <c r="O700" t="n">
        <v>0</v>
      </c>
      <c r="P700" t="n">
        <v>0</v>
      </c>
      <c r="Q700" t="n">
        <v>0</v>
      </c>
      <c r="R700" s="2" t="inlineStr"/>
    </row>
    <row r="701" ht="15" customHeight="1">
      <c r="A701" t="inlineStr">
        <is>
          <t>A 40866-2025</t>
        </is>
      </c>
      <c r="B701" s="1" t="n">
        <v>45897.5697337963</v>
      </c>
      <c r="C701" s="1" t="n">
        <v>46036</v>
      </c>
      <c r="D701" t="inlineStr">
        <is>
          <t>GÄVLEBORGS LÄN</t>
        </is>
      </c>
      <c r="E701" t="inlineStr">
        <is>
          <t>LJUSDAL</t>
        </is>
      </c>
      <c r="G701" t="n">
        <v>2</v>
      </c>
      <c r="H701" t="n">
        <v>0</v>
      </c>
      <c r="I701" t="n">
        <v>0</v>
      </c>
      <c r="J701" t="n">
        <v>0</v>
      </c>
      <c r="K701" t="n">
        <v>0</v>
      </c>
      <c r="L701" t="n">
        <v>0</v>
      </c>
      <c r="M701" t="n">
        <v>0</v>
      </c>
      <c r="N701" t="n">
        <v>0</v>
      </c>
      <c r="O701" t="n">
        <v>0</v>
      </c>
      <c r="P701" t="n">
        <v>0</v>
      </c>
      <c r="Q701" t="n">
        <v>0</v>
      </c>
      <c r="R701" s="2" t="inlineStr"/>
    </row>
    <row r="702" ht="15" customHeight="1">
      <c r="A702" t="inlineStr">
        <is>
          <t>A 54897-2024</t>
        </is>
      </c>
      <c r="B702" s="1" t="n">
        <v>45618</v>
      </c>
      <c r="C702" s="1" t="n">
        <v>46036</v>
      </c>
      <c r="D702" t="inlineStr">
        <is>
          <t>GÄVLEBORGS LÄN</t>
        </is>
      </c>
      <c r="E702" t="inlineStr">
        <is>
          <t>LJUSDAL</t>
        </is>
      </c>
      <c r="G702" t="n">
        <v>1</v>
      </c>
      <c r="H702" t="n">
        <v>0</v>
      </c>
      <c r="I702" t="n">
        <v>0</v>
      </c>
      <c r="J702" t="n">
        <v>0</v>
      </c>
      <c r="K702" t="n">
        <v>0</v>
      </c>
      <c r="L702" t="n">
        <v>0</v>
      </c>
      <c r="M702" t="n">
        <v>0</v>
      </c>
      <c r="N702" t="n">
        <v>0</v>
      </c>
      <c r="O702" t="n">
        <v>0</v>
      </c>
      <c r="P702" t="n">
        <v>0</v>
      </c>
      <c r="Q702" t="n">
        <v>0</v>
      </c>
      <c r="R702" s="2" t="inlineStr"/>
    </row>
    <row r="703" ht="15" customHeight="1">
      <c r="A703" t="inlineStr">
        <is>
          <t>A 30661-2025</t>
        </is>
      </c>
      <c r="B703" s="1" t="n">
        <v>45831.5102662037</v>
      </c>
      <c r="C703" s="1" t="n">
        <v>46036</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36071-2025</t>
        </is>
      </c>
      <c r="B704" s="1" t="n">
        <v>45866</v>
      </c>
      <c r="C704" s="1" t="n">
        <v>46036</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40503-2025</t>
        </is>
      </c>
      <c r="B705" s="1" t="n">
        <v>45896.33780092592</v>
      </c>
      <c r="C705" s="1" t="n">
        <v>46036</v>
      </c>
      <c r="D705" t="inlineStr">
        <is>
          <t>GÄVLEBORGS LÄN</t>
        </is>
      </c>
      <c r="E705" t="inlineStr">
        <is>
          <t>LJUSDAL</t>
        </is>
      </c>
      <c r="G705" t="n">
        <v>13.6</v>
      </c>
      <c r="H705" t="n">
        <v>0</v>
      </c>
      <c r="I705" t="n">
        <v>0</v>
      </c>
      <c r="J705" t="n">
        <v>0</v>
      </c>
      <c r="K705" t="n">
        <v>0</v>
      </c>
      <c r="L705" t="n">
        <v>0</v>
      </c>
      <c r="M705" t="n">
        <v>0</v>
      </c>
      <c r="N705" t="n">
        <v>0</v>
      </c>
      <c r="O705" t="n">
        <v>0</v>
      </c>
      <c r="P705" t="n">
        <v>0</v>
      </c>
      <c r="Q705" t="n">
        <v>0</v>
      </c>
      <c r="R705" s="2" t="inlineStr"/>
    </row>
    <row r="706" ht="15" customHeight="1">
      <c r="A706" t="inlineStr">
        <is>
          <t>A 40510-2025</t>
        </is>
      </c>
      <c r="B706" s="1" t="n">
        <v>45896.34497685185</v>
      </c>
      <c r="C706" s="1" t="n">
        <v>46036</v>
      </c>
      <c r="D706" t="inlineStr">
        <is>
          <t>GÄVLEBORGS LÄN</t>
        </is>
      </c>
      <c r="E706" t="inlineStr">
        <is>
          <t>LJUSDAL</t>
        </is>
      </c>
      <c r="F706" t="inlineStr">
        <is>
          <t>SCA</t>
        </is>
      </c>
      <c r="G706" t="n">
        <v>5.6</v>
      </c>
      <c r="H706" t="n">
        <v>0</v>
      </c>
      <c r="I706" t="n">
        <v>0</v>
      </c>
      <c r="J706" t="n">
        <v>0</v>
      </c>
      <c r="K706" t="n">
        <v>0</v>
      </c>
      <c r="L706" t="n">
        <v>0</v>
      </c>
      <c r="M706" t="n">
        <v>0</v>
      </c>
      <c r="N706" t="n">
        <v>0</v>
      </c>
      <c r="O706" t="n">
        <v>0</v>
      </c>
      <c r="P706" t="n">
        <v>0</v>
      </c>
      <c r="Q706" t="n">
        <v>0</v>
      </c>
      <c r="R706" s="2" t="inlineStr"/>
    </row>
    <row r="707" ht="15" customHeight="1">
      <c r="A707" t="inlineStr">
        <is>
          <t>A 30938-2025</t>
        </is>
      </c>
      <c r="B707" s="1" t="n">
        <v>45832.40675925926</v>
      </c>
      <c r="C707" s="1" t="n">
        <v>46036</v>
      </c>
      <c r="D707" t="inlineStr">
        <is>
          <t>GÄVLEBORGS LÄN</t>
        </is>
      </c>
      <c r="E707" t="inlineStr">
        <is>
          <t>LJUSDAL</t>
        </is>
      </c>
      <c r="G707" t="n">
        <v>1.4</v>
      </c>
      <c r="H707" t="n">
        <v>0</v>
      </c>
      <c r="I707" t="n">
        <v>0</v>
      </c>
      <c r="J707" t="n">
        <v>0</v>
      </c>
      <c r="K707" t="n">
        <v>0</v>
      </c>
      <c r="L707" t="n">
        <v>0</v>
      </c>
      <c r="M707" t="n">
        <v>0</v>
      </c>
      <c r="N707" t="n">
        <v>0</v>
      </c>
      <c r="O707" t="n">
        <v>0</v>
      </c>
      <c r="P707" t="n">
        <v>0</v>
      </c>
      <c r="Q707" t="n">
        <v>0</v>
      </c>
      <c r="R707" s="2" t="inlineStr"/>
    </row>
    <row r="708" ht="15" customHeight="1">
      <c r="A708" t="inlineStr">
        <is>
          <t>A 40512-2025</t>
        </is>
      </c>
      <c r="B708" s="1" t="n">
        <v>45896.3477662037</v>
      </c>
      <c r="C708" s="1" t="n">
        <v>46036</v>
      </c>
      <c r="D708" t="inlineStr">
        <is>
          <t>GÄVLEBORGS LÄN</t>
        </is>
      </c>
      <c r="E708" t="inlineStr">
        <is>
          <t>LJUSDAL</t>
        </is>
      </c>
      <c r="G708" t="n">
        <v>26.4</v>
      </c>
      <c r="H708" t="n">
        <v>0</v>
      </c>
      <c r="I708" t="n">
        <v>0</v>
      </c>
      <c r="J708" t="n">
        <v>0</v>
      </c>
      <c r="K708" t="n">
        <v>0</v>
      </c>
      <c r="L708" t="n">
        <v>0</v>
      </c>
      <c r="M708" t="n">
        <v>0</v>
      </c>
      <c r="N708" t="n">
        <v>0</v>
      </c>
      <c r="O708" t="n">
        <v>0</v>
      </c>
      <c r="P708" t="n">
        <v>0</v>
      </c>
      <c r="Q708" t="n">
        <v>0</v>
      </c>
      <c r="R708" s="2" t="inlineStr"/>
    </row>
    <row r="709" ht="15" customHeight="1">
      <c r="A709" t="inlineStr">
        <is>
          <t>A 48953-2021</t>
        </is>
      </c>
      <c r="B709" s="1" t="n">
        <v>44453.37505787037</v>
      </c>
      <c r="C709" s="1" t="n">
        <v>46036</v>
      </c>
      <c r="D709" t="inlineStr">
        <is>
          <t>GÄVLEBORGS LÄN</t>
        </is>
      </c>
      <c r="E709" t="inlineStr">
        <is>
          <t>LJUSDAL</t>
        </is>
      </c>
      <c r="G709" t="n">
        <v>0.1</v>
      </c>
      <c r="H709" t="n">
        <v>0</v>
      </c>
      <c r="I709" t="n">
        <v>0</v>
      </c>
      <c r="J709" t="n">
        <v>0</v>
      </c>
      <c r="K709" t="n">
        <v>0</v>
      </c>
      <c r="L709" t="n">
        <v>0</v>
      </c>
      <c r="M709" t="n">
        <v>0</v>
      </c>
      <c r="N709" t="n">
        <v>0</v>
      </c>
      <c r="O709" t="n">
        <v>0</v>
      </c>
      <c r="P709" t="n">
        <v>0</v>
      </c>
      <c r="Q709" t="n">
        <v>0</v>
      </c>
      <c r="R709" s="2" t="inlineStr"/>
    </row>
    <row r="710" ht="15" customHeight="1">
      <c r="A710" t="inlineStr">
        <is>
          <t>A 36170-2023</t>
        </is>
      </c>
      <c r="B710" s="1" t="n">
        <v>45149.6374074074</v>
      </c>
      <c r="C710" s="1" t="n">
        <v>46036</v>
      </c>
      <c r="D710" t="inlineStr">
        <is>
          <t>GÄVLEBORGS LÄN</t>
        </is>
      </c>
      <c r="E710" t="inlineStr">
        <is>
          <t>LJUSDAL</t>
        </is>
      </c>
      <c r="F710" t="inlineStr">
        <is>
          <t>Sveaskog</t>
        </is>
      </c>
      <c r="G710" t="n">
        <v>9.4</v>
      </c>
      <c r="H710" t="n">
        <v>0</v>
      </c>
      <c r="I710" t="n">
        <v>0</v>
      </c>
      <c r="J710" t="n">
        <v>0</v>
      </c>
      <c r="K710" t="n">
        <v>0</v>
      </c>
      <c r="L710" t="n">
        <v>0</v>
      </c>
      <c r="M710" t="n">
        <v>0</v>
      </c>
      <c r="N710" t="n">
        <v>0</v>
      </c>
      <c r="O710" t="n">
        <v>0</v>
      </c>
      <c r="P710" t="n">
        <v>0</v>
      </c>
      <c r="Q710" t="n">
        <v>0</v>
      </c>
      <c r="R710" s="2" t="inlineStr"/>
    </row>
    <row r="711" ht="15" customHeight="1">
      <c r="A711" t="inlineStr">
        <is>
          <t>A 36214-2025</t>
        </is>
      </c>
      <c r="B711" s="1" t="n">
        <v>45867</v>
      </c>
      <c r="C711" s="1" t="n">
        <v>46036</v>
      </c>
      <c r="D711" t="inlineStr">
        <is>
          <t>GÄVLEBORGS LÄN</t>
        </is>
      </c>
      <c r="E711" t="inlineStr">
        <is>
          <t>LJUSDAL</t>
        </is>
      </c>
      <c r="G711" t="n">
        <v>2.4</v>
      </c>
      <c r="H711" t="n">
        <v>0</v>
      </c>
      <c r="I711" t="n">
        <v>0</v>
      </c>
      <c r="J711" t="n">
        <v>0</v>
      </c>
      <c r="K711" t="n">
        <v>0</v>
      </c>
      <c r="L711" t="n">
        <v>0</v>
      </c>
      <c r="M711" t="n">
        <v>0</v>
      </c>
      <c r="N711" t="n">
        <v>0</v>
      </c>
      <c r="O711" t="n">
        <v>0</v>
      </c>
      <c r="P711" t="n">
        <v>0</v>
      </c>
      <c r="Q711" t="n">
        <v>0</v>
      </c>
      <c r="R711" s="2" t="inlineStr"/>
    </row>
    <row r="712" ht="15" customHeight="1">
      <c r="A712" t="inlineStr">
        <is>
          <t>A 31500-2025</t>
        </is>
      </c>
      <c r="B712" s="1" t="n">
        <v>45833.58673611111</v>
      </c>
      <c r="C712" s="1" t="n">
        <v>46036</v>
      </c>
      <c r="D712" t="inlineStr">
        <is>
          <t>GÄVLEBORGS LÄN</t>
        </is>
      </c>
      <c r="E712" t="inlineStr">
        <is>
          <t>LJUSDAL</t>
        </is>
      </c>
      <c r="G712" t="n">
        <v>5.7</v>
      </c>
      <c r="H712" t="n">
        <v>0</v>
      </c>
      <c r="I712" t="n">
        <v>0</v>
      </c>
      <c r="J712" t="n">
        <v>0</v>
      </c>
      <c r="K712" t="n">
        <v>0</v>
      </c>
      <c r="L712" t="n">
        <v>0</v>
      </c>
      <c r="M712" t="n">
        <v>0</v>
      </c>
      <c r="N712" t="n">
        <v>0</v>
      </c>
      <c r="O712" t="n">
        <v>0</v>
      </c>
      <c r="P712" t="n">
        <v>0</v>
      </c>
      <c r="Q712" t="n">
        <v>0</v>
      </c>
      <c r="R712" s="2" t="inlineStr"/>
    </row>
    <row r="713" ht="15" customHeight="1">
      <c r="A713" t="inlineStr">
        <is>
          <t>A 31515-2025</t>
        </is>
      </c>
      <c r="B713" s="1" t="n">
        <v>45833.60422453703</v>
      </c>
      <c r="C713" s="1" t="n">
        <v>46036</v>
      </c>
      <c r="D713" t="inlineStr">
        <is>
          <t>GÄVLEBORGS LÄN</t>
        </is>
      </c>
      <c r="E713" t="inlineStr">
        <is>
          <t>LJUSDAL</t>
        </is>
      </c>
      <c r="G713" t="n">
        <v>4.6</v>
      </c>
      <c r="H713" t="n">
        <v>0</v>
      </c>
      <c r="I713" t="n">
        <v>0</v>
      </c>
      <c r="J713" t="n">
        <v>0</v>
      </c>
      <c r="K713" t="n">
        <v>0</v>
      </c>
      <c r="L713" t="n">
        <v>0</v>
      </c>
      <c r="M713" t="n">
        <v>0</v>
      </c>
      <c r="N713" t="n">
        <v>0</v>
      </c>
      <c r="O713" t="n">
        <v>0</v>
      </c>
      <c r="P713" t="n">
        <v>0</v>
      </c>
      <c r="Q713" t="n">
        <v>0</v>
      </c>
      <c r="R713" s="2" t="inlineStr"/>
    </row>
    <row r="714" ht="15" customHeight="1">
      <c r="A714" t="inlineStr">
        <is>
          <t>A 31511-2025</t>
        </is>
      </c>
      <c r="B714" s="1" t="n">
        <v>45833.59689814815</v>
      </c>
      <c r="C714" s="1" t="n">
        <v>46036</v>
      </c>
      <c r="D714" t="inlineStr">
        <is>
          <t>GÄVLEBORGS LÄN</t>
        </is>
      </c>
      <c r="E714" t="inlineStr">
        <is>
          <t>LJUSDAL</t>
        </is>
      </c>
      <c r="G714" t="n">
        <v>7.7</v>
      </c>
      <c r="H714" t="n">
        <v>0</v>
      </c>
      <c r="I714" t="n">
        <v>0</v>
      </c>
      <c r="J714" t="n">
        <v>0</v>
      </c>
      <c r="K714" t="n">
        <v>0</v>
      </c>
      <c r="L714" t="n">
        <v>0</v>
      </c>
      <c r="M714" t="n">
        <v>0</v>
      </c>
      <c r="N714" t="n">
        <v>0</v>
      </c>
      <c r="O714" t="n">
        <v>0</v>
      </c>
      <c r="P714" t="n">
        <v>0</v>
      </c>
      <c r="Q714" t="n">
        <v>0</v>
      </c>
      <c r="R714" s="2" t="inlineStr"/>
    </row>
    <row r="715" ht="15" customHeight="1">
      <c r="A715" t="inlineStr">
        <is>
          <t>A 59931-2023</t>
        </is>
      </c>
      <c r="B715" s="1" t="n">
        <v>45257.66400462963</v>
      </c>
      <c r="C715" s="1" t="n">
        <v>46036</v>
      </c>
      <c r="D715" t="inlineStr">
        <is>
          <t>GÄVLEBORGS LÄN</t>
        </is>
      </c>
      <c r="E715" t="inlineStr">
        <is>
          <t>LJUSDAL</t>
        </is>
      </c>
      <c r="G715" t="n">
        <v>4.2</v>
      </c>
      <c r="H715" t="n">
        <v>0</v>
      </c>
      <c r="I715" t="n">
        <v>0</v>
      </c>
      <c r="J715" t="n">
        <v>0</v>
      </c>
      <c r="K715" t="n">
        <v>0</v>
      </c>
      <c r="L715" t="n">
        <v>0</v>
      </c>
      <c r="M715" t="n">
        <v>0</v>
      </c>
      <c r="N715" t="n">
        <v>0</v>
      </c>
      <c r="O715" t="n">
        <v>0</v>
      </c>
      <c r="P715" t="n">
        <v>0</v>
      </c>
      <c r="Q715" t="n">
        <v>0</v>
      </c>
      <c r="R715" s="2" t="inlineStr"/>
    </row>
    <row r="716" ht="15" customHeight="1">
      <c r="A716" t="inlineStr">
        <is>
          <t>A 31123-2025</t>
        </is>
      </c>
      <c r="B716" s="1" t="n">
        <v>45832.62681712963</v>
      </c>
      <c r="C716" s="1" t="n">
        <v>46036</v>
      </c>
      <c r="D716" t="inlineStr">
        <is>
          <t>GÄVLEBORGS LÄN</t>
        </is>
      </c>
      <c r="E716" t="inlineStr">
        <is>
          <t>LJUSDAL</t>
        </is>
      </c>
      <c r="F716" t="inlineStr">
        <is>
          <t>Sveaskog</t>
        </is>
      </c>
      <c r="G716" t="n">
        <v>2.7</v>
      </c>
      <c r="H716" t="n">
        <v>0</v>
      </c>
      <c r="I716" t="n">
        <v>0</v>
      </c>
      <c r="J716" t="n">
        <v>0</v>
      </c>
      <c r="K716" t="n">
        <v>0</v>
      </c>
      <c r="L716" t="n">
        <v>0</v>
      </c>
      <c r="M716" t="n">
        <v>0</v>
      </c>
      <c r="N716" t="n">
        <v>0</v>
      </c>
      <c r="O716" t="n">
        <v>0</v>
      </c>
      <c r="P716" t="n">
        <v>0</v>
      </c>
      <c r="Q716" t="n">
        <v>0</v>
      </c>
      <c r="R716" s="2" t="inlineStr"/>
    </row>
    <row r="717" ht="15" customHeight="1">
      <c r="A717" t="inlineStr">
        <is>
          <t>A 18108-2021</t>
        </is>
      </c>
      <c r="B717" s="1" t="n">
        <v>44302.49407407407</v>
      </c>
      <c r="C717" s="1" t="n">
        <v>46036</v>
      </c>
      <c r="D717" t="inlineStr">
        <is>
          <t>GÄVLEBORGS LÄN</t>
        </is>
      </c>
      <c r="E717" t="inlineStr">
        <is>
          <t>LJUSDAL</t>
        </is>
      </c>
      <c r="G717" t="n">
        <v>3.9</v>
      </c>
      <c r="H717" t="n">
        <v>0</v>
      </c>
      <c r="I717" t="n">
        <v>0</v>
      </c>
      <c r="J717" t="n">
        <v>0</v>
      </c>
      <c r="K717" t="n">
        <v>0</v>
      </c>
      <c r="L717" t="n">
        <v>0</v>
      </c>
      <c r="M717" t="n">
        <v>0</v>
      </c>
      <c r="N717" t="n">
        <v>0</v>
      </c>
      <c r="O717" t="n">
        <v>0</v>
      </c>
      <c r="P717" t="n">
        <v>0</v>
      </c>
      <c r="Q717" t="n">
        <v>0</v>
      </c>
      <c r="R717" s="2" t="inlineStr"/>
    </row>
    <row r="718" ht="15" customHeight="1">
      <c r="A718" t="inlineStr">
        <is>
          <t>A 41214-2025</t>
        </is>
      </c>
      <c r="B718" s="1" t="n">
        <v>45898.58079861111</v>
      </c>
      <c r="C718" s="1" t="n">
        <v>46036</v>
      </c>
      <c r="D718" t="inlineStr">
        <is>
          <t>GÄVLEBORGS LÄN</t>
        </is>
      </c>
      <c r="E718" t="inlineStr">
        <is>
          <t>LJUSDAL</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41084-2025</t>
        </is>
      </c>
      <c r="B719" s="1" t="n">
        <v>45898.43175925926</v>
      </c>
      <c r="C719" s="1" t="n">
        <v>46036</v>
      </c>
      <c r="D719" t="inlineStr">
        <is>
          <t>GÄVLEBORGS LÄN</t>
        </is>
      </c>
      <c r="E719" t="inlineStr">
        <is>
          <t>LJUSDAL</t>
        </is>
      </c>
      <c r="F719" t="inlineStr">
        <is>
          <t>Sveaskog</t>
        </is>
      </c>
      <c r="G719" t="n">
        <v>5.9</v>
      </c>
      <c r="H719" t="n">
        <v>0</v>
      </c>
      <c r="I719" t="n">
        <v>0</v>
      </c>
      <c r="J719" t="n">
        <v>0</v>
      </c>
      <c r="K719" t="n">
        <v>0</v>
      </c>
      <c r="L719" t="n">
        <v>0</v>
      </c>
      <c r="M719" t="n">
        <v>0</v>
      </c>
      <c r="N719" t="n">
        <v>0</v>
      </c>
      <c r="O719" t="n">
        <v>0</v>
      </c>
      <c r="P719" t="n">
        <v>0</v>
      </c>
      <c r="Q719" t="n">
        <v>0</v>
      </c>
      <c r="R719" s="2" t="inlineStr"/>
    </row>
    <row r="720" ht="15" customHeight="1">
      <c r="A720" t="inlineStr">
        <is>
          <t>A 41086-2025</t>
        </is>
      </c>
      <c r="B720" s="1" t="n">
        <v>45898.4344212963</v>
      </c>
      <c r="C720" s="1" t="n">
        <v>46036</v>
      </c>
      <c r="D720" t="inlineStr">
        <is>
          <t>GÄVLEBORGS LÄN</t>
        </is>
      </c>
      <c r="E720" t="inlineStr">
        <is>
          <t>LJUSDAL</t>
        </is>
      </c>
      <c r="F720" t="inlineStr">
        <is>
          <t>Sveaskog</t>
        </is>
      </c>
      <c r="G720" t="n">
        <v>2.7</v>
      </c>
      <c r="H720" t="n">
        <v>0</v>
      </c>
      <c r="I720" t="n">
        <v>0</v>
      </c>
      <c r="J720" t="n">
        <v>0</v>
      </c>
      <c r="K720" t="n">
        <v>0</v>
      </c>
      <c r="L720" t="n">
        <v>0</v>
      </c>
      <c r="M720" t="n">
        <v>0</v>
      </c>
      <c r="N720" t="n">
        <v>0</v>
      </c>
      <c r="O720" t="n">
        <v>0</v>
      </c>
      <c r="P720" t="n">
        <v>0</v>
      </c>
      <c r="Q720" t="n">
        <v>0</v>
      </c>
      <c r="R720" s="2" t="inlineStr"/>
    </row>
    <row r="721" ht="15" customHeight="1">
      <c r="A721" t="inlineStr">
        <is>
          <t>A 31679-2025</t>
        </is>
      </c>
      <c r="B721" s="1" t="n">
        <v>45834.38021990741</v>
      </c>
      <c r="C721" s="1" t="n">
        <v>46036</v>
      </c>
      <c r="D721" t="inlineStr">
        <is>
          <t>GÄVLEBORGS LÄN</t>
        </is>
      </c>
      <c r="E721" t="inlineStr">
        <is>
          <t>LJUSDAL</t>
        </is>
      </c>
      <c r="G721" t="n">
        <v>1.2</v>
      </c>
      <c r="H721" t="n">
        <v>0</v>
      </c>
      <c r="I721" t="n">
        <v>0</v>
      </c>
      <c r="J721" t="n">
        <v>0</v>
      </c>
      <c r="K721" t="n">
        <v>0</v>
      </c>
      <c r="L721" t="n">
        <v>0</v>
      </c>
      <c r="M721" t="n">
        <v>0</v>
      </c>
      <c r="N721" t="n">
        <v>0</v>
      </c>
      <c r="O721" t="n">
        <v>0</v>
      </c>
      <c r="P721" t="n">
        <v>0</v>
      </c>
      <c r="Q721" t="n">
        <v>0</v>
      </c>
      <c r="R721" s="2" t="inlineStr"/>
    </row>
    <row r="722" ht="15" customHeight="1">
      <c r="A722" t="inlineStr">
        <is>
          <t>A 32200-2025</t>
        </is>
      </c>
      <c r="B722" s="1" t="n">
        <v>45835.57697916667</v>
      </c>
      <c r="C722" s="1" t="n">
        <v>46036</v>
      </c>
      <c r="D722" t="inlineStr">
        <is>
          <t>GÄVLEBORGS LÄN</t>
        </is>
      </c>
      <c r="E722" t="inlineStr">
        <is>
          <t>LJUSDAL</t>
        </is>
      </c>
      <c r="F722" t="inlineStr">
        <is>
          <t>Bergvik skog väst AB</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28594-2025</t>
        </is>
      </c>
      <c r="B723" s="1" t="n">
        <v>45819.59415509259</v>
      </c>
      <c r="C723" s="1" t="n">
        <v>46036</v>
      </c>
      <c r="D723" t="inlineStr">
        <is>
          <t>GÄVLEBORGS LÄN</t>
        </is>
      </c>
      <c r="E723" t="inlineStr">
        <is>
          <t>LJUSDAL</t>
        </is>
      </c>
      <c r="F723" t="inlineStr">
        <is>
          <t>SCA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34964-2024</t>
        </is>
      </c>
      <c r="B724" s="1" t="n">
        <v>45527.49265046296</v>
      </c>
      <c r="C724" s="1" t="n">
        <v>46036</v>
      </c>
      <c r="D724" t="inlineStr">
        <is>
          <t>GÄVLEBORGS LÄN</t>
        </is>
      </c>
      <c r="E724" t="inlineStr">
        <is>
          <t>LJUSDAL</t>
        </is>
      </c>
      <c r="F724" t="inlineStr">
        <is>
          <t>Holmen skog AB</t>
        </is>
      </c>
      <c r="G724" t="n">
        <v>1.8</v>
      </c>
      <c r="H724" t="n">
        <v>0</v>
      </c>
      <c r="I724" t="n">
        <v>0</v>
      </c>
      <c r="J724" t="n">
        <v>0</v>
      </c>
      <c r="K724" t="n">
        <v>0</v>
      </c>
      <c r="L724" t="n">
        <v>0</v>
      </c>
      <c r="M724" t="n">
        <v>0</v>
      </c>
      <c r="N724" t="n">
        <v>0</v>
      </c>
      <c r="O724" t="n">
        <v>0</v>
      </c>
      <c r="P724" t="n">
        <v>0</v>
      </c>
      <c r="Q724" t="n">
        <v>0</v>
      </c>
      <c r="R724" s="2" t="inlineStr"/>
    </row>
    <row r="725" ht="15" customHeight="1">
      <c r="A725" t="inlineStr">
        <is>
          <t>A 14036-2023</t>
        </is>
      </c>
      <c r="B725" s="1" t="n">
        <v>45008.6358912037</v>
      </c>
      <c r="C725" s="1" t="n">
        <v>46036</v>
      </c>
      <c r="D725" t="inlineStr">
        <is>
          <t>GÄVLEBORGS LÄN</t>
        </is>
      </c>
      <c r="E725" t="inlineStr">
        <is>
          <t>LJUSDAL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41205-2025</t>
        </is>
      </c>
      <c r="B726" s="1" t="n">
        <v>45898.57606481481</v>
      </c>
      <c r="C726" s="1" t="n">
        <v>46036</v>
      </c>
      <c r="D726" t="inlineStr">
        <is>
          <t>GÄVLEBORGS LÄN</t>
        </is>
      </c>
      <c r="E726" t="inlineStr">
        <is>
          <t>LJUSDAL</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32179-2025</t>
        </is>
      </c>
      <c r="B727" s="1" t="n">
        <v>45835.55981481481</v>
      </c>
      <c r="C727" s="1" t="n">
        <v>46036</v>
      </c>
      <c r="D727" t="inlineStr">
        <is>
          <t>GÄVLEBORGS LÄN</t>
        </is>
      </c>
      <c r="E727" t="inlineStr">
        <is>
          <t>LJUSDAL</t>
        </is>
      </c>
      <c r="F727" t="inlineStr">
        <is>
          <t>Bergvik skog väst AB</t>
        </is>
      </c>
      <c r="G727" t="n">
        <v>7</v>
      </c>
      <c r="H727" t="n">
        <v>0</v>
      </c>
      <c r="I727" t="n">
        <v>0</v>
      </c>
      <c r="J727" t="n">
        <v>0</v>
      </c>
      <c r="K727" t="n">
        <v>0</v>
      </c>
      <c r="L727" t="n">
        <v>0</v>
      </c>
      <c r="M727" t="n">
        <v>0</v>
      </c>
      <c r="N727" t="n">
        <v>0</v>
      </c>
      <c r="O727" t="n">
        <v>0</v>
      </c>
      <c r="P727" t="n">
        <v>0</v>
      </c>
      <c r="Q727" t="n">
        <v>0</v>
      </c>
      <c r="R727" s="2" t="inlineStr"/>
    </row>
    <row r="728" ht="15" customHeight="1">
      <c r="A728" t="inlineStr">
        <is>
          <t>A 15197-2025</t>
        </is>
      </c>
      <c r="B728" s="1" t="n">
        <v>45744.56331018519</v>
      </c>
      <c r="C728" s="1" t="n">
        <v>46036</v>
      </c>
      <c r="D728" t="inlineStr">
        <is>
          <t>GÄVLEBORGS LÄN</t>
        </is>
      </c>
      <c r="E728" t="inlineStr">
        <is>
          <t>LJUSDAL</t>
        </is>
      </c>
      <c r="F728" t="inlineStr">
        <is>
          <t>Bergvik skog väst AB</t>
        </is>
      </c>
      <c r="G728" t="n">
        <v>31.3</v>
      </c>
      <c r="H728" t="n">
        <v>0</v>
      </c>
      <c r="I728" t="n">
        <v>0</v>
      </c>
      <c r="J728" t="n">
        <v>0</v>
      </c>
      <c r="K728" t="n">
        <v>0</v>
      </c>
      <c r="L728" t="n">
        <v>0</v>
      </c>
      <c r="M728" t="n">
        <v>0</v>
      </c>
      <c r="N728" t="n">
        <v>0</v>
      </c>
      <c r="O728" t="n">
        <v>0</v>
      </c>
      <c r="P728" t="n">
        <v>0</v>
      </c>
      <c r="Q728" t="n">
        <v>0</v>
      </c>
      <c r="R728" s="2" t="inlineStr"/>
    </row>
    <row r="729" ht="15" customHeight="1">
      <c r="A729" t="inlineStr">
        <is>
          <t>A 41463-2025</t>
        </is>
      </c>
      <c r="B729" s="1" t="n">
        <v>45901.45023148148</v>
      </c>
      <c r="C729" s="1" t="n">
        <v>46036</v>
      </c>
      <c r="D729" t="inlineStr">
        <is>
          <t>GÄVLEBORGS LÄN</t>
        </is>
      </c>
      <c r="E729" t="inlineStr">
        <is>
          <t>LJUSDAL</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36657-2025</t>
        </is>
      </c>
      <c r="B730" s="1" t="n">
        <v>45873</v>
      </c>
      <c r="C730" s="1" t="n">
        <v>46036</v>
      </c>
      <c r="D730" t="inlineStr">
        <is>
          <t>GÄVLEBORGS LÄN</t>
        </is>
      </c>
      <c r="E730" t="inlineStr">
        <is>
          <t>LJUSDAL</t>
        </is>
      </c>
      <c r="F730" t="inlineStr">
        <is>
          <t>Bergvik skog väst AB</t>
        </is>
      </c>
      <c r="G730" t="n">
        <v>3.8</v>
      </c>
      <c r="H730" t="n">
        <v>0</v>
      </c>
      <c r="I730" t="n">
        <v>0</v>
      </c>
      <c r="J730" t="n">
        <v>0</v>
      </c>
      <c r="K730" t="n">
        <v>0</v>
      </c>
      <c r="L730" t="n">
        <v>0</v>
      </c>
      <c r="M730" t="n">
        <v>0</v>
      </c>
      <c r="N730" t="n">
        <v>0</v>
      </c>
      <c r="O730" t="n">
        <v>0</v>
      </c>
      <c r="P730" t="n">
        <v>0</v>
      </c>
      <c r="Q730" t="n">
        <v>0</v>
      </c>
      <c r="R730" s="2" t="inlineStr"/>
    </row>
    <row r="731" ht="15" customHeight="1">
      <c r="A731" t="inlineStr">
        <is>
          <t>A 31810-2025</t>
        </is>
      </c>
      <c r="B731" s="1" t="n">
        <v>45834.55946759259</v>
      </c>
      <c r="C731" s="1" t="n">
        <v>46036</v>
      </c>
      <c r="D731" t="inlineStr">
        <is>
          <t>GÄVLEBORGS LÄN</t>
        </is>
      </c>
      <c r="E731" t="inlineStr">
        <is>
          <t>LJUSDAL</t>
        </is>
      </c>
      <c r="G731" t="n">
        <v>17.2</v>
      </c>
      <c r="H731" t="n">
        <v>0</v>
      </c>
      <c r="I731" t="n">
        <v>0</v>
      </c>
      <c r="J731" t="n">
        <v>0</v>
      </c>
      <c r="K731" t="n">
        <v>0</v>
      </c>
      <c r="L731" t="n">
        <v>0</v>
      </c>
      <c r="M731" t="n">
        <v>0</v>
      </c>
      <c r="N731" t="n">
        <v>0</v>
      </c>
      <c r="O731" t="n">
        <v>0</v>
      </c>
      <c r="P731" t="n">
        <v>0</v>
      </c>
      <c r="Q731" t="n">
        <v>0</v>
      </c>
      <c r="R731" s="2" t="inlineStr"/>
    </row>
    <row r="732" ht="15" customHeight="1">
      <c r="A732" t="inlineStr">
        <is>
          <t>A 41208-2025</t>
        </is>
      </c>
      <c r="B732" s="1" t="n">
        <v>45898.57782407408</v>
      </c>
      <c r="C732" s="1" t="n">
        <v>46036</v>
      </c>
      <c r="D732" t="inlineStr">
        <is>
          <t>GÄVLEBORGS LÄN</t>
        </is>
      </c>
      <c r="E732" t="inlineStr">
        <is>
          <t>LJUSDAL</t>
        </is>
      </c>
      <c r="F732" t="inlineStr">
        <is>
          <t>Sveaskog</t>
        </is>
      </c>
      <c r="G732" t="n">
        <v>10.3</v>
      </c>
      <c r="H732" t="n">
        <v>0</v>
      </c>
      <c r="I732" t="n">
        <v>0</v>
      </c>
      <c r="J732" t="n">
        <v>0</v>
      </c>
      <c r="K732" t="n">
        <v>0</v>
      </c>
      <c r="L732" t="n">
        <v>0</v>
      </c>
      <c r="M732" t="n">
        <v>0</v>
      </c>
      <c r="N732" t="n">
        <v>0</v>
      </c>
      <c r="O732" t="n">
        <v>0</v>
      </c>
      <c r="P732" t="n">
        <v>0</v>
      </c>
      <c r="Q732" t="n">
        <v>0</v>
      </c>
      <c r="R732" s="2" t="inlineStr"/>
    </row>
    <row r="733" ht="15" customHeight="1">
      <c r="A733" t="inlineStr">
        <is>
          <t>A 32282-2025</t>
        </is>
      </c>
      <c r="B733" s="1" t="n">
        <v>45835.67854166667</v>
      </c>
      <c r="C733" s="1" t="n">
        <v>46036</v>
      </c>
      <c r="D733" t="inlineStr">
        <is>
          <t>GÄVLEBORGS LÄN</t>
        </is>
      </c>
      <c r="E733" t="inlineStr">
        <is>
          <t>LJUSDAL</t>
        </is>
      </c>
      <c r="F733" t="inlineStr">
        <is>
          <t>Allmännings- och besparingsskogar</t>
        </is>
      </c>
      <c r="G733" t="n">
        <v>1.7</v>
      </c>
      <c r="H733" t="n">
        <v>0</v>
      </c>
      <c r="I733" t="n">
        <v>0</v>
      </c>
      <c r="J733" t="n">
        <v>0</v>
      </c>
      <c r="K733" t="n">
        <v>0</v>
      </c>
      <c r="L733" t="n">
        <v>0</v>
      </c>
      <c r="M733" t="n">
        <v>0</v>
      </c>
      <c r="N733" t="n">
        <v>0</v>
      </c>
      <c r="O733" t="n">
        <v>0</v>
      </c>
      <c r="P733" t="n">
        <v>0</v>
      </c>
      <c r="Q733" t="n">
        <v>0</v>
      </c>
      <c r="R733" s="2" t="inlineStr"/>
    </row>
    <row r="734" ht="15" customHeight="1">
      <c r="A734" t="inlineStr">
        <is>
          <t>A 31529-2025</t>
        </is>
      </c>
      <c r="B734" s="1" t="n">
        <v>45833</v>
      </c>
      <c r="C734" s="1" t="n">
        <v>46036</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32694-2025</t>
        </is>
      </c>
      <c r="B735" s="1" t="n">
        <v>45839.30681712963</v>
      </c>
      <c r="C735" s="1" t="n">
        <v>46036</v>
      </c>
      <c r="D735" t="inlineStr">
        <is>
          <t>GÄVLEBORGS LÄN</t>
        </is>
      </c>
      <c r="E735" t="inlineStr">
        <is>
          <t>LJUSDAL</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71305-2021</t>
        </is>
      </c>
      <c r="B736" s="1" t="n">
        <v>44539.64944444445</v>
      </c>
      <c r="C736" s="1" t="n">
        <v>46036</v>
      </c>
      <c r="D736" t="inlineStr">
        <is>
          <t>GÄVLEBORGS LÄN</t>
        </is>
      </c>
      <c r="E736" t="inlineStr">
        <is>
          <t>LJUSDAL</t>
        </is>
      </c>
      <c r="F736" t="inlineStr">
        <is>
          <t>Kommuner</t>
        </is>
      </c>
      <c r="G736" t="n">
        <v>3.8</v>
      </c>
      <c r="H736" t="n">
        <v>0</v>
      </c>
      <c r="I736" t="n">
        <v>0</v>
      </c>
      <c r="J736" t="n">
        <v>0</v>
      </c>
      <c r="K736" t="n">
        <v>0</v>
      </c>
      <c r="L736" t="n">
        <v>0</v>
      </c>
      <c r="M736" t="n">
        <v>0</v>
      </c>
      <c r="N736" t="n">
        <v>0</v>
      </c>
      <c r="O736" t="n">
        <v>0</v>
      </c>
      <c r="P736" t="n">
        <v>0</v>
      </c>
      <c r="Q736" t="n">
        <v>0</v>
      </c>
      <c r="R736" s="2" t="inlineStr"/>
    </row>
    <row r="737" ht="15" customHeight="1">
      <c r="A737" t="inlineStr">
        <is>
          <t>A 41865-2025</t>
        </is>
      </c>
      <c r="B737" s="1" t="n">
        <v>45903.33694444445</v>
      </c>
      <c r="C737" s="1" t="n">
        <v>46036</v>
      </c>
      <c r="D737" t="inlineStr">
        <is>
          <t>GÄVLEBORGS LÄN</t>
        </is>
      </c>
      <c r="E737" t="inlineStr">
        <is>
          <t>LJUSDAL</t>
        </is>
      </c>
      <c r="F737" t="inlineStr">
        <is>
          <t>Bergvik skog väst AB</t>
        </is>
      </c>
      <c r="G737" t="n">
        <v>16.6</v>
      </c>
      <c r="H737" t="n">
        <v>0</v>
      </c>
      <c r="I737" t="n">
        <v>0</v>
      </c>
      <c r="J737" t="n">
        <v>0</v>
      </c>
      <c r="K737" t="n">
        <v>0</v>
      </c>
      <c r="L737" t="n">
        <v>0</v>
      </c>
      <c r="M737" t="n">
        <v>0</v>
      </c>
      <c r="N737" t="n">
        <v>0</v>
      </c>
      <c r="O737" t="n">
        <v>0</v>
      </c>
      <c r="P737" t="n">
        <v>0</v>
      </c>
      <c r="Q737" t="n">
        <v>0</v>
      </c>
      <c r="R737" s="2" t="inlineStr"/>
    </row>
    <row r="738" ht="15" customHeight="1">
      <c r="A738" t="inlineStr">
        <is>
          <t>A 41878-2025</t>
        </is>
      </c>
      <c r="B738" s="1" t="n">
        <v>45903.34972222222</v>
      </c>
      <c r="C738" s="1" t="n">
        <v>46036</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41745-2025</t>
        </is>
      </c>
      <c r="B739" s="1" t="n">
        <v>45902.48480324074</v>
      </c>
      <c r="C739" s="1" t="n">
        <v>46036</v>
      </c>
      <c r="D739" t="inlineStr">
        <is>
          <t>GÄVLEBORGS LÄN</t>
        </is>
      </c>
      <c r="E739" t="inlineStr">
        <is>
          <t>LJUSDAL</t>
        </is>
      </c>
      <c r="G739" t="n">
        <v>7.8</v>
      </c>
      <c r="H739" t="n">
        <v>0</v>
      </c>
      <c r="I739" t="n">
        <v>0</v>
      </c>
      <c r="J739" t="n">
        <v>0</v>
      </c>
      <c r="K739" t="n">
        <v>0</v>
      </c>
      <c r="L739" t="n">
        <v>0</v>
      </c>
      <c r="M739" t="n">
        <v>0</v>
      </c>
      <c r="N739" t="n">
        <v>0</v>
      </c>
      <c r="O739" t="n">
        <v>0</v>
      </c>
      <c r="P739" t="n">
        <v>0</v>
      </c>
      <c r="Q739" t="n">
        <v>0</v>
      </c>
      <c r="R739" s="2" t="inlineStr"/>
    </row>
    <row r="740" ht="15" customHeight="1">
      <c r="A740" t="inlineStr">
        <is>
          <t>A 41947-2025</t>
        </is>
      </c>
      <c r="B740" s="1" t="n">
        <v>45903.44925925926</v>
      </c>
      <c r="C740" s="1" t="n">
        <v>46036</v>
      </c>
      <c r="D740" t="inlineStr">
        <is>
          <t>GÄVLEBORGS LÄN</t>
        </is>
      </c>
      <c r="E740" t="inlineStr">
        <is>
          <t>LJUSDAL</t>
        </is>
      </c>
      <c r="F740" t="inlineStr">
        <is>
          <t>Allmännings- och besparingsskogar</t>
        </is>
      </c>
      <c r="G740" t="n">
        <v>21.2</v>
      </c>
      <c r="H740" t="n">
        <v>0</v>
      </c>
      <c r="I740" t="n">
        <v>0</v>
      </c>
      <c r="J740" t="n">
        <v>0</v>
      </c>
      <c r="K740" t="n">
        <v>0</v>
      </c>
      <c r="L740" t="n">
        <v>0</v>
      </c>
      <c r="M740" t="n">
        <v>0</v>
      </c>
      <c r="N740" t="n">
        <v>0</v>
      </c>
      <c r="O740" t="n">
        <v>0</v>
      </c>
      <c r="P740" t="n">
        <v>0</v>
      </c>
      <c r="Q740" t="n">
        <v>0</v>
      </c>
      <c r="R740" s="2" t="inlineStr"/>
    </row>
    <row r="741" ht="15" customHeight="1">
      <c r="A741" t="inlineStr">
        <is>
          <t>A 32533-2025</t>
        </is>
      </c>
      <c r="B741" s="1" t="n">
        <v>45838.49317129629</v>
      </c>
      <c r="C741" s="1" t="n">
        <v>46036</v>
      </c>
      <c r="D741" t="inlineStr">
        <is>
          <t>GÄVLEBORGS LÄN</t>
        </is>
      </c>
      <c r="E741" t="inlineStr">
        <is>
          <t>LJUSDAL</t>
        </is>
      </c>
      <c r="F741" t="inlineStr">
        <is>
          <t>Sveaskog</t>
        </is>
      </c>
      <c r="G741" t="n">
        <v>2.6</v>
      </c>
      <c r="H741" t="n">
        <v>0</v>
      </c>
      <c r="I741" t="n">
        <v>0</v>
      </c>
      <c r="J741" t="n">
        <v>0</v>
      </c>
      <c r="K741" t="n">
        <v>0</v>
      </c>
      <c r="L741" t="n">
        <v>0</v>
      </c>
      <c r="M741" t="n">
        <v>0</v>
      </c>
      <c r="N741" t="n">
        <v>0</v>
      </c>
      <c r="O741" t="n">
        <v>0</v>
      </c>
      <c r="P741" t="n">
        <v>0</v>
      </c>
      <c r="Q741" t="n">
        <v>0</v>
      </c>
      <c r="R741" s="2" t="inlineStr"/>
    </row>
    <row r="742" ht="15" customHeight="1">
      <c r="A742" t="inlineStr">
        <is>
          <t>A 41935-2025</t>
        </is>
      </c>
      <c r="B742" s="1" t="n">
        <v>45903.43677083333</v>
      </c>
      <c r="C742" s="1" t="n">
        <v>46036</v>
      </c>
      <c r="D742" t="inlineStr">
        <is>
          <t>GÄVLEBORGS LÄN</t>
        </is>
      </c>
      <c r="E742" t="inlineStr">
        <is>
          <t>LJUSDAL</t>
        </is>
      </c>
      <c r="G742" t="n">
        <v>1.1</v>
      </c>
      <c r="H742" t="n">
        <v>0</v>
      </c>
      <c r="I742" t="n">
        <v>0</v>
      </c>
      <c r="J742" t="n">
        <v>0</v>
      </c>
      <c r="K742" t="n">
        <v>0</v>
      </c>
      <c r="L742" t="n">
        <v>0</v>
      </c>
      <c r="M742" t="n">
        <v>0</v>
      </c>
      <c r="N742" t="n">
        <v>0</v>
      </c>
      <c r="O742" t="n">
        <v>0</v>
      </c>
      <c r="P742" t="n">
        <v>0</v>
      </c>
      <c r="Q742" t="n">
        <v>0</v>
      </c>
      <c r="R742" s="2" t="inlineStr"/>
    </row>
    <row r="743" ht="15" customHeight="1">
      <c r="A743" t="inlineStr">
        <is>
          <t>A 41928-2025</t>
        </is>
      </c>
      <c r="B743" s="1" t="n">
        <v>45903.42954861111</v>
      </c>
      <c r="C743" s="1" t="n">
        <v>46036</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41936-2025</t>
        </is>
      </c>
      <c r="B744" s="1" t="n">
        <v>45903.44037037037</v>
      </c>
      <c r="C744" s="1" t="n">
        <v>46036</v>
      </c>
      <c r="D744" t="inlineStr">
        <is>
          <t>GÄVLEBORGS LÄN</t>
        </is>
      </c>
      <c r="E744" t="inlineStr">
        <is>
          <t>LJUSDAL</t>
        </is>
      </c>
      <c r="G744" t="n">
        <v>1.4</v>
      </c>
      <c r="H744" t="n">
        <v>0</v>
      </c>
      <c r="I744" t="n">
        <v>0</v>
      </c>
      <c r="J744" t="n">
        <v>0</v>
      </c>
      <c r="K744" t="n">
        <v>0</v>
      </c>
      <c r="L744" t="n">
        <v>0</v>
      </c>
      <c r="M744" t="n">
        <v>0</v>
      </c>
      <c r="N744" t="n">
        <v>0</v>
      </c>
      <c r="O744" t="n">
        <v>0</v>
      </c>
      <c r="P744" t="n">
        <v>0</v>
      </c>
      <c r="Q744" t="n">
        <v>0</v>
      </c>
      <c r="R744" s="2" t="inlineStr"/>
    </row>
    <row r="745" ht="15" customHeight="1">
      <c r="A745" t="inlineStr">
        <is>
          <t>A 41918-2025</t>
        </is>
      </c>
      <c r="B745" s="1" t="n">
        <v>45903.42224537037</v>
      </c>
      <c r="C745" s="1" t="n">
        <v>46036</v>
      </c>
      <c r="D745" t="inlineStr">
        <is>
          <t>GÄVLEBORGS LÄN</t>
        </is>
      </c>
      <c r="E745" t="inlineStr">
        <is>
          <t>LJUSDAL</t>
        </is>
      </c>
      <c r="G745" t="n">
        <v>0.5</v>
      </c>
      <c r="H745" t="n">
        <v>0</v>
      </c>
      <c r="I745" t="n">
        <v>0</v>
      </c>
      <c r="J745" t="n">
        <v>0</v>
      </c>
      <c r="K745" t="n">
        <v>0</v>
      </c>
      <c r="L745" t="n">
        <v>0</v>
      </c>
      <c r="M745" t="n">
        <v>0</v>
      </c>
      <c r="N745" t="n">
        <v>0</v>
      </c>
      <c r="O745" t="n">
        <v>0</v>
      </c>
      <c r="P745" t="n">
        <v>0</v>
      </c>
      <c r="Q745" t="n">
        <v>0</v>
      </c>
      <c r="R745" s="2" t="inlineStr"/>
    </row>
    <row r="746" ht="15" customHeight="1">
      <c r="A746" t="inlineStr">
        <is>
          <t>A 32412-2025</t>
        </is>
      </c>
      <c r="B746" s="1" t="n">
        <v>45838</v>
      </c>
      <c r="C746" s="1" t="n">
        <v>46036</v>
      </c>
      <c r="D746" t="inlineStr">
        <is>
          <t>GÄVLEBORGS LÄN</t>
        </is>
      </c>
      <c r="E746" t="inlineStr">
        <is>
          <t>LJUSDAL</t>
        </is>
      </c>
      <c r="G746" t="n">
        <v>5.4</v>
      </c>
      <c r="H746" t="n">
        <v>0</v>
      </c>
      <c r="I746" t="n">
        <v>0</v>
      </c>
      <c r="J746" t="n">
        <v>0</v>
      </c>
      <c r="K746" t="n">
        <v>0</v>
      </c>
      <c r="L746" t="n">
        <v>0</v>
      </c>
      <c r="M746" t="n">
        <v>0</v>
      </c>
      <c r="N746" t="n">
        <v>0</v>
      </c>
      <c r="O746" t="n">
        <v>0</v>
      </c>
      <c r="P746" t="n">
        <v>0</v>
      </c>
      <c r="Q746" t="n">
        <v>0</v>
      </c>
      <c r="R746" s="2" t="inlineStr"/>
    </row>
    <row r="747" ht="15" customHeight="1">
      <c r="A747" t="inlineStr">
        <is>
          <t>A 41923-2025</t>
        </is>
      </c>
      <c r="B747" s="1" t="n">
        <v>45903.42614583333</v>
      </c>
      <c r="C747" s="1" t="n">
        <v>46036</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19035-2023</t>
        </is>
      </c>
      <c r="B748" s="1" t="n">
        <v>45047.53366898148</v>
      </c>
      <c r="C748" s="1" t="n">
        <v>46036</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41942-2025</t>
        </is>
      </c>
      <c r="B749" s="1" t="n">
        <v>45903.44543981482</v>
      </c>
      <c r="C749" s="1" t="n">
        <v>46036</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41886-2025</t>
        </is>
      </c>
      <c r="B750" s="1" t="n">
        <v>45903.36819444445</v>
      </c>
      <c r="C750" s="1" t="n">
        <v>46036</v>
      </c>
      <c r="D750" t="inlineStr">
        <is>
          <t>GÄVLEBORGS LÄN</t>
        </is>
      </c>
      <c r="E750" t="inlineStr">
        <is>
          <t>LJUSDAL</t>
        </is>
      </c>
      <c r="F750" t="inlineStr">
        <is>
          <t>Allmännings- och besparingsskogar</t>
        </is>
      </c>
      <c r="G750" t="n">
        <v>37</v>
      </c>
      <c r="H750" t="n">
        <v>0</v>
      </c>
      <c r="I750" t="n">
        <v>0</v>
      </c>
      <c r="J750" t="n">
        <v>0</v>
      </c>
      <c r="K750" t="n">
        <v>0</v>
      </c>
      <c r="L750" t="n">
        <v>0</v>
      </c>
      <c r="M750" t="n">
        <v>0</v>
      </c>
      <c r="N750" t="n">
        <v>0</v>
      </c>
      <c r="O750" t="n">
        <v>0</v>
      </c>
      <c r="P750" t="n">
        <v>0</v>
      </c>
      <c r="Q750" t="n">
        <v>0</v>
      </c>
      <c r="R750" s="2" t="inlineStr"/>
    </row>
    <row r="751" ht="15" customHeight="1">
      <c r="A751" t="inlineStr">
        <is>
          <t>A 41861-2025</t>
        </is>
      </c>
      <c r="B751" s="1" t="n">
        <v>45903.25648148148</v>
      </c>
      <c r="C751" s="1" t="n">
        <v>46036</v>
      </c>
      <c r="D751" t="inlineStr">
        <is>
          <t>GÄVLEBORGS LÄN</t>
        </is>
      </c>
      <c r="E751" t="inlineStr">
        <is>
          <t>LJUSDAL</t>
        </is>
      </c>
      <c r="G751" t="n">
        <v>9</v>
      </c>
      <c r="H751" t="n">
        <v>0</v>
      </c>
      <c r="I751" t="n">
        <v>0</v>
      </c>
      <c r="J751" t="n">
        <v>0</v>
      </c>
      <c r="K751" t="n">
        <v>0</v>
      </c>
      <c r="L751" t="n">
        <v>0</v>
      </c>
      <c r="M751" t="n">
        <v>0</v>
      </c>
      <c r="N751" t="n">
        <v>0</v>
      </c>
      <c r="O751" t="n">
        <v>0</v>
      </c>
      <c r="P751" t="n">
        <v>0</v>
      </c>
      <c r="Q751" t="n">
        <v>0</v>
      </c>
      <c r="R751" s="2" t="inlineStr"/>
    </row>
    <row r="752" ht="15" customHeight="1">
      <c r="A752" t="inlineStr">
        <is>
          <t>A 41938-2025</t>
        </is>
      </c>
      <c r="B752" s="1" t="n">
        <v>45903.44322916667</v>
      </c>
      <c r="C752" s="1" t="n">
        <v>46036</v>
      </c>
      <c r="D752" t="inlineStr">
        <is>
          <t>GÄVLEBORGS LÄN</t>
        </is>
      </c>
      <c r="E752" t="inlineStr">
        <is>
          <t>LJUSDAL</t>
        </is>
      </c>
      <c r="G752" t="n">
        <v>0.8</v>
      </c>
      <c r="H752" t="n">
        <v>0</v>
      </c>
      <c r="I752" t="n">
        <v>0</v>
      </c>
      <c r="J752" t="n">
        <v>0</v>
      </c>
      <c r="K752" t="n">
        <v>0</v>
      </c>
      <c r="L752" t="n">
        <v>0</v>
      </c>
      <c r="M752" t="n">
        <v>0</v>
      </c>
      <c r="N752" t="n">
        <v>0</v>
      </c>
      <c r="O752" t="n">
        <v>0</v>
      </c>
      <c r="P752" t="n">
        <v>0</v>
      </c>
      <c r="Q752" t="n">
        <v>0</v>
      </c>
      <c r="R752" s="2" t="inlineStr"/>
    </row>
    <row r="753" ht="15" customHeight="1">
      <c r="A753" t="inlineStr">
        <is>
          <t>A 42002-2025</t>
        </is>
      </c>
      <c r="B753" s="1" t="n">
        <v>45903.55368055555</v>
      </c>
      <c r="C753" s="1" t="n">
        <v>46036</v>
      </c>
      <c r="D753" t="inlineStr">
        <is>
          <t>GÄVLEBORGS LÄN</t>
        </is>
      </c>
      <c r="E753" t="inlineStr">
        <is>
          <t>LJUSDAL</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32815-2025</t>
        </is>
      </c>
      <c r="B754" s="1" t="n">
        <v>45839.53114583333</v>
      </c>
      <c r="C754" s="1" t="n">
        <v>46036</v>
      </c>
      <c r="D754" t="inlineStr">
        <is>
          <t>GÄVLEBORGS LÄN</t>
        </is>
      </c>
      <c r="E754" t="inlineStr">
        <is>
          <t>LJUSDAL</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41786-2025</t>
        </is>
      </c>
      <c r="B755" s="1" t="n">
        <v>45902.5905787037</v>
      </c>
      <c r="C755" s="1" t="n">
        <v>46036</v>
      </c>
      <c r="D755" t="inlineStr">
        <is>
          <t>GÄVLEBORGS LÄN</t>
        </is>
      </c>
      <c r="E755" t="inlineStr">
        <is>
          <t>LJUSDAL</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33594-2025</t>
        </is>
      </c>
      <c r="B756" s="1" t="n">
        <v>45841</v>
      </c>
      <c r="C756" s="1" t="n">
        <v>46036</v>
      </c>
      <c r="D756" t="inlineStr">
        <is>
          <t>GÄVLEBORGS LÄN</t>
        </is>
      </c>
      <c r="E756" t="inlineStr">
        <is>
          <t>LJUSDAL</t>
        </is>
      </c>
      <c r="G756" t="n">
        <v>0.6</v>
      </c>
      <c r="H756" t="n">
        <v>0</v>
      </c>
      <c r="I756" t="n">
        <v>0</v>
      </c>
      <c r="J756" t="n">
        <v>0</v>
      </c>
      <c r="K756" t="n">
        <v>0</v>
      </c>
      <c r="L756" t="n">
        <v>0</v>
      </c>
      <c r="M756" t="n">
        <v>0</v>
      </c>
      <c r="N756" t="n">
        <v>0</v>
      </c>
      <c r="O756" t="n">
        <v>0</v>
      </c>
      <c r="P756" t="n">
        <v>0</v>
      </c>
      <c r="Q756" t="n">
        <v>0</v>
      </c>
      <c r="R756" s="2" t="inlineStr"/>
    </row>
    <row r="757" ht="15" customHeight="1">
      <c r="A757" t="inlineStr">
        <is>
          <t>A 41860-2025</t>
        </is>
      </c>
      <c r="B757" s="1" t="n">
        <v>45903.25199074074</v>
      </c>
      <c r="C757" s="1" t="n">
        <v>46036</v>
      </c>
      <c r="D757" t="inlineStr">
        <is>
          <t>GÄVLEBORGS LÄN</t>
        </is>
      </c>
      <c r="E757" t="inlineStr">
        <is>
          <t>LJUSDAL</t>
        </is>
      </c>
      <c r="G757" t="n">
        <v>3.8</v>
      </c>
      <c r="H757" t="n">
        <v>0</v>
      </c>
      <c r="I757" t="n">
        <v>0</v>
      </c>
      <c r="J757" t="n">
        <v>0</v>
      </c>
      <c r="K757" t="n">
        <v>0</v>
      </c>
      <c r="L757" t="n">
        <v>0</v>
      </c>
      <c r="M757" t="n">
        <v>0</v>
      </c>
      <c r="N757" t="n">
        <v>0</v>
      </c>
      <c r="O757" t="n">
        <v>0</v>
      </c>
      <c r="P757" t="n">
        <v>0</v>
      </c>
      <c r="Q757" t="n">
        <v>0</v>
      </c>
      <c r="R757" s="2" t="inlineStr"/>
    </row>
    <row r="758" ht="15" customHeight="1">
      <c r="A758" t="inlineStr">
        <is>
          <t>A 18250-2024</t>
        </is>
      </c>
      <c r="B758" s="1" t="n">
        <v>45421.44064814815</v>
      </c>
      <c r="C758" s="1" t="n">
        <v>46036</v>
      </c>
      <c r="D758" t="inlineStr">
        <is>
          <t>GÄVLEBORGS LÄN</t>
        </is>
      </c>
      <c r="E758" t="inlineStr">
        <is>
          <t>LJUSDAL</t>
        </is>
      </c>
      <c r="F758" t="inlineStr">
        <is>
          <t>Sveaskog</t>
        </is>
      </c>
      <c r="G758" t="n">
        <v>7.2</v>
      </c>
      <c r="H758" t="n">
        <v>0</v>
      </c>
      <c r="I758" t="n">
        <v>0</v>
      </c>
      <c r="J758" t="n">
        <v>0</v>
      </c>
      <c r="K758" t="n">
        <v>0</v>
      </c>
      <c r="L758" t="n">
        <v>0</v>
      </c>
      <c r="M758" t="n">
        <v>0</v>
      </c>
      <c r="N758" t="n">
        <v>0</v>
      </c>
      <c r="O758" t="n">
        <v>0</v>
      </c>
      <c r="P758" t="n">
        <v>0</v>
      </c>
      <c r="Q758" t="n">
        <v>0</v>
      </c>
      <c r="R758" s="2" t="inlineStr"/>
    </row>
    <row r="759" ht="15" customHeight="1">
      <c r="A759" t="inlineStr">
        <is>
          <t>A 16666-2024</t>
        </is>
      </c>
      <c r="B759" s="1" t="n">
        <v>45408</v>
      </c>
      <c r="C759" s="1" t="n">
        <v>46036</v>
      </c>
      <c r="D759" t="inlineStr">
        <is>
          <t>GÄVLEBORGS LÄN</t>
        </is>
      </c>
      <c r="E759" t="inlineStr">
        <is>
          <t>LJUSDAL</t>
        </is>
      </c>
      <c r="G759" t="n">
        <v>22.8</v>
      </c>
      <c r="H759" t="n">
        <v>0</v>
      </c>
      <c r="I759" t="n">
        <v>0</v>
      </c>
      <c r="J759" t="n">
        <v>0</v>
      </c>
      <c r="K759" t="n">
        <v>0</v>
      </c>
      <c r="L759" t="n">
        <v>0</v>
      </c>
      <c r="M759" t="n">
        <v>0</v>
      </c>
      <c r="N759" t="n">
        <v>0</v>
      </c>
      <c r="O759" t="n">
        <v>0</v>
      </c>
      <c r="P759" t="n">
        <v>0</v>
      </c>
      <c r="Q759" t="n">
        <v>0</v>
      </c>
      <c r="R759" s="2" t="inlineStr"/>
    </row>
    <row r="760" ht="15" customHeight="1">
      <c r="A760" t="inlineStr">
        <is>
          <t>A 42463-2025</t>
        </is>
      </c>
      <c r="B760" s="1" t="n">
        <v>45905.4575</v>
      </c>
      <c r="C760" s="1" t="n">
        <v>46036</v>
      </c>
      <c r="D760" t="inlineStr">
        <is>
          <t>GÄVLEBORGS LÄN</t>
        </is>
      </c>
      <c r="E760" t="inlineStr">
        <is>
          <t>LJUSDAL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26114-2024</t>
        </is>
      </c>
      <c r="B761" s="1" t="n">
        <v>45468</v>
      </c>
      <c r="C761" s="1" t="n">
        <v>46036</v>
      </c>
      <c r="D761" t="inlineStr">
        <is>
          <t>GÄVLEBORGS LÄN</t>
        </is>
      </c>
      <c r="E761" t="inlineStr">
        <is>
          <t>LJUSDAL</t>
        </is>
      </c>
      <c r="G761" t="n">
        <v>22.6</v>
      </c>
      <c r="H761" t="n">
        <v>0</v>
      </c>
      <c r="I761" t="n">
        <v>0</v>
      </c>
      <c r="J761" t="n">
        <v>0</v>
      </c>
      <c r="K761" t="n">
        <v>0</v>
      </c>
      <c r="L761" t="n">
        <v>0</v>
      </c>
      <c r="M761" t="n">
        <v>0</v>
      </c>
      <c r="N761" t="n">
        <v>0</v>
      </c>
      <c r="O761" t="n">
        <v>0</v>
      </c>
      <c r="P761" t="n">
        <v>0</v>
      </c>
      <c r="Q761" t="n">
        <v>0</v>
      </c>
      <c r="R761" s="2" t="inlineStr"/>
    </row>
    <row r="762" ht="15" customHeight="1">
      <c r="A762" t="inlineStr">
        <is>
          <t>A 50613-2024</t>
        </is>
      </c>
      <c r="B762" s="1" t="n">
        <v>45601.63219907408</v>
      </c>
      <c r="C762" s="1" t="n">
        <v>46036</v>
      </c>
      <c r="D762" t="inlineStr">
        <is>
          <t>GÄVLEBORGS LÄN</t>
        </is>
      </c>
      <c r="E762" t="inlineStr">
        <is>
          <t>LJUSDAL</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33051-2025</t>
        </is>
      </c>
      <c r="B763" s="1" t="n">
        <v>45840.42487268519</v>
      </c>
      <c r="C763" s="1" t="n">
        <v>46036</v>
      </c>
      <c r="D763" t="inlineStr">
        <is>
          <t>GÄVLEBORGS LÄN</t>
        </is>
      </c>
      <c r="E763" t="inlineStr">
        <is>
          <t>LJUSDAL</t>
        </is>
      </c>
      <c r="F763" t="inlineStr">
        <is>
          <t>Allmännings- och besparingsskogar</t>
        </is>
      </c>
      <c r="G763" t="n">
        <v>9.1</v>
      </c>
      <c r="H763" t="n">
        <v>0</v>
      </c>
      <c r="I763" t="n">
        <v>0</v>
      </c>
      <c r="J763" t="n">
        <v>0</v>
      </c>
      <c r="K763" t="n">
        <v>0</v>
      </c>
      <c r="L763" t="n">
        <v>0</v>
      </c>
      <c r="M763" t="n">
        <v>0</v>
      </c>
      <c r="N763" t="n">
        <v>0</v>
      </c>
      <c r="O763" t="n">
        <v>0</v>
      </c>
      <c r="P763" t="n">
        <v>0</v>
      </c>
      <c r="Q763" t="n">
        <v>0</v>
      </c>
      <c r="R763" s="2" t="inlineStr"/>
    </row>
    <row r="764" ht="15" customHeight="1">
      <c r="A764" t="inlineStr">
        <is>
          <t>A 31890-2023</t>
        </is>
      </c>
      <c r="B764" s="1" t="n">
        <v>45118</v>
      </c>
      <c r="C764" s="1" t="n">
        <v>46036</v>
      </c>
      <c r="D764" t="inlineStr">
        <is>
          <t>GÄVLEBORGS LÄN</t>
        </is>
      </c>
      <c r="E764" t="inlineStr">
        <is>
          <t>LJUSDAL</t>
        </is>
      </c>
      <c r="G764" t="n">
        <v>0.8</v>
      </c>
      <c r="H764" t="n">
        <v>0</v>
      </c>
      <c r="I764" t="n">
        <v>0</v>
      </c>
      <c r="J764" t="n">
        <v>0</v>
      </c>
      <c r="K764" t="n">
        <v>0</v>
      </c>
      <c r="L764" t="n">
        <v>0</v>
      </c>
      <c r="M764" t="n">
        <v>0</v>
      </c>
      <c r="N764" t="n">
        <v>0</v>
      </c>
      <c r="O764" t="n">
        <v>0</v>
      </c>
      <c r="P764" t="n">
        <v>0</v>
      </c>
      <c r="Q764" t="n">
        <v>0</v>
      </c>
      <c r="R764" s="2" t="inlineStr"/>
    </row>
    <row r="765" ht="15" customHeight="1">
      <c r="A765" t="inlineStr">
        <is>
          <t>A 42297-2025</t>
        </is>
      </c>
      <c r="B765" s="1" t="n">
        <v>45904.63537037037</v>
      </c>
      <c r="C765" s="1" t="n">
        <v>46036</v>
      </c>
      <c r="D765" t="inlineStr">
        <is>
          <t>GÄVLEBORGS LÄN</t>
        </is>
      </c>
      <c r="E765" t="inlineStr">
        <is>
          <t>LJUSDAL</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35364-2024</t>
        </is>
      </c>
      <c r="B766" s="1" t="n">
        <v>45531.34303240741</v>
      </c>
      <c r="C766" s="1" t="n">
        <v>46036</v>
      </c>
      <c r="D766" t="inlineStr">
        <is>
          <t>GÄVLEBORGS LÄN</t>
        </is>
      </c>
      <c r="E766" t="inlineStr">
        <is>
          <t>LJUSDAL</t>
        </is>
      </c>
      <c r="G766" t="n">
        <v>5.1</v>
      </c>
      <c r="H766" t="n">
        <v>0</v>
      </c>
      <c r="I766" t="n">
        <v>0</v>
      </c>
      <c r="J766" t="n">
        <v>0</v>
      </c>
      <c r="K766" t="n">
        <v>0</v>
      </c>
      <c r="L766" t="n">
        <v>0</v>
      </c>
      <c r="M766" t="n">
        <v>0</v>
      </c>
      <c r="N766" t="n">
        <v>0</v>
      </c>
      <c r="O766" t="n">
        <v>0</v>
      </c>
      <c r="P766" t="n">
        <v>0</v>
      </c>
      <c r="Q766" t="n">
        <v>0</v>
      </c>
      <c r="R766" s="2" t="inlineStr"/>
    </row>
    <row r="767" ht="15" customHeight="1">
      <c r="A767" t="inlineStr">
        <is>
          <t>A 24659-2024</t>
        </is>
      </c>
      <c r="B767" s="1" t="n">
        <v>45460.57925925926</v>
      </c>
      <c r="C767" s="1" t="n">
        <v>46036</v>
      </c>
      <c r="D767" t="inlineStr">
        <is>
          <t>GÄVLEBORGS LÄN</t>
        </is>
      </c>
      <c r="E767" t="inlineStr">
        <is>
          <t>LJUSDAL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44856-2024</t>
        </is>
      </c>
      <c r="B768" s="1" t="n">
        <v>45575.25853009259</v>
      </c>
      <c r="C768" s="1" t="n">
        <v>46036</v>
      </c>
      <c r="D768" t="inlineStr">
        <is>
          <t>GÄVLEBORGS LÄN</t>
        </is>
      </c>
      <c r="E768" t="inlineStr">
        <is>
          <t>LJUSDAL</t>
        </is>
      </c>
      <c r="G768" t="n">
        <v>2.3</v>
      </c>
      <c r="H768" t="n">
        <v>0</v>
      </c>
      <c r="I768" t="n">
        <v>0</v>
      </c>
      <c r="J768" t="n">
        <v>0</v>
      </c>
      <c r="K768" t="n">
        <v>0</v>
      </c>
      <c r="L768" t="n">
        <v>0</v>
      </c>
      <c r="M768" t="n">
        <v>0</v>
      </c>
      <c r="N768" t="n">
        <v>0</v>
      </c>
      <c r="O768" t="n">
        <v>0</v>
      </c>
      <c r="P768" t="n">
        <v>0</v>
      </c>
      <c r="Q768" t="n">
        <v>0</v>
      </c>
      <c r="R768" s="2" t="inlineStr"/>
    </row>
    <row r="769" ht="15" customHeight="1">
      <c r="A769" t="inlineStr">
        <is>
          <t>A 19276-2025</t>
        </is>
      </c>
      <c r="B769" s="1" t="n">
        <v>45769.5315625</v>
      </c>
      <c r="C769" s="1" t="n">
        <v>46036</v>
      </c>
      <c r="D769" t="inlineStr">
        <is>
          <t>GÄVLEBORGS LÄN</t>
        </is>
      </c>
      <c r="E769" t="inlineStr">
        <is>
          <t>LJUSDAL</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41285-2022</t>
        </is>
      </c>
      <c r="B770" s="1" t="n">
        <v>44826.42060185185</v>
      </c>
      <c r="C770" s="1" t="n">
        <v>46036</v>
      </c>
      <c r="D770" t="inlineStr">
        <is>
          <t>GÄVLEBORGS LÄN</t>
        </is>
      </c>
      <c r="E770" t="inlineStr">
        <is>
          <t>LJUSDAL</t>
        </is>
      </c>
      <c r="G770" t="n">
        <v>1.8</v>
      </c>
      <c r="H770" t="n">
        <v>0</v>
      </c>
      <c r="I770" t="n">
        <v>0</v>
      </c>
      <c r="J770" t="n">
        <v>0</v>
      </c>
      <c r="K770" t="n">
        <v>0</v>
      </c>
      <c r="L770" t="n">
        <v>0</v>
      </c>
      <c r="M770" t="n">
        <v>0</v>
      </c>
      <c r="N770" t="n">
        <v>0</v>
      </c>
      <c r="O770" t="n">
        <v>0</v>
      </c>
      <c r="P770" t="n">
        <v>0</v>
      </c>
      <c r="Q770" t="n">
        <v>0</v>
      </c>
      <c r="R770" s="2" t="inlineStr"/>
    </row>
    <row r="771" ht="15" customHeight="1">
      <c r="A771" t="inlineStr">
        <is>
          <t>A 33585-2025</t>
        </is>
      </c>
      <c r="B771" s="1" t="n">
        <v>45841.59462962963</v>
      </c>
      <c r="C771" s="1" t="n">
        <v>46036</v>
      </c>
      <c r="D771" t="inlineStr">
        <is>
          <t>GÄVLEBORGS LÄN</t>
        </is>
      </c>
      <c r="E771" t="inlineStr">
        <is>
          <t>LJUSDAL</t>
        </is>
      </c>
      <c r="G771" t="n">
        <v>2</v>
      </c>
      <c r="H771" t="n">
        <v>0</v>
      </c>
      <c r="I771" t="n">
        <v>0</v>
      </c>
      <c r="J771" t="n">
        <v>0</v>
      </c>
      <c r="K771" t="n">
        <v>0</v>
      </c>
      <c r="L771" t="n">
        <v>0</v>
      </c>
      <c r="M771" t="n">
        <v>0</v>
      </c>
      <c r="N771" t="n">
        <v>0</v>
      </c>
      <c r="O771" t="n">
        <v>0</v>
      </c>
      <c r="P771" t="n">
        <v>0</v>
      </c>
      <c r="Q771" t="n">
        <v>0</v>
      </c>
      <c r="R771" s="2" t="inlineStr"/>
    </row>
    <row r="772" ht="15" customHeight="1">
      <c r="A772" t="inlineStr">
        <is>
          <t>A 42398-2025</t>
        </is>
      </c>
      <c r="B772" s="1" t="n">
        <v>45905.36827546296</v>
      </c>
      <c r="C772" s="1" t="n">
        <v>46036</v>
      </c>
      <c r="D772" t="inlineStr">
        <is>
          <t>GÄVLEBORGS LÄN</t>
        </is>
      </c>
      <c r="E772" t="inlineStr">
        <is>
          <t>LJUSDAL</t>
        </is>
      </c>
      <c r="F772" t="inlineStr">
        <is>
          <t>Holmen skog AB</t>
        </is>
      </c>
      <c r="G772" t="n">
        <v>2.3</v>
      </c>
      <c r="H772" t="n">
        <v>0</v>
      </c>
      <c r="I772" t="n">
        <v>0</v>
      </c>
      <c r="J772" t="n">
        <v>0</v>
      </c>
      <c r="K772" t="n">
        <v>0</v>
      </c>
      <c r="L772" t="n">
        <v>0</v>
      </c>
      <c r="M772" t="n">
        <v>0</v>
      </c>
      <c r="N772" t="n">
        <v>0</v>
      </c>
      <c r="O772" t="n">
        <v>0</v>
      </c>
      <c r="P772" t="n">
        <v>0</v>
      </c>
      <c r="Q772" t="n">
        <v>0</v>
      </c>
      <c r="R772" s="2" t="inlineStr"/>
    </row>
    <row r="773" ht="15" customHeight="1">
      <c r="A773" t="inlineStr">
        <is>
          <t>A 32918-2023</t>
        </is>
      </c>
      <c r="B773" s="1" t="n">
        <v>45125.34423611111</v>
      </c>
      <c r="C773" s="1" t="n">
        <v>46036</v>
      </c>
      <c r="D773" t="inlineStr">
        <is>
          <t>GÄVLEBORGS LÄN</t>
        </is>
      </c>
      <c r="E773" t="inlineStr">
        <is>
          <t>LJUSDAL</t>
        </is>
      </c>
      <c r="F773" t="inlineStr">
        <is>
          <t>Holmen skog AB</t>
        </is>
      </c>
      <c r="G773" t="n">
        <v>4.1</v>
      </c>
      <c r="H773" t="n">
        <v>0</v>
      </c>
      <c r="I773" t="n">
        <v>0</v>
      </c>
      <c r="J773" t="n">
        <v>0</v>
      </c>
      <c r="K773" t="n">
        <v>0</v>
      </c>
      <c r="L773" t="n">
        <v>0</v>
      </c>
      <c r="M773" t="n">
        <v>0</v>
      </c>
      <c r="N773" t="n">
        <v>0</v>
      </c>
      <c r="O773" t="n">
        <v>0</v>
      </c>
      <c r="P773" t="n">
        <v>0</v>
      </c>
      <c r="Q773" t="n">
        <v>0</v>
      </c>
      <c r="R773" s="2" t="inlineStr"/>
    </row>
    <row r="774" ht="15" customHeight="1">
      <c r="A774" t="inlineStr">
        <is>
          <t>A 42591-2025</t>
        </is>
      </c>
      <c r="B774" s="1" t="n">
        <v>45905.64267361111</v>
      </c>
      <c r="C774" s="1" t="n">
        <v>46036</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33333-2025</t>
        </is>
      </c>
      <c r="B775" s="1" t="n">
        <v>45841.35502314815</v>
      </c>
      <c r="C775" s="1" t="n">
        <v>46036</v>
      </c>
      <c r="D775" t="inlineStr">
        <is>
          <t>GÄVLEBORGS LÄN</t>
        </is>
      </c>
      <c r="E775" t="inlineStr">
        <is>
          <t>LJUSDAL</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33337-2025</t>
        </is>
      </c>
      <c r="B776" s="1" t="n">
        <v>45841.35680555556</v>
      </c>
      <c r="C776" s="1" t="n">
        <v>46036</v>
      </c>
      <c r="D776" t="inlineStr">
        <is>
          <t>GÄVLEBORGS LÄN</t>
        </is>
      </c>
      <c r="E776" t="inlineStr">
        <is>
          <t>LJUSDAL</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13885-2025</t>
        </is>
      </c>
      <c r="B777" s="1" t="n">
        <v>45737.6065625</v>
      </c>
      <c r="C777" s="1" t="n">
        <v>46036</v>
      </c>
      <c r="D777" t="inlineStr">
        <is>
          <t>GÄVLEBORGS LÄN</t>
        </is>
      </c>
      <c r="E777" t="inlineStr">
        <is>
          <t>LJUSDAL</t>
        </is>
      </c>
      <c r="G777" t="n">
        <v>1</v>
      </c>
      <c r="H777" t="n">
        <v>0</v>
      </c>
      <c r="I777" t="n">
        <v>0</v>
      </c>
      <c r="J777" t="n">
        <v>0</v>
      </c>
      <c r="K777" t="n">
        <v>0</v>
      </c>
      <c r="L777" t="n">
        <v>0</v>
      </c>
      <c r="M777" t="n">
        <v>0</v>
      </c>
      <c r="N777" t="n">
        <v>0</v>
      </c>
      <c r="O777" t="n">
        <v>0</v>
      </c>
      <c r="P777" t="n">
        <v>0</v>
      </c>
      <c r="Q777" t="n">
        <v>0</v>
      </c>
      <c r="R777" s="2" t="inlineStr"/>
    </row>
    <row r="778" ht="15" customHeight="1">
      <c r="A778" t="inlineStr">
        <is>
          <t>A 42603-2025</t>
        </is>
      </c>
      <c r="B778" s="1" t="n">
        <v>45905.67424768519</v>
      </c>
      <c r="C778" s="1" t="n">
        <v>46036</v>
      </c>
      <c r="D778" t="inlineStr">
        <is>
          <t>GÄVLEBORGS LÄN</t>
        </is>
      </c>
      <c r="E778" t="inlineStr">
        <is>
          <t>LJUSDAL</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42097-2025</t>
        </is>
      </c>
      <c r="B779" s="1" t="n">
        <v>45903.75074074074</v>
      </c>
      <c r="C779" s="1" t="n">
        <v>46036</v>
      </c>
      <c r="D779" t="inlineStr">
        <is>
          <t>GÄVLEBORGS LÄN</t>
        </is>
      </c>
      <c r="E779" t="inlineStr">
        <is>
          <t>LJUSDAL</t>
        </is>
      </c>
      <c r="G779" t="n">
        <v>2.5</v>
      </c>
      <c r="H779" t="n">
        <v>0</v>
      </c>
      <c r="I779" t="n">
        <v>0</v>
      </c>
      <c r="J779" t="n">
        <v>0</v>
      </c>
      <c r="K779" t="n">
        <v>0</v>
      </c>
      <c r="L779" t="n">
        <v>0</v>
      </c>
      <c r="M779" t="n">
        <v>0</v>
      </c>
      <c r="N779" t="n">
        <v>0</v>
      </c>
      <c r="O779" t="n">
        <v>0</v>
      </c>
      <c r="P779" t="n">
        <v>0</v>
      </c>
      <c r="Q779" t="n">
        <v>0</v>
      </c>
      <c r="R779" s="2" t="inlineStr"/>
    </row>
    <row r="780" ht="15" customHeight="1">
      <c r="A780" t="inlineStr">
        <is>
          <t>A 42601-2025</t>
        </is>
      </c>
      <c r="B780" s="1" t="n">
        <v>45905.6715625</v>
      </c>
      <c r="C780" s="1" t="n">
        <v>46036</v>
      </c>
      <c r="D780" t="inlineStr">
        <is>
          <t>GÄVLEBORGS LÄN</t>
        </is>
      </c>
      <c r="E780" t="inlineStr">
        <is>
          <t>LJUSDAL</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40000-2021</t>
        </is>
      </c>
      <c r="B781" s="1" t="n">
        <v>44418.36865740741</v>
      </c>
      <c r="C781" s="1" t="n">
        <v>46036</v>
      </c>
      <c r="D781" t="inlineStr">
        <is>
          <t>GÄVLEBORGS LÄN</t>
        </is>
      </c>
      <c r="E781" t="inlineStr">
        <is>
          <t>LJUSDAL</t>
        </is>
      </c>
      <c r="G781" t="n">
        <v>0.6</v>
      </c>
      <c r="H781" t="n">
        <v>0</v>
      </c>
      <c r="I781" t="n">
        <v>0</v>
      </c>
      <c r="J781" t="n">
        <v>0</v>
      </c>
      <c r="K781" t="n">
        <v>0</v>
      </c>
      <c r="L781" t="n">
        <v>0</v>
      </c>
      <c r="M781" t="n">
        <v>0</v>
      </c>
      <c r="N781" t="n">
        <v>0</v>
      </c>
      <c r="O781" t="n">
        <v>0</v>
      </c>
      <c r="P781" t="n">
        <v>0</v>
      </c>
      <c r="Q781" t="n">
        <v>0</v>
      </c>
      <c r="R781" s="2" t="inlineStr"/>
    </row>
    <row r="782" ht="15" customHeight="1">
      <c r="A782" t="inlineStr">
        <is>
          <t>A 19314-2025</t>
        </is>
      </c>
      <c r="B782" s="1" t="n">
        <v>45769.57359953703</v>
      </c>
      <c r="C782" s="1" t="n">
        <v>46036</v>
      </c>
      <c r="D782" t="inlineStr">
        <is>
          <t>GÄVLEBORGS LÄN</t>
        </is>
      </c>
      <c r="E782" t="inlineStr">
        <is>
          <t>LJUSDAL</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15015-2023</t>
        </is>
      </c>
      <c r="B783" s="1" t="n">
        <v>45015.61263888889</v>
      </c>
      <c r="C783" s="1" t="n">
        <v>46036</v>
      </c>
      <c r="D783" t="inlineStr">
        <is>
          <t>GÄVLEBORGS LÄN</t>
        </is>
      </c>
      <c r="E783" t="inlineStr">
        <is>
          <t>LJUSDAL</t>
        </is>
      </c>
      <c r="G783" t="n">
        <v>1.5</v>
      </c>
      <c r="H783" t="n">
        <v>0</v>
      </c>
      <c r="I783" t="n">
        <v>0</v>
      </c>
      <c r="J783" t="n">
        <v>0</v>
      </c>
      <c r="K783" t="n">
        <v>0</v>
      </c>
      <c r="L783" t="n">
        <v>0</v>
      </c>
      <c r="M783" t="n">
        <v>0</v>
      </c>
      <c r="N783" t="n">
        <v>0</v>
      </c>
      <c r="O783" t="n">
        <v>0</v>
      </c>
      <c r="P783" t="n">
        <v>0</v>
      </c>
      <c r="Q783" t="n">
        <v>0</v>
      </c>
      <c r="R783" s="2" t="inlineStr"/>
    </row>
    <row r="784" ht="15" customHeight="1">
      <c r="A784" t="inlineStr">
        <is>
          <t>A 42353-2025</t>
        </is>
      </c>
      <c r="B784" s="1" t="n">
        <v>45904.84546296296</v>
      </c>
      <c r="C784" s="1" t="n">
        <v>46036</v>
      </c>
      <c r="D784" t="inlineStr">
        <is>
          <t>GÄVLEBORGS LÄN</t>
        </is>
      </c>
      <c r="E784" t="inlineStr">
        <is>
          <t>LJUSDAL</t>
        </is>
      </c>
      <c r="F784" t="inlineStr">
        <is>
          <t>Holmen skog AB</t>
        </is>
      </c>
      <c r="G784" t="n">
        <v>1.1</v>
      </c>
      <c r="H784" t="n">
        <v>0</v>
      </c>
      <c r="I784" t="n">
        <v>0</v>
      </c>
      <c r="J784" t="n">
        <v>0</v>
      </c>
      <c r="K784" t="n">
        <v>0</v>
      </c>
      <c r="L784" t="n">
        <v>0</v>
      </c>
      <c r="M784" t="n">
        <v>0</v>
      </c>
      <c r="N784" t="n">
        <v>0</v>
      </c>
      <c r="O784" t="n">
        <v>0</v>
      </c>
      <c r="P784" t="n">
        <v>0</v>
      </c>
      <c r="Q784" t="n">
        <v>0</v>
      </c>
      <c r="R784" s="2" t="inlineStr"/>
    </row>
    <row r="785" ht="15" customHeight="1">
      <c r="A785" t="inlineStr">
        <is>
          <t>A 33803-2025</t>
        </is>
      </c>
      <c r="B785" s="1" t="n">
        <v>45842.44728009259</v>
      </c>
      <c r="C785" s="1" t="n">
        <v>46036</v>
      </c>
      <c r="D785" t="inlineStr">
        <is>
          <t>GÄVLEBORGS LÄN</t>
        </is>
      </c>
      <c r="E785" t="inlineStr">
        <is>
          <t>LJUSDAL</t>
        </is>
      </c>
      <c r="F785" t="inlineStr">
        <is>
          <t>Sveaskog</t>
        </is>
      </c>
      <c r="G785" t="n">
        <v>5.7</v>
      </c>
      <c r="H785" t="n">
        <v>0</v>
      </c>
      <c r="I785" t="n">
        <v>0</v>
      </c>
      <c r="J785" t="n">
        <v>0</v>
      </c>
      <c r="K785" t="n">
        <v>0</v>
      </c>
      <c r="L785" t="n">
        <v>0</v>
      </c>
      <c r="M785" t="n">
        <v>0</v>
      </c>
      <c r="N785" t="n">
        <v>0</v>
      </c>
      <c r="O785" t="n">
        <v>0</v>
      </c>
      <c r="P785" t="n">
        <v>0</v>
      </c>
      <c r="Q785" t="n">
        <v>0</v>
      </c>
      <c r="R785" s="2" t="inlineStr"/>
    </row>
    <row r="786" ht="15" customHeight="1">
      <c r="A786" t="inlineStr">
        <is>
          <t>A 55046-2022</t>
        </is>
      </c>
      <c r="B786" s="1" t="n">
        <v>44886</v>
      </c>
      <c r="C786" s="1" t="n">
        <v>46036</v>
      </c>
      <c r="D786" t="inlineStr">
        <is>
          <t>GÄVLEBORGS LÄN</t>
        </is>
      </c>
      <c r="E786" t="inlineStr">
        <is>
          <t>LJUSDAL</t>
        </is>
      </c>
      <c r="F786" t="inlineStr">
        <is>
          <t>Bergvik skog väst AB</t>
        </is>
      </c>
      <c r="G786" t="n">
        <v>43.8</v>
      </c>
      <c r="H786" t="n">
        <v>0</v>
      </c>
      <c r="I786" t="n">
        <v>0</v>
      </c>
      <c r="J786" t="n">
        <v>0</v>
      </c>
      <c r="K786" t="n">
        <v>0</v>
      </c>
      <c r="L786" t="n">
        <v>0</v>
      </c>
      <c r="M786" t="n">
        <v>0</v>
      </c>
      <c r="N786" t="n">
        <v>0</v>
      </c>
      <c r="O786" t="n">
        <v>0</v>
      </c>
      <c r="P786" t="n">
        <v>0</v>
      </c>
      <c r="Q786" t="n">
        <v>0</v>
      </c>
      <c r="R786" s="2" t="inlineStr"/>
    </row>
    <row r="787" ht="15" customHeight="1">
      <c r="A787" t="inlineStr">
        <is>
          <t>A 42670-2025</t>
        </is>
      </c>
      <c r="B787" s="1" t="n">
        <v>45908.28011574074</v>
      </c>
      <c r="C787" s="1" t="n">
        <v>46036</v>
      </c>
      <c r="D787" t="inlineStr">
        <is>
          <t>GÄVLEBORGS LÄN</t>
        </is>
      </c>
      <c r="E787" t="inlineStr">
        <is>
          <t>LJUSDAL</t>
        </is>
      </c>
      <c r="G787" t="n">
        <v>7</v>
      </c>
      <c r="H787" t="n">
        <v>0</v>
      </c>
      <c r="I787" t="n">
        <v>0</v>
      </c>
      <c r="J787" t="n">
        <v>0</v>
      </c>
      <c r="K787" t="n">
        <v>0</v>
      </c>
      <c r="L787" t="n">
        <v>0</v>
      </c>
      <c r="M787" t="n">
        <v>0</v>
      </c>
      <c r="N787" t="n">
        <v>0</v>
      </c>
      <c r="O787" t="n">
        <v>0</v>
      </c>
      <c r="P787" t="n">
        <v>0</v>
      </c>
      <c r="Q787" t="n">
        <v>0</v>
      </c>
      <c r="R787" s="2" t="inlineStr"/>
    </row>
    <row r="788" ht="15" customHeight="1">
      <c r="A788" t="inlineStr">
        <is>
          <t>A 42701-2025</t>
        </is>
      </c>
      <c r="B788" s="1" t="n">
        <v>45908.36534722222</v>
      </c>
      <c r="C788" s="1" t="n">
        <v>46036</v>
      </c>
      <c r="D788" t="inlineStr">
        <is>
          <t>GÄVLEBORGS LÄN</t>
        </is>
      </c>
      <c r="E788" t="inlineStr">
        <is>
          <t>LJUSDAL</t>
        </is>
      </c>
      <c r="G788" t="n">
        <v>2.9</v>
      </c>
      <c r="H788" t="n">
        <v>0</v>
      </c>
      <c r="I788" t="n">
        <v>0</v>
      </c>
      <c r="J788" t="n">
        <v>0</v>
      </c>
      <c r="K788" t="n">
        <v>0</v>
      </c>
      <c r="L788" t="n">
        <v>0</v>
      </c>
      <c r="M788" t="n">
        <v>0</v>
      </c>
      <c r="N788" t="n">
        <v>0</v>
      </c>
      <c r="O788" t="n">
        <v>0</v>
      </c>
      <c r="P788" t="n">
        <v>0</v>
      </c>
      <c r="Q788" t="n">
        <v>0</v>
      </c>
      <c r="R788" s="2" t="inlineStr"/>
    </row>
    <row r="789" ht="15" customHeight="1">
      <c r="A789" t="inlineStr">
        <is>
          <t>A 42866-2025</t>
        </is>
      </c>
      <c r="B789" s="1" t="n">
        <v>45908.61733796296</v>
      </c>
      <c r="C789" s="1" t="n">
        <v>46036</v>
      </c>
      <c r="D789" t="inlineStr">
        <is>
          <t>GÄVLEBORGS LÄN</t>
        </is>
      </c>
      <c r="E789" t="inlineStr">
        <is>
          <t>LJUSDAL</t>
        </is>
      </c>
      <c r="F789" t="inlineStr">
        <is>
          <t>Allmännings- och besparingsskogar</t>
        </is>
      </c>
      <c r="G789" t="n">
        <v>6.2</v>
      </c>
      <c r="H789" t="n">
        <v>0</v>
      </c>
      <c r="I789" t="n">
        <v>0</v>
      </c>
      <c r="J789" t="n">
        <v>0</v>
      </c>
      <c r="K789" t="n">
        <v>0</v>
      </c>
      <c r="L789" t="n">
        <v>0</v>
      </c>
      <c r="M789" t="n">
        <v>0</v>
      </c>
      <c r="N789" t="n">
        <v>0</v>
      </c>
      <c r="O789" t="n">
        <v>0</v>
      </c>
      <c r="P789" t="n">
        <v>0</v>
      </c>
      <c r="Q789" t="n">
        <v>0</v>
      </c>
      <c r="R789" s="2" t="inlineStr"/>
    </row>
    <row r="790" ht="15" customHeight="1">
      <c r="A790" t="inlineStr">
        <is>
          <t>A 42822-2025</t>
        </is>
      </c>
      <c r="B790" s="1" t="n">
        <v>45908.5725</v>
      </c>
      <c r="C790" s="1" t="n">
        <v>46036</v>
      </c>
      <c r="D790" t="inlineStr">
        <is>
          <t>GÄVLEBORGS LÄN</t>
        </is>
      </c>
      <c r="E790" t="inlineStr">
        <is>
          <t>LJUSDAL</t>
        </is>
      </c>
      <c r="G790" t="n">
        <v>3.7</v>
      </c>
      <c r="H790" t="n">
        <v>0</v>
      </c>
      <c r="I790" t="n">
        <v>0</v>
      </c>
      <c r="J790" t="n">
        <v>0</v>
      </c>
      <c r="K790" t="n">
        <v>0</v>
      </c>
      <c r="L790" t="n">
        <v>0</v>
      </c>
      <c r="M790" t="n">
        <v>0</v>
      </c>
      <c r="N790" t="n">
        <v>0</v>
      </c>
      <c r="O790" t="n">
        <v>0</v>
      </c>
      <c r="P790" t="n">
        <v>0</v>
      </c>
      <c r="Q790" t="n">
        <v>0</v>
      </c>
      <c r="R790" s="2" t="inlineStr"/>
    </row>
    <row r="791" ht="15" customHeight="1">
      <c r="A791" t="inlineStr">
        <is>
          <t>A 1222-2025</t>
        </is>
      </c>
      <c r="B791" s="1" t="n">
        <v>45667</v>
      </c>
      <c r="C791" s="1" t="n">
        <v>46036</v>
      </c>
      <c r="D791" t="inlineStr">
        <is>
          <t>GÄVLEBORGS LÄN</t>
        </is>
      </c>
      <c r="E791" t="inlineStr">
        <is>
          <t>LJUSDAL</t>
        </is>
      </c>
      <c r="F791" t="inlineStr">
        <is>
          <t>Bergvik skog väst AB</t>
        </is>
      </c>
      <c r="G791" t="n">
        <v>3.5</v>
      </c>
      <c r="H791" t="n">
        <v>0</v>
      </c>
      <c r="I791" t="n">
        <v>0</v>
      </c>
      <c r="J791" t="n">
        <v>0</v>
      </c>
      <c r="K791" t="n">
        <v>0</v>
      </c>
      <c r="L791" t="n">
        <v>0</v>
      </c>
      <c r="M791" t="n">
        <v>0</v>
      </c>
      <c r="N791" t="n">
        <v>0</v>
      </c>
      <c r="O791" t="n">
        <v>0</v>
      </c>
      <c r="P791" t="n">
        <v>0</v>
      </c>
      <c r="Q791" t="n">
        <v>0</v>
      </c>
      <c r="R791" s="2" t="inlineStr"/>
    </row>
    <row r="792" ht="15" customHeight="1">
      <c r="A792" t="inlineStr">
        <is>
          <t>A 42913-2025</t>
        </is>
      </c>
      <c r="B792" s="1" t="n">
        <v>45908.71673611111</v>
      </c>
      <c r="C792" s="1" t="n">
        <v>46036</v>
      </c>
      <c r="D792" t="inlineStr">
        <is>
          <t>GÄVLEBORGS LÄN</t>
        </is>
      </c>
      <c r="E792" t="inlineStr">
        <is>
          <t>LJUSDAL</t>
        </is>
      </c>
      <c r="G792" t="n">
        <v>3.5</v>
      </c>
      <c r="H792" t="n">
        <v>0</v>
      </c>
      <c r="I792" t="n">
        <v>0</v>
      </c>
      <c r="J792" t="n">
        <v>0</v>
      </c>
      <c r="K792" t="n">
        <v>0</v>
      </c>
      <c r="L792" t="n">
        <v>0</v>
      </c>
      <c r="M792" t="n">
        <v>0</v>
      </c>
      <c r="N792" t="n">
        <v>0</v>
      </c>
      <c r="O792" t="n">
        <v>0</v>
      </c>
      <c r="P792" t="n">
        <v>0</v>
      </c>
      <c r="Q792" t="n">
        <v>0</v>
      </c>
      <c r="R792" s="2" t="inlineStr"/>
    </row>
    <row r="793" ht="15" customHeight="1">
      <c r="A793" t="inlineStr">
        <is>
          <t>A 43094-2025</t>
        </is>
      </c>
      <c r="B793" s="1" t="n">
        <v>45909.62625</v>
      </c>
      <c r="C793" s="1" t="n">
        <v>46036</v>
      </c>
      <c r="D793" t="inlineStr">
        <is>
          <t>GÄVLEBORGS LÄN</t>
        </is>
      </c>
      <c r="E793" t="inlineStr">
        <is>
          <t>LJUSDAL</t>
        </is>
      </c>
      <c r="G793" t="n">
        <v>1.7</v>
      </c>
      <c r="H793" t="n">
        <v>0</v>
      </c>
      <c r="I793" t="n">
        <v>0</v>
      </c>
      <c r="J793" t="n">
        <v>0</v>
      </c>
      <c r="K793" t="n">
        <v>0</v>
      </c>
      <c r="L793" t="n">
        <v>0</v>
      </c>
      <c r="M793" t="n">
        <v>0</v>
      </c>
      <c r="N793" t="n">
        <v>0</v>
      </c>
      <c r="O793" t="n">
        <v>0</v>
      </c>
      <c r="P793" t="n">
        <v>0</v>
      </c>
      <c r="Q793" t="n">
        <v>0</v>
      </c>
      <c r="R793" s="2" t="inlineStr"/>
    </row>
    <row r="794" ht="15" customHeight="1">
      <c r="A794" t="inlineStr">
        <is>
          <t>A 42878-2025</t>
        </is>
      </c>
      <c r="B794" s="1" t="n">
        <v>45908.6357175926</v>
      </c>
      <c r="C794" s="1" t="n">
        <v>46036</v>
      </c>
      <c r="D794" t="inlineStr">
        <is>
          <t>GÄVLEBORGS LÄN</t>
        </is>
      </c>
      <c r="E794" t="inlineStr">
        <is>
          <t>LJUSDAL</t>
        </is>
      </c>
      <c r="G794" t="n">
        <v>1.3</v>
      </c>
      <c r="H794" t="n">
        <v>0</v>
      </c>
      <c r="I794" t="n">
        <v>0</v>
      </c>
      <c r="J794" t="n">
        <v>0</v>
      </c>
      <c r="K794" t="n">
        <v>0</v>
      </c>
      <c r="L794" t="n">
        <v>0</v>
      </c>
      <c r="M794" t="n">
        <v>0</v>
      </c>
      <c r="N794" t="n">
        <v>0</v>
      </c>
      <c r="O794" t="n">
        <v>0</v>
      </c>
      <c r="P794" t="n">
        <v>0</v>
      </c>
      <c r="Q794" t="n">
        <v>0</v>
      </c>
      <c r="R794" s="2" t="inlineStr"/>
    </row>
    <row r="795" ht="15" customHeight="1">
      <c r="A795" t="inlineStr">
        <is>
          <t>A 13064-2022</t>
        </is>
      </c>
      <c r="B795" s="1" t="n">
        <v>44643.66391203704</v>
      </c>
      <c r="C795" s="1" t="n">
        <v>46036</v>
      </c>
      <c r="D795" t="inlineStr">
        <is>
          <t>GÄVLEBORGS LÄN</t>
        </is>
      </c>
      <c r="E795" t="inlineStr">
        <is>
          <t>LJUSDAL</t>
        </is>
      </c>
      <c r="G795" t="n">
        <v>2.4</v>
      </c>
      <c r="H795" t="n">
        <v>0</v>
      </c>
      <c r="I795" t="n">
        <v>0</v>
      </c>
      <c r="J795" t="n">
        <v>0</v>
      </c>
      <c r="K795" t="n">
        <v>0</v>
      </c>
      <c r="L795" t="n">
        <v>0</v>
      </c>
      <c r="M795" t="n">
        <v>0</v>
      </c>
      <c r="N795" t="n">
        <v>0</v>
      </c>
      <c r="O795" t="n">
        <v>0</v>
      </c>
      <c r="P795" t="n">
        <v>0</v>
      </c>
      <c r="Q795" t="n">
        <v>0</v>
      </c>
      <c r="R795" s="2" t="inlineStr"/>
    </row>
    <row r="796" ht="15" customHeight="1">
      <c r="A796" t="inlineStr">
        <is>
          <t>A 13246-2025</t>
        </is>
      </c>
      <c r="B796" s="1" t="n">
        <v>45735.4815162037</v>
      </c>
      <c r="C796" s="1" t="n">
        <v>46036</v>
      </c>
      <c r="D796" t="inlineStr">
        <is>
          <t>GÄVLEBORGS LÄN</t>
        </is>
      </c>
      <c r="E796" t="inlineStr">
        <is>
          <t>LJUSDAL</t>
        </is>
      </c>
      <c r="G796" t="n">
        <v>3.7</v>
      </c>
      <c r="H796" t="n">
        <v>0</v>
      </c>
      <c r="I796" t="n">
        <v>0</v>
      </c>
      <c r="J796" t="n">
        <v>0</v>
      </c>
      <c r="K796" t="n">
        <v>0</v>
      </c>
      <c r="L796" t="n">
        <v>0</v>
      </c>
      <c r="M796" t="n">
        <v>0</v>
      </c>
      <c r="N796" t="n">
        <v>0</v>
      </c>
      <c r="O796" t="n">
        <v>0</v>
      </c>
      <c r="P796" t="n">
        <v>0</v>
      </c>
      <c r="Q796" t="n">
        <v>0</v>
      </c>
      <c r="R796" s="2" t="inlineStr"/>
    </row>
    <row r="797" ht="15" customHeight="1">
      <c r="A797" t="inlineStr">
        <is>
          <t>A 17461-2025</t>
        </is>
      </c>
      <c r="B797" s="1" t="n">
        <v>45757.4566550926</v>
      </c>
      <c r="C797" s="1" t="n">
        <v>46036</v>
      </c>
      <c r="D797" t="inlineStr">
        <is>
          <t>GÄVLEBORGS LÄN</t>
        </is>
      </c>
      <c r="E797" t="inlineStr">
        <is>
          <t>LJUSDAL</t>
        </is>
      </c>
      <c r="F797" t="inlineStr">
        <is>
          <t>Bergvik skog väst AB</t>
        </is>
      </c>
      <c r="G797" t="n">
        <v>3.7</v>
      </c>
      <c r="H797" t="n">
        <v>0</v>
      </c>
      <c r="I797" t="n">
        <v>0</v>
      </c>
      <c r="J797" t="n">
        <v>0</v>
      </c>
      <c r="K797" t="n">
        <v>0</v>
      </c>
      <c r="L797" t="n">
        <v>0</v>
      </c>
      <c r="M797" t="n">
        <v>0</v>
      </c>
      <c r="N797" t="n">
        <v>0</v>
      </c>
      <c r="O797" t="n">
        <v>0</v>
      </c>
      <c r="P797" t="n">
        <v>0</v>
      </c>
      <c r="Q797" t="n">
        <v>0</v>
      </c>
      <c r="R797" s="2" t="inlineStr"/>
    </row>
    <row r="798" ht="15" customHeight="1">
      <c r="A798" t="inlineStr">
        <is>
          <t>A 33427-2025</t>
        </is>
      </c>
      <c r="B798" s="1" t="n">
        <v>45841.44578703704</v>
      </c>
      <c r="C798" s="1" t="n">
        <v>46036</v>
      </c>
      <c r="D798" t="inlineStr">
        <is>
          <t>GÄVLEBORGS LÄN</t>
        </is>
      </c>
      <c r="E798" t="inlineStr">
        <is>
          <t>LJUSDAL</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34276-2025</t>
        </is>
      </c>
      <c r="B799" s="1" t="n">
        <v>45845.9084375</v>
      </c>
      <c r="C799" s="1" t="n">
        <v>46036</v>
      </c>
      <c r="D799" t="inlineStr">
        <is>
          <t>GÄVLEBORGS LÄN</t>
        </is>
      </c>
      <c r="E799" t="inlineStr">
        <is>
          <t>LJUSDAL</t>
        </is>
      </c>
      <c r="F799" t="inlineStr">
        <is>
          <t>Holmen skog AB</t>
        </is>
      </c>
      <c r="G799" t="n">
        <v>33.7</v>
      </c>
      <c r="H799" t="n">
        <v>0</v>
      </c>
      <c r="I799" t="n">
        <v>0</v>
      </c>
      <c r="J799" t="n">
        <v>0</v>
      </c>
      <c r="K799" t="n">
        <v>0</v>
      </c>
      <c r="L799" t="n">
        <v>0</v>
      </c>
      <c r="M799" t="n">
        <v>0</v>
      </c>
      <c r="N799" t="n">
        <v>0</v>
      </c>
      <c r="O799" t="n">
        <v>0</v>
      </c>
      <c r="P799" t="n">
        <v>0</v>
      </c>
      <c r="Q799" t="n">
        <v>0</v>
      </c>
      <c r="R799" s="2" t="inlineStr"/>
    </row>
    <row r="800" ht="15" customHeight="1">
      <c r="A800" t="inlineStr">
        <is>
          <t>A 24881-2021</t>
        </is>
      </c>
      <c r="B800" s="1" t="n">
        <v>44341.32192129629</v>
      </c>
      <c r="C800" s="1" t="n">
        <v>46036</v>
      </c>
      <c r="D800" t="inlineStr">
        <is>
          <t>GÄVLEBORGS LÄN</t>
        </is>
      </c>
      <c r="E800" t="inlineStr">
        <is>
          <t>LJUSDAL</t>
        </is>
      </c>
      <c r="F800" t="inlineStr">
        <is>
          <t>Kommuner</t>
        </is>
      </c>
      <c r="G800" t="n">
        <v>2.8</v>
      </c>
      <c r="H800" t="n">
        <v>0</v>
      </c>
      <c r="I800" t="n">
        <v>0</v>
      </c>
      <c r="J800" t="n">
        <v>0</v>
      </c>
      <c r="K800" t="n">
        <v>0</v>
      </c>
      <c r="L800" t="n">
        <v>0</v>
      </c>
      <c r="M800" t="n">
        <v>0</v>
      </c>
      <c r="N800" t="n">
        <v>0</v>
      </c>
      <c r="O800" t="n">
        <v>0</v>
      </c>
      <c r="P800" t="n">
        <v>0</v>
      </c>
      <c r="Q800" t="n">
        <v>0</v>
      </c>
      <c r="R800" s="2" t="inlineStr"/>
    </row>
    <row r="801" ht="15" customHeight="1">
      <c r="A801" t="inlineStr">
        <is>
          <t>A 24655-2024</t>
        </is>
      </c>
      <c r="B801" s="1" t="n">
        <v>45460.57638888889</v>
      </c>
      <c r="C801" s="1" t="n">
        <v>46036</v>
      </c>
      <c r="D801" t="inlineStr">
        <is>
          <t>GÄVLEBORGS LÄN</t>
        </is>
      </c>
      <c r="E801" t="inlineStr">
        <is>
          <t>LJUSDAL</t>
        </is>
      </c>
      <c r="G801" t="n">
        <v>2.4</v>
      </c>
      <c r="H801" t="n">
        <v>0</v>
      </c>
      <c r="I801" t="n">
        <v>0</v>
      </c>
      <c r="J801" t="n">
        <v>0</v>
      </c>
      <c r="K801" t="n">
        <v>0</v>
      </c>
      <c r="L801" t="n">
        <v>0</v>
      </c>
      <c r="M801" t="n">
        <v>0</v>
      </c>
      <c r="N801" t="n">
        <v>0</v>
      </c>
      <c r="O801" t="n">
        <v>0</v>
      </c>
      <c r="P801" t="n">
        <v>0</v>
      </c>
      <c r="Q801" t="n">
        <v>0</v>
      </c>
      <c r="R801" s="2" t="inlineStr"/>
    </row>
    <row r="802" ht="15" customHeight="1">
      <c r="A802" t="inlineStr">
        <is>
          <t>A 2584-2025</t>
        </is>
      </c>
      <c r="B802" s="1" t="n">
        <v>45674</v>
      </c>
      <c r="C802" s="1" t="n">
        <v>46036</v>
      </c>
      <c r="D802" t="inlineStr">
        <is>
          <t>GÄVLEBORGS LÄN</t>
        </is>
      </c>
      <c r="E802" t="inlineStr">
        <is>
          <t>LJUSDAL</t>
        </is>
      </c>
      <c r="F802" t="inlineStr">
        <is>
          <t>Sveaskog</t>
        </is>
      </c>
      <c r="G802" t="n">
        <v>4.1</v>
      </c>
      <c r="H802" t="n">
        <v>0</v>
      </c>
      <c r="I802" t="n">
        <v>0</v>
      </c>
      <c r="J802" t="n">
        <v>0</v>
      </c>
      <c r="K802" t="n">
        <v>0</v>
      </c>
      <c r="L802" t="n">
        <v>0</v>
      </c>
      <c r="M802" t="n">
        <v>0</v>
      </c>
      <c r="N802" t="n">
        <v>0</v>
      </c>
      <c r="O802" t="n">
        <v>0</v>
      </c>
      <c r="P802" t="n">
        <v>0</v>
      </c>
      <c r="Q802" t="n">
        <v>0</v>
      </c>
      <c r="R802" s="2" t="inlineStr"/>
    </row>
    <row r="803" ht="15" customHeight="1">
      <c r="A803" t="inlineStr">
        <is>
          <t>A 34330-2025</t>
        </is>
      </c>
      <c r="B803" s="1" t="n">
        <v>45846.44659722222</v>
      </c>
      <c r="C803" s="1" t="n">
        <v>46036</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26180-2023</t>
        </is>
      </c>
      <c r="B804" s="1" t="n">
        <v>45091.52903935185</v>
      </c>
      <c r="C804" s="1" t="n">
        <v>46036</v>
      </c>
      <c r="D804" t="inlineStr">
        <is>
          <t>GÄVLEBORGS LÄN</t>
        </is>
      </c>
      <c r="E804" t="inlineStr">
        <is>
          <t>LJUSDAL</t>
        </is>
      </c>
      <c r="F804" t="inlineStr">
        <is>
          <t>Sveaskog</t>
        </is>
      </c>
      <c r="G804" t="n">
        <v>3.7</v>
      </c>
      <c r="H804" t="n">
        <v>0</v>
      </c>
      <c r="I804" t="n">
        <v>0</v>
      </c>
      <c r="J804" t="n">
        <v>0</v>
      </c>
      <c r="K804" t="n">
        <v>0</v>
      </c>
      <c r="L804" t="n">
        <v>0</v>
      </c>
      <c r="M804" t="n">
        <v>0</v>
      </c>
      <c r="N804" t="n">
        <v>0</v>
      </c>
      <c r="O804" t="n">
        <v>0</v>
      </c>
      <c r="P804" t="n">
        <v>0</v>
      </c>
      <c r="Q804" t="n">
        <v>0</v>
      </c>
      <c r="R804" s="2" t="inlineStr"/>
    </row>
    <row r="805" ht="15" customHeight="1">
      <c r="A805" t="inlineStr">
        <is>
          <t>A 36170-2025</t>
        </is>
      </c>
      <c r="B805" s="1" t="n">
        <v>45867.38659722222</v>
      </c>
      <c r="C805" s="1" t="n">
        <v>46036</v>
      </c>
      <c r="D805" t="inlineStr">
        <is>
          <t>GÄVLEBORGS LÄN</t>
        </is>
      </c>
      <c r="E805" t="inlineStr">
        <is>
          <t>LJUSDAL</t>
        </is>
      </c>
      <c r="G805" t="n">
        <v>6.3</v>
      </c>
      <c r="H805" t="n">
        <v>0</v>
      </c>
      <c r="I805" t="n">
        <v>0</v>
      </c>
      <c r="J805" t="n">
        <v>0</v>
      </c>
      <c r="K805" t="n">
        <v>0</v>
      </c>
      <c r="L805" t="n">
        <v>0</v>
      </c>
      <c r="M805" t="n">
        <v>0</v>
      </c>
      <c r="N805" t="n">
        <v>0</v>
      </c>
      <c r="O805" t="n">
        <v>0</v>
      </c>
      <c r="P805" t="n">
        <v>0</v>
      </c>
      <c r="Q805" t="n">
        <v>0</v>
      </c>
      <c r="R805" s="2" t="inlineStr"/>
    </row>
    <row r="806" ht="15" customHeight="1">
      <c r="A806" t="inlineStr">
        <is>
          <t>A 17230-2023</t>
        </is>
      </c>
      <c r="B806" s="1" t="n">
        <v>45035.31333333333</v>
      </c>
      <c r="C806" s="1" t="n">
        <v>46036</v>
      </c>
      <c r="D806" t="inlineStr">
        <is>
          <t>GÄVLEBORGS LÄN</t>
        </is>
      </c>
      <c r="E806" t="inlineStr">
        <is>
          <t>LJUSDAL</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50271-2023</t>
        </is>
      </c>
      <c r="B807" s="1" t="n">
        <v>45216.39822916667</v>
      </c>
      <c r="C807" s="1" t="n">
        <v>46036</v>
      </c>
      <c r="D807" t="inlineStr">
        <is>
          <t>GÄVLEBORGS LÄN</t>
        </is>
      </c>
      <c r="E807" t="inlineStr">
        <is>
          <t>LJUSDAL</t>
        </is>
      </c>
      <c r="G807" t="n">
        <v>27.4</v>
      </c>
      <c r="H807" t="n">
        <v>0</v>
      </c>
      <c r="I807" t="n">
        <v>0</v>
      </c>
      <c r="J807" t="n">
        <v>0</v>
      </c>
      <c r="K807" t="n">
        <v>0</v>
      </c>
      <c r="L807" t="n">
        <v>0</v>
      </c>
      <c r="M807" t="n">
        <v>0</v>
      </c>
      <c r="N807" t="n">
        <v>0</v>
      </c>
      <c r="O807" t="n">
        <v>0</v>
      </c>
      <c r="P807" t="n">
        <v>0</v>
      </c>
      <c r="Q807" t="n">
        <v>0</v>
      </c>
      <c r="R807" s="2" t="inlineStr"/>
    </row>
    <row r="808" ht="15" customHeight="1">
      <c r="A808" t="inlineStr">
        <is>
          <t>A 35022-2025</t>
        </is>
      </c>
      <c r="B808" s="1" t="n">
        <v>45851.95064814815</v>
      </c>
      <c r="C808" s="1" t="n">
        <v>46036</v>
      </c>
      <c r="D808" t="inlineStr">
        <is>
          <t>GÄVLEBORGS LÄN</t>
        </is>
      </c>
      <c r="E808" t="inlineStr">
        <is>
          <t>LJUSDAL</t>
        </is>
      </c>
      <c r="G808" t="n">
        <v>2.1</v>
      </c>
      <c r="H808" t="n">
        <v>0</v>
      </c>
      <c r="I808" t="n">
        <v>0</v>
      </c>
      <c r="J808" t="n">
        <v>0</v>
      </c>
      <c r="K808" t="n">
        <v>0</v>
      </c>
      <c r="L808" t="n">
        <v>0</v>
      </c>
      <c r="M808" t="n">
        <v>0</v>
      </c>
      <c r="N808" t="n">
        <v>0</v>
      </c>
      <c r="O808" t="n">
        <v>0</v>
      </c>
      <c r="P808" t="n">
        <v>0</v>
      </c>
      <c r="Q808" t="n">
        <v>0</v>
      </c>
      <c r="R808" s="2" t="inlineStr"/>
    </row>
    <row r="809" ht="15" customHeight="1">
      <c r="A809" t="inlineStr">
        <is>
          <t>A 58173-2024</t>
        </is>
      </c>
      <c r="B809" s="1" t="n">
        <v>45632.46581018518</v>
      </c>
      <c r="C809" s="1" t="n">
        <v>46036</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43413-2025</t>
        </is>
      </c>
      <c r="B810" s="1" t="n">
        <v>45911.40479166667</v>
      </c>
      <c r="C810" s="1" t="n">
        <v>46036</v>
      </c>
      <c r="D810" t="inlineStr">
        <is>
          <t>GÄVLEBORGS LÄN</t>
        </is>
      </c>
      <c r="E810" t="inlineStr">
        <is>
          <t>LJUSDAL</t>
        </is>
      </c>
      <c r="G810" t="n">
        <v>0.2</v>
      </c>
      <c r="H810" t="n">
        <v>0</v>
      </c>
      <c r="I810" t="n">
        <v>0</v>
      </c>
      <c r="J810" t="n">
        <v>0</v>
      </c>
      <c r="K810" t="n">
        <v>0</v>
      </c>
      <c r="L810" t="n">
        <v>0</v>
      </c>
      <c r="M810" t="n">
        <v>0</v>
      </c>
      <c r="N810" t="n">
        <v>0</v>
      </c>
      <c r="O810" t="n">
        <v>0</v>
      </c>
      <c r="P810" t="n">
        <v>0</v>
      </c>
      <c r="Q810" t="n">
        <v>0</v>
      </c>
      <c r="R810" s="2" t="inlineStr"/>
    </row>
    <row r="811" ht="15" customHeight="1">
      <c r="A811" t="inlineStr">
        <is>
          <t>A 6724-2024</t>
        </is>
      </c>
      <c r="B811" s="1" t="n">
        <v>45342.3765162037</v>
      </c>
      <c r="C811" s="1" t="n">
        <v>46036</v>
      </c>
      <c r="D811" t="inlineStr">
        <is>
          <t>GÄVLEBORGS LÄN</t>
        </is>
      </c>
      <c r="E811" t="inlineStr">
        <is>
          <t>LJUSDAL</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60822-2022</t>
        </is>
      </c>
      <c r="B812" s="1" t="n">
        <v>44904</v>
      </c>
      <c r="C812" s="1" t="n">
        <v>46036</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29807-2023</t>
        </is>
      </c>
      <c r="B813" s="1" t="n">
        <v>45099</v>
      </c>
      <c r="C813" s="1" t="n">
        <v>46036</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34652-2025</t>
        </is>
      </c>
      <c r="B814" s="1" t="n">
        <v>45848.35363425926</v>
      </c>
      <c r="C814" s="1" t="n">
        <v>46036</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34658-2025</t>
        </is>
      </c>
      <c r="B815" s="1" t="n">
        <v>45848.36520833334</v>
      </c>
      <c r="C815" s="1" t="n">
        <v>46036</v>
      </c>
      <c r="D815" t="inlineStr">
        <is>
          <t>GÄVLEBORGS LÄN</t>
        </is>
      </c>
      <c r="E815" t="inlineStr">
        <is>
          <t>LJUSDAL</t>
        </is>
      </c>
      <c r="G815" t="n">
        <v>0.9</v>
      </c>
      <c r="H815" t="n">
        <v>0</v>
      </c>
      <c r="I815" t="n">
        <v>0</v>
      </c>
      <c r="J815" t="n">
        <v>0</v>
      </c>
      <c r="K815" t="n">
        <v>0</v>
      </c>
      <c r="L815" t="n">
        <v>0</v>
      </c>
      <c r="M815" t="n">
        <v>0</v>
      </c>
      <c r="N815" t="n">
        <v>0</v>
      </c>
      <c r="O815" t="n">
        <v>0</v>
      </c>
      <c r="P815" t="n">
        <v>0</v>
      </c>
      <c r="Q815" t="n">
        <v>0</v>
      </c>
      <c r="R815" s="2" t="inlineStr"/>
    </row>
    <row r="816" ht="15" customHeight="1">
      <c r="A816" t="inlineStr">
        <is>
          <t>A 43277-2025</t>
        </is>
      </c>
      <c r="B816" s="1" t="n">
        <v>45910.59302083333</v>
      </c>
      <c r="C816" s="1" t="n">
        <v>46036</v>
      </c>
      <c r="D816" t="inlineStr">
        <is>
          <t>GÄVLEBORGS LÄN</t>
        </is>
      </c>
      <c r="E816" t="inlineStr">
        <is>
          <t>LJUSDAL</t>
        </is>
      </c>
      <c r="F816" t="inlineStr">
        <is>
          <t>Allmännings- och besparingsskogar</t>
        </is>
      </c>
      <c r="G816" t="n">
        <v>2.7</v>
      </c>
      <c r="H816" t="n">
        <v>0</v>
      </c>
      <c r="I816" t="n">
        <v>0</v>
      </c>
      <c r="J816" t="n">
        <v>0</v>
      </c>
      <c r="K816" t="n">
        <v>0</v>
      </c>
      <c r="L816" t="n">
        <v>0</v>
      </c>
      <c r="M816" t="n">
        <v>0</v>
      </c>
      <c r="N816" t="n">
        <v>0</v>
      </c>
      <c r="O816" t="n">
        <v>0</v>
      </c>
      <c r="P816" t="n">
        <v>0</v>
      </c>
      <c r="Q816" t="n">
        <v>0</v>
      </c>
      <c r="R816" s="2" t="inlineStr"/>
    </row>
    <row r="817" ht="15" customHeight="1">
      <c r="A817" t="inlineStr">
        <is>
          <t>A 1226-2025</t>
        </is>
      </c>
      <c r="B817" s="1" t="n">
        <v>45667.43862268519</v>
      </c>
      <c r="C817" s="1" t="n">
        <v>46036</v>
      </c>
      <c r="D817" t="inlineStr">
        <is>
          <t>GÄVLEBORGS LÄN</t>
        </is>
      </c>
      <c r="E817" t="inlineStr">
        <is>
          <t>LJUSDAL</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43848-2025</t>
        </is>
      </c>
      <c r="B818" s="1" t="n">
        <v>45912.63829861111</v>
      </c>
      <c r="C818" s="1" t="n">
        <v>46036</v>
      </c>
      <c r="D818" t="inlineStr">
        <is>
          <t>GÄVLEBORGS LÄN</t>
        </is>
      </c>
      <c r="E818" t="inlineStr">
        <is>
          <t>LJUSDAL</t>
        </is>
      </c>
      <c r="F818" t="inlineStr">
        <is>
          <t>Sveaskog</t>
        </is>
      </c>
      <c r="G818" t="n">
        <v>4.4</v>
      </c>
      <c r="H818" t="n">
        <v>0</v>
      </c>
      <c r="I818" t="n">
        <v>0</v>
      </c>
      <c r="J818" t="n">
        <v>0</v>
      </c>
      <c r="K818" t="n">
        <v>0</v>
      </c>
      <c r="L818" t="n">
        <v>0</v>
      </c>
      <c r="M818" t="n">
        <v>0</v>
      </c>
      <c r="N818" t="n">
        <v>0</v>
      </c>
      <c r="O818" t="n">
        <v>0</v>
      </c>
      <c r="P818" t="n">
        <v>0</v>
      </c>
      <c r="Q818" t="n">
        <v>0</v>
      </c>
      <c r="R818" s="2" t="inlineStr"/>
    </row>
    <row r="819" ht="15" customHeight="1">
      <c r="A819" t="inlineStr">
        <is>
          <t>A 43853-2025</t>
        </is>
      </c>
      <c r="B819" s="1" t="n">
        <v>45912.64043981482</v>
      </c>
      <c r="C819" s="1" t="n">
        <v>46036</v>
      </c>
      <c r="D819" t="inlineStr">
        <is>
          <t>GÄVLEBORGS LÄN</t>
        </is>
      </c>
      <c r="E819" t="inlineStr">
        <is>
          <t>LJUSDAL</t>
        </is>
      </c>
      <c r="F819" t="inlineStr">
        <is>
          <t>Sveaskog</t>
        </is>
      </c>
      <c r="G819" t="n">
        <v>10.3</v>
      </c>
      <c r="H819" t="n">
        <v>0</v>
      </c>
      <c r="I819" t="n">
        <v>0</v>
      </c>
      <c r="J819" t="n">
        <v>0</v>
      </c>
      <c r="K819" t="n">
        <v>0</v>
      </c>
      <c r="L819" t="n">
        <v>0</v>
      </c>
      <c r="M819" t="n">
        <v>0</v>
      </c>
      <c r="N819" t="n">
        <v>0</v>
      </c>
      <c r="O819" t="n">
        <v>0</v>
      </c>
      <c r="P819" t="n">
        <v>0</v>
      </c>
      <c r="Q819" t="n">
        <v>0</v>
      </c>
      <c r="R819" s="2" t="inlineStr"/>
    </row>
    <row r="820" ht="15" customHeight="1">
      <c r="A820" t="inlineStr">
        <is>
          <t>A 29841-2023</t>
        </is>
      </c>
      <c r="B820" s="1" t="n">
        <v>45099</v>
      </c>
      <c r="C820" s="1" t="n">
        <v>46036</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43969-2025</t>
        </is>
      </c>
      <c r="B821" s="1" t="n">
        <v>45915.40497685185</v>
      </c>
      <c r="C821" s="1" t="n">
        <v>46036</v>
      </c>
      <c r="D821" t="inlineStr">
        <is>
          <t>GÄVLEBORGS LÄN</t>
        </is>
      </c>
      <c r="E821" t="inlineStr">
        <is>
          <t>LJUSDAL</t>
        </is>
      </c>
      <c r="G821" t="n">
        <v>7.1</v>
      </c>
      <c r="H821" t="n">
        <v>0</v>
      </c>
      <c r="I821" t="n">
        <v>0</v>
      </c>
      <c r="J821" t="n">
        <v>0</v>
      </c>
      <c r="K821" t="n">
        <v>0</v>
      </c>
      <c r="L821" t="n">
        <v>0</v>
      </c>
      <c r="M821" t="n">
        <v>0</v>
      </c>
      <c r="N821" t="n">
        <v>0</v>
      </c>
      <c r="O821" t="n">
        <v>0</v>
      </c>
      <c r="P821" t="n">
        <v>0</v>
      </c>
      <c r="Q821" t="n">
        <v>0</v>
      </c>
      <c r="R821" s="2" t="inlineStr"/>
    </row>
    <row r="822" ht="15" customHeight="1">
      <c r="A822" t="inlineStr">
        <is>
          <t>A 35037-2025</t>
        </is>
      </c>
      <c r="B822" s="1" t="n">
        <v>45852</v>
      </c>
      <c r="C822" s="1" t="n">
        <v>46036</v>
      </c>
      <c r="D822" t="inlineStr">
        <is>
          <t>GÄVLEBORGS LÄN</t>
        </is>
      </c>
      <c r="E822" t="inlineStr">
        <is>
          <t>LJUSDAL</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18681-2022</t>
        </is>
      </c>
      <c r="B823" s="1" t="n">
        <v>44687.5766087963</v>
      </c>
      <c r="C823" s="1" t="n">
        <v>46036</v>
      </c>
      <c r="D823" t="inlineStr">
        <is>
          <t>GÄVLEBORGS LÄN</t>
        </is>
      </c>
      <c r="E823" t="inlineStr">
        <is>
          <t>LJUSDAL</t>
        </is>
      </c>
      <c r="F823" t="inlineStr">
        <is>
          <t>Bergvik skog väst AB</t>
        </is>
      </c>
      <c r="G823" t="n">
        <v>2.9</v>
      </c>
      <c r="H823" t="n">
        <v>0</v>
      </c>
      <c r="I823" t="n">
        <v>0</v>
      </c>
      <c r="J823" t="n">
        <v>0</v>
      </c>
      <c r="K823" t="n">
        <v>0</v>
      </c>
      <c r="L823" t="n">
        <v>0</v>
      </c>
      <c r="M823" t="n">
        <v>0</v>
      </c>
      <c r="N823" t="n">
        <v>0</v>
      </c>
      <c r="O823" t="n">
        <v>0</v>
      </c>
      <c r="P823" t="n">
        <v>0</v>
      </c>
      <c r="Q823" t="n">
        <v>0</v>
      </c>
      <c r="R823" s="2" t="inlineStr"/>
    </row>
    <row r="824" ht="15" customHeight="1">
      <c r="A824" t="inlineStr">
        <is>
          <t>A 43796-2025</t>
        </is>
      </c>
      <c r="B824" s="1" t="n">
        <v>45912.56341435185</v>
      </c>
      <c r="C824" s="1" t="n">
        <v>46036</v>
      </c>
      <c r="D824" t="inlineStr">
        <is>
          <t>GÄVLEBORGS LÄN</t>
        </is>
      </c>
      <c r="E824" t="inlineStr">
        <is>
          <t>LJUSDAL</t>
        </is>
      </c>
      <c r="G824" t="n">
        <v>1.8</v>
      </c>
      <c r="H824" t="n">
        <v>0</v>
      </c>
      <c r="I824" t="n">
        <v>0</v>
      </c>
      <c r="J824" t="n">
        <v>0</v>
      </c>
      <c r="K824" t="n">
        <v>0</v>
      </c>
      <c r="L824" t="n">
        <v>0</v>
      </c>
      <c r="M824" t="n">
        <v>0</v>
      </c>
      <c r="N824" t="n">
        <v>0</v>
      </c>
      <c r="O824" t="n">
        <v>0</v>
      </c>
      <c r="P824" t="n">
        <v>0</v>
      </c>
      <c r="Q824" t="n">
        <v>0</v>
      </c>
      <c r="R824" s="2" t="inlineStr"/>
    </row>
    <row r="825" ht="15" customHeight="1">
      <c r="A825" t="inlineStr">
        <is>
          <t>A 35357-2025</t>
        </is>
      </c>
      <c r="B825" s="1" t="n">
        <v>45853</v>
      </c>
      <c r="C825" s="1" t="n">
        <v>46036</v>
      </c>
      <c r="D825" t="inlineStr">
        <is>
          <t>GÄVLEBORGS LÄN</t>
        </is>
      </c>
      <c r="E825" t="inlineStr">
        <is>
          <t>LJUSDAL</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35088-2025</t>
        </is>
      </c>
      <c r="B826" s="1" t="n">
        <v>45852.51938657407</v>
      </c>
      <c r="C826" s="1" t="n">
        <v>46036</v>
      </c>
      <c r="D826" t="inlineStr">
        <is>
          <t>GÄVLEBORGS LÄN</t>
        </is>
      </c>
      <c r="E826" t="inlineStr">
        <is>
          <t>LJUSDAL</t>
        </is>
      </c>
      <c r="G826" t="n">
        <v>3.3</v>
      </c>
      <c r="H826" t="n">
        <v>0</v>
      </c>
      <c r="I826" t="n">
        <v>0</v>
      </c>
      <c r="J826" t="n">
        <v>0</v>
      </c>
      <c r="K826" t="n">
        <v>0</v>
      </c>
      <c r="L826" t="n">
        <v>0</v>
      </c>
      <c r="M826" t="n">
        <v>0</v>
      </c>
      <c r="N826" t="n">
        <v>0</v>
      </c>
      <c r="O826" t="n">
        <v>0</v>
      </c>
      <c r="P826" t="n">
        <v>0</v>
      </c>
      <c r="Q826" t="n">
        <v>0</v>
      </c>
      <c r="R826" s="2" t="inlineStr"/>
    </row>
    <row r="827" ht="15" customHeight="1">
      <c r="A827" t="inlineStr">
        <is>
          <t>A 35222-2025</t>
        </is>
      </c>
      <c r="B827" s="1" t="n">
        <v>45853.54243055556</v>
      </c>
      <c r="C827" s="1" t="n">
        <v>46036</v>
      </c>
      <c r="D827" t="inlineStr">
        <is>
          <t>GÄVLEBORGS LÄN</t>
        </is>
      </c>
      <c r="E827" t="inlineStr">
        <is>
          <t>LJUSDAL</t>
        </is>
      </c>
      <c r="G827" t="n">
        <v>1.4</v>
      </c>
      <c r="H827" t="n">
        <v>0</v>
      </c>
      <c r="I827" t="n">
        <v>0</v>
      </c>
      <c r="J827" t="n">
        <v>0</v>
      </c>
      <c r="K827" t="n">
        <v>0</v>
      </c>
      <c r="L827" t="n">
        <v>0</v>
      </c>
      <c r="M827" t="n">
        <v>0</v>
      </c>
      <c r="N827" t="n">
        <v>0</v>
      </c>
      <c r="O827" t="n">
        <v>0</v>
      </c>
      <c r="P827" t="n">
        <v>0</v>
      </c>
      <c r="Q827" t="n">
        <v>0</v>
      </c>
      <c r="R827" s="2" t="inlineStr"/>
    </row>
    <row r="828" ht="15" customHeight="1">
      <c r="A828" t="inlineStr">
        <is>
          <t>A 35255-2025</t>
        </is>
      </c>
      <c r="B828" s="1" t="n">
        <v>45853</v>
      </c>
      <c r="C828" s="1" t="n">
        <v>46036</v>
      </c>
      <c r="D828" t="inlineStr">
        <is>
          <t>GÄVLEBORGS LÄN</t>
        </is>
      </c>
      <c r="E828" t="inlineStr">
        <is>
          <t>LJUSDAL</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35052-2025</t>
        </is>
      </c>
      <c r="B829" s="1" t="n">
        <v>45852.36641203704</v>
      </c>
      <c r="C829" s="1" t="n">
        <v>46036</v>
      </c>
      <c r="D829" t="inlineStr">
        <is>
          <t>GÄVLEBORGS LÄN</t>
        </is>
      </c>
      <c r="E829" t="inlineStr">
        <is>
          <t>LJUSDAL</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43718-2023</t>
        </is>
      </c>
      <c r="B830" s="1" t="n">
        <v>45187.44440972222</v>
      </c>
      <c r="C830" s="1" t="n">
        <v>46036</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44201-2025</t>
        </is>
      </c>
      <c r="B831" s="1" t="n">
        <v>45915.62305555555</v>
      </c>
      <c r="C831" s="1" t="n">
        <v>46036</v>
      </c>
      <c r="D831" t="inlineStr">
        <is>
          <t>GÄVLEBORGS LÄN</t>
        </is>
      </c>
      <c r="E831" t="inlineStr">
        <is>
          <t>LJUSDAL</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43801-2025</t>
        </is>
      </c>
      <c r="B832" s="1" t="n">
        <v>45912.5725</v>
      </c>
      <c r="C832" s="1" t="n">
        <v>46036</v>
      </c>
      <c r="D832" t="inlineStr">
        <is>
          <t>GÄVLEBORGS LÄN</t>
        </is>
      </c>
      <c r="E832" t="inlineStr">
        <is>
          <t>LJUSDAL</t>
        </is>
      </c>
      <c r="G832" t="n">
        <v>4</v>
      </c>
      <c r="H832" t="n">
        <v>0</v>
      </c>
      <c r="I832" t="n">
        <v>0</v>
      </c>
      <c r="J832" t="n">
        <v>0</v>
      </c>
      <c r="K832" t="n">
        <v>0</v>
      </c>
      <c r="L832" t="n">
        <v>0</v>
      </c>
      <c r="M832" t="n">
        <v>0</v>
      </c>
      <c r="N832" t="n">
        <v>0</v>
      </c>
      <c r="O832" t="n">
        <v>0</v>
      </c>
      <c r="P832" t="n">
        <v>0</v>
      </c>
      <c r="Q832" t="n">
        <v>0</v>
      </c>
      <c r="R832" s="2" t="inlineStr"/>
    </row>
    <row r="833" ht="15" customHeight="1">
      <c r="A833" t="inlineStr">
        <is>
          <t>A 43733-2025</t>
        </is>
      </c>
      <c r="B833" s="1" t="n">
        <v>45912.43981481482</v>
      </c>
      <c r="C833" s="1" t="n">
        <v>46036</v>
      </c>
      <c r="D833" t="inlineStr">
        <is>
          <t>GÄVLEBORGS LÄN</t>
        </is>
      </c>
      <c r="E833" t="inlineStr">
        <is>
          <t>LJUSDAL</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32098-2023</t>
        </is>
      </c>
      <c r="B834" s="1" t="n">
        <v>45119</v>
      </c>
      <c r="C834" s="1" t="n">
        <v>46036</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35615-2025</t>
        </is>
      </c>
      <c r="B835" s="1" t="n">
        <v>45859.38130787037</v>
      </c>
      <c r="C835" s="1" t="n">
        <v>46036</v>
      </c>
      <c r="D835" t="inlineStr">
        <is>
          <t>GÄVLEBORGS LÄN</t>
        </is>
      </c>
      <c r="E835" t="inlineStr">
        <is>
          <t>LJUSDAL</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44460-2025</t>
        </is>
      </c>
      <c r="B836" s="1" t="n">
        <v>45916.61855324074</v>
      </c>
      <c r="C836" s="1" t="n">
        <v>46036</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37202-2023</t>
        </is>
      </c>
      <c r="B837" s="1" t="n">
        <v>45155</v>
      </c>
      <c r="C837" s="1" t="n">
        <v>46036</v>
      </c>
      <c r="D837" t="inlineStr">
        <is>
          <t>GÄVLEBORGS LÄN</t>
        </is>
      </c>
      <c r="E837" t="inlineStr">
        <is>
          <t>LJUSDAL</t>
        </is>
      </c>
      <c r="F837" t="inlineStr">
        <is>
          <t>Sveaskog</t>
        </is>
      </c>
      <c r="G837" t="n">
        <v>7.1</v>
      </c>
      <c r="H837" t="n">
        <v>0</v>
      </c>
      <c r="I837" t="n">
        <v>0</v>
      </c>
      <c r="J837" t="n">
        <v>0</v>
      </c>
      <c r="K837" t="n">
        <v>0</v>
      </c>
      <c r="L837" t="n">
        <v>0</v>
      </c>
      <c r="M837" t="n">
        <v>0</v>
      </c>
      <c r="N837" t="n">
        <v>0</v>
      </c>
      <c r="O837" t="n">
        <v>0</v>
      </c>
      <c r="P837" t="n">
        <v>0</v>
      </c>
      <c r="Q837" t="n">
        <v>0</v>
      </c>
      <c r="R837" s="2" t="inlineStr"/>
    </row>
    <row r="838" ht="15" customHeight="1">
      <c r="A838" t="inlineStr">
        <is>
          <t>A 42712-2024</t>
        </is>
      </c>
      <c r="B838" s="1" t="n">
        <v>45566.44934027778</v>
      </c>
      <c r="C838" s="1" t="n">
        <v>46036</v>
      </c>
      <c r="D838" t="inlineStr">
        <is>
          <t>GÄVLEBORGS LÄN</t>
        </is>
      </c>
      <c r="E838" t="inlineStr">
        <is>
          <t>LJUSDAL</t>
        </is>
      </c>
      <c r="F838" t="inlineStr">
        <is>
          <t>Kommuner</t>
        </is>
      </c>
      <c r="G838" t="n">
        <v>6.9</v>
      </c>
      <c r="H838" t="n">
        <v>0</v>
      </c>
      <c r="I838" t="n">
        <v>0</v>
      </c>
      <c r="J838" t="n">
        <v>0</v>
      </c>
      <c r="K838" t="n">
        <v>0</v>
      </c>
      <c r="L838" t="n">
        <v>0</v>
      </c>
      <c r="M838" t="n">
        <v>0</v>
      </c>
      <c r="N838" t="n">
        <v>0</v>
      </c>
      <c r="O838" t="n">
        <v>0</v>
      </c>
      <c r="P838" t="n">
        <v>0</v>
      </c>
      <c r="Q838" t="n">
        <v>0</v>
      </c>
      <c r="R838" s="2" t="inlineStr"/>
    </row>
    <row r="839" ht="15" customHeight="1">
      <c r="A839" t="inlineStr">
        <is>
          <t>A 42720-2024</t>
        </is>
      </c>
      <c r="B839" s="1" t="n">
        <v>45566.459375</v>
      </c>
      <c r="C839" s="1" t="n">
        <v>46036</v>
      </c>
      <c r="D839" t="inlineStr">
        <is>
          <t>GÄVLEBORGS LÄN</t>
        </is>
      </c>
      <c r="E839" t="inlineStr">
        <is>
          <t>LJUSDAL</t>
        </is>
      </c>
      <c r="F839" t="inlineStr">
        <is>
          <t>Kommuner</t>
        </is>
      </c>
      <c r="G839" t="n">
        <v>5.9</v>
      </c>
      <c r="H839" t="n">
        <v>0</v>
      </c>
      <c r="I839" t="n">
        <v>0</v>
      </c>
      <c r="J839" t="n">
        <v>0</v>
      </c>
      <c r="K839" t="n">
        <v>0</v>
      </c>
      <c r="L839" t="n">
        <v>0</v>
      </c>
      <c r="M839" t="n">
        <v>0</v>
      </c>
      <c r="N839" t="n">
        <v>0</v>
      </c>
      <c r="O839" t="n">
        <v>0</v>
      </c>
      <c r="P839" t="n">
        <v>0</v>
      </c>
      <c r="Q839" t="n">
        <v>0</v>
      </c>
      <c r="R839" s="2" t="inlineStr"/>
    </row>
    <row r="840" ht="15" customHeight="1">
      <c r="A840" t="inlineStr">
        <is>
          <t>A 42726-2024</t>
        </is>
      </c>
      <c r="B840" s="1" t="n">
        <v>45566</v>
      </c>
      <c r="C840" s="1" t="n">
        <v>46036</v>
      </c>
      <c r="D840" t="inlineStr">
        <is>
          <t>GÄVLEBORGS LÄN</t>
        </is>
      </c>
      <c r="E840" t="inlineStr">
        <is>
          <t>LJUSDAL</t>
        </is>
      </c>
      <c r="G840" t="n">
        <v>1.6</v>
      </c>
      <c r="H840" t="n">
        <v>0</v>
      </c>
      <c r="I840" t="n">
        <v>0</v>
      </c>
      <c r="J840" t="n">
        <v>0</v>
      </c>
      <c r="K840" t="n">
        <v>0</v>
      </c>
      <c r="L840" t="n">
        <v>0</v>
      </c>
      <c r="M840" t="n">
        <v>0</v>
      </c>
      <c r="N840" t="n">
        <v>0</v>
      </c>
      <c r="O840" t="n">
        <v>0</v>
      </c>
      <c r="P840" t="n">
        <v>0</v>
      </c>
      <c r="Q840" t="n">
        <v>0</v>
      </c>
      <c r="R840" s="2" t="inlineStr"/>
    </row>
    <row r="841" ht="15" customHeight="1">
      <c r="A841" t="inlineStr">
        <is>
          <t>A 44445-2025</t>
        </is>
      </c>
      <c r="B841" s="1" t="n">
        <v>45916.59761574074</v>
      </c>
      <c r="C841" s="1" t="n">
        <v>46036</v>
      </c>
      <c r="D841" t="inlineStr">
        <is>
          <t>GÄVLEBORGS LÄN</t>
        </is>
      </c>
      <c r="E841" t="inlineStr">
        <is>
          <t>LJUSDAL</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44550-2025</t>
        </is>
      </c>
      <c r="B842" s="1" t="n">
        <v>45917.33612268518</v>
      </c>
      <c r="C842" s="1" t="n">
        <v>46036</v>
      </c>
      <c r="D842" t="inlineStr">
        <is>
          <t>GÄVLEBORGS LÄN</t>
        </is>
      </c>
      <c r="E842" t="inlineStr">
        <is>
          <t>LJUSDAL</t>
        </is>
      </c>
      <c r="G842" t="n">
        <v>4.7</v>
      </c>
      <c r="H842" t="n">
        <v>0</v>
      </c>
      <c r="I842" t="n">
        <v>0</v>
      </c>
      <c r="J842" t="n">
        <v>0</v>
      </c>
      <c r="K842" t="n">
        <v>0</v>
      </c>
      <c r="L842" t="n">
        <v>0</v>
      </c>
      <c r="M842" t="n">
        <v>0</v>
      </c>
      <c r="N842" t="n">
        <v>0</v>
      </c>
      <c r="O842" t="n">
        <v>0</v>
      </c>
      <c r="P842" t="n">
        <v>0</v>
      </c>
      <c r="Q842" t="n">
        <v>0</v>
      </c>
      <c r="R842" s="2" t="inlineStr"/>
    </row>
    <row r="843" ht="15" customHeight="1">
      <c r="A843" t="inlineStr">
        <is>
          <t>A 25093-2024</t>
        </is>
      </c>
      <c r="B843" s="1" t="n">
        <v>45462</v>
      </c>
      <c r="C843" s="1" t="n">
        <v>46036</v>
      </c>
      <c r="D843" t="inlineStr">
        <is>
          <t>GÄVLEBORGS LÄN</t>
        </is>
      </c>
      <c r="E843" t="inlineStr">
        <is>
          <t>LJUSDAL</t>
        </is>
      </c>
      <c r="F843" t="inlineStr">
        <is>
          <t>Bergvik skog väst AB</t>
        </is>
      </c>
      <c r="G843" t="n">
        <v>10.6</v>
      </c>
      <c r="H843" t="n">
        <v>0</v>
      </c>
      <c r="I843" t="n">
        <v>0</v>
      </c>
      <c r="J843" t="n">
        <v>0</v>
      </c>
      <c r="K843" t="n">
        <v>0</v>
      </c>
      <c r="L843" t="n">
        <v>0</v>
      </c>
      <c r="M843" t="n">
        <v>0</v>
      </c>
      <c r="N843" t="n">
        <v>0</v>
      </c>
      <c r="O843" t="n">
        <v>0</v>
      </c>
      <c r="P843" t="n">
        <v>0</v>
      </c>
      <c r="Q843" t="n">
        <v>0</v>
      </c>
      <c r="R843" s="2" t="inlineStr"/>
    </row>
    <row r="844" ht="15" customHeight="1">
      <c r="A844" t="inlineStr">
        <is>
          <t>A 44737-2025</t>
        </is>
      </c>
      <c r="B844" s="1" t="n">
        <v>45917.65894675926</v>
      </c>
      <c r="C844" s="1" t="n">
        <v>46036</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44557-2025</t>
        </is>
      </c>
      <c r="B845" s="1" t="n">
        <v>45917.34443287037</v>
      </c>
      <c r="C845" s="1" t="n">
        <v>46036</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44559-2025</t>
        </is>
      </c>
      <c r="B846" s="1" t="n">
        <v>45917.34458333333</v>
      </c>
      <c r="C846" s="1" t="n">
        <v>46036</v>
      </c>
      <c r="D846" t="inlineStr">
        <is>
          <t>GÄVLEBORGS LÄN</t>
        </is>
      </c>
      <c r="E846" t="inlineStr">
        <is>
          <t>LJUSDAL</t>
        </is>
      </c>
      <c r="G846" t="n">
        <v>2.7</v>
      </c>
      <c r="H846" t="n">
        <v>0</v>
      </c>
      <c r="I846" t="n">
        <v>0</v>
      </c>
      <c r="J846" t="n">
        <v>0</v>
      </c>
      <c r="K846" t="n">
        <v>0</v>
      </c>
      <c r="L846" t="n">
        <v>0</v>
      </c>
      <c r="M846" t="n">
        <v>0</v>
      </c>
      <c r="N846" t="n">
        <v>0</v>
      </c>
      <c r="O846" t="n">
        <v>0</v>
      </c>
      <c r="P846" t="n">
        <v>0</v>
      </c>
      <c r="Q846" t="n">
        <v>0</v>
      </c>
      <c r="R846" s="2" t="inlineStr"/>
    </row>
    <row r="847" ht="15" customHeight="1">
      <c r="A847" t="inlineStr">
        <is>
          <t>A 35804-2025</t>
        </is>
      </c>
      <c r="B847" s="1" t="n">
        <v>45861.39952546296</v>
      </c>
      <c r="C847" s="1" t="n">
        <v>46036</v>
      </c>
      <c r="D847" t="inlineStr">
        <is>
          <t>GÄVLEBORGS LÄN</t>
        </is>
      </c>
      <c r="E847" t="inlineStr">
        <is>
          <t>LJUSDAL</t>
        </is>
      </c>
      <c r="G847" t="n">
        <v>15.3</v>
      </c>
      <c r="H847" t="n">
        <v>0</v>
      </c>
      <c r="I847" t="n">
        <v>0</v>
      </c>
      <c r="J847" t="n">
        <v>0</v>
      </c>
      <c r="K847" t="n">
        <v>0</v>
      </c>
      <c r="L847" t="n">
        <v>0</v>
      </c>
      <c r="M847" t="n">
        <v>0</v>
      </c>
      <c r="N847" t="n">
        <v>0</v>
      </c>
      <c r="O847" t="n">
        <v>0</v>
      </c>
      <c r="P847" t="n">
        <v>0</v>
      </c>
      <c r="Q847" t="n">
        <v>0</v>
      </c>
      <c r="R847" s="2" t="inlineStr"/>
    </row>
    <row r="848" ht="15" customHeight="1">
      <c r="A848" t="inlineStr">
        <is>
          <t>A 35835-2025</t>
        </is>
      </c>
      <c r="B848" s="1" t="n">
        <v>45861.53181712963</v>
      </c>
      <c r="C848" s="1" t="n">
        <v>46036</v>
      </c>
      <c r="D848" t="inlineStr">
        <is>
          <t>GÄVLEBORGS LÄN</t>
        </is>
      </c>
      <c r="E848" t="inlineStr">
        <is>
          <t>LJUSDAL</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46075-2024</t>
        </is>
      </c>
      <c r="B849" s="1" t="n">
        <v>45581.32696759259</v>
      </c>
      <c r="C849" s="1" t="n">
        <v>46036</v>
      </c>
      <c r="D849" t="inlineStr">
        <is>
          <t>GÄVLEBORGS LÄN</t>
        </is>
      </c>
      <c r="E849" t="inlineStr">
        <is>
          <t>LJUSDAL</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51247-2024</t>
        </is>
      </c>
      <c r="B850" s="1" t="n">
        <v>45603.68180555556</v>
      </c>
      <c r="C850" s="1" t="n">
        <v>46036</v>
      </c>
      <c r="D850" t="inlineStr">
        <is>
          <t>GÄVLEBORGS LÄN</t>
        </is>
      </c>
      <c r="E850" t="inlineStr">
        <is>
          <t>LJUSDAL</t>
        </is>
      </c>
      <c r="F850" t="inlineStr">
        <is>
          <t>Kommuner</t>
        </is>
      </c>
      <c r="G850" t="n">
        <v>6.1</v>
      </c>
      <c r="H850" t="n">
        <v>0</v>
      </c>
      <c r="I850" t="n">
        <v>0</v>
      </c>
      <c r="J850" t="n">
        <v>0</v>
      </c>
      <c r="K850" t="n">
        <v>0</v>
      </c>
      <c r="L850" t="n">
        <v>0</v>
      </c>
      <c r="M850" t="n">
        <v>0</v>
      </c>
      <c r="N850" t="n">
        <v>0</v>
      </c>
      <c r="O850" t="n">
        <v>0</v>
      </c>
      <c r="P850" t="n">
        <v>0</v>
      </c>
      <c r="Q850" t="n">
        <v>0</v>
      </c>
      <c r="R850" s="2" t="inlineStr"/>
    </row>
    <row r="851" ht="15" customHeight="1">
      <c r="A851" t="inlineStr">
        <is>
          <t>A 44641-2025</t>
        </is>
      </c>
      <c r="B851" s="1" t="n">
        <v>45917.52512731482</v>
      </c>
      <c r="C851" s="1" t="n">
        <v>46036</v>
      </c>
      <c r="D851" t="inlineStr">
        <is>
          <t>GÄVLEBORGS LÄN</t>
        </is>
      </c>
      <c r="E851" t="inlineStr">
        <is>
          <t>LJUSDAL</t>
        </is>
      </c>
      <c r="G851" t="n">
        <v>1.9</v>
      </c>
      <c r="H851" t="n">
        <v>0</v>
      </c>
      <c r="I851" t="n">
        <v>0</v>
      </c>
      <c r="J851" t="n">
        <v>0</v>
      </c>
      <c r="K851" t="n">
        <v>0</v>
      </c>
      <c r="L851" t="n">
        <v>0</v>
      </c>
      <c r="M851" t="n">
        <v>0</v>
      </c>
      <c r="N851" t="n">
        <v>0</v>
      </c>
      <c r="O851" t="n">
        <v>0</v>
      </c>
      <c r="P851" t="n">
        <v>0</v>
      </c>
      <c r="Q851" t="n">
        <v>0</v>
      </c>
      <c r="R851" s="2" t="inlineStr"/>
    </row>
    <row r="852" ht="15" customHeight="1">
      <c r="A852" t="inlineStr">
        <is>
          <t>A 44844-2025</t>
        </is>
      </c>
      <c r="B852" s="1" t="n">
        <v>45918.43725694445</v>
      </c>
      <c r="C852" s="1" t="n">
        <v>46036</v>
      </c>
      <c r="D852" t="inlineStr">
        <is>
          <t>GÄVLEBORGS LÄN</t>
        </is>
      </c>
      <c r="E852" t="inlineStr">
        <is>
          <t>LJUSDAL</t>
        </is>
      </c>
      <c r="G852" t="n">
        <v>1.3</v>
      </c>
      <c r="H852" t="n">
        <v>0</v>
      </c>
      <c r="I852" t="n">
        <v>0</v>
      </c>
      <c r="J852" t="n">
        <v>0</v>
      </c>
      <c r="K852" t="n">
        <v>0</v>
      </c>
      <c r="L852" t="n">
        <v>0</v>
      </c>
      <c r="M852" t="n">
        <v>0</v>
      </c>
      <c r="N852" t="n">
        <v>0</v>
      </c>
      <c r="O852" t="n">
        <v>0</v>
      </c>
      <c r="P852" t="n">
        <v>0</v>
      </c>
      <c r="Q852" t="n">
        <v>0</v>
      </c>
      <c r="R852" s="2" t="inlineStr"/>
    </row>
    <row r="853" ht="15" customHeight="1">
      <c r="A853" t="inlineStr">
        <is>
          <t>A 45189-2025</t>
        </is>
      </c>
      <c r="B853" s="1" t="n">
        <v>45919.54337962963</v>
      </c>
      <c r="C853" s="1" t="n">
        <v>46036</v>
      </c>
      <c r="D853" t="inlineStr">
        <is>
          <t>GÄVLEBORGS LÄN</t>
        </is>
      </c>
      <c r="E853" t="inlineStr">
        <is>
          <t>LJUSDAL</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45198-2025</t>
        </is>
      </c>
      <c r="B854" s="1" t="n">
        <v>45919.56082175926</v>
      </c>
      <c r="C854" s="1" t="n">
        <v>46036</v>
      </c>
      <c r="D854" t="inlineStr">
        <is>
          <t>GÄVLEBORGS LÄN</t>
        </is>
      </c>
      <c r="E854" t="inlineStr">
        <is>
          <t>LJUSDAL</t>
        </is>
      </c>
      <c r="G854" t="n">
        <v>4.2</v>
      </c>
      <c r="H854" t="n">
        <v>0</v>
      </c>
      <c r="I854" t="n">
        <v>0</v>
      </c>
      <c r="J854" t="n">
        <v>0</v>
      </c>
      <c r="K854" t="n">
        <v>0</v>
      </c>
      <c r="L854" t="n">
        <v>0</v>
      </c>
      <c r="M854" t="n">
        <v>0</v>
      </c>
      <c r="N854" t="n">
        <v>0</v>
      </c>
      <c r="O854" t="n">
        <v>0</v>
      </c>
      <c r="P854" t="n">
        <v>0</v>
      </c>
      <c r="Q854" t="n">
        <v>0</v>
      </c>
      <c r="R854" s="2" t="inlineStr"/>
    </row>
    <row r="855" ht="15" customHeight="1">
      <c r="A855" t="inlineStr">
        <is>
          <t>A 33420-2025</t>
        </is>
      </c>
      <c r="B855" s="1" t="n">
        <v>45841.44123842593</v>
      </c>
      <c r="C855" s="1" t="n">
        <v>46036</v>
      </c>
      <c r="D855" t="inlineStr">
        <is>
          <t>GÄVLEBORGS LÄN</t>
        </is>
      </c>
      <c r="E855" t="inlineStr">
        <is>
          <t>LJUSDAL</t>
        </is>
      </c>
      <c r="G855" t="n">
        <v>13.5</v>
      </c>
      <c r="H855" t="n">
        <v>0</v>
      </c>
      <c r="I855" t="n">
        <v>0</v>
      </c>
      <c r="J855" t="n">
        <v>0</v>
      </c>
      <c r="K855" t="n">
        <v>0</v>
      </c>
      <c r="L855" t="n">
        <v>0</v>
      </c>
      <c r="M855" t="n">
        <v>0</v>
      </c>
      <c r="N855" t="n">
        <v>0</v>
      </c>
      <c r="O855" t="n">
        <v>0</v>
      </c>
      <c r="P855" t="n">
        <v>0</v>
      </c>
      <c r="Q855" t="n">
        <v>0</v>
      </c>
      <c r="R855" s="2" t="inlineStr"/>
    </row>
    <row r="856" ht="15" customHeight="1">
      <c r="A856" t="inlineStr">
        <is>
          <t>A 45272-2025</t>
        </is>
      </c>
      <c r="B856" s="1" t="n">
        <v>45919.69231481481</v>
      </c>
      <c r="C856" s="1" t="n">
        <v>46036</v>
      </c>
      <c r="D856" t="inlineStr">
        <is>
          <t>GÄVLEBORGS LÄN</t>
        </is>
      </c>
      <c r="E856" t="inlineStr">
        <is>
          <t>LJUSDAL</t>
        </is>
      </c>
      <c r="G856" t="n">
        <v>2.5</v>
      </c>
      <c r="H856" t="n">
        <v>0</v>
      </c>
      <c r="I856" t="n">
        <v>0</v>
      </c>
      <c r="J856" t="n">
        <v>0</v>
      </c>
      <c r="K856" t="n">
        <v>0</v>
      </c>
      <c r="L856" t="n">
        <v>0</v>
      </c>
      <c r="M856" t="n">
        <v>0</v>
      </c>
      <c r="N856" t="n">
        <v>0</v>
      </c>
      <c r="O856" t="n">
        <v>0</v>
      </c>
      <c r="P856" t="n">
        <v>0</v>
      </c>
      <c r="Q856" t="n">
        <v>0</v>
      </c>
      <c r="R856" s="2" t="inlineStr"/>
    </row>
    <row r="857" ht="15" customHeight="1">
      <c r="A857" t="inlineStr">
        <is>
          <t>A 30562-2024</t>
        </is>
      </c>
      <c r="B857" s="1" t="n">
        <v>45492.92842592593</v>
      </c>
      <c r="C857" s="1" t="n">
        <v>46036</v>
      </c>
      <c r="D857" t="inlineStr">
        <is>
          <t>GÄVLEBORGS LÄN</t>
        </is>
      </c>
      <c r="E857" t="inlineStr">
        <is>
          <t>LJUSDAL</t>
        </is>
      </c>
      <c r="G857" t="n">
        <v>2.8</v>
      </c>
      <c r="H857" t="n">
        <v>0</v>
      </c>
      <c r="I857" t="n">
        <v>0</v>
      </c>
      <c r="J857" t="n">
        <v>0</v>
      </c>
      <c r="K857" t="n">
        <v>0</v>
      </c>
      <c r="L857" t="n">
        <v>0</v>
      </c>
      <c r="M857" t="n">
        <v>0</v>
      </c>
      <c r="N857" t="n">
        <v>0</v>
      </c>
      <c r="O857" t="n">
        <v>0</v>
      </c>
      <c r="P857" t="n">
        <v>0</v>
      </c>
      <c r="Q857" t="n">
        <v>0</v>
      </c>
      <c r="R857" s="2" t="inlineStr"/>
    </row>
    <row r="858" ht="15" customHeight="1">
      <c r="A858" t="inlineStr">
        <is>
          <t>A 32360-2024</t>
        </is>
      </c>
      <c r="B858" s="1" t="n">
        <v>45512.56657407407</v>
      </c>
      <c r="C858" s="1" t="n">
        <v>46036</v>
      </c>
      <c r="D858" t="inlineStr">
        <is>
          <t>GÄVLEBORGS LÄN</t>
        </is>
      </c>
      <c r="E858" t="inlineStr">
        <is>
          <t>LJUSDAL</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36251-2025</t>
        </is>
      </c>
      <c r="B859" s="1" t="n">
        <v>45867.57475694444</v>
      </c>
      <c r="C859" s="1" t="n">
        <v>46036</v>
      </c>
      <c r="D859" t="inlineStr">
        <is>
          <t>GÄVLEBORGS LÄN</t>
        </is>
      </c>
      <c r="E859" t="inlineStr">
        <is>
          <t>LJUSDAL</t>
        </is>
      </c>
      <c r="G859" t="n">
        <v>1.1</v>
      </c>
      <c r="H859" t="n">
        <v>0</v>
      </c>
      <c r="I859" t="n">
        <v>0</v>
      </c>
      <c r="J859" t="n">
        <v>0</v>
      </c>
      <c r="K859" t="n">
        <v>0</v>
      </c>
      <c r="L859" t="n">
        <v>0</v>
      </c>
      <c r="M859" t="n">
        <v>0</v>
      </c>
      <c r="N859" t="n">
        <v>0</v>
      </c>
      <c r="O859" t="n">
        <v>0</v>
      </c>
      <c r="P859" t="n">
        <v>0</v>
      </c>
      <c r="Q859" t="n">
        <v>0</v>
      </c>
      <c r="R859" s="2" t="inlineStr"/>
    </row>
    <row r="860" ht="15" customHeight="1">
      <c r="A860" t="inlineStr">
        <is>
          <t>A 36061-2025</t>
        </is>
      </c>
      <c r="B860" s="1" t="n">
        <v>45866.3949074074</v>
      </c>
      <c r="C860" s="1" t="n">
        <v>46036</v>
      </c>
      <c r="D860" t="inlineStr">
        <is>
          <t>GÄVLEBORGS LÄN</t>
        </is>
      </c>
      <c r="E860" t="inlineStr">
        <is>
          <t>LJUSDAL</t>
        </is>
      </c>
      <c r="G860" t="n">
        <v>3.6</v>
      </c>
      <c r="H860" t="n">
        <v>0</v>
      </c>
      <c r="I860" t="n">
        <v>0</v>
      </c>
      <c r="J860" t="n">
        <v>0</v>
      </c>
      <c r="K860" t="n">
        <v>0</v>
      </c>
      <c r="L860" t="n">
        <v>0</v>
      </c>
      <c r="M860" t="n">
        <v>0</v>
      </c>
      <c r="N860" t="n">
        <v>0</v>
      </c>
      <c r="O860" t="n">
        <v>0</v>
      </c>
      <c r="P860" t="n">
        <v>0</v>
      </c>
      <c r="Q860" t="n">
        <v>0</v>
      </c>
      <c r="R860" s="2" t="inlineStr"/>
    </row>
    <row r="861" ht="15" customHeight="1">
      <c r="A861" t="inlineStr">
        <is>
          <t>A 36250-2025</t>
        </is>
      </c>
      <c r="B861" s="1" t="n">
        <v>45867.57358796296</v>
      </c>
      <c r="C861" s="1" t="n">
        <v>46036</v>
      </c>
      <c r="D861" t="inlineStr">
        <is>
          <t>GÄVLEBORGS LÄN</t>
        </is>
      </c>
      <c r="E861" t="inlineStr">
        <is>
          <t>LJUSDAL</t>
        </is>
      </c>
      <c r="F861" t="inlineStr">
        <is>
          <t>Naturvårdsverket</t>
        </is>
      </c>
      <c r="G861" t="n">
        <v>4.2</v>
      </c>
      <c r="H861" t="n">
        <v>0</v>
      </c>
      <c r="I861" t="n">
        <v>0</v>
      </c>
      <c r="J861" t="n">
        <v>0</v>
      </c>
      <c r="K861" t="n">
        <v>0</v>
      </c>
      <c r="L861" t="n">
        <v>0</v>
      </c>
      <c r="M861" t="n">
        <v>0</v>
      </c>
      <c r="N861" t="n">
        <v>0</v>
      </c>
      <c r="O861" t="n">
        <v>0</v>
      </c>
      <c r="P861" t="n">
        <v>0</v>
      </c>
      <c r="Q861" t="n">
        <v>0</v>
      </c>
      <c r="R861" s="2" t="inlineStr"/>
    </row>
    <row r="862" ht="15" customHeight="1">
      <c r="A862" t="inlineStr">
        <is>
          <t>A 36263-2025</t>
        </is>
      </c>
      <c r="B862" s="1" t="n">
        <v>45867.61510416667</v>
      </c>
      <c r="C862" s="1" t="n">
        <v>46036</v>
      </c>
      <c r="D862" t="inlineStr">
        <is>
          <t>GÄVLEBORGS LÄN</t>
        </is>
      </c>
      <c r="E862" t="inlineStr">
        <is>
          <t>LJUSDAL</t>
        </is>
      </c>
      <c r="F862" t="inlineStr">
        <is>
          <t>Naturvårdsverket</t>
        </is>
      </c>
      <c r="G862" t="n">
        <v>1.9</v>
      </c>
      <c r="H862" t="n">
        <v>0</v>
      </c>
      <c r="I862" t="n">
        <v>0</v>
      </c>
      <c r="J862" t="n">
        <v>0</v>
      </c>
      <c r="K862" t="n">
        <v>0</v>
      </c>
      <c r="L862" t="n">
        <v>0</v>
      </c>
      <c r="M862" t="n">
        <v>0</v>
      </c>
      <c r="N862" t="n">
        <v>0</v>
      </c>
      <c r="O862" t="n">
        <v>0</v>
      </c>
      <c r="P862" t="n">
        <v>0</v>
      </c>
      <c r="Q862" t="n">
        <v>0</v>
      </c>
      <c r="R862" s="2" t="inlineStr"/>
    </row>
    <row r="863" ht="15" customHeight="1">
      <c r="A863" t="inlineStr">
        <is>
          <t>A 36058-2025</t>
        </is>
      </c>
      <c r="B863" s="1" t="n">
        <v>45866.39219907407</v>
      </c>
      <c r="C863" s="1" t="n">
        <v>46036</v>
      </c>
      <c r="D863" t="inlineStr">
        <is>
          <t>GÄVLEBORGS LÄN</t>
        </is>
      </c>
      <c r="E863" t="inlineStr">
        <is>
          <t>LJUSDAL</t>
        </is>
      </c>
      <c r="F863" t="inlineStr">
        <is>
          <t>Bergvik skog väst AB</t>
        </is>
      </c>
      <c r="G863" t="n">
        <v>6.2</v>
      </c>
      <c r="H863" t="n">
        <v>0</v>
      </c>
      <c r="I863" t="n">
        <v>0</v>
      </c>
      <c r="J863" t="n">
        <v>0</v>
      </c>
      <c r="K863" t="n">
        <v>0</v>
      </c>
      <c r="L863" t="n">
        <v>0</v>
      </c>
      <c r="M863" t="n">
        <v>0</v>
      </c>
      <c r="N863" t="n">
        <v>0</v>
      </c>
      <c r="O863" t="n">
        <v>0</v>
      </c>
      <c r="P863" t="n">
        <v>0</v>
      </c>
      <c r="Q863" t="n">
        <v>0</v>
      </c>
      <c r="R863" s="2" t="inlineStr"/>
    </row>
    <row r="864" ht="15" customHeight="1">
      <c r="A864" t="inlineStr">
        <is>
          <t>A 36069-2025</t>
        </is>
      </c>
      <c r="B864" s="1" t="n">
        <v>45866.42765046296</v>
      </c>
      <c r="C864" s="1" t="n">
        <v>46036</v>
      </c>
      <c r="D864" t="inlineStr">
        <is>
          <t>GÄVLEBORGS LÄN</t>
        </is>
      </c>
      <c r="E864" t="inlineStr">
        <is>
          <t>LJUSDAL</t>
        </is>
      </c>
      <c r="G864" t="n">
        <v>1.8</v>
      </c>
      <c r="H864" t="n">
        <v>0</v>
      </c>
      <c r="I864" t="n">
        <v>0</v>
      </c>
      <c r="J864" t="n">
        <v>0</v>
      </c>
      <c r="K864" t="n">
        <v>0</v>
      </c>
      <c r="L864" t="n">
        <v>0</v>
      </c>
      <c r="M864" t="n">
        <v>0</v>
      </c>
      <c r="N864" t="n">
        <v>0</v>
      </c>
      <c r="O864" t="n">
        <v>0</v>
      </c>
      <c r="P864" t="n">
        <v>0</v>
      </c>
      <c r="Q864" t="n">
        <v>0</v>
      </c>
      <c r="R864" s="2" t="inlineStr"/>
    </row>
    <row r="865" ht="15" customHeight="1">
      <c r="A865" t="inlineStr">
        <is>
          <t>A 18763-2025</t>
        </is>
      </c>
      <c r="B865" s="1" t="n">
        <v>45764.29385416667</v>
      </c>
      <c r="C865" s="1" t="n">
        <v>46036</v>
      </c>
      <c r="D865" t="inlineStr">
        <is>
          <t>GÄVLEBORGS LÄN</t>
        </is>
      </c>
      <c r="E865" t="inlineStr">
        <is>
          <t>LJUSDAL</t>
        </is>
      </c>
      <c r="G865" t="n">
        <v>2.9</v>
      </c>
      <c r="H865" t="n">
        <v>0</v>
      </c>
      <c r="I865" t="n">
        <v>0</v>
      </c>
      <c r="J865" t="n">
        <v>0</v>
      </c>
      <c r="K865" t="n">
        <v>0</v>
      </c>
      <c r="L865" t="n">
        <v>0</v>
      </c>
      <c r="M865" t="n">
        <v>0</v>
      </c>
      <c r="N865" t="n">
        <v>0</v>
      </c>
      <c r="O865" t="n">
        <v>0</v>
      </c>
      <c r="P865" t="n">
        <v>0</v>
      </c>
      <c r="Q865" t="n">
        <v>0</v>
      </c>
      <c r="R865" s="2" t="inlineStr"/>
    </row>
    <row r="866" ht="15" customHeight="1">
      <c r="A866" t="inlineStr">
        <is>
          <t>A 36213-2025</t>
        </is>
      </c>
      <c r="B866" s="1" t="n">
        <v>45867.48995370371</v>
      </c>
      <c r="C866" s="1" t="n">
        <v>46036</v>
      </c>
      <c r="D866" t="inlineStr">
        <is>
          <t>GÄVLEBORGS LÄN</t>
        </is>
      </c>
      <c r="E866" t="inlineStr">
        <is>
          <t>LJUSDAL</t>
        </is>
      </c>
      <c r="G866" t="n">
        <v>0.6</v>
      </c>
      <c r="H866" t="n">
        <v>0</v>
      </c>
      <c r="I866" t="n">
        <v>0</v>
      </c>
      <c r="J866" t="n">
        <v>0</v>
      </c>
      <c r="K866" t="n">
        <v>0</v>
      </c>
      <c r="L866" t="n">
        <v>0</v>
      </c>
      <c r="M866" t="n">
        <v>0</v>
      </c>
      <c r="N866" t="n">
        <v>0</v>
      </c>
      <c r="O866" t="n">
        <v>0</v>
      </c>
      <c r="P866" t="n">
        <v>0</v>
      </c>
      <c r="Q866" t="n">
        <v>0</v>
      </c>
      <c r="R866" s="2" t="inlineStr"/>
    </row>
    <row r="867" ht="15" customHeight="1">
      <c r="A867" t="inlineStr">
        <is>
          <t>A 36047-2025</t>
        </is>
      </c>
      <c r="B867" s="1" t="n">
        <v>45866.36804398148</v>
      </c>
      <c r="C867" s="1" t="n">
        <v>46036</v>
      </c>
      <c r="D867" t="inlineStr">
        <is>
          <t>GÄVLEBORGS LÄN</t>
        </is>
      </c>
      <c r="E867" t="inlineStr">
        <is>
          <t>LJUSDAL</t>
        </is>
      </c>
      <c r="G867" t="n">
        <v>2.2</v>
      </c>
      <c r="H867" t="n">
        <v>0</v>
      </c>
      <c r="I867" t="n">
        <v>0</v>
      </c>
      <c r="J867" t="n">
        <v>0</v>
      </c>
      <c r="K867" t="n">
        <v>0</v>
      </c>
      <c r="L867" t="n">
        <v>0</v>
      </c>
      <c r="M867" t="n">
        <v>0</v>
      </c>
      <c r="N867" t="n">
        <v>0</v>
      </c>
      <c r="O867" t="n">
        <v>0</v>
      </c>
      <c r="P867" t="n">
        <v>0</v>
      </c>
      <c r="Q867" t="n">
        <v>0</v>
      </c>
      <c r="R867" s="2" t="inlineStr"/>
    </row>
    <row r="868" ht="15" customHeight="1">
      <c r="A868" t="inlineStr">
        <is>
          <t>A 36227-2025</t>
        </is>
      </c>
      <c r="B868" s="1" t="n">
        <v>45867.53137731482</v>
      </c>
      <c r="C868" s="1" t="n">
        <v>46036</v>
      </c>
      <c r="D868" t="inlineStr">
        <is>
          <t>GÄVLEBORGS LÄN</t>
        </is>
      </c>
      <c r="E868" t="inlineStr">
        <is>
          <t>LJUSDAL</t>
        </is>
      </c>
      <c r="G868" t="n">
        <v>13.5</v>
      </c>
      <c r="H868" t="n">
        <v>0</v>
      </c>
      <c r="I868" t="n">
        <v>0</v>
      </c>
      <c r="J868" t="n">
        <v>0</v>
      </c>
      <c r="K868" t="n">
        <v>0</v>
      </c>
      <c r="L868" t="n">
        <v>0</v>
      </c>
      <c r="M868" t="n">
        <v>0</v>
      </c>
      <c r="N868" t="n">
        <v>0</v>
      </c>
      <c r="O868" t="n">
        <v>0</v>
      </c>
      <c r="P868" t="n">
        <v>0</v>
      </c>
      <c r="Q868" t="n">
        <v>0</v>
      </c>
      <c r="R868" s="2" t="inlineStr"/>
    </row>
    <row r="869" ht="15" customHeight="1">
      <c r="A869" t="inlineStr">
        <is>
          <t>A 36079-2025</t>
        </is>
      </c>
      <c r="B869" s="1" t="n">
        <v>45866.4482175926</v>
      </c>
      <c r="C869" s="1" t="n">
        <v>46036</v>
      </c>
      <c r="D869" t="inlineStr">
        <is>
          <t>GÄVLEBORGS LÄN</t>
        </is>
      </c>
      <c r="E869" t="inlineStr">
        <is>
          <t>LJUSDAL</t>
        </is>
      </c>
      <c r="G869" t="n">
        <v>4.3</v>
      </c>
      <c r="H869" t="n">
        <v>0</v>
      </c>
      <c r="I869" t="n">
        <v>0</v>
      </c>
      <c r="J869" t="n">
        <v>0</v>
      </c>
      <c r="K869" t="n">
        <v>0</v>
      </c>
      <c r="L869" t="n">
        <v>0</v>
      </c>
      <c r="M869" t="n">
        <v>0</v>
      </c>
      <c r="N869" t="n">
        <v>0</v>
      </c>
      <c r="O869" t="n">
        <v>0</v>
      </c>
      <c r="P869" t="n">
        <v>0</v>
      </c>
      <c r="Q869" t="n">
        <v>0</v>
      </c>
      <c r="R869" s="2" t="inlineStr"/>
    </row>
    <row r="870" ht="15" customHeight="1">
      <c r="A870" t="inlineStr">
        <is>
          <t>A 51238-2023</t>
        </is>
      </c>
      <c r="B870" s="1" t="n">
        <v>45219.46576388889</v>
      </c>
      <c r="C870" s="1" t="n">
        <v>46036</v>
      </c>
      <c r="D870" t="inlineStr">
        <is>
          <t>GÄVLEBORGS LÄN</t>
        </is>
      </c>
      <c r="E870" t="inlineStr">
        <is>
          <t>LJUSDAL</t>
        </is>
      </c>
      <c r="F870" t="inlineStr">
        <is>
          <t>Sveaskog</t>
        </is>
      </c>
      <c r="G870" t="n">
        <v>2.4</v>
      </c>
      <c r="H870" t="n">
        <v>0</v>
      </c>
      <c r="I870" t="n">
        <v>0</v>
      </c>
      <c r="J870" t="n">
        <v>0</v>
      </c>
      <c r="K870" t="n">
        <v>0</v>
      </c>
      <c r="L870" t="n">
        <v>0</v>
      </c>
      <c r="M870" t="n">
        <v>0</v>
      </c>
      <c r="N870" t="n">
        <v>0</v>
      </c>
      <c r="O870" t="n">
        <v>0</v>
      </c>
      <c r="P870" t="n">
        <v>0</v>
      </c>
      <c r="Q870" t="n">
        <v>0</v>
      </c>
      <c r="R870" s="2" t="inlineStr"/>
    </row>
    <row r="871" ht="15" customHeight="1">
      <c r="A871" t="inlineStr">
        <is>
          <t>A 57673-2024</t>
        </is>
      </c>
      <c r="B871" s="1" t="n">
        <v>45630.62938657407</v>
      </c>
      <c r="C871" s="1" t="n">
        <v>46036</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44955-2025</t>
        </is>
      </c>
      <c r="B872" s="1" t="n">
        <v>45918.61378472222</v>
      </c>
      <c r="C872" s="1" t="n">
        <v>46036</v>
      </c>
      <c r="D872" t="inlineStr">
        <is>
          <t>GÄVLEBORGS LÄN</t>
        </is>
      </c>
      <c r="E872" t="inlineStr">
        <is>
          <t>LJUSDAL</t>
        </is>
      </c>
      <c r="G872" t="n">
        <v>1.7</v>
      </c>
      <c r="H872" t="n">
        <v>0</v>
      </c>
      <c r="I872" t="n">
        <v>0</v>
      </c>
      <c r="J872" t="n">
        <v>0</v>
      </c>
      <c r="K872" t="n">
        <v>0</v>
      </c>
      <c r="L872" t="n">
        <v>0</v>
      </c>
      <c r="M872" t="n">
        <v>0</v>
      </c>
      <c r="N872" t="n">
        <v>0</v>
      </c>
      <c r="O872" t="n">
        <v>0</v>
      </c>
      <c r="P872" t="n">
        <v>0</v>
      </c>
      <c r="Q872" t="n">
        <v>0</v>
      </c>
      <c r="R872" s="2" t="inlineStr"/>
    </row>
    <row r="873" ht="15" customHeight="1">
      <c r="A873" t="inlineStr">
        <is>
          <t>A 38557-2025</t>
        </is>
      </c>
      <c r="B873" s="1" t="n">
        <v>45884.44524305555</v>
      </c>
      <c r="C873" s="1" t="n">
        <v>46036</v>
      </c>
      <c r="D873" t="inlineStr">
        <is>
          <t>GÄVLEBORGS LÄN</t>
        </is>
      </c>
      <c r="E873" t="inlineStr">
        <is>
          <t>LJUSDAL</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44994-2025</t>
        </is>
      </c>
      <c r="B874" s="1" t="n">
        <v>45918.65791666666</v>
      </c>
      <c r="C874" s="1" t="n">
        <v>46036</v>
      </c>
      <c r="D874" t="inlineStr">
        <is>
          <t>GÄVLEBORGS LÄN</t>
        </is>
      </c>
      <c r="E874" t="inlineStr">
        <is>
          <t>LJUSDAL</t>
        </is>
      </c>
      <c r="G874" t="n">
        <v>2.8</v>
      </c>
      <c r="H874" t="n">
        <v>0</v>
      </c>
      <c r="I874" t="n">
        <v>0</v>
      </c>
      <c r="J874" t="n">
        <v>0</v>
      </c>
      <c r="K874" t="n">
        <v>0</v>
      </c>
      <c r="L874" t="n">
        <v>0</v>
      </c>
      <c r="M874" t="n">
        <v>0</v>
      </c>
      <c r="N874" t="n">
        <v>0</v>
      </c>
      <c r="O874" t="n">
        <v>0</v>
      </c>
      <c r="P874" t="n">
        <v>0</v>
      </c>
      <c r="Q874" t="n">
        <v>0</v>
      </c>
      <c r="R874" s="2" t="inlineStr"/>
    </row>
    <row r="875" ht="15" customHeight="1">
      <c r="A875" t="inlineStr">
        <is>
          <t>A 45142-2025</t>
        </is>
      </c>
      <c r="B875" s="1" t="n">
        <v>45919.45673611111</v>
      </c>
      <c r="C875" s="1" t="n">
        <v>46036</v>
      </c>
      <c r="D875" t="inlineStr">
        <is>
          <t>GÄVLEBORGS LÄN</t>
        </is>
      </c>
      <c r="E875" t="inlineStr">
        <is>
          <t>LJUSDAL</t>
        </is>
      </c>
      <c r="G875" t="n">
        <v>3.8</v>
      </c>
      <c r="H875" t="n">
        <v>0</v>
      </c>
      <c r="I875" t="n">
        <v>0</v>
      </c>
      <c r="J875" t="n">
        <v>0</v>
      </c>
      <c r="K875" t="n">
        <v>0</v>
      </c>
      <c r="L875" t="n">
        <v>0</v>
      </c>
      <c r="M875" t="n">
        <v>0</v>
      </c>
      <c r="N875" t="n">
        <v>0</v>
      </c>
      <c r="O875" t="n">
        <v>0</v>
      </c>
      <c r="P875" t="n">
        <v>0</v>
      </c>
      <c r="Q875" t="n">
        <v>0</v>
      </c>
      <c r="R875" s="2" t="inlineStr"/>
    </row>
    <row r="876" ht="15" customHeight="1">
      <c r="A876" t="inlineStr">
        <is>
          <t>A 206-2025</t>
        </is>
      </c>
      <c r="B876" s="1" t="n">
        <v>45660.3234837963</v>
      </c>
      <c r="C876" s="1" t="n">
        <v>46036</v>
      </c>
      <c r="D876" t="inlineStr">
        <is>
          <t>GÄVLEBORGS LÄN</t>
        </is>
      </c>
      <c r="E876" t="inlineStr">
        <is>
          <t>LJUSDAL</t>
        </is>
      </c>
      <c r="G876" t="n">
        <v>5.8</v>
      </c>
      <c r="H876" t="n">
        <v>0</v>
      </c>
      <c r="I876" t="n">
        <v>0</v>
      </c>
      <c r="J876" t="n">
        <v>0</v>
      </c>
      <c r="K876" t="n">
        <v>0</v>
      </c>
      <c r="L876" t="n">
        <v>0</v>
      </c>
      <c r="M876" t="n">
        <v>0</v>
      </c>
      <c r="N876" t="n">
        <v>0</v>
      </c>
      <c r="O876" t="n">
        <v>0</v>
      </c>
      <c r="P876" t="n">
        <v>0</v>
      </c>
      <c r="Q876" t="n">
        <v>0</v>
      </c>
      <c r="R876" s="2" t="inlineStr"/>
    </row>
    <row r="877" ht="15" customHeight="1">
      <c r="A877" t="inlineStr">
        <is>
          <t>A 209-2025</t>
        </is>
      </c>
      <c r="B877" s="1" t="n">
        <v>45660.33010416666</v>
      </c>
      <c r="C877" s="1" t="n">
        <v>46036</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268-2025</t>
        </is>
      </c>
      <c r="B878" s="1" t="n">
        <v>45660</v>
      </c>
      <c r="C878" s="1" t="n">
        <v>46036</v>
      </c>
      <c r="D878" t="inlineStr">
        <is>
          <t>GÄVLEBORGS LÄN</t>
        </is>
      </c>
      <c r="E878" t="inlineStr">
        <is>
          <t>LJUSDAL</t>
        </is>
      </c>
      <c r="G878" t="n">
        <v>4</v>
      </c>
      <c r="H878" t="n">
        <v>0</v>
      </c>
      <c r="I878" t="n">
        <v>0</v>
      </c>
      <c r="J878" t="n">
        <v>0</v>
      </c>
      <c r="K878" t="n">
        <v>0</v>
      </c>
      <c r="L878" t="n">
        <v>0</v>
      </c>
      <c r="M878" t="n">
        <v>0</v>
      </c>
      <c r="N878" t="n">
        <v>0</v>
      </c>
      <c r="O878" t="n">
        <v>0</v>
      </c>
      <c r="P878" t="n">
        <v>0</v>
      </c>
      <c r="Q878" t="n">
        <v>0</v>
      </c>
      <c r="R878" s="2" t="inlineStr"/>
    </row>
    <row r="879" ht="15" customHeight="1">
      <c r="A879" t="inlineStr">
        <is>
          <t>A 36317-2025</t>
        </is>
      </c>
      <c r="B879" s="1" t="n">
        <v>45868.37267361111</v>
      </c>
      <c r="C879" s="1" t="n">
        <v>46036</v>
      </c>
      <c r="D879" t="inlineStr">
        <is>
          <t>GÄVLEBORGS LÄN</t>
        </is>
      </c>
      <c r="E879" t="inlineStr">
        <is>
          <t>LJUSDAL</t>
        </is>
      </c>
      <c r="G879" t="n">
        <v>7.7</v>
      </c>
      <c r="H879" t="n">
        <v>0</v>
      </c>
      <c r="I879" t="n">
        <v>0</v>
      </c>
      <c r="J879" t="n">
        <v>0</v>
      </c>
      <c r="K879" t="n">
        <v>0</v>
      </c>
      <c r="L879" t="n">
        <v>0</v>
      </c>
      <c r="M879" t="n">
        <v>0</v>
      </c>
      <c r="N879" t="n">
        <v>0</v>
      </c>
      <c r="O879" t="n">
        <v>0</v>
      </c>
      <c r="P879" t="n">
        <v>0</v>
      </c>
      <c r="Q879" t="n">
        <v>0</v>
      </c>
      <c r="R879" s="2" t="inlineStr"/>
    </row>
    <row r="880" ht="15" customHeight="1">
      <c r="A880" t="inlineStr">
        <is>
          <t>A 36318-2025</t>
        </is>
      </c>
      <c r="B880" s="1" t="n">
        <v>45868.37643518519</v>
      </c>
      <c r="C880" s="1" t="n">
        <v>46036</v>
      </c>
      <c r="D880" t="inlineStr">
        <is>
          <t>GÄVLEBORGS LÄN</t>
        </is>
      </c>
      <c r="E880" t="inlineStr">
        <is>
          <t>LJUSDAL</t>
        </is>
      </c>
      <c r="G880" t="n">
        <v>10.2</v>
      </c>
      <c r="H880" t="n">
        <v>0</v>
      </c>
      <c r="I880" t="n">
        <v>0</v>
      </c>
      <c r="J880" t="n">
        <v>0</v>
      </c>
      <c r="K880" t="n">
        <v>0</v>
      </c>
      <c r="L880" t="n">
        <v>0</v>
      </c>
      <c r="M880" t="n">
        <v>0</v>
      </c>
      <c r="N880" t="n">
        <v>0</v>
      </c>
      <c r="O880" t="n">
        <v>0</v>
      </c>
      <c r="P880" t="n">
        <v>0</v>
      </c>
      <c r="Q880" t="n">
        <v>0</v>
      </c>
      <c r="R880" s="2" t="inlineStr"/>
    </row>
    <row r="881" ht="15" customHeight="1">
      <c r="A881" t="inlineStr">
        <is>
          <t>A 36354-2025</t>
        </is>
      </c>
      <c r="B881" s="1" t="n">
        <v>45868.48991898148</v>
      </c>
      <c r="C881" s="1" t="n">
        <v>46036</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45847-2025</t>
        </is>
      </c>
      <c r="B882" s="1" t="n">
        <v>45923.6159837963</v>
      </c>
      <c r="C882" s="1" t="n">
        <v>46036</v>
      </c>
      <c r="D882" t="inlineStr">
        <is>
          <t>GÄVLEBORGS LÄN</t>
        </is>
      </c>
      <c r="E882" t="inlineStr">
        <is>
          <t>LJUSDAL</t>
        </is>
      </c>
      <c r="F882" t="inlineStr">
        <is>
          <t>Allmännings- och besparingsskogar</t>
        </is>
      </c>
      <c r="G882" t="n">
        <v>16.4</v>
      </c>
      <c r="H882" t="n">
        <v>0</v>
      </c>
      <c r="I882" t="n">
        <v>0</v>
      </c>
      <c r="J882" t="n">
        <v>0</v>
      </c>
      <c r="K882" t="n">
        <v>0</v>
      </c>
      <c r="L882" t="n">
        <v>0</v>
      </c>
      <c r="M882" t="n">
        <v>0</v>
      </c>
      <c r="N882" t="n">
        <v>0</v>
      </c>
      <c r="O882" t="n">
        <v>0</v>
      </c>
      <c r="P882" t="n">
        <v>0</v>
      </c>
      <c r="Q882" t="n">
        <v>0</v>
      </c>
      <c r="R882" s="2" t="inlineStr"/>
    </row>
    <row r="883" ht="15" customHeight="1">
      <c r="A883" t="inlineStr">
        <is>
          <t>A 18800-2025</t>
        </is>
      </c>
      <c r="B883" s="1" t="n">
        <v>45764.34707175926</v>
      </c>
      <c r="C883" s="1" t="n">
        <v>46036</v>
      </c>
      <c r="D883" t="inlineStr">
        <is>
          <t>GÄVLEBORGS LÄN</t>
        </is>
      </c>
      <c r="E883" t="inlineStr">
        <is>
          <t>LJUSDAL</t>
        </is>
      </c>
      <c r="F883" t="inlineStr">
        <is>
          <t>Sveaskog</t>
        </is>
      </c>
      <c r="G883" t="n">
        <v>2.5</v>
      </c>
      <c r="H883" t="n">
        <v>0</v>
      </c>
      <c r="I883" t="n">
        <v>0</v>
      </c>
      <c r="J883" t="n">
        <v>0</v>
      </c>
      <c r="K883" t="n">
        <v>0</v>
      </c>
      <c r="L883" t="n">
        <v>0</v>
      </c>
      <c r="M883" t="n">
        <v>0</v>
      </c>
      <c r="N883" t="n">
        <v>0</v>
      </c>
      <c r="O883" t="n">
        <v>0</v>
      </c>
      <c r="P883" t="n">
        <v>0</v>
      </c>
      <c r="Q883" t="n">
        <v>0</v>
      </c>
      <c r="R883" s="2" t="inlineStr"/>
    </row>
    <row r="884" ht="15" customHeight="1">
      <c r="A884" t="inlineStr">
        <is>
          <t>A 28024-2024</t>
        </is>
      </c>
      <c r="B884" s="1" t="n">
        <v>45476.48216435185</v>
      </c>
      <c r="C884" s="1" t="n">
        <v>46036</v>
      </c>
      <c r="D884" t="inlineStr">
        <is>
          <t>GÄVLEBORGS LÄN</t>
        </is>
      </c>
      <c r="E884" t="inlineStr">
        <is>
          <t>LJUSDAL</t>
        </is>
      </c>
      <c r="G884" t="n">
        <v>2.4</v>
      </c>
      <c r="H884" t="n">
        <v>0</v>
      </c>
      <c r="I884" t="n">
        <v>0</v>
      </c>
      <c r="J884" t="n">
        <v>0</v>
      </c>
      <c r="K884" t="n">
        <v>0</v>
      </c>
      <c r="L884" t="n">
        <v>0</v>
      </c>
      <c r="M884" t="n">
        <v>0</v>
      </c>
      <c r="N884" t="n">
        <v>0</v>
      </c>
      <c r="O884" t="n">
        <v>0</v>
      </c>
      <c r="P884" t="n">
        <v>0</v>
      </c>
      <c r="Q884" t="n">
        <v>0</v>
      </c>
      <c r="R884" s="2" t="inlineStr"/>
    </row>
    <row r="885" ht="15" customHeight="1">
      <c r="A885" t="inlineStr">
        <is>
          <t>A 29367-2025</t>
        </is>
      </c>
      <c r="B885" s="1" t="n">
        <v>45824.57157407407</v>
      </c>
      <c r="C885" s="1" t="n">
        <v>46036</v>
      </c>
      <c r="D885" t="inlineStr">
        <is>
          <t>GÄVLEBORGS LÄN</t>
        </is>
      </c>
      <c r="E885" t="inlineStr">
        <is>
          <t>LJUSDAL</t>
        </is>
      </c>
      <c r="G885" t="n">
        <v>7.2</v>
      </c>
      <c r="H885" t="n">
        <v>0</v>
      </c>
      <c r="I885" t="n">
        <v>0</v>
      </c>
      <c r="J885" t="n">
        <v>0</v>
      </c>
      <c r="K885" t="n">
        <v>0</v>
      </c>
      <c r="L885" t="n">
        <v>0</v>
      </c>
      <c r="M885" t="n">
        <v>0</v>
      </c>
      <c r="N885" t="n">
        <v>0</v>
      </c>
      <c r="O885" t="n">
        <v>0</v>
      </c>
      <c r="P885" t="n">
        <v>0</v>
      </c>
      <c r="Q885" t="n">
        <v>0</v>
      </c>
      <c r="R885" s="2" t="inlineStr"/>
    </row>
    <row r="886" ht="15" customHeight="1">
      <c r="A886" t="inlineStr">
        <is>
          <t>A 36352-2025</t>
        </is>
      </c>
      <c r="B886" s="1" t="n">
        <v>45868.48983796296</v>
      </c>
      <c r="C886" s="1" t="n">
        <v>46036</v>
      </c>
      <c r="D886" t="inlineStr">
        <is>
          <t>GÄVLEBORGS LÄN</t>
        </is>
      </c>
      <c r="E886" t="inlineStr">
        <is>
          <t>LJUSDAL</t>
        </is>
      </c>
      <c r="G886" t="n">
        <v>5.7</v>
      </c>
      <c r="H886" t="n">
        <v>0</v>
      </c>
      <c r="I886" t="n">
        <v>0</v>
      </c>
      <c r="J886" t="n">
        <v>0</v>
      </c>
      <c r="K886" t="n">
        <v>0</v>
      </c>
      <c r="L886" t="n">
        <v>0</v>
      </c>
      <c r="M886" t="n">
        <v>0</v>
      </c>
      <c r="N886" t="n">
        <v>0</v>
      </c>
      <c r="O886" t="n">
        <v>0</v>
      </c>
      <c r="P886" t="n">
        <v>0</v>
      </c>
      <c r="Q886" t="n">
        <v>0</v>
      </c>
      <c r="R886" s="2" t="inlineStr"/>
    </row>
    <row r="887" ht="15" customHeight="1">
      <c r="A887" t="inlineStr">
        <is>
          <t>A 36353-2025</t>
        </is>
      </c>
      <c r="B887" s="1" t="n">
        <v>45868.48988425926</v>
      </c>
      <c r="C887" s="1" t="n">
        <v>46036</v>
      </c>
      <c r="D887" t="inlineStr">
        <is>
          <t>GÄVLEBORGS LÄN</t>
        </is>
      </c>
      <c r="E887" t="inlineStr">
        <is>
          <t>LJUSDAL</t>
        </is>
      </c>
      <c r="G887" t="n">
        <v>2.1</v>
      </c>
      <c r="H887" t="n">
        <v>0</v>
      </c>
      <c r="I887" t="n">
        <v>0</v>
      </c>
      <c r="J887" t="n">
        <v>0</v>
      </c>
      <c r="K887" t="n">
        <v>0</v>
      </c>
      <c r="L887" t="n">
        <v>0</v>
      </c>
      <c r="M887" t="n">
        <v>0</v>
      </c>
      <c r="N887" t="n">
        <v>0</v>
      </c>
      <c r="O887" t="n">
        <v>0</v>
      </c>
      <c r="P887" t="n">
        <v>0</v>
      </c>
      <c r="Q887" t="n">
        <v>0</v>
      </c>
      <c r="R887" s="2" t="inlineStr"/>
    </row>
    <row r="888" ht="15" customHeight="1">
      <c r="A888" t="inlineStr">
        <is>
          <t>A 33386-2024</t>
        </is>
      </c>
      <c r="B888" s="1" t="n">
        <v>45519.47221064815</v>
      </c>
      <c r="C888" s="1" t="n">
        <v>46036</v>
      </c>
      <c r="D888" t="inlineStr">
        <is>
          <t>GÄVLEBORGS LÄN</t>
        </is>
      </c>
      <c r="E888" t="inlineStr">
        <is>
          <t>LJUSDAL</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34641-2025</t>
        </is>
      </c>
      <c r="B889" s="1" t="n">
        <v>45848</v>
      </c>
      <c r="C889" s="1" t="n">
        <v>46036</v>
      </c>
      <c r="D889" t="inlineStr">
        <is>
          <t>GÄVLEBORGS LÄN</t>
        </is>
      </c>
      <c r="E889" t="inlineStr">
        <is>
          <t>LJUSDAL</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12886-2025</t>
        </is>
      </c>
      <c r="B890" s="1" t="n">
        <v>45733.69862268519</v>
      </c>
      <c r="C890" s="1" t="n">
        <v>46036</v>
      </c>
      <c r="D890" t="inlineStr">
        <is>
          <t>GÄVLEBORGS LÄN</t>
        </is>
      </c>
      <c r="E890" t="inlineStr">
        <is>
          <t>LJUSDAL</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57269-2022</t>
        </is>
      </c>
      <c r="B891" s="1" t="n">
        <v>44895</v>
      </c>
      <c r="C891" s="1" t="n">
        <v>46036</v>
      </c>
      <c r="D891" t="inlineStr">
        <is>
          <t>GÄVLEBORGS LÄN</t>
        </is>
      </c>
      <c r="E891" t="inlineStr">
        <is>
          <t>LJUSDAL</t>
        </is>
      </c>
      <c r="G891" t="n">
        <v>0.5</v>
      </c>
      <c r="H891" t="n">
        <v>0</v>
      </c>
      <c r="I891" t="n">
        <v>0</v>
      </c>
      <c r="J891" t="n">
        <v>0</v>
      </c>
      <c r="K891" t="n">
        <v>0</v>
      </c>
      <c r="L891" t="n">
        <v>0</v>
      </c>
      <c r="M891" t="n">
        <v>0</v>
      </c>
      <c r="N891" t="n">
        <v>0</v>
      </c>
      <c r="O891" t="n">
        <v>0</v>
      </c>
      <c r="P891" t="n">
        <v>0</v>
      </c>
      <c r="Q891" t="n">
        <v>0</v>
      </c>
      <c r="R891" s="2" t="inlineStr"/>
    </row>
    <row r="892" ht="15" customHeight="1">
      <c r="A892" t="inlineStr">
        <is>
          <t>A 55291-2024</t>
        </is>
      </c>
      <c r="B892" s="1" t="n">
        <v>45621.63578703703</v>
      </c>
      <c r="C892" s="1" t="n">
        <v>46036</v>
      </c>
      <c r="D892" t="inlineStr">
        <is>
          <t>GÄVLEBORGS LÄN</t>
        </is>
      </c>
      <c r="E892" t="inlineStr">
        <is>
          <t>LJUSDAL</t>
        </is>
      </c>
      <c r="F892" t="inlineStr">
        <is>
          <t>Sveaskog</t>
        </is>
      </c>
      <c r="G892" t="n">
        <v>4.5</v>
      </c>
      <c r="H892" t="n">
        <v>0</v>
      </c>
      <c r="I892" t="n">
        <v>0</v>
      </c>
      <c r="J892" t="n">
        <v>0</v>
      </c>
      <c r="K892" t="n">
        <v>0</v>
      </c>
      <c r="L892" t="n">
        <v>0</v>
      </c>
      <c r="M892" t="n">
        <v>0</v>
      </c>
      <c r="N892" t="n">
        <v>0</v>
      </c>
      <c r="O892" t="n">
        <v>0</v>
      </c>
      <c r="P892" t="n">
        <v>0</v>
      </c>
      <c r="Q892" t="n">
        <v>0</v>
      </c>
      <c r="R892" s="2" t="inlineStr"/>
    </row>
    <row r="893" ht="15" customHeight="1">
      <c r="A893" t="inlineStr">
        <is>
          <t>A 6844-2024</t>
        </is>
      </c>
      <c r="B893" s="1" t="n">
        <v>45342.62732638889</v>
      </c>
      <c r="C893" s="1" t="n">
        <v>46036</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45819-2025</t>
        </is>
      </c>
      <c r="B894" s="1" t="n">
        <v>45923.59686342593</v>
      </c>
      <c r="C894" s="1" t="n">
        <v>46036</v>
      </c>
      <c r="D894" t="inlineStr">
        <is>
          <t>GÄVLEBORGS LÄN</t>
        </is>
      </c>
      <c r="E894" t="inlineStr">
        <is>
          <t>LJUSDAL</t>
        </is>
      </c>
      <c r="G894" t="n">
        <v>6.5</v>
      </c>
      <c r="H894" t="n">
        <v>0</v>
      </c>
      <c r="I894" t="n">
        <v>0</v>
      </c>
      <c r="J894" t="n">
        <v>0</v>
      </c>
      <c r="K894" t="n">
        <v>0</v>
      </c>
      <c r="L894" t="n">
        <v>0</v>
      </c>
      <c r="M894" t="n">
        <v>0</v>
      </c>
      <c r="N894" t="n">
        <v>0</v>
      </c>
      <c r="O894" t="n">
        <v>0</v>
      </c>
      <c r="P894" t="n">
        <v>0</v>
      </c>
      <c r="Q894" t="n">
        <v>0</v>
      </c>
      <c r="R894" s="2" t="inlineStr"/>
    </row>
    <row r="895" ht="15" customHeight="1">
      <c r="A895" t="inlineStr">
        <is>
          <t>A 36745-2025</t>
        </is>
      </c>
      <c r="B895" s="1" t="n">
        <v>45873.54413194444</v>
      </c>
      <c r="C895" s="1" t="n">
        <v>46036</v>
      </c>
      <c r="D895" t="inlineStr">
        <is>
          <t>GÄVLEBORGS LÄN</t>
        </is>
      </c>
      <c r="E895" t="inlineStr">
        <is>
          <t>LJUSDAL</t>
        </is>
      </c>
      <c r="F895" t="inlineStr">
        <is>
          <t>Bergvik skog väst AB</t>
        </is>
      </c>
      <c r="G895" t="n">
        <v>0.5</v>
      </c>
      <c r="H895" t="n">
        <v>0</v>
      </c>
      <c r="I895" t="n">
        <v>0</v>
      </c>
      <c r="J895" t="n">
        <v>0</v>
      </c>
      <c r="K895" t="n">
        <v>0</v>
      </c>
      <c r="L895" t="n">
        <v>0</v>
      </c>
      <c r="M895" t="n">
        <v>0</v>
      </c>
      <c r="N895" t="n">
        <v>0</v>
      </c>
      <c r="O895" t="n">
        <v>0</v>
      </c>
      <c r="P895" t="n">
        <v>0</v>
      </c>
      <c r="Q895" t="n">
        <v>0</v>
      </c>
      <c r="R895" s="2" t="inlineStr"/>
    </row>
    <row r="896" ht="15" customHeight="1">
      <c r="A896" t="inlineStr">
        <is>
          <t>A 45450-2025</t>
        </is>
      </c>
      <c r="B896" s="1" t="n">
        <v>45922</v>
      </c>
      <c r="C896" s="1" t="n">
        <v>46036</v>
      </c>
      <c r="D896" t="inlineStr">
        <is>
          <t>GÄVLEBORGS LÄN</t>
        </is>
      </c>
      <c r="E896" t="inlineStr">
        <is>
          <t>LJUSDAL</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36784-2025</t>
        </is>
      </c>
      <c r="B897" s="1" t="n">
        <v>45873.6207175926</v>
      </c>
      <c r="C897" s="1" t="n">
        <v>46036</v>
      </c>
      <c r="D897" t="inlineStr">
        <is>
          <t>GÄVLEBORGS LÄN</t>
        </is>
      </c>
      <c r="E897" t="inlineStr">
        <is>
          <t>LJUSDAL</t>
        </is>
      </c>
      <c r="F897" t="inlineStr">
        <is>
          <t>Bergvik skog väst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46502-2024</t>
        </is>
      </c>
      <c r="B898" s="1" t="n">
        <v>45582.60079861111</v>
      </c>
      <c r="C898" s="1" t="n">
        <v>46036</v>
      </c>
      <c r="D898" t="inlineStr">
        <is>
          <t>GÄVLEBORGS LÄN</t>
        </is>
      </c>
      <c r="E898" t="inlineStr">
        <is>
          <t>LJUSDAL</t>
        </is>
      </c>
      <c r="G898" t="n">
        <v>2.4</v>
      </c>
      <c r="H898" t="n">
        <v>0</v>
      </c>
      <c r="I898" t="n">
        <v>0</v>
      </c>
      <c r="J898" t="n">
        <v>0</v>
      </c>
      <c r="K898" t="n">
        <v>0</v>
      </c>
      <c r="L898" t="n">
        <v>0</v>
      </c>
      <c r="M898" t="n">
        <v>0</v>
      </c>
      <c r="N898" t="n">
        <v>0</v>
      </c>
      <c r="O898" t="n">
        <v>0</v>
      </c>
      <c r="P898" t="n">
        <v>0</v>
      </c>
      <c r="Q898" t="n">
        <v>0</v>
      </c>
      <c r="R898" s="2" t="inlineStr"/>
    </row>
    <row r="899" ht="15" customHeight="1">
      <c r="A899" t="inlineStr">
        <is>
          <t>A 4095-2024</t>
        </is>
      </c>
      <c r="B899" s="1" t="n">
        <v>45323</v>
      </c>
      <c r="C899" s="1" t="n">
        <v>46036</v>
      </c>
      <c r="D899" t="inlineStr">
        <is>
          <t>GÄVLEBORGS LÄN</t>
        </is>
      </c>
      <c r="E899" t="inlineStr">
        <is>
          <t>LJUSDAL</t>
        </is>
      </c>
      <c r="G899" t="n">
        <v>0.6</v>
      </c>
      <c r="H899" t="n">
        <v>0</v>
      </c>
      <c r="I899" t="n">
        <v>0</v>
      </c>
      <c r="J899" t="n">
        <v>0</v>
      </c>
      <c r="K899" t="n">
        <v>0</v>
      </c>
      <c r="L899" t="n">
        <v>0</v>
      </c>
      <c r="M899" t="n">
        <v>0</v>
      </c>
      <c r="N899" t="n">
        <v>0</v>
      </c>
      <c r="O899" t="n">
        <v>0</v>
      </c>
      <c r="P899" t="n">
        <v>0</v>
      </c>
      <c r="Q899" t="n">
        <v>0</v>
      </c>
      <c r="R899" s="2" t="inlineStr"/>
    </row>
    <row r="900" ht="15" customHeight="1">
      <c r="A900" t="inlineStr">
        <is>
          <t>A 18914-2024</t>
        </is>
      </c>
      <c r="B900" s="1" t="n">
        <v>45427.383125</v>
      </c>
      <c r="C900" s="1" t="n">
        <v>46036</v>
      </c>
      <c r="D900" t="inlineStr">
        <is>
          <t>GÄVLEBORGS LÄN</t>
        </is>
      </c>
      <c r="E900" t="inlineStr">
        <is>
          <t>LJUSDAL</t>
        </is>
      </c>
      <c r="G900" t="n">
        <v>1</v>
      </c>
      <c r="H900" t="n">
        <v>0</v>
      </c>
      <c r="I900" t="n">
        <v>0</v>
      </c>
      <c r="J900" t="n">
        <v>0</v>
      </c>
      <c r="K900" t="n">
        <v>0</v>
      </c>
      <c r="L900" t="n">
        <v>0</v>
      </c>
      <c r="M900" t="n">
        <v>0</v>
      </c>
      <c r="N900" t="n">
        <v>0</v>
      </c>
      <c r="O900" t="n">
        <v>0</v>
      </c>
      <c r="P900" t="n">
        <v>0</v>
      </c>
      <c r="Q900" t="n">
        <v>0</v>
      </c>
      <c r="R900" s="2" t="inlineStr"/>
    </row>
    <row r="901" ht="15" customHeight="1">
      <c r="A901" t="inlineStr">
        <is>
          <t>A 36660-2025</t>
        </is>
      </c>
      <c r="B901" s="1" t="n">
        <v>45873.35680555556</v>
      </c>
      <c r="C901" s="1" t="n">
        <v>46036</v>
      </c>
      <c r="D901" t="inlineStr">
        <is>
          <t>GÄVLEBORGS LÄN</t>
        </is>
      </c>
      <c r="E901" t="inlineStr">
        <is>
          <t>LJUSDAL</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13508-2025</t>
        </is>
      </c>
      <c r="B902" s="1" t="n">
        <v>45736.46922453704</v>
      </c>
      <c r="C902" s="1" t="n">
        <v>46036</v>
      </c>
      <c r="D902" t="inlineStr">
        <is>
          <t>GÄVLEBORGS LÄN</t>
        </is>
      </c>
      <c r="E902" t="inlineStr">
        <is>
          <t>LJUSDAL</t>
        </is>
      </c>
      <c r="G902" t="n">
        <v>3.6</v>
      </c>
      <c r="H902" t="n">
        <v>0</v>
      </c>
      <c r="I902" t="n">
        <v>0</v>
      </c>
      <c r="J902" t="n">
        <v>0</v>
      </c>
      <c r="K902" t="n">
        <v>0</v>
      </c>
      <c r="L902" t="n">
        <v>0</v>
      </c>
      <c r="M902" t="n">
        <v>0</v>
      </c>
      <c r="N902" t="n">
        <v>0</v>
      </c>
      <c r="O902" t="n">
        <v>0</v>
      </c>
      <c r="P902" t="n">
        <v>0</v>
      </c>
      <c r="Q902" t="n">
        <v>0</v>
      </c>
      <c r="R902" s="2" t="inlineStr"/>
    </row>
    <row r="903" ht="15" customHeight="1">
      <c r="A903" t="inlineStr">
        <is>
          <t>A 46466-2025</t>
        </is>
      </c>
      <c r="B903" s="1" t="n">
        <v>45925.67804398148</v>
      </c>
      <c r="C903" s="1" t="n">
        <v>46036</v>
      </c>
      <c r="D903" t="inlineStr">
        <is>
          <t>GÄVLEBORGS LÄN</t>
        </is>
      </c>
      <c r="E903" t="inlineStr">
        <is>
          <t>LJUSDAL</t>
        </is>
      </c>
      <c r="G903" t="n">
        <v>0.4</v>
      </c>
      <c r="H903" t="n">
        <v>0</v>
      </c>
      <c r="I903" t="n">
        <v>0</v>
      </c>
      <c r="J903" t="n">
        <v>0</v>
      </c>
      <c r="K903" t="n">
        <v>0</v>
      </c>
      <c r="L903" t="n">
        <v>0</v>
      </c>
      <c r="M903" t="n">
        <v>0</v>
      </c>
      <c r="N903" t="n">
        <v>0</v>
      </c>
      <c r="O903" t="n">
        <v>0</v>
      </c>
      <c r="P903" t="n">
        <v>0</v>
      </c>
      <c r="Q903" t="n">
        <v>0</v>
      </c>
      <c r="R903" s="2" t="inlineStr"/>
    </row>
    <row r="904" ht="15" customHeight="1">
      <c r="A904" t="inlineStr">
        <is>
          <t>A 56016-2021</t>
        </is>
      </c>
      <c r="B904" s="1" t="n">
        <v>44477.44796296296</v>
      </c>
      <c r="C904" s="1" t="n">
        <v>46036</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46342-2025</t>
        </is>
      </c>
      <c r="B905" s="1" t="n">
        <v>45925.46821759259</v>
      </c>
      <c r="C905" s="1" t="n">
        <v>46036</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36981-2025</t>
        </is>
      </c>
      <c r="B906" s="1" t="n">
        <v>45874.64697916667</v>
      </c>
      <c r="C906" s="1" t="n">
        <v>46036</v>
      </c>
      <c r="D906" t="inlineStr">
        <is>
          <t>GÄVLEBORGS LÄN</t>
        </is>
      </c>
      <c r="E906" t="inlineStr">
        <is>
          <t>LJUSDAL</t>
        </is>
      </c>
      <c r="F906" t="inlineStr">
        <is>
          <t>Sveaskog</t>
        </is>
      </c>
      <c r="G906" t="n">
        <v>6.2</v>
      </c>
      <c r="H906" t="n">
        <v>0</v>
      </c>
      <c r="I906" t="n">
        <v>0</v>
      </c>
      <c r="J906" t="n">
        <v>0</v>
      </c>
      <c r="K906" t="n">
        <v>0</v>
      </c>
      <c r="L906" t="n">
        <v>0</v>
      </c>
      <c r="M906" t="n">
        <v>0</v>
      </c>
      <c r="N906" t="n">
        <v>0</v>
      </c>
      <c r="O906" t="n">
        <v>0</v>
      </c>
      <c r="P906" t="n">
        <v>0</v>
      </c>
      <c r="Q906" t="n">
        <v>0</v>
      </c>
      <c r="R906" s="2" t="inlineStr"/>
    </row>
    <row r="907" ht="15" customHeight="1">
      <c r="A907" t="inlineStr">
        <is>
          <t>A 31673-2024</t>
        </is>
      </c>
      <c r="B907" s="1" t="n">
        <v>45506.94846064815</v>
      </c>
      <c r="C907" s="1" t="n">
        <v>46036</v>
      </c>
      <c r="D907" t="inlineStr">
        <is>
          <t>GÄVLEBORGS LÄN</t>
        </is>
      </c>
      <c r="E907" t="inlineStr">
        <is>
          <t>LJUSDAL</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37064-2025</t>
        </is>
      </c>
      <c r="B908" s="1" t="n">
        <v>45875.38607638889</v>
      </c>
      <c r="C908" s="1" t="n">
        <v>46036</v>
      </c>
      <c r="D908" t="inlineStr">
        <is>
          <t>GÄVLEBORGS LÄN</t>
        </is>
      </c>
      <c r="E908" t="inlineStr">
        <is>
          <t>LJUSDAL</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5912-2023</t>
        </is>
      </c>
      <c r="B909" s="1" t="n">
        <v>44963.67834490741</v>
      </c>
      <c r="C909" s="1" t="n">
        <v>46036</v>
      </c>
      <c r="D909" t="inlineStr">
        <is>
          <t>GÄVLEBORGS LÄN</t>
        </is>
      </c>
      <c r="E909" t="inlineStr">
        <is>
          <t>LJUSDAL</t>
        </is>
      </c>
      <c r="G909" t="n">
        <v>2.4</v>
      </c>
      <c r="H909" t="n">
        <v>0</v>
      </c>
      <c r="I909" t="n">
        <v>0</v>
      </c>
      <c r="J909" t="n">
        <v>0</v>
      </c>
      <c r="K909" t="n">
        <v>0</v>
      </c>
      <c r="L909" t="n">
        <v>0</v>
      </c>
      <c r="M909" t="n">
        <v>0</v>
      </c>
      <c r="N909" t="n">
        <v>0</v>
      </c>
      <c r="O909" t="n">
        <v>0</v>
      </c>
      <c r="P909" t="n">
        <v>0</v>
      </c>
      <c r="Q909" t="n">
        <v>0</v>
      </c>
      <c r="R909" s="2" t="inlineStr"/>
    </row>
    <row r="910" ht="15" customHeight="1">
      <c r="A910" t="inlineStr">
        <is>
          <t>A 46313-2025</t>
        </is>
      </c>
      <c r="B910" s="1" t="n">
        <v>45925.44195601852</v>
      </c>
      <c r="C910" s="1" t="n">
        <v>46036</v>
      </c>
      <c r="D910" t="inlineStr">
        <is>
          <t>GÄVLEBORGS LÄN</t>
        </is>
      </c>
      <c r="E910" t="inlineStr">
        <is>
          <t>LJUSDAL</t>
        </is>
      </c>
      <c r="G910" t="n">
        <v>3.3</v>
      </c>
      <c r="H910" t="n">
        <v>0</v>
      </c>
      <c r="I910" t="n">
        <v>0</v>
      </c>
      <c r="J910" t="n">
        <v>0</v>
      </c>
      <c r="K910" t="n">
        <v>0</v>
      </c>
      <c r="L910" t="n">
        <v>0</v>
      </c>
      <c r="M910" t="n">
        <v>0</v>
      </c>
      <c r="N910" t="n">
        <v>0</v>
      </c>
      <c r="O910" t="n">
        <v>0</v>
      </c>
      <c r="P910" t="n">
        <v>0</v>
      </c>
      <c r="Q910" t="n">
        <v>0</v>
      </c>
      <c r="R910" s="2" t="inlineStr"/>
    </row>
    <row r="911" ht="15" customHeight="1">
      <c r="A911" t="inlineStr">
        <is>
          <t>A 46323-2025</t>
        </is>
      </c>
      <c r="B911" s="1" t="n">
        <v>45925.45171296296</v>
      </c>
      <c r="C911" s="1" t="n">
        <v>46036</v>
      </c>
      <c r="D911" t="inlineStr">
        <is>
          <t>GÄVLEBORGS LÄN</t>
        </is>
      </c>
      <c r="E911" t="inlineStr">
        <is>
          <t>LJUSDAL</t>
        </is>
      </c>
      <c r="G911" t="n">
        <v>0.8</v>
      </c>
      <c r="H911" t="n">
        <v>0</v>
      </c>
      <c r="I911" t="n">
        <v>0</v>
      </c>
      <c r="J911" t="n">
        <v>0</v>
      </c>
      <c r="K911" t="n">
        <v>0</v>
      </c>
      <c r="L911" t="n">
        <v>0</v>
      </c>
      <c r="M911" t="n">
        <v>0</v>
      </c>
      <c r="N911" t="n">
        <v>0</v>
      </c>
      <c r="O911" t="n">
        <v>0</v>
      </c>
      <c r="P911" t="n">
        <v>0</v>
      </c>
      <c r="Q911" t="n">
        <v>0</v>
      </c>
      <c r="R911" s="2" t="inlineStr"/>
    </row>
    <row r="912" ht="15" customHeight="1">
      <c r="A912" t="inlineStr">
        <is>
          <t>A 46328-2025</t>
        </is>
      </c>
      <c r="B912" s="1" t="n">
        <v>45925.45390046296</v>
      </c>
      <c r="C912" s="1" t="n">
        <v>46036</v>
      </c>
      <c r="D912" t="inlineStr">
        <is>
          <t>GÄVLEBORGS LÄN</t>
        </is>
      </c>
      <c r="E912" t="inlineStr">
        <is>
          <t>LJUSDAL</t>
        </is>
      </c>
      <c r="G912" t="n">
        <v>0.8</v>
      </c>
      <c r="H912" t="n">
        <v>0</v>
      </c>
      <c r="I912" t="n">
        <v>0</v>
      </c>
      <c r="J912" t="n">
        <v>0</v>
      </c>
      <c r="K912" t="n">
        <v>0</v>
      </c>
      <c r="L912" t="n">
        <v>0</v>
      </c>
      <c r="M912" t="n">
        <v>0</v>
      </c>
      <c r="N912" t="n">
        <v>0</v>
      </c>
      <c r="O912" t="n">
        <v>0</v>
      </c>
      <c r="P912" t="n">
        <v>0</v>
      </c>
      <c r="Q912" t="n">
        <v>0</v>
      </c>
      <c r="R912" s="2" t="inlineStr"/>
    </row>
    <row r="913" ht="15" customHeight="1">
      <c r="A913" t="inlineStr">
        <is>
          <t>A 46376-2025</t>
        </is>
      </c>
      <c r="B913" s="1" t="n">
        <v>45925</v>
      </c>
      <c r="C913" s="1" t="n">
        <v>46036</v>
      </c>
      <c r="D913" t="inlineStr">
        <is>
          <t>GÄVLEBORGS LÄN</t>
        </is>
      </c>
      <c r="E913" t="inlineStr">
        <is>
          <t>LJUSDAL</t>
        </is>
      </c>
      <c r="G913" t="n">
        <v>5</v>
      </c>
      <c r="H913" t="n">
        <v>0</v>
      </c>
      <c r="I913" t="n">
        <v>0</v>
      </c>
      <c r="J913" t="n">
        <v>0</v>
      </c>
      <c r="K913" t="n">
        <v>0</v>
      </c>
      <c r="L913" t="n">
        <v>0</v>
      </c>
      <c r="M913" t="n">
        <v>0</v>
      </c>
      <c r="N913" t="n">
        <v>0</v>
      </c>
      <c r="O913" t="n">
        <v>0</v>
      </c>
      <c r="P913" t="n">
        <v>0</v>
      </c>
      <c r="Q913" t="n">
        <v>0</v>
      </c>
      <c r="R913" s="2" t="inlineStr"/>
    </row>
    <row r="914" ht="15" customHeight="1">
      <c r="A914" t="inlineStr">
        <is>
          <t>A 12224-2025</t>
        </is>
      </c>
      <c r="B914" s="1" t="n">
        <v>45729.55165509259</v>
      </c>
      <c r="C914" s="1" t="n">
        <v>46036</v>
      </c>
      <c r="D914" t="inlineStr">
        <is>
          <t>GÄVLEBORGS LÄN</t>
        </is>
      </c>
      <c r="E914" t="inlineStr">
        <is>
          <t>LJUSDAL</t>
        </is>
      </c>
      <c r="G914" t="n">
        <v>2</v>
      </c>
      <c r="H914" t="n">
        <v>0</v>
      </c>
      <c r="I914" t="n">
        <v>0</v>
      </c>
      <c r="J914" t="n">
        <v>0</v>
      </c>
      <c r="K914" t="n">
        <v>0</v>
      </c>
      <c r="L914" t="n">
        <v>0</v>
      </c>
      <c r="M914" t="n">
        <v>0</v>
      </c>
      <c r="N914" t="n">
        <v>0</v>
      </c>
      <c r="O914" t="n">
        <v>0</v>
      </c>
      <c r="P914" t="n">
        <v>0</v>
      </c>
      <c r="Q914" t="n">
        <v>0</v>
      </c>
      <c r="R914" s="2" t="inlineStr"/>
    </row>
    <row r="915" ht="15" customHeight="1">
      <c r="A915" t="inlineStr">
        <is>
          <t>A 37115-2025</t>
        </is>
      </c>
      <c r="B915" s="1" t="n">
        <v>45875.51137731481</v>
      </c>
      <c r="C915" s="1" t="n">
        <v>46036</v>
      </c>
      <c r="D915" t="inlineStr">
        <is>
          <t>GÄVLEBORGS LÄN</t>
        </is>
      </c>
      <c r="E915" t="inlineStr">
        <is>
          <t>LJUSDAL</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37095-2025</t>
        </is>
      </c>
      <c r="B916" s="1" t="n">
        <v>45875.46927083333</v>
      </c>
      <c r="C916" s="1" t="n">
        <v>46036</v>
      </c>
      <c r="D916" t="inlineStr">
        <is>
          <t>GÄVLEBORGS LÄN</t>
        </is>
      </c>
      <c r="E916" t="inlineStr">
        <is>
          <t>LJUSDAL</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37112-2025</t>
        </is>
      </c>
      <c r="B917" s="1" t="n">
        <v>45875.51082175926</v>
      </c>
      <c r="C917" s="1" t="n">
        <v>46036</v>
      </c>
      <c r="D917" t="inlineStr">
        <is>
          <t>GÄVLEBORGS LÄN</t>
        </is>
      </c>
      <c r="E917" t="inlineStr">
        <is>
          <t>LJUSDAL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7495-2025</t>
        </is>
      </c>
      <c r="B918" s="1" t="n">
        <v>45705.48628472222</v>
      </c>
      <c r="C918" s="1" t="n">
        <v>46036</v>
      </c>
      <c r="D918" t="inlineStr">
        <is>
          <t>GÄVLEBORGS LÄN</t>
        </is>
      </c>
      <c r="E918" t="inlineStr">
        <is>
          <t>LJUSDAL</t>
        </is>
      </c>
      <c r="G918" t="n">
        <v>2.5</v>
      </c>
      <c r="H918" t="n">
        <v>0</v>
      </c>
      <c r="I918" t="n">
        <v>0</v>
      </c>
      <c r="J918" t="n">
        <v>0</v>
      </c>
      <c r="K918" t="n">
        <v>0</v>
      </c>
      <c r="L918" t="n">
        <v>0</v>
      </c>
      <c r="M918" t="n">
        <v>0</v>
      </c>
      <c r="N918" t="n">
        <v>0</v>
      </c>
      <c r="O918" t="n">
        <v>0</v>
      </c>
      <c r="P918" t="n">
        <v>0</v>
      </c>
      <c r="Q918" t="n">
        <v>0</v>
      </c>
      <c r="R918" s="2" t="inlineStr"/>
    </row>
    <row r="919" ht="15" customHeight="1">
      <c r="A919" t="inlineStr">
        <is>
          <t>A 31011-2024</t>
        </is>
      </c>
      <c r="B919" s="1" t="n">
        <v>45499.67101851852</v>
      </c>
      <c r="C919" s="1" t="n">
        <v>46036</v>
      </c>
      <c r="D919" t="inlineStr">
        <is>
          <t>GÄVLEBORGS LÄN</t>
        </is>
      </c>
      <c r="E919" t="inlineStr">
        <is>
          <t>LJUSDAL</t>
        </is>
      </c>
      <c r="G919" t="n">
        <v>1.5</v>
      </c>
      <c r="H919" t="n">
        <v>0</v>
      </c>
      <c r="I919" t="n">
        <v>0</v>
      </c>
      <c r="J919" t="n">
        <v>0</v>
      </c>
      <c r="K919" t="n">
        <v>0</v>
      </c>
      <c r="L919" t="n">
        <v>0</v>
      </c>
      <c r="M919" t="n">
        <v>0</v>
      </c>
      <c r="N919" t="n">
        <v>0</v>
      </c>
      <c r="O919" t="n">
        <v>0</v>
      </c>
      <c r="P919" t="n">
        <v>0</v>
      </c>
      <c r="Q919" t="n">
        <v>0</v>
      </c>
      <c r="R919" s="2" t="inlineStr"/>
    </row>
    <row r="920" ht="15" customHeight="1">
      <c r="A920" t="inlineStr">
        <is>
          <t>A 19498-2025</t>
        </is>
      </c>
      <c r="B920" s="1" t="n">
        <v>45770.39714120371</v>
      </c>
      <c r="C920" s="1" t="n">
        <v>46036</v>
      </c>
      <c r="D920" t="inlineStr">
        <is>
          <t>GÄVLEBORGS LÄN</t>
        </is>
      </c>
      <c r="E920" t="inlineStr">
        <is>
          <t>LJUSDAL</t>
        </is>
      </c>
      <c r="G920" t="n">
        <v>6.4</v>
      </c>
      <c r="H920" t="n">
        <v>0</v>
      </c>
      <c r="I920" t="n">
        <v>0</v>
      </c>
      <c r="J920" t="n">
        <v>0</v>
      </c>
      <c r="K920" t="n">
        <v>0</v>
      </c>
      <c r="L920" t="n">
        <v>0</v>
      </c>
      <c r="M920" t="n">
        <v>0</v>
      </c>
      <c r="N920" t="n">
        <v>0</v>
      </c>
      <c r="O920" t="n">
        <v>0</v>
      </c>
      <c r="P920" t="n">
        <v>0</v>
      </c>
      <c r="Q920" t="n">
        <v>0</v>
      </c>
      <c r="R920" s="2" t="inlineStr"/>
    </row>
    <row r="921" ht="15" customHeight="1">
      <c r="A921" t="inlineStr">
        <is>
          <t>A 46715-2025</t>
        </is>
      </c>
      <c r="B921" s="1" t="n">
        <v>45926.57803240741</v>
      </c>
      <c r="C921" s="1" t="n">
        <v>46036</v>
      </c>
      <c r="D921" t="inlineStr">
        <is>
          <t>GÄVLEBORGS LÄN</t>
        </is>
      </c>
      <c r="E921" t="inlineStr">
        <is>
          <t>LJUSDAL</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36378-2023</t>
        </is>
      </c>
      <c r="B922" s="1" t="n">
        <v>45152.51251157407</v>
      </c>
      <c r="C922" s="1" t="n">
        <v>46036</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46678-2025</t>
        </is>
      </c>
      <c r="B923" s="1" t="n">
        <v>45926.54435185185</v>
      </c>
      <c r="C923" s="1" t="n">
        <v>46036</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46719-2025</t>
        </is>
      </c>
      <c r="B924" s="1" t="n">
        <v>45926.58216435185</v>
      </c>
      <c r="C924" s="1" t="n">
        <v>46036</v>
      </c>
      <c r="D924" t="inlineStr">
        <is>
          <t>GÄVLEBORGS LÄN</t>
        </is>
      </c>
      <c r="E924" t="inlineStr">
        <is>
          <t>LJUSDAL</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46739-2025</t>
        </is>
      </c>
      <c r="B925" s="1" t="n">
        <v>45926.60650462963</v>
      </c>
      <c r="C925" s="1" t="n">
        <v>46036</v>
      </c>
      <c r="D925" t="inlineStr">
        <is>
          <t>GÄVLEBORGS LÄN</t>
        </is>
      </c>
      <c r="E925" t="inlineStr">
        <is>
          <t>LJUSDAL</t>
        </is>
      </c>
      <c r="F925" t="inlineStr">
        <is>
          <t>Holmen skog AB</t>
        </is>
      </c>
      <c r="G925" t="n">
        <v>11.7</v>
      </c>
      <c r="H925" t="n">
        <v>0</v>
      </c>
      <c r="I925" t="n">
        <v>0</v>
      </c>
      <c r="J925" t="n">
        <v>0</v>
      </c>
      <c r="K925" t="n">
        <v>0</v>
      </c>
      <c r="L925" t="n">
        <v>0</v>
      </c>
      <c r="M925" t="n">
        <v>0</v>
      </c>
      <c r="N925" t="n">
        <v>0</v>
      </c>
      <c r="O925" t="n">
        <v>0</v>
      </c>
      <c r="P925" t="n">
        <v>0</v>
      </c>
      <c r="Q925" t="n">
        <v>0</v>
      </c>
      <c r="R925" s="2" t="inlineStr"/>
    </row>
    <row r="926" ht="15" customHeight="1">
      <c r="A926" t="inlineStr">
        <is>
          <t>A 33344-2025</t>
        </is>
      </c>
      <c r="B926" s="1" t="n">
        <v>45841</v>
      </c>
      <c r="C926" s="1" t="n">
        <v>46036</v>
      </c>
      <c r="D926" t="inlineStr">
        <is>
          <t>GÄVLEBORGS LÄN</t>
        </is>
      </c>
      <c r="E926" t="inlineStr">
        <is>
          <t>LJUSDAL</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52778-2021</t>
        </is>
      </c>
      <c r="B927" s="1" t="n">
        <v>44467.35164351852</v>
      </c>
      <c r="C927" s="1" t="n">
        <v>46036</v>
      </c>
      <c r="D927" t="inlineStr">
        <is>
          <t>GÄVLEBORGS LÄN</t>
        </is>
      </c>
      <c r="E927" t="inlineStr">
        <is>
          <t>LJUSDAL</t>
        </is>
      </c>
      <c r="F927" t="inlineStr">
        <is>
          <t>Sveaskog</t>
        </is>
      </c>
      <c r="G927" t="n">
        <v>3.5</v>
      </c>
      <c r="H927" t="n">
        <v>0</v>
      </c>
      <c r="I927" t="n">
        <v>0</v>
      </c>
      <c r="J927" t="n">
        <v>0</v>
      </c>
      <c r="K927" t="n">
        <v>0</v>
      </c>
      <c r="L927" t="n">
        <v>0</v>
      </c>
      <c r="M927" t="n">
        <v>0</v>
      </c>
      <c r="N927" t="n">
        <v>0</v>
      </c>
      <c r="O927" t="n">
        <v>0</v>
      </c>
      <c r="P927" t="n">
        <v>0</v>
      </c>
      <c r="Q927" t="n">
        <v>0</v>
      </c>
      <c r="R927" s="2" t="inlineStr"/>
    </row>
    <row r="928" ht="15" customHeight="1">
      <c r="A928" t="inlineStr">
        <is>
          <t>A 26849-2024</t>
        </is>
      </c>
      <c r="B928" s="1" t="n">
        <v>45470</v>
      </c>
      <c r="C928" s="1" t="n">
        <v>46036</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37317-2025</t>
        </is>
      </c>
      <c r="B929" s="1" t="n">
        <v>45876.61798611111</v>
      </c>
      <c r="C929" s="1" t="n">
        <v>46036</v>
      </c>
      <c r="D929" t="inlineStr">
        <is>
          <t>GÄVLEBORGS LÄN</t>
        </is>
      </c>
      <c r="E929" t="inlineStr">
        <is>
          <t>LJUSDAL</t>
        </is>
      </c>
      <c r="G929" t="n">
        <v>5.7</v>
      </c>
      <c r="H929" t="n">
        <v>0</v>
      </c>
      <c r="I929" t="n">
        <v>0</v>
      </c>
      <c r="J929" t="n">
        <v>0</v>
      </c>
      <c r="K929" t="n">
        <v>0</v>
      </c>
      <c r="L929" t="n">
        <v>0</v>
      </c>
      <c r="M929" t="n">
        <v>0</v>
      </c>
      <c r="N929" t="n">
        <v>0</v>
      </c>
      <c r="O929" t="n">
        <v>0</v>
      </c>
      <c r="P929" t="n">
        <v>0</v>
      </c>
      <c r="Q929" t="n">
        <v>0</v>
      </c>
      <c r="R929" s="2" t="inlineStr"/>
    </row>
    <row r="930" ht="15" customHeight="1">
      <c r="A930" t="inlineStr">
        <is>
          <t>A 34919-2024</t>
        </is>
      </c>
      <c r="B930" s="1" t="n">
        <v>45527</v>
      </c>
      <c r="C930" s="1" t="n">
        <v>46036</v>
      </c>
      <c r="D930" t="inlineStr">
        <is>
          <t>GÄVLEBORGS LÄN</t>
        </is>
      </c>
      <c r="E930" t="inlineStr">
        <is>
          <t>LJUSDAL</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4818-2023</t>
        </is>
      </c>
      <c r="B931" s="1" t="n">
        <v>44957.6449537037</v>
      </c>
      <c r="C931" s="1" t="n">
        <v>46036</v>
      </c>
      <c r="D931" t="inlineStr">
        <is>
          <t>GÄVLEBORGS LÄN</t>
        </is>
      </c>
      <c r="E931" t="inlineStr">
        <is>
          <t>LJUSDAL</t>
        </is>
      </c>
      <c r="F931" t="inlineStr">
        <is>
          <t>Holmen skog AB</t>
        </is>
      </c>
      <c r="G931" t="n">
        <v>5.1</v>
      </c>
      <c r="H931" t="n">
        <v>0</v>
      </c>
      <c r="I931" t="n">
        <v>0</v>
      </c>
      <c r="J931" t="n">
        <v>0</v>
      </c>
      <c r="K931" t="n">
        <v>0</v>
      </c>
      <c r="L931" t="n">
        <v>0</v>
      </c>
      <c r="M931" t="n">
        <v>0</v>
      </c>
      <c r="N931" t="n">
        <v>0</v>
      </c>
      <c r="O931" t="n">
        <v>0</v>
      </c>
      <c r="P931" t="n">
        <v>0</v>
      </c>
      <c r="Q931" t="n">
        <v>0</v>
      </c>
      <c r="R931" s="2" t="inlineStr"/>
    </row>
    <row r="932" ht="15" customHeight="1">
      <c r="A932" t="inlineStr">
        <is>
          <t>A 47591-2025</t>
        </is>
      </c>
      <c r="B932" s="1" t="n">
        <v>45931.44518518518</v>
      </c>
      <c r="C932" s="1" t="n">
        <v>46036</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47607-2025</t>
        </is>
      </c>
      <c r="B933" s="1" t="n">
        <v>45931.46563657407</v>
      </c>
      <c r="C933" s="1" t="n">
        <v>46036</v>
      </c>
      <c r="D933" t="inlineStr">
        <is>
          <t>GÄVLEBORGS LÄN</t>
        </is>
      </c>
      <c r="E933" t="inlineStr">
        <is>
          <t>LJUSDAL</t>
        </is>
      </c>
      <c r="G933" t="n">
        <v>0.7</v>
      </c>
      <c r="H933" t="n">
        <v>0</v>
      </c>
      <c r="I933" t="n">
        <v>0</v>
      </c>
      <c r="J933" t="n">
        <v>0</v>
      </c>
      <c r="K933" t="n">
        <v>0</v>
      </c>
      <c r="L933" t="n">
        <v>0</v>
      </c>
      <c r="M933" t="n">
        <v>0</v>
      </c>
      <c r="N933" t="n">
        <v>0</v>
      </c>
      <c r="O933" t="n">
        <v>0</v>
      </c>
      <c r="P933" t="n">
        <v>0</v>
      </c>
      <c r="Q933" t="n">
        <v>0</v>
      </c>
      <c r="R933" s="2" t="inlineStr"/>
    </row>
    <row r="934" ht="15" customHeight="1">
      <c r="A934" t="inlineStr">
        <is>
          <t>A 39459-2025</t>
        </is>
      </c>
      <c r="B934" s="1" t="n">
        <v>45889.82956018519</v>
      </c>
      <c r="C934" s="1" t="n">
        <v>46036</v>
      </c>
      <c r="D934" t="inlineStr">
        <is>
          <t>GÄVLEBORGS LÄN</t>
        </is>
      </c>
      <c r="E934" t="inlineStr">
        <is>
          <t>LJUSDAL</t>
        </is>
      </c>
      <c r="G934" t="n">
        <v>1.3</v>
      </c>
      <c r="H934" t="n">
        <v>0</v>
      </c>
      <c r="I934" t="n">
        <v>0</v>
      </c>
      <c r="J934" t="n">
        <v>0</v>
      </c>
      <c r="K934" t="n">
        <v>0</v>
      </c>
      <c r="L934" t="n">
        <v>0</v>
      </c>
      <c r="M934" t="n">
        <v>0</v>
      </c>
      <c r="N934" t="n">
        <v>0</v>
      </c>
      <c r="O934" t="n">
        <v>0</v>
      </c>
      <c r="P934" t="n">
        <v>0</v>
      </c>
      <c r="Q934" t="n">
        <v>0</v>
      </c>
      <c r="R934" s="2" t="inlineStr"/>
    </row>
    <row r="935" ht="15" customHeight="1">
      <c r="A935" t="inlineStr">
        <is>
          <t>A 37786-2025</t>
        </is>
      </c>
      <c r="B935" s="1" t="n">
        <v>45881.29412037037</v>
      </c>
      <c r="C935" s="1" t="n">
        <v>46036</v>
      </c>
      <c r="D935" t="inlineStr">
        <is>
          <t>GÄVLEBORGS LÄN</t>
        </is>
      </c>
      <c r="E935" t="inlineStr">
        <is>
          <t>LJUSDAL</t>
        </is>
      </c>
      <c r="F935" t="inlineStr">
        <is>
          <t>Bergvik skog väst AB</t>
        </is>
      </c>
      <c r="G935" t="n">
        <v>7.9</v>
      </c>
      <c r="H935" t="n">
        <v>0</v>
      </c>
      <c r="I935" t="n">
        <v>0</v>
      </c>
      <c r="J935" t="n">
        <v>0</v>
      </c>
      <c r="K935" t="n">
        <v>0</v>
      </c>
      <c r="L935" t="n">
        <v>0</v>
      </c>
      <c r="M935" t="n">
        <v>0</v>
      </c>
      <c r="N935" t="n">
        <v>0</v>
      </c>
      <c r="O935" t="n">
        <v>0</v>
      </c>
      <c r="P935" t="n">
        <v>0</v>
      </c>
      <c r="Q935" t="n">
        <v>0</v>
      </c>
      <c r="R935" s="2" t="inlineStr"/>
    </row>
    <row r="936" ht="15" customHeight="1">
      <c r="A936" t="inlineStr">
        <is>
          <t>A 47324-2025</t>
        </is>
      </c>
      <c r="B936" s="1" t="n">
        <v>45930.55458333333</v>
      </c>
      <c r="C936" s="1" t="n">
        <v>46036</v>
      </c>
      <c r="D936" t="inlineStr">
        <is>
          <t>GÄVLEBORGS LÄN</t>
        </is>
      </c>
      <c r="E936" t="inlineStr">
        <is>
          <t>LJUSDAL</t>
        </is>
      </c>
      <c r="G936" t="n">
        <v>1.2</v>
      </c>
      <c r="H936" t="n">
        <v>0</v>
      </c>
      <c r="I936" t="n">
        <v>0</v>
      </c>
      <c r="J936" t="n">
        <v>0</v>
      </c>
      <c r="K936" t="n">
        <v>0</v>
      </c>
      <c r="L936" t="n">
        <v>0</v>
      </c>
      <c r="M936" t="n">
        <v>0</v>
      </c>
      <c r="N936" t="n">
        <v>0</v>
      </c>
      <c r="O936" t="n">
        <v>0</v>
      </c>
      <c r="P936" t="n">
        <v>0</v>
      </c>
      <c r="Q936" t="n">
        <v>0</v>
      </c>
      <c r="R936" s="2" t="inlineStr"/>
    </row>
    <row r="937" ht="15" customHeight="1">
      <c r="A937" t="inlineStr">
        <is>
          <t>A 37903-2025</t>
        </is>
      </c>
      <c r="B937" s="1" t="n">
        <v>45881.56465277778</v>
      </c>
      <c r="C937" s="1" t="n">
        <v>46036</v>
      </c>
      <c r="D937" t="inlineStr">
        <is>
          <t>GÄVLEBORGS LÄN</t>
        </is>
      </c>
      <c r="E937" t="inlineStr">
        <is>
          <t>LJUSDAL</t>
        </is>
      </c>
      <c r="F937" t="inlineStr">
        <is>
          <t>Bergvik skog väst AB</t>
        </is>
      </c>
      <c r="G937" t="n">
        <v>3.9</v>
      </c>
      <c r="H937" t="n">
        <v>0</v>
      </c>
      <c r="I937" t="n">
        <v>0</v>
      </c>
      <c r="J937" t="n">
        <v>0</v>
      </c>
      <c r="K937" t="n">
        <v>0</v>
      </c>
      <c r="L937" t="n">
        <v>0</v>
      </c>
      <c r="M937" t="n">
        <v>0</v>
      </c>
      <c r="N937" t="n">
        <v>0</v>
      </c>
      <c r="O937" t="n">
        <v>0</v>
      </c>
      <c r="P937" t="n">
        <v>0</v>
      </c>
      <c r="Q937" t="n">
        <v>0</v>
      </c>
      <c r="R937" s="2" t="inlineStr"/>
    </row>
    <row r="938" ht="15" customHeight="1">
      <c r="A938" t="inlineStr">
        <is>
          <t>A 37978-2025</t>
        </is>
      </c>
      <c r="B938" s="1" t="n">
        <v>45881.67885416667</v>
      </c>
      <c r="C938" s="1" t="n">
        <v>46036</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37991-2025</t>
        </is>
      </c>
      <c r="B939" s="1" t="n">
        <v>45881.7143287037</v>
      </c>
      <c r="C939" s="1" t="n">
        <v>46036</v>
      </c>
      <c r="D939" t="inlineStr">
        <is>
          <t>GÄVLEBORGS LÄN</t>
        </is>
      </c>
      <c r="E939" t="inlineStr">
        <is>
          <t>LJUSDAL</t>
        </is>
      </c>
      <c r="G939" t="n">
        <v>2.6</v>
      </c>
      <c r="H939" t="n">
        <v>0</v>
      </c>
      <c r="I939" t="n">
        <v>0</v>
      </c>
      <c r="J939" t="n">
        <v>0</v>
      </c>
      <c r="K939" t="n">
        <v>0</v>
      </c>
      <c r="L939" t="n">
        <v>0</v>
      </c>
      <c r="M939" t="n">
        <v>0</v>
      </c>
      <c r="N939" t="n">
        <v>0</v>
      </c>
      <c r="O939" t="n">
        <v>0</v>
      </c>
      <c r="P939" t="n">
        <v>0</v>
      </c>
      <c r="Q939" t="n">
        <v>0</v>
      </c>
      <c r="R939" s="2" t="inlineStr"/>
    </row>
    <row r="940" ht="15" customHeight="1">
      <c r="A940" t="inlineStr">
        <is>
          <t>A 6987-2025</t>
        </is>
      </c>
      <c r="B940" s="1" t="n">
        <v>45701</v>
      </c>
      <c r="C940" s="1" t="n">
        <v>46036</v>
      </c>
      <c r="D940" t="inlineStr">
        <is>
          <t>GÄVLEBORGS LÄN</t>
        </is>
      </c>
      <c r="E940" t="inlineStr">
        <is>
          <t>LJUSDAL</t>
        </is>
      </c>
      <c r="G940" t="n">
        <v>7.7</v>
      </c>
      <c r="H940" t="n">
        <v>0</v>
      </c>
      <c r="I940" t="n">
        <v>0</v>
      </c>
      <c r="J940" t="n">
        <v>0</v>
      </c>
      <c r="K940" t="n">
        <v>0</v>
      </c>
      <c r="L940" t="n">
        <v>0</v>
      </c>
      <c r="M940" t="n">
        <v>0</v>
      </c>
      <c r="N940" t="n">
        <v>0</v>
      </c>
      <c r="O940" t="n">
        <v>0</v>
      </c>
      <c r="P940" t="n">
        <v>0</v>
      </c>
      <c r="Q940" t="n">
        <v>0</v>
      </c>
      <c r="R940" s="2" t="inlineStr"/>
    </row>
    <row r="941" ht="15" customHeight="1">
      <c r="A941" t="inlineStr">
        <is>
          <t>A 55943-2025</t>
        </is>
      </c>
      <c r="B941" s="1" t="n">
        <v>45973.45535879629</v>
      </c>
      <c r="C941" s="1" t="n">
        <v>46036</v>
      </c>
      <c r="D941" t="inlineStr">
        <is>
          <t>GÄVLEBORGS LÄN</t>
        </is>
      </c>
      <c r="E941" t="inlineStr">
        <is>
          <t>LJUSDAL</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54595-2023</t>
        </is>
      </c>
      <c r="B942" s="1" t="n">
        <v>45233</v>
      </c>
      <c r="C942" s="1" t="n">
        <v>46036</v>
      </c>
      <c r="D942" t="inlineStr">
        <is>
          <t>GÄVLEBORGS LÄN</t>
        </is>
      </c>
      <c r="E942" t="inlineStr">
        <is>
          <t>LJUSDAL</t>
        </is>
      </c>
      <c r="G942" t="n">
        <v>2.4</v>
      </c>
      <c r="H942" t="n">
        <v>0</v>
      </c>
      <c r="I942" t="n">
        <v>0</v>
      </c>
      <c r="J942" t="n">
        <v>0</v>
      </c>
      <c r="K942" t="n">
        <v>0</v>
      </c>
      <c r="L942" t="n">
        <v>0</v>
      </c>
      <c r="M942" t="n">
        <v>0</v>
      </c>
      <c r="N942" t="n">
        <v>0</v>
      </c>
      <c r="O942" t="n">
        <v>0</v>
      </c>
      <c r="P942" t="n">
        <v>0</v>
      </c>
      <c r="Q942" t="n">
        <v>0</v>
      </c>
      <c r="R942" s="2" t="inlineStr"/>
    </row>
    <row r="943" ht="15" customHeight="1">
      <c r="A943" t="inlineStr">
        <is>
          <t>A 38007-2025</t>
        </is>
      </c>
      <c r="B943" s="1" t="n">
        <v>45882</v>
      </c>
      <c r="C943" s="1" t="n">
        <v>46036</v>
      </c>
      <c r="D943" t="inlineStr">
        <is>
          <t>GÄVLEBORGS LÄN</t>
        </is>
      </c>
      <c r="E943" t="inlineStr">
        <is>
          <t>LJUSDAL</t>
        </is>
      </c>
      <c r="F943" t="inlineStr">
        <is>
          <t>Naturvårdsverket</t>
        </is>
      </c>
      <c r="G943" t="n">
        <v>0.8</v>
      </c>
      <c r="H943" t="n">
        <v>0</v>
      </c>
      <c r="I943" t="n">
        <v>0</v>
      </c>
      <c r="J943" t="n">
        <v>0</v>
      </c>
      <c r="K943" t="n">
        <v>0</v>
      </c>
      <c r="L943" t="n">
        <v>0</v>
      </c>
      <c r="M943" t="n">
        <v>0</v>
      </c>
      <c r="N943" t="n">
        <v>0</v>
      </c>
      <c r="O943" t="n">
        <v>0</v>
      </c>
      <c r="P943" t="n">
        <v>0</v>
      </c>
      <c r="Q943" t="n">
        <v>0</v>
      </c>
      <c r="R943" s="2" t="inlineStr"/>
    </row>
    <row r="944" ht="15" customHeight="1">
      <c r="A944" t="inlineStr">
        <is>
          <t>A 1259-2023</t>
        </is>
      </c>
      <c r="B944" s="1" t="n">
        <v>44936.38371527778</v>
      </c>
      <c r="C944" s="1" t="n">
        <v>46036</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47747-2025</t>
        </is>
      </c>
      <c r="B945" s="1" t="n">
        <v>45931.65436342593</v>
      </c>
      <c r="C945" s="1" t="n">
        <v>46036</v>
      </c>
      <c r="D945" t="inlineStr">
        <is>
          <t>GÄVLEBORGS LÄN</t>
        </is>
      </c>
      <c r="E945" t="inlineStr">
        <is>
          <t>LJUSDAL</t>
        </is>
      </c>
      <c r="G945" t="n">
        <v>7.9</v>
      </c>
      <c r="H945" t="n">
        <v>0</v>
      </c>
      <c r="I945" t="n">
        <v>0</v>
      </c>
      <c r="J945" t="n">
        <v>0</v>
      </c>
      <c r="K945" t="n">
        <v>0</v>
      </c>
      <c r="L945" t="n">
        <v>0</v>
      </c>
      <c r="M945" t="n">
        <v>0</v>
      </c>
      <c r="N945" t="n">
        <v>0</v>
      </c>
      <c r="O945" t="n">
        <v>0</v>
      </c>
      <c r="P945" t="n">
        <v>0</v>
      </c>
      <c r="Q945" t="n">
        <v>0</v>
      </c>
      <c r="R945" s="2" t="inlineStr"/>
    </row>
    <row r="946" ht="15" customHeight="1">
      <c r="A946" t="inlineStr">
        <is>
          <t>A 38316-2025</t>
        </is>
      </c>
      <c r="B946" s="1" t="n">
        <v>45883.47950231482</v>
      </c>
      <c r="C946" s="1" t="n">
        <v>46036</v>
      </c>
      <c r="D946" t="inlineStr">
        <is>
          <t>GÄVLEBORGS LÄN</t>
        </is>
      </c>
      <c r="E946" t="inlineStr">
        <is>
          <t>LJUSDAL</t>
        </is>
      </c>
      <c r="G946" t="n">
        <v>3.1</v>
      </c>
      <c r="H946" t="n">
        <v>0</v>
      </c>
      <c r="I946" t="n">
        <v>0</v>
      </c>
      <c r="J946" t="n">
        <v>0</v>
      </c>
      <c r="K946" t="n">
        <v>0</v>
      </c>
      <c r="L946" t="n">
        <v>0</v>
      </c>
      <c r="M946" t="n">
        <v>0</v>
      </c>
      <c r="N946" t="n">
        <v>0</v>
      </c>
      <c r="O946" t="n">
        <v>0</v>
      </c>
      <c r="P946" t="n">
        <v>0</v>
      </c>
      <c r="Q946" t="n">
        <v>0</v>
      </c>
      <c r="R946" s="2" t="inlineStr"/>
    </row>
    <row r="947" ht="15" customHeight="1">
      <c r="A947" t="inlineStr">
        <is>
          <t>A 10026-2023</t>
        </is>
      </c>
      <c r="B947" s="1" t="n">
        <v>44985</v>
      </c>
      <c r="C947" s="1" t="n">
        <v>46036</v>
      </c>
      <c r="D947" t="inlineStr">
        <is>
          <t>GÄVLEBORGS LÄN</t>
        </is>
      </c>
      <c r="E947" t="inlineStr">
        <is>
          <t>LJUSDAL</t>
        </is>
      </c>
      <c r="F947" t="inlineStr">
        <is>
          <t>Holmen skog AB</t>
        </is>
      </c>
      <c r="G947" t="n">
        <v>6.8</v>
      </c>
      <c r="H947" t="n">
        <v>0</v>
      </c>
      <c r="I947" t="n">
        <v>0</v>
      </c>
      <c r="J947" t="n">
        <v>0</v>
      </c>
      <c r="K947" t="n">
        <v>0</v>
      </c>
      <c r="L947" t="n">
        <v>0</v>
      </c>
      <c r="M947" t="n">
        <v>0</v>
      </c>
      <c r="N947" t="n">
        <v>0</v>
      </c>
      <c r="O947" t="n">
        <v>0</v>
      </c>
      <c r="P947" t="n">
        <v>0</v>
      </c>
      <c r="Q947" t="n">
        <v>0</v>
      </c>
      <c r="R947" s="2" t="inlineStr"/>
    </row>
    <row r="948" ht="15" customHeight="1">
      <c r="A948" t="inlineStr">
        <is>
          <t>A 47643-2025</t>
        </is>
      </c>
      <c r="B948" s="1" t="n">
        <v>45931.51381944444</v>
      </c>
      <c r="C948" s="1" t="n">
        <v>46036</v>
      </c>
      <c r="D948" t="inlineStr">
        <is>
          <t>GÄVLEBORGS LÄN</t>
        </is>
      </c>
      <c r="E948" t="inlineStr">
        <is>
          <t>LJUSDAL</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47653-2025</t>
        </is>
      </c>
      <c r="B949" s="1" t="n">
        <v>45931.54061342592</v>
      </c>
      <c r="C949" s="1" t="n">
        <v>46036</v>
      </c>
      <c r="D949" t="inlineStr">
        <is>
          <t>GÄVLEBORGS LÄN</t>
        </is>
      </c>
      <c r="E949" t="inlineStr">
        <is>
          <t>LJUSDAL</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23284-2024</t>
        </is>
      </c>
      <c r="B950" s="1" t="n">
        <v>45453</v>
      </c>
      <c r="C950" s="1" t="n">
        <v>46036</v>
      </c>
      <c r="D950" t="inlineStr">
        <is>
          <t>GÄVLEBORGS LÄN</t>
        </is>
      </c>
      <c r="E950" t="inlineStr">
        <is>
          <t>LJUSDAL</t>
        </is>
      </c>
      <c r="G950" t="n">
        <v>2.5</v>
      </c>
      <c r="H950" t="n">
        <v>0</v>
      </c>
      <c r="I950" t="n">
        <v>0</v>
      </c>
      <c r="J950" t="n">
        <v>0</v>
      </c>
      <c r="K950" t="n">
        <v>0</v>
      </c>
      <c r="L950" t="n">
        <v>0</v>
      </c>
      <c r="M950" t="n">
        <v>0</v>
      </c>
      <c r="N950" t="n">
        <v>0</v>
      </c>
      <c r="O950" t="n">
        <v>0</v>
      </c>
      <c r="P950" t="n">
        <v>0</v>
      </c>
      <c r="Q950" t="n">
        <v>0</v>
      </c>
      <c r="R950" s="2" t="inlineStr"/>
    </row>
    <row r="951" ht="15" customHeight="1">
      <c r="A951" t="inlineStr">
        <is>
          <t>A 47941-2025</t>
        </is>
      </c>
      <c r="B951" s="1" t="n">
        <v>45932.56681712963</v>
      </c>
      <c r="C951" s="1" t="n">
        <v>46036</v>
      </c>
      <c r="D951" t="inlineStr">
        <is>
          <t>GÄVLEBORGS LÄN</t>
        </is>
      </c>
      <c r="E951" t="inlineStr">
        <is>
          <t>LJUSDAL</t>
        </is>
      </c>
      <c r="G951" t="n">
        <v>3.1</v>
      </c>
      <c r="H951" t="n">
        <v>0</v>
      </c>
      <c r="I951" t="n">
        <v>0</v>
      </c>
      <c r="J951" t="n">
        <v>0</v>
      </c>
      <c r="K951" t="n">
        <v>0</v>
      </c>
      <c r="L951" t="n">
        <v>0</v>
      </c>
      <c r="M951" t="n">
        <v>0</v>
      </c>
      <c r="N951" t="n">
        <v>0</v>
      </c>
      <c r="O951" t="n">
        <v>0</v>
      </c>
      <c r="P951" t="n">
        <v>0</v>
      </c>
      <c r="Q951" t="n">
        <v>0</v>
      </c>
      <c r="R951" s="2" t="inlineStr"/>
    </row>
    <row r="952" ht="15" customHeight="1">
      <c r="A952" t="inlineStr">
        <is>
          <t>A 38009-2025</t>
        </is>
      </c>
      <c r="B952" s="1" t="n">
        <v>45882.29594907408</v>
      </c>
      <c r="C952" s="1" t="n">
        <v>46036</v>
      </c>
      <c r="D952" t="inlineStr">
        <is>
          <t>GÄVLEBORGS LÄN</t>
        </is>
      </c>
      <c r="E952" t="inlineStr">
        <is>
          <t>LJUSDAL</t>
        </is>
      </c>
      <c r="F952" t="inlineStr">
        <is>
          <t>Naturvårdsverket</t>
        </is>
      </c>
      <c r="G952" t="n">
        <v>6.7</v>
      </c>
      <c r="H952" t="n">
        <v>0</v>
      </c>
      <c r="I952" t="n">
        <v>0</v>
      </c>
      <c r="J952" t="n">
        <v>0</v>
      </c>
      <c r="K952" t="n">
        <v>0</v>
      </c>
      <c r="L952" t="n">
        <v>0</v>
      </c>
      <c r="M952" t="n">
        <v>0</v>
      </c>
      <c r="N952" t="n">
        <v>0</v>
      </c>
      <c r="O952" t="n">
        <v>0</v>
      </c>
      <c r="P952" t="n">
        <v>0</v>
      </c>
      <c r="Q952" t="n">
        <v>0</v>
      </c>
      <c r="R952" s="2" t="inlineStr"/>
    </row>
    <row r="953" ht="15" customHeight="1">
      <c r="A953" t="inlineStr">
        <is>
          <t>A 48285-2025</t>
        </is>
      </c>
      <c r="B953" s="1" t="n">
        <v>45933.59171296296</v>
      </c>
      <c r="C953" s="1" t="n">
        <v>46036</v>
      </c>
      <c r="D953" t="inlineStr">
        <is>
          <t>GÄVLEBORGS LÄN</t>
        </is>
      </c>
      <c r="E953" t="inlineStr">
        <is>
          <t>LJUSDAL</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48318-2025</t>
        </is>
      </c>
      <c r="B954" s="1" t="n">
        <v>45933.6234375</v>
      </c>
      <c r="C954" s="1" t="n">
        <v>46036</v>
      </c>
      <c r="D954" t="inlineStr">
        <is>
          <t>GÄVLEBORGS LÄN</t>
        </is>
      </c>
      <c r="E954" t="inlineStr">
        <is>
          <t>LJUSDAL</t>
        </is>
      </c>
      <c r="G954" t="n">
        <v>3.9</v>
      </c>
      <c r="H954" t="n">
        <v>0</v>
      </c>
      <c r="I954" t="n">
        <v>0</v>
      </c>
      <c r="J954" t="n">
        <v>0</v>
      </c>
      <c r="K954" t="n">
        <v>0</v>
      </c>
      <c r="L954" t="n">
        <v>0</v>
      </c>
      <c r="M954" t="n">
        <v>0</v>
      </c>
      <c r="N954" t="n">
        <v>0</v>
      </c>
      <c r="O954" t="n">
        <v>0</v>
      </c>
      <c r="P954" t="n">
        <v>0</v>
      </c>
      <c r="Q954" t="n">
        <v>0</v>
      </c>
      <c r="R954" s="2" t="inlineStr"/>
    </row>
    <row r="955" ht="15" customHeight="1">
      <c r="A955" t="inlineStr">
        <is>
          <t>A 48333-2025</t>
        </is>
      </c>
      <c r="B955" s="1" t="n">
        <v>45933.63505787037</v>
      </c>
      <c r="C955" s="1" t="n">
        <v>46036</v>
      </c>
      <c r="D955" t="inlineStr">
        <is>
          <t>GÄVLEBORGS LÄN</t>
        </is>
      </c>
      <c r="E955" t="inlineStr">
        <is>
          <t>LJUSDAL</t>
        </is>
      </c>
      <c r="G955" t="n">
        <v>0.7</v>
      </c>
      <c r="H955" t="n">
        <v>0</v>
      </c>
      <c r="I955" t="n">
        <v>0</v>
      </c>
      <c r="J955" t="n">
        <v>0</v>
      </c>
      <c r="K955" t="n">
        <v>0</v>
      </c>
      <c r="L955" t="n">
        <v>0</v>
      </c>
      <c r="M955" t="n">
        <v>0</v>
      </c>
      <c r="N955" t="n">
        <v>0</v>
      </c>
      <c r="O955" t="n">
        <v>0</v>
      </c>
      <c r="P955" t="n">
        <v>0</v>
      </c>
      <c r="Q955" t="n">
        <v>0</v>
      </c>
      <c r="R955" s="2" t="inlineStr"/>
    </row>
    <row r="956" ht="15" customHeight="1">
      <c r="A956" t="inlineStr">
        <is>
          <t>A 38359-2025</t>
        </is>
      </c>
      <c r="B956" s="1" t="n">
        <v>45883.53280092592</v>
      </c>
      <c r="C956" s="1" t="n">
        <v>46036</v>
      </c>
      <c r="D956" t="inlineStr">
        <is>
          <t>GÄVLEBORGS LÄN</t>
        </is>
      </c>
      <c r="E956" t="inlineStr">
        <is>
          <t>LJUSDAL</t>
        </is>
      </c>
      <c r="G956" t="n">
        <v>4.4</v>
      </c>
      <c r="H956" t="n">
        <v>0</v>
      </c>
      <c r="I956" t="n">
        <v>0</v>
      </c>
      <c r="J956" t="n">
        <v>0</v>
      </c>
      <c r="K956" t="n">
        <v>0</v>
      </c>
      <c r="L956" t="n">
        <v>0</v>
      </c>
      <c r="M956" t="n">
        <v>0</v>
      </c>
      <c r="N956" t="n">
        <v>0</v>
      </c>
      <c r="O956" t="n">
        <v>0</v>
      </c>
      <c r="P956" t="n">
        <v>0</v>
      </c>
      <c r="Q956" t="n">
        <v>0</v>
      </c>
      <c r="R956" s="2" t="inlineStr"/>
    </row>
    <row r="957" ht="15" customHeight="1">
      <c r="A957" t="inlineStr">
        <is>
          <t>A 28240-2023</t>
        </is>
      </c>
      <c r="B957" s="1" t="n">
        <v>45099.58393518518</v>
      </c>
      <c r="C957" s="1" t="n">
        <v>46036</v>
      </c>
      <c r="D957" t="inlineStr">
        <is>
          <t>GÄVLEBORGS LÄN</t>
        </is>
      </c>
      <c r="E957" t="inlineStr">
        <is>
          <t>LJUSDAL</t>
        </is>
      </c>
      <c r="F957" t="inlineStr">
        <is>
          <t>Holmen skog AB</t>
        </is>
      </c>
      <c r="G957" t="n">
        <v>5.8</v>
      </c>
      <c r="H957" t="n">
        <v>0</v>
      </c>
      <c r="I957" t="n">
        <v>0</v>
      </c>
      <c r="J957" t="n">
        <v>0</v>
      </c>
      <c r="K957" t="n">
        <v>0</v>
      </c>
      <c r="L957" t="n">
        <v>0</v>
      </c>
      <c r="M957" t="n">
        <v>0</v>
      </c>
      <c r="N957" t="n">
        <v>0</v>
      </c>
      <c r="O957" t="n">
        <v>0</v>
      </c>
      <c r="P957" t="n">
        <v>0</v>
      </c>
      <c r="Q957" t="n">
        <v>0</v>
      </c>
      <c r="R957" s="2" t="inlineStr"/>
    </row>
    <row r="958" ht="15" customHeight="1">
      <c r="A958" t="inlineStr">
        <is>
          <t>A 28248-2023</t>
        </is>
      </c>
      <c r="B958" s="1" t="n">
        <v>45099.59758101852</v>
      </c>
      <c r="C958" s="1" t="n">
        <v>46036</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40253-2023</t>
        </is>
      </c>
      <c r="B959" s="1" t="n">
        <v>45169</v>
      </c>
      <c r="C959" s="1" t="n">
        <v>46036</v>
      </c>
      <c r="D959" t="inlineStr">
        <is>
          <t>GÄVLEBORGS LÄN</t>
        </is>
      </c>
      <c r="E959" t="inlineStr">
        <is>
          <t>LJUSDAL</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46445-2025</t>
        </is>
      </c>
      <c r="B960" s="1" t="n">
        <v>45925.64638888889</v>
      </c>
      <c r="C960" s="1" t="n">
        <v>46036</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48354-2025</t>
        </is>
      </c>
      <c r="B961" s="1" t="n">
        <v>45933.65809027778</v>
      </c>
      <c r="C961" s="1" t="n">
        <v>46036</v>
      </c>
      <c r="D961" t="inlineStr">
        <is>
          <t>GÄVLEBORGS LÄN</t>
        </is>
      </c>
      <c r="E961" t="inlineStr">
        <is>
          <t>LJUSDAL</t>
        </is>
      </c>
      <c r="G961" t="n">
        <v>10.3</v>
      </c>
      <c r="H961" t="n">
        <v>0</v>
      </c>
      <c r="I961" t="n">
        <v>0</v>
      </c>
      <c r="J961" t="n">
        <v>0</v>
      </c>
      <c r="K961" t="n">
        <v>0</v>
      </c>
      <c r="L961" t="n">
        <v>0</v>
      </c>
      <c r="M961" t="n">
        <v>0</v>
      </c>
      <c r="N961" t="n">
        <v>0</v>
      </c>
      <c r="O961" t="n">
        <v>0</v>
      </c>
      <c r="P961" t="n">
        <v>0</v>
      </c>
      <c r="Q961" t="n">
        <v>0</v>
      </c>
      <c r="R961" s="2" t="inlineStr"/>
    </row>
    <row r="962" ht="15" customHeight="1">
      <c r="A962" t="inlineStr">
        <is>
          <t>A 38089-2025</t>
        </is>
      </c>
      <c r="B962" s="1" t="n">
        <v>45882.48065972222</v>
      </c>
      <c r="C962" s="1" t="n">
        <v>46036</v>
      </c>
      <c r="D962" t="inlineStr">
        <is>
          <t>GÄVLEBORGS LÄN</t>
        </is>
      </c>
      <c r="E962" t="inlineStr">
        <is>
          <t>LJUSDAL</t>
        </is>
      </c>
      <c r="G962" t="n">
        <v>5.4</v>
      </c>
      <c r="H962" t="n">
        <v>0</v>
      </c>
      <c r="I962" t="n">
        <v>0</v>
      </c>
      <c r="J962" t="n">
        <v>0</v>
      </c>
      <c r="K962" t="n">
        <v>0</v>
      </c>
      <c r="L962" t="n">
        <v>0</v>
      </c>
      <c r="M962" t="n">
        <v>0</v>
      </c>
      <c r="N962" t="n">
        <v>0</v>
      </c>
      <c r="O962" t="n">
        <v>0</v>
      </c>
      <c r="P962" t="n">
        <v>0</v>
      </c>
      <c r="Q962" t="n">
        <v>0</v>
      </c>
      <c r="R962" s="2" t="inlineStr"/>
    </row>
    <row r="963" ht="15" customHeight="1">
      <c r="A963" t="inlineStr">
        <is>
          <t>A 47923-2025</t>
        </is>
      </c>
      <c r="B963" s="1" t="n">
        <v>45932.53732638889</v>
      </c>
      <c r="C963" s="1" t="n">
        <v>46036</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38187-2025</t>
        </is>
      </c>
      <c r="B964" s="1" t="n">
        <v>45882.6533449074</v>
      </c>
      <c r="C964" s="1" t="n">
        <v>46036</v>
      </c>
      <c r="D964" t="inlineStr">
        <is>
          <t>GÄVLEBORGS LÄN</t>
        </is>
      </c>
      <c r="E964" t="inlineStr">
        <is>
          <t>LJUSDAL</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47925-2025</t>
        </is>
      </c>
      <c r="B965" s="1" t="n">
        <v>45932.54445601852</v>
      </c>
      <c r="C965" s="1" t="n">
        <v>46036</v>
      </c>
      <c r="D965" t="inlineStr">
        <is>
          <t>GÄVLEBORGS LÄN</t>
        </is>
      </c>
      <c r="E965" t="inlineStr">
        <is>
          <t>LJUSDAL</t>
        </is>
      </c>
      <c r="G965" t="n">
        <v>0.9</v>
      </c>
      <c r="H965" t="n">
        <v>0</v>
      </c>
      <c r="I965" t="n">
        <v>0</v>
      </c>
      <c r="J965" t="n">
        <v>0</v>
      </c>
      <c r="K965" t="n">
        <v>0</v>
      </c>
      <c r="L965" t="n">
        <v>0</v>
      </c>
      <c r="M965" t="n">
        <v>0</v>
      </c>
      <c r="N965" t="n">
        <v>0</v>
      </c>
      <c r="O965" t="n">
        <v>0</v>
      </c>
      <c r="P965" t="n">
        <v>0</v>
      </c>
      <c r="Q965" t="n">
        <v>0</v>
      </c>
      <c r="R965" s="2" t="inlineStr"/>
    </row>
    <row r="966" ht="15" customHeight="1">
      <c r="A966" t="inlineStr">
        <is>
          <t>A 6417-2025</t>
        </is>
      </c>
      <c r="B966" s="1" t="n">
        <v>45699.47202546296</v>
      </c>
      <c r="C966" s="1" t="n">
        <v>46036</v>
      </c>
      <c r="D966" t="inlineStr">
        <is>
          <t>GÄVLEBORGS LÄN</t>
        </is>
      </c>
      <c r="E966" t="inlineStr">
        <is>
          <t>LJUSDAL</t>
        </is>
      </c>
      <c r="F966" t="inlineStr">
        <is>
          <t>Holmen skog AB</t>
        </is>
      </c>
      <c r="G966" t="n">
        <v>42.3</v>
      </c>
      <c r="H966" t="n">
        <v>0</v>
      </c>
      <c r="I966" t="n">
        <v>0</v>
      </c>
      <c r="J966" t="n">
        <v>0</v>
      </c>
      <c r="K966" t="n">
        <v>0</v>
      </c>
      <c r="L966" t="n">
        <v>0</v>
      </c>
      <c r="M966" t="n">
        <v>0</v>
      </c>
      <c r="N966" t="n">
        <v>0</v>
      </c>
      <c r="O966" t="n">
        <v>0</v>
      </c>
      <c r="P966" t="n">
        <v>0</v>
      </c>
      <c r="Q966" t="n">
        <v>0</v>
      </c>
      <c r="R966" s="2" t="inlineStr"/>
    </row>
    <row r="967" ht="15" customHeight="1">
      <c r="A967" t="inlineStr">
        <is>
          <t>A 42540-2024</t>
        </is>
      </c>
      <c r="B967" s="1" t="n">
        <v>45565.58765046296</v>
      </c>
      <c r="C967" s="1" t="n">
        <v>46036</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52787-2024</t>
        </is>
      </c>
      <c r="B968" s="1" t="n">
        <v>45610.55293981481</v>
      </c>
      <c r="C968" s="1" t="n">
        <v>46036</v>
      </c>
      <c r="D968" t="inlineStr">
        <is>
          <t>GÄVLEBORGS LÄN</t>
        </is>
      </c>
      <c r="E968" t="inlineStr">
        <is>
          <t>LJUSDAL</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48729-2025</t>
        </is>
      </c>
      <c r="B969" s="1" t="n">
        <v>45936.65863425926</v>
      </c>
      <c r="C969" s="1" t="n">
        <v>46036</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64019-2023</t>
        </is>
      </c>
      <c r="B970" s="1" t="n">
        <v>45278.92652777778</v>
      </c>
      <c r="C970" s="1" t="n">
        <v>46036</v>
      </c>
      <c r="D970" t="inlineStr">
        <is>
          <t>GÄVLEBORGS LÄN</t>
        </is>
      </c>
      <c r="E970" t="inlineStr">
        <is>
          <t>LJUSDAL</t>
        </is>
      </c>
      <c r="G970" t="n">
        <v>1.6</v>
      </c>
      <c r="H970" t="n">
        <v>0</v>
      </c>
      <c r="I970" t="n">
        <v>0</v>
      </c>
      <c r="J970" t="n">
        <v>0</v>
      </c>
      <c r="K970" t="n">
        <v>0</v>
      </c>
      <c r="L970" t="n">
        <v>0</v>
      </c>
      <c r="M970" t="n">
        <v>0</v>
      </c>
      <c r="N970" t="n">
        <v>0</v>
      </c>
      <c r="O970" t="n">
        <v>0</v>
      </c>
      <c r="P970" t="n">
        <v>0</v>
      </c>
      <c r="Q970" t="n">
        <v>0</v>
      </c>
      <c r="R970" s="2" t="inlineStr"/>
    </row>
    <row r="971" ht="15" customHeight="1">
      <c r="A971" t="inlineStr">
        <is>
          <t>A 48694-2025</t>
        </is>
      </c>
      <c r="B971" s="1" t="n">
        <v>45936.61392361111</v>
      </c>
      <c r="C971" s="1" t="n">
        <v>46036</v>
      </c>
      <c r="D971" t="inlineStr">
        <is>
          <t>GÄVLEBORGS LÄN</t>
        </is>
      </c>
      <c r="E971" t="inlineStr">
        <is>
          <t>LJUSDAL</t>
        </is>
      </c>
      <c r="G971" t="n">
        <v>7.5</v>
      </c>
      <c r="H971" t="n">
        <v>0</v>
      </c>
      <c r="I971" t="n">
        <v>0</v>
      </c>
      <c r="J971" t="n">
        <v>0</v>
      </c>
      <c r="K971" t="n">
        <v>0</v>
      </c>
      <c r="L971" t="n">
        <v>0</v>
      </c>
      <c r="M971" t="n">
        <v>0</v>
      </c>
      <c r="N971" t="n">
        <v>0</v>
      </c>
      <c r="O971" t="n">
        <v>0</v>
      </c>
      <c r="P971" t="n">
        <v>0</v>
      </c>
      <c r="Q971" t="n">
        <v>0</v>
      </c>
      <c r="R971" s="2" t="inlineStr"/>
    </row>
    <row r="972" ht="15" customHeight="1">
      <c r="A972" t="inlineStr">
        <is>
          <t>A 48634-2025</t>
        </is>
      </c>
      <c r="B972" s="1" t="n">
        <v>45936.5131712963</v>
      </c>
      <c r="C972" s="1" t="n">
        <v>46036</v>
      </c>
      <c r="D972" t="inlineStr">
        <is>
          <t>GÄVLEBORGS LÄN</t>
        </is>
      </c>
      <c r="E972" t="inlineStr">
        <is>
          <t>LJUSDAL</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48635-2025</t>
        </is>
      </c>
      <c r="B973" s="1" t="n">
        <v>45936.51425925926</v>
      </c>
      <c r="C973" s="1" t="n">
        <v>46036</v>
      </c>
      <c r="D973" t="inlineStr">
        <is>
          <t>GÄVLEBORGS LÄN</t>
        </is>
      </c>
      <c r="E973" t="inlineStr">
        <is>
          <t>LJUSDAL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38648-2025</t>
        </is>
      </c>
      <c r="B974" s="1" t="n">
        <v>45884.5805787037</v>
      </c>
      <c r="C974" s="1" t="n">
        <v>46036</v>
      </c>
      <c r="D974" t="inlineStr">
        <is>
          <t>GÄVLEBORGS LÄN</t>
        </is>
      </c>
      <c r="E974" t="inlineStr">
        <is>
          <t>LJUSDAL</t>
        </is>
      </c>
      <c r="F974" t="inlineStr">
        <is>
          <t>Allmännings- och besparingsskogar</t>
        </is>
      </c>
      <c r="G974" t="n">
        <v>3.2</v>
      </c>
      <c r="H974" t="n">
        <v>0</v>
      </c>
      <c r="I974" t="n">
        <v>0</v>
      </c>
      <c r="J974" t="n">
        <v>0</v>
      </c>
      <c r="K974" t="n">
        <v>0</v>
      </c>
      <c r="L974" t="n">
        <v>0</v>
      </c>
      <c r="M974" t="n">
        <v>0</v>
      </c>
      <c r="N974" t="n">
        <v>0</v>
      </c>
      <c r="O974" t="n">
        <v>0</v>
      </c>
      <c r="P974" t="n">
        <v>0</v>
      </c>
      <c r="Q974" t="n">
        <v>0</v>
      </c>
      <c r="R974" s="2" t="inlineStr"/>
    </row>
    <row r="975" ht="15" customHeight="1">
      <c r="A975" t="inlineStr">
        <is>
          <t>A 48580-2025</t>
        </is>
      </c>
      <c r="B975" s="1" t="n">
        <v>45936.45487268519</v>
      </c>
      <c r="C975" s="1" t="n">
        <v>46036</v>
      </c>
      <c r="D975" t="inlineStr">
        <is>
          <t>GÄVLEBORGS LÄN</t>
        </is>
      </c>
      <c r="E975" t="inlineStr">
        <is>
          <t>LJUSDAL</t>
        </is>
      </c>
      <c r="G975" t="n">
        <v>3</v>
      </c>
      <c r="H975" t="n">
        <v>0</v>
      </c>
      <c r="I975" t="n">
        <v>0</v>
      </c>
      <c r="J975" t="n">
        <v>0</v>
      </c>
      <c r="K975" t="n">
        <v>0</v>
      </c>
      <c r="L975" t="n">
        <v>0</v>
      </c>
      <c r="M975" t="n">
        <v>0</v>
      </c>
      <c r="N975" t="n">
        <v>0</v>
      </c>
      <c r="O975" t="n">
        <v>0</v>
      </c>
      <c r="P975" t="n">
        <v>0</v>
      </c>
      <c r="Q975" t="n">
        <v>0</v>
      </c>
      <c r="R975" s="2" t="inlineStr"/>
    </row>
    <row r="976" ht="15" customHeight="1">
      <c r="A976" t="inlineStr">
        <is>
          <t>A 48631-2025</t>
        </is>
      </c>
      <c r="B976" s="1" t="n">
        <v>45936.51170138889</v>
      </c>
      <c r="C976" s="1" t="n">
        <v>46036</v>
      </c>
      <c r="D976" t="inlineStr">
        <is>
          <t>GÄVLEBORGS LÄN</t>
        </is>
      </c>
      <c r="E976" t="inlineStr">
        <is>
          <t>LJUSDAL</t>
        </is>
      </c>
      <c r="F976" t="inlineStr">
        <is>
          <t>Holmen skog AB</t>
        </is>
      </c>
      <c r="G976" t="n">
        <v>13.7</v>
      </c>
      <c r="H976" t="n">
        <v>0</v>
      </c>
      <c r="I976" t="n">
        <v>0</v>
      </c>
      <c r="J976" t="n">
        <v>0</v>
      </c>
      <c r="K976" t="n">
        <v>0</v>
      </c>
      <c r="L976" t="n">
        <v>0</v>
      </c>
      <c r="M976" t="n">
        <v>0</v>
      </c>
      <c r="N976" t="n">
        <v>0</v>
      </c>
      <c r="O976" t="n">
        <v>0</v>
      </c>
      <c r="P976" t="n">
        <v>0</v>
      </c>
      <c r="Q976" t="n">
        <v>0</v>
      </c>
      <c r="R976" s="2" t="inlineStr"/>
    </row>
    <row r="977" ht="15" customHeight="1">
      <c r="A977" t="inlineStr">
        <is>
          <t>A 48725-2025</t>
        </is>
      </c>
      <c r="B977" s="1" t="n">
        <v>45936.65416666667</v>
      </c>
      <c r="C977" s="1" t="n">
        <v>46036</v>
      </c>
      <c r="D977" t="inlineStr">
        <is>
          <t>GÄVLEBORGS LÄN</t>
        </is>
      </c>
      <c r="E977" t="inlineStr">
        <is>
          <t>LJUSDAL</t>
        </is>
      </c>
      <c r="G977" t="n">
        <v>2.9</v>
      </c>
      <c r="H977" t="n">
        <v>0</v>
      </c>
      <c r="I977" t="n">
        <v>0</v>
      </c>
      <c r="J977" t="n">
        <v>0</v>
      </c>
      <c r="K977" t="n">
        <v>0</v>
      </c>
      <c r="L977" t="n">
        <v>0</v>
      </c>
      <c r="M977" t="n">
        <v>0</v>
      </c>
      <c r="N977" t="n">
        <v>0</v>
      </c>
      <c r="O977" t="n">
        <v>0</v>
      </c>
      <c r="P977" t="n">
        <v>0</v>
      </c>
      <c r="Q977" t="n">
        <v>0</v>
      </c>
      <c r="R977" s="2" t="inlineStr"/>
    </row>
    <row r="978" ht="15" customHeight="1">
      <c r="A978" t="inlineStr">
        <is>
          <t>A 42317-2025</t>
        </is>
      </c>
      <c r="B978" s="1" t="n">
        <v>45904.66563657407</v>
      </c>
      <c r="C978" s="1" t="n">
        <v>46036</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6016-2025</t>
        </is>
      </c>
      <c r="B979" s="1" t="n">
        <v>45695</v>
      </c>
      <c r="C979" s="1" t="n">
        <v>46036</v>
      </c>
      <c r="D979" t="inlineStr">
        <is>
          <t>GÄVLEBORGS LÄN</t>
        </is>
      </c>
      <c r="E979" t="inlineStr">
        <is>
          <t>LJUSDAL</t>
        </is>
      </c>
      <c r="G979" t="n">
        <v>8</v>
      </c>
      <c r="H979" t="n">
        <v>0</v>
      </c>
      <c r="I979" t="n">
        <v>0</v>
      </c>
      <c r="J979" t="n">
        <v>0</v>
      </c>
      <c r="K979" t="n">
        <v>0</v>
      </c>
      <c r="L979" t="n">
        <v>0</v>
      </c>
      <c r="M979" t="n">
        <v>0</v>
      </c>
      <c r="N979" t="n">
        <v>0</v>
      </c>
      <c r="O979" t="n">
        <v>0</v>
      </c>
      <c r="P979" t="n">
        <v>0</v>
      </c>
      <c r="Q979" t="n">
        <v>0</v>
      </c>
      <c r="R979" s="2" t="inlineStr"/>
    </row>
    <row r="980" ht="15" customHeight="1">
      <c r="A980" t="inlineStr">
        <is>
          <t>A 48579-2025</t>
        </is>
      </c>
      <c r="B980" s="1" t="n">
        <v>45936.45458333333</v>
      </c>
      <c r="C980" s="1" t="n">
        <v>46036</v>
      </c>
      <c r="D980" t="inlineStr">
        <is>
          <t>GÄVLEBORGS LÄN</t>
        </is>
      </c>
      <c r="E980" t="inlineStr">
        <is>
          <t>LJUSDAL</t>
        </is>
      </c>
      <c r="F980" t="inlineStr">
        <is>
          <t>Allmännings- och besparingsskogar</t>
        </is>
      </c>
      <c r="G980" t="n">
        <v>7.6</v>
      </c>
      <c r="H980" t="n">
        <v>0</v>
      </c>
      <c r="I980" t="n">
        <v>0</v>
      </c>
      <c r="J980" t="n">
        <v>0</v>
      </c>
      <c r="K980" t="n">
        <v>0</v>
      </c>
      <c r="L980" t="n">
        <v>0</v>
      </c>
      <c r="M980" t="n">
        <v>0</v>
      </c>
      <c r="N980" t="n">
        <v>0</v>
      </c>
      <c r="O980" t="n">
        <v>0</v>
      </c>
      <c r="P980" t="n">
        <v>0</v>
      </c>
      <c r="Q980" t="n">
        <v>0</v>
      </c>
      <c r="R980" s="2" t="inlineStr"/>
    </row>
    <row r="981" ht="15" customHeight="1">
      <c r="A981" t="inlineStr">
        <is>
          <t>A 14871-2025</t>
        </is>
      </c>
      <c r="B981" s="1" t="n">
        <v>45743</v>
      </c>
      <c r="C981" s="1" t="n">
        <v>46036</v>
      </c>
      <c r="D981" t="inlineStr">
        <is>
          <t>GÄVLEBORGS LÄN</t>
        </is>
      </c>
      <c r="E981" t="inlineStr">
        <is>
          <t>LJUSDAL</t>
        </is>
      </c>
      <c r="G981" t="n">
        <v>10.9</v>
      </c>
      <c r="H981" t="n">
        <v>0</v>
      </c>
      <c r="I981" t="n">
        <v>0</v>
      </c>
      <c r="J981" t="n">
        <v>0</v>
      </c>
      <c r="K981" t="n">
        <v>0</v>
      </c>
      <c r="L981" t="n">
        <v>0</v>
      </c>
      <c r="M981" t="n">
        <v>0</v>
      </c>
      <c r="N981" t="n">
        <v>0</v>
      </c>
      <c r="O981" t="n">
        <v>0</v>
      </c>
      <c r="P981" t="n">
        <v>0</v>
      </c>
      <c r="Q981" t="n">
        <v>0</v>
      </c>
      <c r="R981" s="2" t="inlineStr"/>
    </row>
    <row r="982" ht="15" customHeight="1">
      <c r="A982" t="inlineStr">
        <is>
          <t>A 29439-2023</t>
        </is>
      </c>
      <c r="B982" s="1" t="n">
        <v>45106</v>
      </c>
      <c r="C982" s="1" t="n">
        <v>46036</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41882-2024</t>
        </is>
      </c>
      <c r="B983" s="1" t="n">
        <v>45561.4859375</v>
      </c>
      <c r="C983" s="1" t="n">
        <v>46036</v>
      </c>
      <c r="D983" t="inlineStr">
        <is>
          <t>GÄVLEBORGS LÄN</t>
        </is>
      </c>
      <c r="E983" t="inlineStr">
        <is>
          <t>LJUSDAL</t>
        </is>
      </c>
      <c r="G983" t="n">
        <v>11.9</v>
      </c>
      <c r="H983" t="n">
        <v>0</v>
      </c>
      <c r="I983" t="n">
        <v>0</v>
      </c>
      <c r="J983" t="n">
        <v>0</v>
      </c>
      <c r="K983" t="n">
        <v>0</v>
      </c>
      <c r="L983" t="n">
        <v>0</v>
      </c>
      <c r="M983" t="n">
        <v>0</v>
      </c>
      <c r="N983" t="n">
        <v>0</v>
      </c>
      <c r="O983" t="n">
        <v>0</v>
      </c>
      <c r="P983" t="n">
        <v>0</v>
      </c>
      <c r="Q983" t="n">
        <v>0</v>
      </c>
      <c r="R983" s="2" t="inlineStr"/>
    </row>
    <row r="984" ht="15" customHeight="1">
      <c r="A984" t="inlineStr">
        <is>
          <t>A 46524-2021</t>
        </is>
      </c>
      <c r="B984" s="1" t="n">
        <v>44445.45006944444</v>
      </c>
      <c r="C984" s="1" t="n">
        <v>46036</v>
      </c>
      <c r="D984" t="inlineStr">
        <is>
          <t>GÄVLEBORGS LÄN</t>
        </is>
      </c>
      <c r="E984" t="inlineStr">
        <is>
          <t>LJUSDAL</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49061-2025</t>
        </is>
      </c>
      <c r="B985" s="1" t="n">
        <v>45937.64150462963</v>
      </c>
      <c r="C985" s="1" t="n">
        <v>46036</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24512-2024</t>
        </is>
      </c>
      <c r="B986" s="1" t="n">
        <v>45460.34677083333</v>
      </c>
      <c r="C986" s="1" t="n">
        <v>46036</v>
      </c>
      <c r="D986" t="inlineStr">
        <is>
          <t>GÄVLEBORGS LÄN</t>
        </is>
      </c>
      <c r="E986" t="inlineStr">
        <is>
          <t>LJUSDAL</t>
        </is>
      </c>
      <c r="G986" t="n">
        <v>13.7</v>
      </c>
      <c r="H986" t="n">
        <v>0</v>
      </c>
      <c r="I986" t="n">
        <v>0</v>
      </c>
      <c r="J986" t="n">
        <v>0</v>
      </c>
      <c r="K986" t="n">
        <v>0</v>
      </c>
      <c r="L986" t="n">
        <v>0</v>
      </c>
      <c r="M986" t="n">
        <v>0</v>
      </c>
      <c r="N986" t="n">
        <v>0</v>
      </c>
      <c r="O986" t="n">
        <v>0</v>
      </c>
      <c r="P986" t="n">
        <v>0</v>
      </c>
      <c r="Q986" t="n">
        <v>0</v>
      </c>
      <c r="R986" s="2" t="inlineStr"/>
    </row>
    <row r="987" ht="15" customHeight="1">
      <c r="A987" t="inlineStr">
        <is>
          <t>A 27992-2025</t>
        </is>
      </c>
      <c r="B987" s="1" t="n">
        <v>45817.58949074074</v>
      </c>
      <c r="C987" s="1" t="n">
        <v>46036</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58900-2024</t>
        </is>
      </c>
      <c r="B988" s="1" t="n">
        <v>45636.47081018519</v>
      </c>
      <c r="C988" s="1" t="n">
        <v>46036</v>
      </c>
      <c r="D988" t="inlineStr">
        <is>
          <t>GÄVLEBORGS LÄN</t>
        </is>
      </c>
      <c r="E988" t="inlineStr">
        <is>
          <t>LJUSDAL</t>
        </is>
      </c>
      <c r="G988" t="n">
        <v>9.9</v>
      </c>
      <c r="H988" t="n">
        <v>0</v>
      </c>
      <c r="I988" t="n">
        <v>0</v>
      </c>
      <c r="J988" t="n">
        <v>0</v>
      </c>
      <c r="K988" t="n">
        <v>0</v>
      </c>
      <c r="L988" t="n">
        <v>0</v>
      </c>
      <c r="M988" t="n">
        <v>0</v>
      </c>
      <c r="N988" t="n">
        <v>0</v>
      </c>
      <c r="O988" t="n">
        <v>0</v>
      </c>
      <c r="P988" t="n">
        <v>0</v>
      </c>
      <c r="Q988" t="n">
        <v>0</v>
      </c>
      <c r="R988" s="2" t="inlineStr"/>
    </row>
    <row r="989" ht="15" customHeight="1">
      <c r="A989" t="inlineStr">
        <is>
          <t>A 49035-2025</t>
        </is>
      </c>
      <c r="B989" s="1" t="n">
        <v>45937.62997685185</v>
      </c>
      <c r="C989" s="1" t="n">
        <v>46036</v>
      </c>
      <c r="D989" t="inlineStr">
        <is>
          <t>GÄVLEBORGS LÄN</t>
        </is>
      </c>
      <c r="E989" t="inlineStr">
        <is>
          <t>LJUSDAL</t>
        </is>
      </c>
      <c r="G989" t="n">
        <v>0.5</v>
      </c>
      <c r="H989" t="n">
        <v>0</v>
      </c>
      <c r="I989" t="n">
        <v>0</v>
      </c>
      <c r="J989" t="n">
        <v>0</v>
      </c>
      <c r="K989" t="n">
        <v>0</v>
      </c>
      <c r="L989" t="n">
        <v>0</v>
      </c>
      <c r="M989" t="n">
        <v>0</v>
      </c>
      <c r="N989" t="n">
        <v>0</v>
      </c>
      <c r="O989" t="n">
        <v>0</v>
      </c>
      <c r="P989" t="n">
        <v>0</v>
      </c>
      <c r="Q989" t="n">
        <v>0</v>
      </c>
      <c r="R989" s="2" t="inlineStr"/>
    </row>
    <row r="990" ht="15" customHeight="1">
      <c r="A990" t="inlineStr">
        <is>
          <t>A 57164-2024</t>
        </is>
      </c>
      <c r="B990" s="1" t="n">
        <v>45629.41516203704</v>
      </c>
      <c r="C990" s="1" t="n">
        <v>46036</v>
      </c>
      <c r="D990" t="inlineStr">
        <is>
          <t>GÄVLEBORGS LÄN</t>
        </is>
      </c>
      <c r="E990" t="inlineStr">
        <is>
          <t>LJUSDAL</t>
        </is>
      </c>
      <c r="F990" t="inlineStr">
        <is>
          <t>Naturvårdsverket</t>
        </is>
      </c>
      <c r="G990" t="n">
        <v>18.5</v>
      </c>
      <c r="H990" t="n">
        <v>0</v>
      </c>
      <c r="I990" t="n">
        <v>0</v>
      </c>
      <c r="J990" t="n">
        <v>0</v>
      </c>
      <c r="K990" t="n">
        <v>0</v>
      </c>
      <c r="L990" t="n">
        <v>0</v>
      </c>
      <c r="M990" t="n">
        <v>0</v>
      </c>
      <c r="N990" t="n">
        <v>0</v>
      </c>
      <c r="O990" t="n">
        <v>0</v>
      </c>
      <c r="P990" t="n">
        <v>0</v>
      </c>
      <c r="Q990" t="n">
        <v>0</v>
      </c>
      <c r="R990" s="2" t="inlineStr"/>
    </row>
    <row r="991" ht="15" customHeight="1">
      <c r="A991" t="inlineStr">
        <is>
          <t>A 36182-2024</t>
        </is>
      </c>
      <c r="B991" s="1" t="n">
        <v>45534.41583333333</v>
      </c>
      <c r="C991" s="1" t="n">
        <v>46036</v>
      </c>
      <c r="D991" t="inlineStr">
        <is>
          <t>GÄVLEBORGS LÄN</t>
        </is>
      </c>
      <c r="E991" t="inlineStr">
        <is>
          <t>LJUSDAL</t>
        </is>
      </c>
      <c r="F991" t="inlineStr">
        <is>
          <t>Holmen skog AB</t>
        </is>
      </c>
      <c r="G991" t="n">
        <v>6.1</v>
      </c>
      <c r="H991" t="n">
        <v>0</v>
      </c>
      <c r="I991" t="n">
        <v>0</v>
      </c>
      <c r="J991" t="n">
        <v>0</v>
      </c>
      <c r="K991" t="n">
        <v>0</v>
      </c>
      <c r="L991" t="n">
        <v>0</v>
      </c>
      <c r="M991" t="n">
        <v>0</v>
      </c>
      <c r="N991" t="n">
        <v>0</v>
      </c>
      <c r="O991" t="n">
        <v>0</v>
      </c>
      <c r="P991" t="n">
        <v>0</v>
      </c>
      <c r="Q991" t="n">
        <v>0</v>
      </c>
      <c r="R991" s="2" t="inlineStr"/>
    </row>
    <row r="992" ht="15" customHeight="1">
      <c r="A992" t="inlineStr">
        <is>
          <t>A 33819-2023</t>
        </is>
      </c>
      <c r="B992" s="1" t="n">
        <v>45133.6052662037</v>
      </c>
      <c r="C992" s="1" t="n">
        <v>46036</v>
      </c>
      <c r="D992" t="inlineStr">
        <is>
          <t>GÄVLEBORGS LÄN</t>
        </is>
      </c>
      <c r="E992" t="inlineStr">
        <is>
          <t>LJUSDAL</t>
        </is>
      </c>
      <c r="F992" t="inlineStr">
        <is>
          <t>Holmen skog AB</t>
        </is>
      </c>
      <c r="G992" t="n">
        <v>8</v>
      </c>
      <c r="H992" t="n">
        <v>0</v>
      </c>
      <c r="I992" t="n">
        <v>0</v>
      </c>
      <c r="J992" t="n">
        <v>0</v>
      </c>
      <c r="K992" t="n">
        <v>0</v>
      </c>
      <c r="L992" t="n">
        <v>0</v>
      </c>
      <c r="M992" t="n">
        <v>0</v>
      </c>
      <c r="N992" t="n">
        <v>0</v>
      </c>
      <c r="O992" t="n">
        <v>0</v>
      </c>
      <c r="P992" t="n">
        <v>0</v>
      </c>
      <c r="Q992" t="n">
        <v>0</v>
      </c>
      <c r="R992" s="2" t="inlineStr"/>
    </row>
    <row r="993" ht="15" customHeight="1">
      <c r="A993" t="inlineStr">
        <is>
          <t>A 55451-2024</t>
        </is>
      </c>
      <c r="B993" s="1" t="n">
        <v>45622</v>
      </c>
      <c r="C993" s="1" t="n">
        <v>46036</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58103-2023</t>
        </is>
      </c>
      <c r="B994" s="1" t="n">
        <v>45249.55481481482</v>
      </c>
      <c r="C994" s="1" t="n">
        <v>46036</v>
      </c>
      <c r="D994" t="inlineStr">
        <is>
          <t>GÄVLEBORGS LÄN</t>
        </is>
      </c>
      <c r="E994" t="inlineStr">
        <is>
          <t>LJUSDAL</t>
        </is>
      </c>
      <c r="G994" t="n">
        <v>1.4</v>
      </c>
      <c r="H994" t="n">
        <v>0</v>
      </c>
      <c r="I994" t="n">
        <v>0</v>
      </c>
      <c r="J994" t="n">
        <v>0</v>
      </c>
      <c r="K994" t="n">
        <v>0</v>
      </c>
      <c r="L994" t="n">
        <v>0</v>
      </c>
      <c r="M994" t="n">
        <v>0</v>
      </c>
      <c r="N994" t="n">
        <v>0</v>
      </c>
      <c r="O994" t="n">
        <v>0</v>
      </c>
      <c r="P994" t="n">
        <v>0</v>
      </c>
      <c r="Q994" t="n">
        <v>0</v>
      </c>
      <c r="R994" s="2" t="inlineStr"/>
    </row>
    <row r="995" ht="15" customHeight="1">
      <c r="A995" t="inlineStr">
        <is>
          <t>A 49244-2025</t>
        </is>
      </c>
      <c r="B995" s="1" t="n">
        <v>45938.48805555556</v>
      </c>
      <c r="C995" s="1" t="n">
        <v>46036</v>
      </c>
      <c r="D995" t="inlineStr">
        <is>
          <t>GÄVLEBORGS LÄN</t>
        </is>
      </c>
      <c r="E995" t="inlineStr">
        <is>
          <t>LJUSDAL</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49275-2025</t>
        </is>
      </c>
      <c r="B996" s="1" t="n">
        <v>45938.50620370371</v>
      </c>
      <c r="C996" s="1" t="n">
        <v>46036</v>
      </c>
      <c r="D996" t="inlineStr">
        <is>
          <t>GÄVLEBORGS LÄN</t>
        </is>
      </c>
      <c r="E996" t="inlineStr">
        <is>
          <t>LJUSDAL</t>
        </is>
      </c>
      <c r="G996" t="n">
        <v>4.7</v>
      </c>
      <c r="H996" t="n">
        <v>0</v>
      </c>
      <c r="I996" t="n">
        <v>0</v>
      </c>
      <c r="J996" t="n">
        <v>0</v>
      </c>
      <c r="K996" t="n">
        <v>0</v>
      </c>
      <c r="L996" t="n">
        <v>0</v>
      </c>
      <c r="M996" t="n">
        <v>0</v>
      </c>
      <c r="N996" t="n">
        <v>0</v>
      </c>
      <c r="O996" t="n">
        <v>0</v>
      </c>
      <c r="P996" t="n">
        <v>0</v>
      </c>
      <c r="Q996" t="n">
        <v>0</v>
      </c>
      <c r="R996" s="2" t="inlineStr"/>
    </row>
    <row r="997" ht="15" customHeight="1">
      <c r="A997" t="inlineStr">
        <is>
          <t>A 49037-2025</t>
        </is>
      </c>
      <c r="B997" s="1" t="n">
        <v>45937.63116898148</v>
      </c>
      <c r="C997" s="1" t="n">
        <v>46036</v>
      </c>
      <c r="D997" t="inlineStr">
        <is>
          <t>GÄVLEBORGS LÄN</t>
        </is>
      </c>
      <c r="E997" t="inlineStr">
        <is>
          <t>LJUSDAL</t>
        </is>
      </c>
      <c r="G997" t="n">
        <v>6.2</v>
      </c>
      <c r="H997" t="n">
        <v>0</v>
      </c>
      <c r="I997" t="n">
        <v>0</v>
      </c>
      <c r="J997" t="n">
        <v>0</v>
      </c>
      <c r="K997" t="n">
        <v>0</v>
      </c>
      <c r="L997" t="n">
        <v>0</v>
      </c>
      <c r="M997" t="n">
        <v>0</v>
      </c>
      <c r="N997" t="n">
        <v>0</v>
      </c>
      <c r="O997" t="n">
        <v>0</v>
      </c>
      <c r="P997" t="n">
        <v>0</v>
      </c>
      <c r="Q997" t="n">
        <v>0</v>
      </c>
      <c r="R997" s="2" t="inlineStr"/>
    </row>
    <row r="998" ht="15" customHeight="1">
      <c r="A998" t="inlineStr">
        <is>
          <t>A 30294-2024</t>
        </is>
      </c>
      <c r="B998" s="1" t="n">
        <v>45490</v>
      </c>
      <c r="C998" s="1" t="n">
        <v>46036</v>
      </c>
      <c r="D998" t="inlineStr">
        <is>
          <t>GÄVLEBORGS LÄN</t>
        </is>
      </c>
      <c r="E998" t="inlineStr">
        <is>
          <t>LJUSDAL</t>
        </is>
      </c>
      <c r="G998" t="n">
        <v>3.5</v>
      </c>
      <c r="H998" t="n">
        <v>0</v>
      </c>
      <c r="I998" t="n">
        <v>0</v>
      </c>
      <c r="J998" t="n">
        <v>0</v>
      </c>
      <c r="K998" t="n">
        <v>0</v>
      </c>
      <c r="L998" t="n">
        <v>0</v>
      </c>
      <c r="M998" t="n">
        <v>0</v>
      </c>
      <c r="N998" t="n">
        <v>0</v>
      </c>
      <c r="O998" t="n">
        <v>0</v>
      </c>
      <c r="P998" t="n">
        <v>0</v>
      </c>
      <c r="Q998" t="n">
        <v>0</v>
      </c>
      <c r="R998" s="2" t="inlineStr"/>
    </row>
    <row r="999" ht="15" customHeight="1">
      <c r="A999" t="inlineStr">
        <is>
          <t>A 30503-2024</t>
        </is>
      </c>
      <c r="B999" s="1" t="n">
        <v>45492</v>
      </c>
      <c r="C999" s="1" t="n">
        <v>46036</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48825-2025</t>
        </is>
      </c>
      <c r="B1000" s="1" t="n">
        <v>45937.37980324074</v>
      </c>
      <c r="C1000" s="1" t="n">
        <v>46036</v>
      </c>
      <c r="D1000" t="inlineStr">
        <is>
          <t>GÄVLEBORGS LÄN</t>
        </is>
      </c>
      <c r="E1000" t="inlineStr">
        <is>
          <t>LJUSDAL</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49457-2025</t>
        </is>
      </c>
      <c r="B1001" s="1" t="n">
        <v>45939.2828125</v>
      </c>
      <c r="C1001" s="1" t="n">
        <v>46036</v>
      </c>
      <c r="D1001" t="inlineStr">
        <is>
          <t>GÄVLEBORGS LÄN</t>
        </is>
      </c>
      <c r="E1001" t="inlineStr">
        <is>
          <t>LJUSDAL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40276-2023</t>
        </is>
      </c>
      <c r="B1002" s="1" t="n">
        <v>45169.56296296296</v>
      </c>
      <c r="C1002" s="1" t="n">
        <v>46036</v>
      </c>
      <c r="D1002" t="inlineStr">
        <is>
          <t>GÄVLEBORGS LÄN</t>
        </is>
      </c>
      <c r="E1002" t="inlineStr">
        <is>
          <t>LJUSDAL</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49034-2025</t>
        </is>
      </c>
      <c r="B1003" s="1" t="n">
        <v>45937.62844907407</v>
      </c>
      <c r="C1003" s="1" t="n">
        <v>46036</v>
      </c>
      <c r="D1003" t="inlineStr">
        <is>
          <t>GÄVLEBORGS LÄN</t>
        </is>
      </c>
      <c r="E1003" t="inlineStr">
        <is>
          <t>LJUSDAL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51525-2023</t>
        </is>
      </c>
      <c r="B1004" s="1" t="n">
        <v>45222.39458333333</v>
      </c>
      <c r="C1004" s="1" t="n">
        <v>46036</v>
      </c>
      <c r="D1004" t="inlineStr">
        <is>
          <t>GÄVLEBORGS LÄN</t>
        </is>
      </c>
      <c r="E1004" t="inlineStr">
        <is>
          <t>LJUSDAL</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17241-2023</t>
        </is>
      </c>
      <c r="B1005" s="1" t="n">
        <v>45035.35208333333</v>
      </c>
      <c r="C1005" s="1" t="n">
        <v>46036</v>
      </c>
      <c r="D1005" t="inlineStr">
        <is>
          <t>GÄVLEBORGS LÄN</t>
        </is>
      </c>
      <c r="E1005" t="inlineStr">
        <is>
          <t>LJUSDAL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29240-2025</t>
        </is>
      </c>
      <c r="B1006" s="1" t="n">
        <v>45824.35913194445</v>
      </c>
      <c r="C1006" s="1" t="n">
        <v>46036</v>
      </c>
      <c r="D1006" t="inlineStr">
        <is>
          <t>GÄVLEBORGS LÄN</t>
        </is>
      </c>
      <c r="E1006" t="inlineStr">
        <is>
          <t>LJUSDAL</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58602-2024</t>
        </is>
      </c>
      <c r="B1007" s="1" t="n">
        <v>45635.54371527778</v>
      </c>
      <c r="C1007" s="1" t="n">
        <v>46036</v>
      </c>
      <c r="D1007" t="inlineStr">
        <is>
          <t>GÄVLEBORGS LÄN</t>
        </is>
      </c>
      <c r="E1007" t="inlineStr">
        <is>
          <t>LJUSDAL</t>
        </is>
      </c>
      <c r="F1007" t="inlineStr">
        <is>
          <t>Allmännings- och besparingsskogar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49297-2025</t>
        </is>
      </c>
      <c r="B1008" s="1" t="n">
        <v>45938.54032407407</v>
      </c>
      <c r="C1008" s="1" t="n">
        <v>46036</v>
      </c>
      <c r="D1008" t="inlineStr">
        <is>
          <t>GÄVLEBORGS LÄN</t>
        </is>
      </c>
      <c r="E1008" t="inlineStr">
        <is>
          <t>LJUSDAL</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33850-2023</t>
        </is>
      </c>
      <c r="B1009" s="1" t="n">
        <v>45133.69795138889</v>
      </c>
      <c r="C1009" s="1" t="n">
        <v>46036</v>
      </c>
      <c r="D1009" t="inlineStr">
        <is>
          <t>GÄVLEBORGS LÄN</t>
        </is>
      </c>
      <c r="E1009" t="inlineStr">
        <is>
          <t>LJUSDAL</t>
        </is>
      </c>
      <c r="F1009" t="inlineStr">
        <is>
          <t>Holmen skog AB</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49975-2025</t>
        </is>
      </c>
      <c r="B1010" s="1" t="n">
        <v>45942.50578703704</v>
      </c>
      <c r="C1010" s="1" t="n">
        <v>46036</v>
      </c>
      <c r="D1010" t="inlineStr">
        <is>
          <t>GÄVLEBORGS LÄN</t>
        </is>
      </c>
      <c r="E1010" t="inlineStr">
        <is>
          <t>LJUSDAL</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13498-2024</t>
        </is>
      </c>
      <c r="B1011" s="1" t="n">
        <v>45387.63298611111</v>
      </c>
      <c r="C1011" s="1" t="n">
        <v>46036</v>
      </c>
      <c r="D1011" t="inlineStr">
        <is>
          <t>GÄVLEBORGS LÄN</t>
        </is>
      </c>
      <c r="E1011" t="inlineStr">
        <is>
          <t>LJUSDAL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50135-2025</t>
        </is>
      </c>
      <c r="B1012" s="1" t="n">
        <v>45943.56146990741</v>
      </c>
      <c r="C1012" s="1" t="n">
        <v>46036</v>
      </c>
      <c r="D1012" t="inlineStr">
        <is>
          <t>GÄVLEBORGS LÄN</t>
        </is>
      </c>
      <c r="E1012" t="inlineStr">
        <is>
          <t>LJUSDAL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38646-2025</t>
        </is>
      </c>
      <c r="B1013" s="1" t="n">
        <v>45884.57827546296</v>
      </c>
      <c r="C1013" s="1" t="n">
        <v>46036</v>
      </c>
      <c r="D1013" t="inlineStr">
        <is>
          <t>GÄVLEBORGS LÄN</t>
        </is>
      </c>
      <c r="E1013" t="inlineStr">
        <is>
          <t>LJUSDAL</t>
        </is>
      </c>
      <c r="F1013" t="inlineStr">
        <is>
          <t>Allmännings- och besparingsskogar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49774-2025</t>
        </is>
      </c>
      <c r="B1014" s="1" t="n">
        <v>45940.37777777778</v>
      </c>
      <c r="C1014" s="1" t="n">
        <v>46036</v>
      </c>
      <c r="D1014" t="inlineStr">
        <is>
          <t>GÄVLEBORGS LÄN</t>
        </is>
      </c>
      <c r="E1014" t="inlineStr">
        <is>
          <t>LJUSDAL</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49736-2025</t>
        </is>
      </c>
      <c r="B1015" s="1" t="n">
        <v>45940.2783912037</v>
      </c>
      <c r="C1015" s="1" t="n">
        <v>46036</v>
      </c>
      <c r="D1015" t="inlineStr">
        <is>
          <t>GÄVLEBORGS LÄN</t>
        </is>
      </c>
      <c r="E1015" t="inlineStr">
        <is>
          <t>LJUSDAL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6013-2025</t>
        </is>
      </c>
      <c r="B1016" s="1" t="n">
        <v>45695</v>
      </c>
      <c r="C1016" s="1" t="n">
        <v>46036</v>
      </c>
      <c r="D1016" t="inlineStr">
        <is>
          <t>GÄVLEBORGS LÄN</t>
        </is>
      </c>
      <c r="E1016" t="inlineStr">
        <is>
          <t>LJUSDAL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59251-2024</t>
        </is>
      </c>
      <c r="B1017" s="1" t="n">
        <v>45637.59612268519</v>
      </c>
      <c r="C1017" s="1" t="n">
        <v>46036</v>
      </c>
      <c r="D1017" t="inlineStr">
        <is>
          <t>GÄVLEBORGS LÄN</t>
        </is>
      </c>
      <c r="E1017" t="inlineStr">
        <is>
          <t>LJUSDAL</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47580-2024</t>
        </is>
      </c>
      <c r="B1018" s="1" t="n">
        <v>45587.76090277778</v>
      </c>
      <c r="C1018" s="1" t="n">
        <v>46036</v>
      </c>
      <c r="D1018" t="inlineStr">
        <is>
          <t>GÄVLEBORGS LÄN</t>
        </is>
      </c>
      <c r="E1018" t="inlineStr">
        <is>
          <t>LJUSDAL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22250-2024</t>
        </is>
      </c>
      <c r="B1019" s="1" t="n">
        <v>45446.45796296297</v>
      </c>
      <c r="C1019" s="1" t="n">
        <v>46036</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57784-2024</t>
        </is>
      </c>
      <c r="B1020" s="1" t="n">
        <v>45631</v>
      </c>
      <c r="C1020" s="1" t="n">
        <v>46036</v>
      </c>
      <c r="D1020" t="inlineStr">
        <is>
          <t>GÄVLEBORGS LÄN</t>
        </is>
      </c>
      <c r="E1020" t="inlineStr">
        <is>
          <t>LJUSDAL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50656-2025</t>
        </is>
      </c>
      <c r="B1021" s="1" t="n">
        <v>45945.68559027778</v>
      </c>
      <c r="C1021" s="1" t="n">
        <v>46036</v>
      </c>
      <c r="D1021" t="inlineStr">
        <is>
          <t>GÄVLEBORGS LÄN</t>
        </is>
      </c>
      <c r="E1021" t="inlineStr">
        <is>
          <t>LJUSDAL</t>
        </is>
      </c>
      <c r="F1021" t="inlineStr">
        <is>
          <t>Sveaskog</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50549-2025</t>
        </is>
      </c>
      <c r="B1022" s="1" t="n">
        <v>45945.51229166667</v>
      </c>
      <c r="C1022" s="1" t="n">
        <v>46036</v>
      </c>
      <c r="D1022" t="inlineStr">
        <is>
          <t>GÄVLEBORGS LÄN</t>
        </is>
      </c>
      <c r="E1022" t="inlineStr">
        <is>
          <t>LJUSDAL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38642-2025</t>
        </is>
      </c>
      <c r="B1023" s="1" t="n">
        <v>45884.57646990741</v>
      </c>
      <c r="C1023" s="1" t="n">
        <v>46036</v>
      </c>
      <c r="D1023" t="inlineStr">
        <is>
          <t>GÄVLEBORGS LÄN</t>
        </is>
      </c>
      <c r="E1023" t="inlineStr">
        <is>
          <t>LJUSDAL</t>
        </is>
      </c>
      <c r="F1023" t="inlineStr">
        <is>
          <t>Allmännings- och besparingsskogar</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58820-2022</t>
        </is>
      </c>
      <c r="B1024" s="1" t="n">
        <v>44903</v>
      </c>
      <c r="C1024" s="1" t="n">
        <v>46036</v>
      </c>
      <c r="D1024" t="inlineStr">
        <is>
          <t>GÄVLEBORGS LÄN</t>
        </is>
      </c>
      <c r="E1024" t="inlineStr">
        <is>
          <t>LJUSDAL</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50403-2025</t>
        </is>
      </c>
      <c r="B1025" s="1" t="n">
        <v>45944.63626157407</v>
      </c>
      <c r="C1025" s="1" t="n">
        <v>46036</v>
      </c>
      <c r="D1025" t="inlineStr">
        <is>
          <t>GÄVLEBORGS LÄN</t>
        </is>
      </c>
      <c r="E1025" t="inlineStr">
        <is>
          <t>LJUSDAL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57949-2022</t>
        </is>
      </c>
      <c r="B1026" s="1" t="n">
        <v>44900.41127314815</v>
      </c>
      <c r="C1026" s="1" t="n">
        <v>46036</v>
      </c>
      <c r="D1026" t="inlineStr">
        <is>
          <t>GÄVLEBORGS LÄN</t>
        </is>
      </c>
      <c r="E1026" t="inlineStr">
        <is>
          <t>LJUSDAL</t>
        </is>
      </c>
      <c r="F1026" t="inlineStr">
        <is>
          <t>Holmen skog AB</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5853-2023</t>
        </is>
      </c>
      <c r="B1027" s="1" t="n">
        <v>44963.58543981481</v>
      </c>
      <c r="C1027" s="1" t="n">
        <v>46036</v>
      </c>
      <c r="D1027" t="inlineStr">
        <is>
          <t>GÄVLEBORGS LÄN</t>
        </is>
      </c>
      <c r="E1027" t="inlineStr">
        <is>
          <t>LJUSDAL</t>
        </is>
      </c>
      <c r="F1027" t="inlineStr">
        <is>
          <t>Allmännings- och besparingsskogar</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5856-2023</t>
        </is>
      </c>
      <c r="B1028" s="1" t="n">
        <v>44963.58771990741</v>
      </c>
      <c r="C1028" s="1" t="n">
        <v>46036</v>
      </c>
      <c r="D1028" t="inlineStr">
        <is>
          <t>GÄVLEBORGS LÄN</t>
        </is>
      </c>
      <c r="E1028" t="inlineStr">
        <is>
          <t>LJUSDAL</t>
        </is>
      </c>
      <c r="F1028" t="inlineStr">
        <is>
          <t>Allmännings- och besparingsskogar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61718-2023</t>
        </is>
      </c>
      <c r="B1029" s="1" t="n">
        <v>45265</v>
      </c>
      <c r="C1029" s="1" t="n">
        <v>46036</v>
      </c>
      <c r="D1029" t="inlineStr">
        <is>
          <t>GÄVLEBORGS LÄN</t>
        </is>
      </c>
      <c r="E1029" t="inlineStr">
        <is>
          <t>LJUSDAL</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50310-2025</t>
        </is>
      </c>
      <c r="B1030" s="1" t="n">
        <v>45944.43752314815</v>
      </c>
      <c r="C1030" s="1" t="n">
        <v>46036</v>
      </c>
      <c r="D1030" t="inlineStr">
        <is>
          <t>GÄVLEBORGS LÄN</t>
        </is>
      </c>
      <c r="E1030" t="inlineStr">
        <is>
          <t>LJUSDAL</t>
        </is>
      </c>
      <c r="F1030" t="inlineStr">
        <is>
          <t>Bergvik skog väst AB</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48856-2023</t>
        </is>
      </c>
      <c r="B1031" s="1" t="n">
        <v>45209.43892361111</v>
      </c>
      <c r="C1031" s="1" t="n">
        <v>46036</v>
      </c>
      <c r="D1031" t="inlineStr">
        <is>
          <t>GÄVLEBORGS LÄN</t>
        </is>
      </c>
      <c r="E1031" t="inlineStr">
        <is>
          <t>LJUSDAL</t>
        </is>
      </c>
      <c r="F1031" t="inlineStr">
        <is>
          <t>Bergvik skog väst AB</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38033-2025</t>
        </is>
      </c>
      <c r="B1032" s="1" t="n">
        <v>45881</v>
      </c>
      <c r="C1032" s="1" t="n">
        <v>46036</v>
      </c>
      <c r="D1032" t="inlineStr">
        <is>
          <t>GÄVLEBORGS LÄN</t>
        </is>
      </c>
      <c r="E1032" t="inlineStr">
        <is>
          <t>LJUSDAL</t>
        </is>
      </c>
      <c r="F1032" t="inlineStr">
        <is>
          <t>Bergvik skog väst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42964-2022</t>
        </is>
      </c>
      <c r="B1033" s="1" t="n">
        <v>44833.41857638889</v>
      </c>
      <c r="C1033" s="1" t="n">
        <v>46036</v>
      </c>
      <c r="D1033" t="inlineStr">
        <is>
          <t>GÄVLEBORGS LÄN</t>
        </is>
      </c>
      <c r="E1033" t="inlineStr">
        <is>
          <t>LJUSDAL</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7578-2023</t>
        </is>
      </c>
      <c r="B1034" s="1" t="n">
        <v>44972.38614583333</v>
      </c>
      <c r="C1034" s="1" t="n">
        <v>46036</v>
      </c>
      <c r="D1034" t="inlineStr">
        <is>
          <t>GÄVLEBORGS LÄN</t>
        </is>
      </c>
      <c r="E1034" t="inlineStr">
        <is>
          <t>LJUSDAL</t>
        </is>
      </c>
      <c r="F1034" t="inlineStr">
        <is>
          <t>Kommuner</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51230-2025</t>
        </is>
      </c>
      <c r="B1035" s="1" t="n">
        <v>45947.67012731481</v>
      </c>
      <c r="C1035" s="1" t="n">
        <v>46036</v>
      </c>
      <c r="D1035" t="inlineStr">
        <is>
          <t>GÄVLEBORGS LÄN</t>
        </is>
      </c>
      <c r="E1035" t="inlineStr">
        <is>
          <t>LJUSDAL</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50976-2025</t>
        </is>
      </c>
      <c r="B1036" s="1" t="n">
        <v>45947.3178587963</v>
      </c>
      <c r="C1036" s="1" t="n">
        <v>46036</v>
      </c>
      <c r="D1036" t="inlineStr">
        <is>
          <t>GÄVLEBORGS LÄN</t>
        </is>
      </c>
      <c r="E1036" t="inlineStr">
        <is>
          <t>LJUSDAL</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61603-2022</t>
        </is>
      </c>
      <c r="B1037" s="1" t="n">
        <v>44916</v>
      </c>
      <c r="C1037" s="1" t="n">
        <v>46036</v>
      </c>
      <c r="D1037" t="inlineStr">
        <is>
          <t>GÄVLEBORGS LÄN</t>
        </is>
      </c>
      <c r="E1037" t="inlineStr">
        <is>
          <t>LJUSDAL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50684-2025</t>
        </is>
      </c>
      <c r="B1038" s="1" t="n">
        <v>45945.82202546296</v>
      </c>
      <c r="C1038" s="1" t="n">
        <v>46036</v>
      </c>
      <c r="D1038" t="inlineStr">
        <is>
          <t>GÄVLEBORGS LÄN</t>
        </is>
      </c>
      <c r="E1038" t="inlineStr">
        <is>
          <t>LJUSDAL</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11838-2024</t>
        </is>
      </c>
      <c r="B1039" s="1" t="n">
        <v>45376.37584490741</v>
      </c>
      <c r="C1039" s="1" t="n">
        <v>46036</v>
      </c>
      <c r="D1039" t="inlineStr">
        <is>
          <t>GÄVLEBORGS LÄN</t>
        </is>
      </c>
      <c r="E1039" t="inlineStr">
        <is>
          <t>LJUSDAL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8979-2024</t>
        </is>
      </c>
      <c r="B1040" s="1" t="n">
        <v>45357</v>
      </c>
      <c r="C1040" s="1" t="n">
        <v>46036</v>
      </c>
      <c r="D1040" t="inlineStr">
        <is>
          <t>GÄVLEBORGS LÄN</t>
        </is>
      </c>
      <c r="E1040" t="inlineStr">
        <is>
          <t>LJUSDAL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50972-2025</t>
        </is>
      </c>
      <c r="B1041" s="1" t="n">
        <v>45947.31030092593</v>
      </c>
      <c r="C1041" s="1" t="n">
        <v>46036</v>
      </c>
      <c r="D1041" t="inlineStr">
        <is>
          <t>GÄVLEBORGS LÄN</t>
        </is>
      </c>
      <c r="E1041" t="inlineStr">
        <is>
          <t>LJUSDAL</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49261-2025</t>
        </is>
      </c>
      <c r="B1042" s="1" t="n">
        <v>45938.49891203704</v>
      </c>
      <c r="C1042" s="1" t="n">
        <v>46036</v>
      </c>
      <c r="D1042" t="inlineStr">
        <is>
          <t>GÄVLEBORGS LÄN</t>
        </is>
      </c>
      <c r="E1042" t="inlineStr">
        <is>
          <t>LJUSDAL</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60098-2023</t>
        </is>
      </c>
      <c r="B1043" s="1" t="n">
        <v>45258.45493055556</v>
      </c>
      <c r="C1043" s="1" t="n">
        <v>46036</v>
      </c>
      <c r="D1043" t="inlineStr">
        <is>
          <t>GÄVLEBORGS LÄN</t>
        </is>
      </c>
      <c r="E1043" t="inlineStr">
        <is>
          <t>LJUSDAL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22251-2023</t>
        </is>
      </c>
      <c r="B1044" s="1" t="n">
        <v>45070</v>
      </c>
      <c r="C1044" s="1" t="n">
        <v>46036</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51267-2025</t>
        </is>
      </c>
      <c r="B1045" s="1" t="n">
        <v>45949.77891203704</v>
      </c>
      <c r="C1045" s="1" t="n">
        <v>46036</v>
      </c>
      <c r="D1045" t="inlineStr">
        <is>
          <t>GÄVLEBORGS LÄN</t>
        </is>
      </c>
      <c r="E1045" t="inlineStr">
        <is>
          <t>LJUSDAL</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26185-2023</t>
        </is>
      </c>
      <c r="B1046" s="1" t="n">
        <v>45091.53390046296</v>
      </c>
      <c r="C1046" s="1" t="n">
        <v>46036</v>
      </c>
      <c r="D1046" t="inlineStr">
        <is>
          <t>GÄVLEBORGS LÄN</t>
        </is>
      </c>
      <c r="E1046" t="inlineStr">
        <is>
          <t>LJUSDAL</t>
        </is>
      </c>
      <c r="F1046" t="inlineStr">
        <is>
          <t>Sveaskog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26186-2023</t>
        </is>
      </c>
      <c r="B1047" s="1" t="n">
        <v>45091.53475694444</v>
      </c>
      <c r="C1047" s="1" t="n">
        <v>46036</v>
      </c>
      <c r="D1047" t="inlineStr">
        <is>
          <t>GÄVLEBORGS LÄN</t>
        </is>
      </c>
      <c r="E1047" t="inlineStr">
        <is>
          <t>LJUSDAL</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17667-2023</t>
        </is>
      </c>
      <c r="B1048" s="1" t="n">
        <v>45036.94440972222</v>
      </c>
      <c r="C1048" s="1" t="n">
        <v>46036</v>
      </c>
      <c r="D1048" t="inlineStr">
        <is>
          <t>GÄVLEBORGS LÄN</t>
        </is>
      </c>
      <c r="E1048" t="inlineStr">
        <is>
          <t>LJUSDAL</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23374-2024</t>
        </is>
      </c>
      <c r="B1049" s="1" t="n">
        <v>45453.55642361111</v>
      </c>
      <c r="C1049" s="1" t="n">
        <v>46036</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23386-2024</t>
        </is>
      </c>
      <c r="B1050" s="1" t="n">
        <v>45453.56219907408</v>
      </c>
      <c r="C1050" s="1" t="n">
        <v>46036</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5440-2023</t>
        </is>
      </c>
      <c r="B1051" s="1" t="n">
        <v>44959.92410879629</v>
      </c>
      <c r="C1051" s="1" t="n">
        <v>46036</v>
      </c>
      <c r="D1051" t="inlineStr">
        <is>
          <t>GÄVLEBORGS LÄN</t>
        </is>
      </c>
      <c r="E1051" t="inlineStr">
        <is>
          <t>LJUSDAL</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43800-2023</t>
        </is>
      </c>
      <c r="B1052" s="1" t="n">
        <v>45187.55690972223</v>
      </c>
      <c r="C1052" s="1" t="n">
        <v>46036</v>
      </c>
      <c r="D1052" t="inlineStr">
        <is>
          <t>GÄVLEBORGS LÄN</t>
        </is>
      </c>
      <c r="E1052" t="inlineStr">
        <is>
          <t>LJUSDAL</t>
        </is>
      </c>
      <c r="F1052" t="inlineStr">
        <is>
          <t>Bergvik skog väst AB</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67380-2021</t>
        </is>
      </c>
      <c r="B1053" s="1" t="n">
        <v>44523</v>
      </c>
      <c r="C1053" s="1" t="n">
        <v>46036</v>
      </c>
      <c r="D1053" t="inlineStr">
        <is>
          <t>GÄVLEBORGS LÄN</t>
        </is>
      </c>
      <c r="E1053" t="inlineStr">
        <is>
          <t>LJUSDAL</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39927-2024</t>
        </is>
      </c>
      <c r="B1054" s="1" t="n">
        <v>45553.54829861111</v>
      </c>
      <c r="C1054" s="1" t="n">
        <v>46036</v>
      </c>
      <c r="D1054" t="inlineStr">
        <is>
          <t>GÄVLEBORGS LÄN</t>
        </is>
      </c>
      <c r="E1054" t="inlineStr">
        <is>
          <t>LJUSDAL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60352-2025</t>
        </is>
      </c>
      <c r="B1055" s="1" t="n">
        <v>45995.30913194444</v>
      </c>
      <c r="C1055" s="1" t="n">
        <v>46036</v>
      </c>
      <c r="D1055" t="inlineStr">
        <is>
          <t>GÄVLEBORGS LÄN</t>
        </is>
      </c>
      <c r="E1055" t="inlineStr">
        <is>
          <t>LJUSDAL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4110-2025</t>
        </is>
      </c>
      <c r="B1056" s="1" t="n">
        <v>45684.69658564815</v>
      </c>
      <c r="C1056" s="1" t="n">
        <v>46036</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47933-2025</t>
        </is>
      </c>
      <c r="B1057" s="1" t="n">
        <v>45932.55664351852</v>
      </c>
      <c r="C1057" s="1" t="n">
        <v>46036</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15645-2025</t>
        </is>
      </c>
      <c r="B1058" s="1" t="n">
        <v>45748.39400462963</v>
      </c>
      <c r="C1058" s="1" t="n">
        <v>46036</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57110-2022</t>
        </is>
      </c>
      <c r="B1059" s="1" t="n">
        <v>44895.51792824074</v>
      </c>
      <c r="C1059" s="1" t="n">
        <v>46036</v>
      </c>
      <c r="D1059" t="inlineStr">
        <is>
          <t>GÄVLEBORGS LÄN</t>
        </is>
      </c>
      <c r="E1059" t="inlineStr">
        <is>
          <t>LJUSDAL</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24691-2024</t>
        </is>
      </c>
      <c r="B1060" s="1" t="n">
        <v>45460.60364583333</v>
      </c>
      <c r="C1060" s="1" t="n">
        <v>46036</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60438-2025</t>
        </is>
      </c>
      <c r="B1061" s="1" t="n">
        <v>45995.49</v>
      </c>
      <c r="C1061" s="1" t="n">
        <v>46036</v>
      </c>
      <c r="D1061" t="inlineStr">
        <is>
          <t>GÄVLEBORGS LÄN</t>
        </is>
      </c>
      <c r="E1061" t="inlineStr">
        <is>
          <t>LJUSDAL</t>
        </is>
      </c>
      <c r="F1061" t="inlineStr">
        <is>
          <t>SCA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60232-2025</t>
        </is>
      </c>
      <c r="B1062" s="1" t="n">
        <v>45994.57300925926</v>
      </c>
      <c r="C1062" s="1" t="n">
        <v>46036</v>
      </c>
      <c r="D1062" t="inlineStr">
        <is>
          <t>GÄVLEBORGS LÄN</t>
        </is>
      </c>
      <c r="E1062" t="inlineStr">
        <is>
          <t>LJUSDAL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60419-2025</t>
        </is>
      </c>
      <c r="B1063" s="1" t="n">
        <v>45995.45788194444</v>
      </c>
      <c r="C1063" s="1" t="n">
        <v>46036</v>
      </c>
      <c r="D1063" t="inlineStr">
        <is>
          <t>GÄVLEBORGS LÄN</t>
        </is>
      </c>
      <c r="E1063" t="inlineStr">
        <is>
          <t>LJUSDAL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51913-2025</t>
        </is>
      </c>
      <c r="B1064" s="1" t="n">
        <v>45952.47181712963</v>
      </c>
      <c r="C1064" s="1" t="n">
        <v>46036</v>
      </c>
      <c r="D1064" t="inlineStr">
        <is>
          <t>GÄVLEBORGS LÄN</t>
        </is>
      </c>
      <c r="E1064" t="inlineStr">
        <is>
          <t>LJUSDAL</t>
        </is>
      </c>
      <c r="F1064" t="inlineStr">
        <is>
          <t>Holmen skog AB</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18123-2025</t>
        </is>
      </c>
      <c r="B1065" s="1" t="n">
        <v>45761.59417824074</v>
      </c>
      <c r="C1065" s="1" t="n">
        <v>46036</v>
      </c>
      <c r="D1065" t="inlineStr">
        <is>
          <t>GÄVLEBORGS LÄN</t>
        </is>
      </c>
      <c r="E1065" t="inlineStr">
        <is>
          <t>LJUSDAL</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51974-2025</t>
        </is>
      </c>
      <c r="B1066" s="1" t="n">
        <v>45952.5591087963</v>
      </c>
      <c r="C1066" s="1" t="n">
        <v>46036</v>
      </c>
      <c r="D1066" t="inlineStr">
        <is>
          <t>GÄVLEBORGS LÄN</t>
        </is>
      </c>
      <c r="E1066" t="inlineStr">
        <is>
          <t>LJUSDAL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41730-2024</t>
        </is>
      </c>
      <c r="B1067" s="1" t="n">
        <v>45560.90769675926</v>
      </c>
      <c r="C1067" s="1" t="n">
        <v>46036</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51431-2021</t>
        </is>
      </c>
      <c r="B1068" s="1" t="n">
        <v>44461</v>
      </c>
      <c r="C1068" s="1" t="n">
        <v>46036</v>
      </c>
      <c r="D1068" t="inlineStr">
        <is>
          <t>GÄVLEBORGS LÄN</t>
        </is>
      </c>
      <c r="E1068" t="inlineStr">
        <is>
          <t>LJUSDAL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38634-2023</t>
        </is>
      </c>
      <c r="B1069" s="1" t="n">
        <v>45162.70454861111</v>
      </c>
      <c r="C1069" s="1" t="n">
        <v>46036</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21724-2021</t>
        </is>
      </c>
      <c r="B1070" s="1" t="n">
        <v>44322</v>
      </c>
      <c r="C1070" s="1" t="n">
        <v>46036</v>
      </c>
      <c r="D1070" t="inlineStr">
        <is>
          <t>GÄVLEBORGS LÄN</t>
        </is>
      </c>
      <c r="E1070" t="inlineStr">
        <is>
          <t>LJUSDAL</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31348-2022</t>
        </is>
      </c>
      <c r="B1071" s="1" t="n">
        <v>44774.54951388889</v>
      </c>
      <c r="C1071" s="1" t="n">
        <v>46036</v>
      </c>
      <c r="D1071" t="inlineStr">
        <is>
          <t>GÄVLEBORGS LÄN</t>
        </is>
      </c>
      <c r="E1071" t="inlineStr">
        <is>
          <t>LJUSDAL</t>
        </is>
      </c>
      <c r="F1071" t="inlineStr">
        <is>
          <t>Holmen skog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17228-2023</t>
        </is>
      </c>
      <c r="B1072" s="1" t="n">
        <v>45035.31238425926</v>
      </c>
      <c r="C1072" s="1" t="n">
        <v>46036</v>
      </c>
      <c r="D1072" t="inlineStr">
        <is>
          <t>GÄVLEBORGS LÄN</t>
        </is>
      </c>
      <c r="E1072" t="inlineStr">
        <is>
          <t>LJUSDAL</t>
        </is>
      </c>
      <c r="F1072" t="inlineStr">
        <is>
          <t>Holmen skog AB</t>
        </is>
      </c>
      <c r="G1072" t="n">
        <v>1.8</v>
      </c>
      <c r="H1072" t="n">
        <v>0</v>
      </c>
      <c r="I1072" t="n">
        <v>0</v>
      </c>
      <c r="J1072" t="n">
        <v>0</v>
      </c>
      <c r="K1072" t="n">
        <v>0</v>
      </c>
      <c r="L1072" t="n">
        <v>0</v>
      </c>
      <c r="M1072" t="n">
        <v>0</v>
      </c>
      <c r="N1072" t="n">
        <v>0</v>
      </c>
      <c r="O1072" t="n">
        <v>0</v>
      </c>
      <c r="P1072" t="n">
        <v>0</v>
      </c>
      <c r="Q1072" t="n">
        <v>0</v>
      </c>
      <c r="R1072" s="2" t="inlineStr"/>
      <c r="U1072">
        <f>HYPERLINK("https://klasma.github.io/Logging_2161/knärot/A 17228-2023 karta knärot.png", "A 17228-2023")</f>
        <v/>
      </c>
      <c r="V1072">
        <f>HYPERLINK("https://klasma.github.io/Logging_2161/klagomål/A 17228-2023 FSC-klagomål.docx", "A 17228-2023")</f>
        <v/>
      </c>
      <c r="W1072">
        <f>HYPERLINK("https://klasma.github.io/Logging_2161/klagomålsmail/A 17228-2023 FSC-klagomål mail.docx", "A 17228-2023")</f>
        <v/>
      </c>
      <c r="X1072">
        <f>HYPERLINK("https://klasma.github.io/Logging_2161/tillsyn/A 17228-2023 tillsynsbegäran.docx", "A 17228-2023")</f>
        <v/>
      </c>
      <c r="Y1072">
        <f>HYPERLINK("https://klasma.github.io/Logging_2161/tillsynsmail/A 17228-2023 tillsynsbegäran mail.docx", "A 17228-2023")</f>
        <v/>
      </c>
    </row>
    <row r="1073" ht="15" customHeight="1">
      <c r="A1073" t="inlineStr">
        <is>
          <t>A 28272-2023</t>
        </is>
      </c>
      <c r="B1073" s="1" t="n">
        <v>45099.62010416666</v>
      </c>
      <c r="C1073" s="1" t="n">
        <v>46036</v>
      </c>
      <c r="D1073" t="inlineStr">
        <is>
          <t>GÄVLEBORGS LÄN</t>
        </is>
      </c>
      <c r="E1073" t="inlineStr">
        <is>
          <t>LJUSDAL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60251-2025</t>
        </is>
      </c>
      <c r="B1074" s="1" t="n">
        <v>45994.59480324074</v>
      </c>
      <c r="C1074" s="1" t="n">
        <v>46036</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60415-2025</t>
        </is>
      </c>
      <c r="B1075" s="1" t="n">
        <v>45995.4490162037</v>
      </c>
      <c r="C1075" s="1" t="n">
        <v>46036</v>
      </c>
      <c r="D1075" t="inlineStr">
        <is>
          <t>GÄVLEBORGS LÄN</t>
        </is>
      </c>
      <c r="E1075" t="inlineStr">
        <is>
          <t>LJUSDAL</t>
        </is>
      </c>
      <c r="F1075" t="inlineStr">
        <is>
          <t>Övriga Aktiebolag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52482-2025</t>
        </is>
      </c>
      <c r="B1076" s="1" t="n">
        <v>45954.47388888889</v>
      </c>
      <c r="C1076" s="1" t="n">
        <v>46036</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3233-2025</t>
        </is>
      </c>
      <c r="B1077" s="1" t="n">
        <v>45679.49009259259</v>
      </c>
      <c r="C1077" s="1" t="n">
        <v>46036</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60874-2025</t>
        </is>
      </c>
      <c r="B1078" s="1" t="n">
        <v>45999.5552662037</v>
      </c>
      <c r="C1078" s="1" t="n">
        <v>46036</v>
      </c>
      <c r="D1078" t="inlineStr">
        <is>
          <t>GÄVLEBORGS LÄN</t>
        </is>
      </c>
      <c r="E1078" t="inlineStr">
        <is>
          <t>LJUSDAL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19490-2025</t>
        </is>
      </c>
      <c r="B1079" s="1" t="n">
        <v>45770.38850694444</v>
      </c>
      <c r="C1079" s="1" t="n">
        <v>46036</v>
      </c>
      <c r="D1079" t="inlineStr">
        <is>
          <t>GÄVLEBORGS LÄN</t>
        </is>
      </c>
      <c r="E1079" t="inlineStr">
        <is>
          <t>LJUSDAL</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52559-2025</t>
        </is>
      </c>
      <c r="B1080" s="1" t="n">
        <v>45954.56931712963</v>
      </c>
      <c r="C1080" s="1" t="n">
        <v>46036</v>
      </c>
      <c r="D1080" t="inlineStr">
        <is>
          <t>GÄVLEBORGS LÄN</t>
        </is>
      </c>
      <c r="E1080" t="inlineStr">
        <is>
          <t>LJUSDAL</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6339-2025</t>
        </is>
      </c>
      <c r="B1081" s="1" t="n">
        <v>45699</v>
      </c>
      <c r="C1081" s="1" t="n">
        <v>46036</v>
      </c>
      <c r="D1081" t="inlineStr">
        <is>
          <t>GÄVLEBORGS LÄN</t>
        </is>
      </c>
      <c r="E1081" t="inlineStr">
        <is>
          <t>LJUSDAL</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14002-2025</t>
        </is>
      </c>
      <c r="B1082" s="1" t="n">
        <v>45740.28945601852</v>
      </c>
      <c r="C1082" s="1" t="n">
        <v>46036</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60838-2025</t>
        </is>
      </c>
      <c r="B1083" s="1" t="n">
        <v>45999.48393518518</v>
      </c>
      <c r="C1083" s="1" t="n">
        <v>46036</v>
      </c>
      <c r="D1083" t="inlineStr">
        <is>
          <t>GÄVLEBORGS LÄN</t>
        </is>
      </c>
      <c r="E1083" t="inlineStr">
        <is>
          <t>LJUSDAL</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60679-2025</t>
        </is>
      </c>
      <c r="B1084" s="1" t="n">
        <v>45996.5630787037</v>
      </c>
      <c r="C1084" s="1" t="n">
        <v>46036</v>
      </c>
      <c r="D1084" t="inlineStr">
        <is>
          <t>GÄVLEBORGS LÄN</t>
        </is>
      </c>
      <c r="E1084" t="inlineStr">
        <is>
          <t>LJUSDAL</t>
        </is>
      </c>
      <c r="F1084" t="inlineStr">
        <is>
          <t>Bergvik skog väst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56766-2022</t>
        </is>
      </c>
      <c r="B1085" s="1" t="n">
        <v>44894</v>
      </c>
      <c r="C1085" s="1" t="n">
        <v>46036</v>
      </c>
      <c r="D1085" t="inlineStr">
        <is>
          <t>GÄVLEBORGS LÄN</t>
        </is>
      </c>
      <c r="E1085" t="inlineStr">
        <is>
          <t>LJUSDAL</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60763-2025</t>
        </is>
      </c>
      <c r="B1086" s="1" t="n">
        <v>45999.38649305556</v>
      </c>
      <c r="C1086" s="1" t="n">
        <v>46036</v>
      </c>
      <c r="D1086" t="inlineStr">
        <is>
          <t>GÄVLEBORGS LÄN</t>
        </is>
      </c>
      <c r="E1086" t="inlineStr">
        <is>
          <t>LJUSDAL</t>
        </is>
      </c>
      <c r="F1086" t="inlineStr">
        <is>
          <t>SCA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52445-2025</t>
        </is>
      </c>
      <c r="B1087" s="1" t="n">
        <v>45954.41722222222</v>
      </c>
      <c r="C1087" s="1" t="n">
        <v>46036</v>
      </c>
      <c r="D1087" t="inlineStr">
        <is>
          <t>GÄVLEBORGS LÄN</t>
        </is>
      </c>
      <c r="E1087" t="inlineStr">
        <is>
          <t>LJUSDAL</t>
        </is>
      </c>
      <c r="F1087" t="inlineStr">
        <is>
          <t>Allmännings- och besparingsskogar</t>
        </is>
      </c>
      <c r="G1087" t="n">
        <v>17.7</v>
      </c>
      <c r="H1087" t="n">
        <v>0</v>
      </c>
      <c r="I1087" t="n">
        <v>0</v>
      </c>
      <c r="J1087" t="n">
        <v>0</v>
      </c>
      <c r="K1087" t="n">
        <v>0</v>
      </c>
      <c r="L1087" t="n">
        <v>0</v>
      </c>
      <c r="M1087" t="n">
        <v>0</v>
      </c>
      <c r="N1087" t="n">
        <v>0</v>
      </c>
      <c r="O1087" t="n">
        <v>0</v>
      </c>
      <c r="P1087" t="n">
        <v>0</v>
      </c>
      <c r="Q1087" t="n">
        <v>0</v>
      </c>
      <c r="R1087" s="2" t="inlineStr"/>
    </row>
    <row r="1088" ht="15" customHeight="1">
      <c r="A1088" t="inlineStr">
        <is>
          <t>A 52890-2025</t>
        </is>
      </c>
      <c r="B1088" s="1" t="n">
        <v>45957.57528935185</v>
      </c>
      <c r="C1088" s="1" t="n">
        <v>46036</v>
      </c>
      <c r="D1088" t="inlineStr">
        <is>
          <t>GÄVLEBORGS LÄN</t>
        </is>
      </c>
      <c r="E1088" t="inlineStr">
        <is>
          <t>LJUSDAL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32106-2025</t>
        </is>
      </c>
      <c r="B1089" s="1" t="n">
        <v>45835</v>
      </c>
      <c r="C1089" s="1" t="n">
        <v>46036</v>
      </c>
      <c r="D1089" t="inlineStr">
        <is>
          <t>GÄVLEBORGS LÄN</t>
        </is>
      </c>
      <c r="E1089" t="inlineStr">
        <is>
          <t>LJUSDAL</t>
        </is>
      </c>
      <c r="F1089" t="inlineStr">
        <is>
          <t>Allmännings- och besparingsskogar</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29369-2025</t>
        </is>
      </c>
      <c r="B1090" s="1" t="n">
        <v>45824.57314814815</v>
      </c>
      <c r="C1090" s="1" t="n">
        <v>46036</v>
      </c>
      <c r="D1090" t="inlineStr">
        <is>
          <t>GÄVLEBORGS LÄN</t>
        </is>
      </c>
      <c r="E1090" t="inlineStr">
        <is>
          <t>LJUSDAL</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5779-2023</t>
        </is>
      </c>
      <c r="B1091" s="1" t="n">
        <v>44963.4146412037</v>
      </c>
      <c r="C1091" s="1" t="n">
        <v>46036</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51725-2024</t>
        </is>
      </c>
      <c r="B1092" s="1" t="n">
        <v>45607.383125</v>
      </c>
      <c r="C1092" s="1" t="n">
        <v>46036</v>
      </c>
      <c r="D1092" t="inlineStr">
        <is>
          <t>GÄVLEBORGS LÄN</t>
        </is>
      </c>
      <c r="E1092" t="inlineStr">
        <is>
          <t>LJUSDAL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52487-2025</t>
        </is>
      </c>
      <c r="B1093" s="1" t="n">
        <v>45954.4796412037</v>
      </c>
      <c r="C1093" s="1" t="n">
        <v>46036</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19471-2025</t>
        </is>
      </c>
      <c r="B1094" s="1" t="n">
        <v>45770.38461805556</v>
      </c>
      <c r="C1094" s="1" t="n">
        <v>46036</v>
      </c>
      <c r="D1094" t="inlineStr">
        <is>
          <t>GÄVLEBORGS LÄN</t>
        </is>
      </c>
      <c r="E1094" t="inlineStr">
        <is>
          <t>LJUSDAL</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60885-2025</t>
        </is>
      </c>
      <c r="B1095" s="1" t="n">
        <v>45999.56585648148</v>
      </c>
      <c r="C1095" s="1" t="n">
        <v>46036</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12768-2025</t>
        </is>
      </c>
      <c r="B1096" s="1" t="n">
        <v>45733.57840277778</v>
      </c>
      <c r="C1096" s="1" t="n">
        <v>46036</v>
      </c>
      <c r="D1096" t="inlineStr">
        <is>
          <t>GÄVLEBORGS LÄN</t>
        </is>
      </c>
      <c r="E1096" t="inlineStr">
        <is>
          <t>LJUSDAL</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53277-2025</t>
        </is>
      </c>
      <c r="B1097" s="1" t="n">
        <v>45958.75643518518</v>
      </c>
      <c r="C1097" s="1" t="n">
        <v>46036</v>
      </c>
      <c r="D1097" t="inlineStr">
        <is>
          <t>GÄVLEBORGS LÄN</t>
        </is>
      </c>
      <c r="E1097" t="inlineStr">
        <is>
          <t>LJUSDAL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8081-2024</t>
        </is>
      </c>
      <c r="B1098" s="1" t="n">
        <v>45351.43940972222</v>
      </c>
      <c r="C1098" s="1" t="n">
        <v>46036</v>
      </c>
      <c r="D1098" t="inlineStr">
        <is>
          <t>GÄVLEBORGS LÄN</t>
        </is>
      </c>
      <c r="E1098" t="inlineStr">
        <is>
          <t>LJUSDAL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61369-2025</t>
        </is>
      </c>
      <c r="B1099" s="1" t="n">
        <v>46001.4345949074</v>
      </c>
      <c r="C1099" s="1" t="n">
        <v>46036</v>
      </c>
      <c r="D1099" t="inlineStr">
        <is>
          <t>GÄVLEBORGS LÄN</t>
        </is>
      </c>
      <c r="E1099" t="inlineStr">
        <is>
          <t>LJUSDAL</t>
        </is>
      </c>
      <c r="F1099" t="inlineStr">
        <is>
          <t>Sveaskog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23195-2022</t>
        </is>
      </c>
      <c r="B1100" s="1" t="n">
        <v>44719.92542824074</v>
      </c>
      <c r="C1100" s="1" t="n">
        <v>46036</v>
      </c>
      <c r="D1100" t="inlineStr">
        <is>
          <t>GÄVLEBORGS LÄN</t>
        </is>
      </c>
      <c r="E1100" t="inlineStr">
        <is>
          <t>LJUSDAL</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61234-2025</t>
        </is>
      </c>
      <c r="B1101" s="1" t="n">
        <v>46000.63702546297</v>
      </c>
      <c r="C1101" s="1" t="n">
        <v>46036</v>
      </c>
      <c r="D1101" t="inlineStr">
        <is>
          <t>GÄVLEBORGS LÄN</t>
        </is>
      </c>
      <c r="E1101" t="inlineStr">
        <is>
          <t>LJUSDAL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53380-2025</t>
        </is>
      </c>
      <c r="B1102" s="1" t="n">
        <v>45959.53606481481</v>
      </c>
      <c r="C1102" s="1" t="n">
        <v>46036</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58796-2022</t>
        </is>
      </c>
      <c r="B1103" s="1" t="n">
        <v>44903</v>
      </c>
      <c r="C1103" s="1" t="n">
        <v>46036</v>
      </c>
      <c r="D1103" t="inlineStr">
        <is>
          <t>GÄVLEBORGS LÄN</t>
        </is>
      </c>
      <c r="E1103" t="inlineStr">
        <is>
          <t>LJUSDAL</t>
        </is>
      </c>
      <c r="F1103" t="inlineStr">
        <is>
          <t>Kyrkan</t>
        </is>
      </c>
      <c r="G1103" t="n">
        <v>6.8</v>
      </c>
      <c r="H1103" t="n">
        <v>0</v>
      </c>
      <c r="I1103" t="n">
        <v>0</v>
      </c>
      <c r="J1103" t="n">
        <v>0</v>
      </c>
      <c r="K1103" t="n">
        <v>0</v>
      </c>
      <c r="L1103" t="n">
        <v>0</v>
      </c>
      <c r="M1103" t="n">
        <v>0</v>
      </c>
      <c r="N1103" t="n">
        <v>0</v>
      </c>
      <c r="O1103" t="n">
        <v>0</v>
      </c>
      <c r="P1103" t="n">
        <v>0</v>
      </c>
      <c r="Q1103" t="n">
        <v>0</v>
      </c>
      <c r="R1103" s="2" t="inlineStr"/>
      <c r="U1103">
        <f>HYPERLINK("https://klasma.github.io/Logging_2161/knärot/A 58796-2022 karta knärot.png", "A 58796-2022")</f>
        <v/>
      </c>
      <c r="V1103">
        <f>HYPERLINK("https://klasma.github.io/Logging_2161/klagomål/A 58796-2022 FSC-klagomål.docx", "A 58796-2022")</f>
        <v/>
      </c>
      <c r="W1103">
        <f>HYPERLINK("https://klasma.github.io/Logging_2161/klagomålsmail/A 58796-2022 FSC-klagomål mail.docx", "A 58796-2022")</f>
        <v/>
      </c>
      <c r="X1103">
        <f>HYPERLINK("https://klasma.github.io/Logging_2161/tillsyn/A 58796-2022 tillsynsbegäran.docx", "A 58796-2022")</f>
        <v/>
      </c>
      <c r="Y1103">
        <f>HYPERLINK("https://klasma.github.io/Logging_2161/tillsynsmail/A 58796-2022 tillsynsbegäran mail.docx", "A 58796-2022")</f>
        <v/>
      </c>
    </row>
    <row r="1104" ht="15" customHeight="1">
      <c r="A1104" t="inlineStr">
        <is>
          <t>A 61183-2025</t>
        </is>
      </c>
      <c r="B1104" s="1" t="n">
        <v>46000.58488425926</v>
      </c>
      <c r="C1104" s="1" t="n">
        <v>46036</v>
      </c>
      <c r="D1104" t="inlineStr">
        <is>
          <t>GÄVLEBORGS LÄN</t>
        </is>
      </c>
      <c r="E1104" t="inlineStr">
        <is>
          <t>LJUSDAL</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33354-2024</t>
        </is>
      </c>
      <c r="B1105" s="1" t="n">
        <v>45519</v>
      </c>
      <c r="C1105" s="1" t="n">
        <v>46036</v>
      </c>
      <c r="D1105" t="inlineStr">
        <is>
          <t>GÄVLEBORGS LÄN</t>
        </is>
      </c>
      <c r="E1105" t="inlineStr">
        <is>
          <t>LJUSDAL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14296-2024</t>
        </is>
      </c>
      <c r="B1106" s="1" t="n">
        <v>45393</v>
      </c>
      <c r="C1106" s="1" t="n">
        <v>46036</v>
      </c>
      <c r="D1106" t="inlineStr">
        <is>
          <t>GÄVLEBORGS LÄN</t>
        </is>
      </c>
      <c r="E1106" t="inlineStr">
        <is>
          <t>LJUSDAL</t>
        </is>
      </c>
      <c r="F1106" t="inlineStr">
        <is>
          <t>Bergvik skog väst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61184-2025</t>
        </is>
      </c>
      <c r="B1107" s="1" t="n">
        <v>46000.58526620371</v>
      </c>
      <c r="C1107" s="1" t="n">
        <v>46036</v>
      </c>
      <c r="D1107" t="inlineStr">
        <is>
          <t>GÄVLEBORGS LÄN</t>
        </is>
      </c>
      <c r="E1107" t="inlineStr">
        <is>
          <t>LJUSDAL</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61077-2025</t>
        </is>
      </c>
      <c r="B1108" s="1" t="n">
        <v>46000.39758101852</v>
      </c>
      <c r="C1108" s="1" t="n">
        <v>46036</v>
      </c>
      <c r="D1108" t="inlineStr">
        <is>
          <t>GÄVLEBORGS LÄN</t>
        </is>
      </c>
      <c r="E1108" t="inlineStr">
        <is>
          <t>LJUSDAL</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61211-2025</t>
        </is>
      </c>
      <c r="B1109" s="1" t="n">
        <v>46000.61608796296</v>
      </c>
      <c r="C1109" s="1" t="n">
        <v>46036</v>
      </c>
      <c r="D1109" t="inlineStr">
        <is>
          <t>GÄVLEBORGS LÄN</t>
        </is>
      </c>
      <c r="E1109" t="inlineStr">
        <is>
          <t>LJUSDAL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48149-2024</t>
        </is>
      </c>
      <c r="B1110" s="1" t="n">
        <v>45589.6787962963</v>
      </c>
      <c r="C1110" s="1" t="n">
        <v>46036</v>
      </c>
      <c r="D1110" t="inlineStr">
        <is>
          <t>GÄVLEBORGS LÄN</t>
        </is>
      </c>
      <c r="E1110" t="inlineStr">
        <is>
          <t>LJUSDAL</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61359-2025</t>
        </is>
      </c>
      <c r="B1111" s="1" t="n">
        <v>46001.41976851852</v>
      </c>
      <c r="C1111" s="1" t="n">
        <v>46036</v>
      </c>
      <c r="D1111" t="inlineStr">
        <is>
          <t>GÄVLEBORGS LÄN</t>
        </is>
      </c>
      <c r="E1111" t="inlineStr">
        <is>
          <t>LJUSDAL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61364-2025</t>
        </is>
      </c>
      <c r="B1112" s="1" t="n">
        <v>46001.42761574074</v>
      </c>
      <c r="C1112" s="1" t="n">
        <v>46036</v>
      </c>
      <c r="D1112" t="inlineStr">
        <is>
          <t>GÄVLEBORGS LÄN</t>
        </is>
      </c>
      <c r="E1112" t="inlineStr">
        <is>
          <t>LJUSDAL</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39417-2024</t>
        </is>
      </c>
      <c r="B1113" s="1" t="n">
        <v>45551</v>
      </c>
      <c r="C1113" s="1" t="n">
        <v>46036</v>
      </c>
      <c r="D1113" t="inlineStr">
        <is>
          <t>GÄVLEBORGS LÄN</t>
        </is>
      </c>
      <c r="E1113" t="inlineStr">
        <is>
          <t>LJUSDAL</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18488-2024</t>
        </is>
      </c>
      <c r="B1114" s="1" t="n">
        <v>45425.54863425926</v>
      </c>
      <c r="C1114" s="1" t="n">
        <v>46036</v>
      </c>
      <c r="D1114" t="inlineStr">
        <is>
          <t>GÄVLEBORGS LÄN</t>
        </is>
      </c>
      <c r="E1114" t="inlineStr">
        <is>
          <t>LJUSDAL</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53252-2025</t>
        </is>
      </c>
      <c r="B1115" s="1" t="n">
        <v>45958.66509259259</v>
      </c>
      <c r="C1115" s="1" t="n">
        <v>46036</v>
      </c>
      <c r="D1115" t="inlineStr">
        <is>
          <t>GÄVLEBORGS LÄN</t>
        </is>
      </c>
      <c r="E1115" t="inlineStr">
        <is>
          <t>LJUSDAL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24205-2022</t>
        </is>
      </c>
      <c r="B1116" s="1" t="n">
        <v>44725.58780092592</v>
      </c>
      <c r="C1116" s="1" t="n">
        <v>46036</v>
      </c>
      <c r="D1116" t="inlineStr">
        <is>
          <t>GÄVLEBORGS LÄN</t>
        </is>
      </c>
      <c r="E1116" t="inlineStr">
        <is>
          <t>LJUSDAL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45696-2024</t>
        </is>
      </c>
      <c r="B1117" s="1" t="n">
        <v>45579.55864583333</v>
      </c>
      <c r="C1117" s="1" t="n">
        <v>46036</v>
      </c>
      <c r="D1117" t="inlineStr">
        <is>
          <t>GÄVLEBORGS LÄN</t>
        </is>
      </c>
      <c r="E1117" t="inlineStr">
        <is>
          <t>LJUSDAL</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54349-2022</t>
        </is>
      </c>
      <c r="B1118" s="1" t="n">
        <v>44882.45284722222</v>
      </c>
      <c r="C1118" s="1" t="n">
        <v>46036</v>
      </c>
      <c r="D1118" t="inlineStr">
        <is>
          <t>GÄVLEBORGS LÄN</t>
        </is>
      </c>
      <c r="E1118" t="inlineStr">
        <is>
          <t>LJUSDAL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61833-2025</t>
        </is>
      </c>
      <c r="B1119" s="1" t="n">
        <v>46003.3446412037</v>
      </c>
      <c r="C1119" s="1" t="n">
        <v>46036</v>
      </c>
      <c r="D1119" t="inlineStr">
        <is>
          <t>GÄVLEBORGS LÄN</t>
        </is>
      </c>
      <c r="E1119" t="inlineStr">
        <is>
          <t>LJUSDAL</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61618-2025</t>
        </is>
      </c>
      <c r="B1120" s="1" t="n">
        <v>46002.39143518519</v>
      </c>
      <c r="C1120" s="1" t="n">
        <v>46036</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c r="U1120">
        <f>HYPERLINK("https://klasma.github.io/Logging_2161/knärot/A 61618-2025 karta knärot.png", "A 61618-2025")</f>
        <v/>
      </c>
      <c r="V1120">
        <f>HYPERLINK("https://klasma.github.io/Logging_2161/klagomål/A 61618-2025 FSC-klagomål.docx", "A 61618-2025")</f>
        <v/>
      </c>
      <c r="W1120">
        <f>HYPERLINK("https://klasma.github.io/Logging_2161/klagomålsmail/A 61618-2025 FSC-klagomål mail.docx", "A 61618-2025")</f>
        <v/>
      </c>
      <c r="X1120">
        <f>HYPERLINK("https://klasma.github.io/Logging_2161/tillsyn/A 61618-2025 tillsynsbegäran.docx", "A 61618-2025")</f>
        <v/>
      </c>
      <c r="Y1120">
        <f>HYPERLINK("https://klasma.github.io/Logging_2161/tillsynsmail/A 61618-2025 tillsynsbegäran mail.docx", "A 61618-2025")</f>
        <v/>
      </c>
    </row>
    <row r="1121" ht="15" customHeight="1">
      <c r="A1121" t="inlineStr">
        <is>
          <t>A 53517-2025</t>
        </is>
      </c>
      <c r="B1121" s="1" t="n">
        <v>45960.35015046296</v>
      </c>
      <c r="C1121" s="1" t="n">
        <v>46036</v>
      </c>
      <c r="D1121" t="inlineStr">
        <is>
          <t>GÄVLEBORGS LÄN</t>
        </is>
      </c>
      <c r="E1121" t="inlineStr">
        <is>
          <t>LJUSDAL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53496-2025</t>
        </is>
      </c>
      <c r="B1122" s="1" t="n">
        <v>45960.32608796296</v>
      </c>
      <c r="C1122" s="1" t="n">
        <v>46036</v>
      </c>
      <c r="D1122" t="inlineStr">
        <is>
          <t>GÄVLEBORGS LÄN</t>
        </is>
      </c>
      <c r="E1122" t="inlineStr">
        <is>
          <t>LJUSDAL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61748-2025</t>
        </is>
      </c>
      <c r="B1123" s="1" t="n">
        <v>46002.61027777778</v>
      </c>
      <c r="C1123" s="1" t="n">
        <v>46036</v>
      </c>
      <c r="D1123" t="inlineStr">
        <is>
          <t>GÄVLEBORGS LÄN</t>
        </is>
      </c>
      <c r="E1123" t="inlineStr">
        <is>
          <t>LJUSDAL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53693-2025</t>
        </is>
      </c>
      <c r="B1124" s="1" t="n">
        <v>45960.58559027778</v>
      </c>
      <c r="C1124" s="1" t="n">
        <v>46036</v>
      </c>
      <c r="D1124" t="inlineStr">
        <is>
          <t>GÄVLEBORGS LÄN</t>
        </is>
      </c>
      <c r="E1124" t="inlineStr">
        <is>
          <t>LJUSDAL</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61756-2025</t>
        </is>
      </c>
      <c r="B1125" s="1" t="n">
        <v>46002.61667824074</v>
      </c>
      <c r="C1125" s="1" t="n">
        <v>46036</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25564-2023</t>
        </is>
      </c>
      <c r="B1126" s="1" t="n">
        <v>45089.60670138889</v>
      </c>
      <c r="C1126" s="1" t="n">
        <v>46036</v>
      </c>
      <c r="D1126" t="inlineStr">
        <is>
          <t>GÄVLEBORGS LÄN</t>
        </is>
      </c>
      <c r="E1126" t="inlineStr">
        <is>
          <t>LJUSDAL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15042-2022</t>
        </is>
      </c>
      <c r="B1127" s="1" t="n">
        <v>44657</v>
      </c>
      <c r="C1127" s="1" t="n">
        <v>46036</v>
      </c>
      <c r="D1127" t="inlineStr">
        <is>
          <t>GÄVLEBORGS LÄN</t>
        </is>
      </c>
      <c r="E1127" t="inlineStr">
        <is>
          <t>LJUSDAL</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48879-2023</t>
        </is>
      </c>
      <c r="B1128" s="1" t="n">
        <v>45209.46855324074</v>
      </c>
      <c r="C1128" s="1" t="n">
        <v>46036</v>
      </c>
      <c r="D1128" t="inlineStr">
        <is>
          <t>GÄVLEBORGS LÄN</t>
        </is>
      </c>
      <c r="E1128" t="inlineStr">
        <is>
          <t>LJUSDAL</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60896-2024</t>
        </is>
      </c>
      <c r="B1129" s="1" t="n">
        <v>45645.2721875</v>
      </c>
      <c r="C1129" s="1" t="n">
        <v>46036</v>
      </c>
      <c r="D1129" t="inlineStr">
        <is>
          <t>GÄVLEBORGS LÄN</t>
        </is>
      </c>
      <c r="E1129" t="inlineStr">
        <is>
          <t>LJUSDAL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52391-2023</t>
        </is>
      </c>
      <c r="B1130" s="1" t="n">
        <v>45224.92597222222</v>
      </c>
      <c r="C1130" s="1" t="n">
        <v>46036</v>
      </c>
      <c r="D1130" t="inlineStr">
        <is>
          <t>GÄVLEBORGS LÄN</t>
        </is>
      </c>
      <c r="E1130" t="inlineStr">
        <is>
          <t>LJUSDAL</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9139-2025</t>
        </is>
      </c>
      <c r="B1131" s="1" t="n">
        <v>45714.29621527778</v>
      </c>
      <c r="C1131" s="1" t="n">
        <v>46036</v>
      </c>
      <c r="D1131" t="inlineStr">
        <is>
          <t>GÄVLEBORGS LÄN</t>
        </is>
      </c>
      <c r="E1131" t="inlineStr">
        <is>
          <t>LJUSDAL</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52981-2024</t>
        </is>
      </c>
      <c r="B1132" s="1" t="n">
        <v>45611.35353009259</v>
      </c>
      <c r="C1132" s="1" t="n">
        <v>46036</v>
      </c>
      <c r="D1132" t="inlineStr">
        <is>
          <t>GÄVLEBORGS LÄN</t>
        </is>
      </c>
      <c r="E1132" t="inlineStr">
        <is>
          <t>LJUSDAL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53007-2024</t>
        </is>
      </c>
      <c r="B1133" s="1" t="n">
        <v>45611.39570601852</v>
      </c>
      <c r="C1133" s="1" t="n">
        <v>46036</v>
      </c>
      <c r="D1133" t="inlineStr">
        <is>
          <t>GÄVLEBORGS LÄN</t>
        </is>
      </c>
      <c r="E1133" t="inlineStr">
        <is>
          <t>LJUSDAL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13844-2025</t>
        </is>
      </c>
      <c r="B1134" s="1" t="n">
        <v>45737.55976851852</v>
      </c>
      <c r="C1134" s="1" t="n">
        <v>46036</v>
      </c>
      <c r="D1134" t="inlineStr">
        <is>
          <t>GÄVLEBORGS LÄN</t>
        </is>
      </c>
      <c r="E1134" t="inlineStr">
        <is>
          <t>LJUSDAL</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61993-2025</t>
        </is>
      </c>
      <c r="B1135" s="1" t="n">
        <v>46003.6328587963</v>
      </c>
      <c r="C1135" s="1" t="n">
        <v>46036</v>
      </c>
      <c r="D1135" t="inlineStr">
        <is>
          <t>GÄVLEBORGS LÄN</t>
        </is>
      </c>
      <c r="E1135" t="inlineStr">
        <is>
          <t>LJUSDAL</t>
        </is>
      </c>
      <c r="G1135" t="n">
        <v>14.8</v>
      </c>
      <c r="H1135" t="n">
        <v>0</v>
      </c>
      <c r="I1135" t="n">
        <v>0</v>
      </c>
      <c r="J1135" t="n">
        <v>0</v>
      </c>
      <c r="K1135" t="n">
        <v>0</v>
      </c>
      <c r="L1135" t="n">
        <v>0</v>
      </c>
      <c r="M1135" t="n">
        <v>0</v>
      </c>
      <c r="N1135" t="n">
        <v>0</v>
      </c>
      <c r="O1135" t="n">
        <v>0</v>
      </c>
      <c r="P1135" t="n">
        <v>0</v>
      </c>
      <c r="Q1135" t="n">
        <v>0</v>
      </c>
      <c r="R1135" s="2" t="inlineStr"/>
    </row>
    <row r="1136" ht="15" customHeight="1">
      <c r="A1136" t="inlineStr">
        <is>
          <t>A 60914-2024</t>
        </is>
      </c>
      <c r="B1136" s="1" t="n">
        <v>45645.3344212963</v>
      </c>
      <c r="C1136" s="1" t="n">
        <v>46036</v>
      </c>
      <c r="D1136" t="inlineStr">
        <is>
          <t>GÄVLEBORGS LÄN</t>
        </is>
      </c>
      <c r="E1136" t="inlineStr">
        <is>
          <t>LJUSDAL</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3188-2023</t>
        </is>
      </c>
      <c r="B1137" s="1" t="n">
        <v>44946</v>
      </c>
      <c r="C1137" s="1" t="n">
        <v>46036</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53938-2025</t>
        </is>
      </c>
      <c r="B1138" s="1" t="n">
        <v>45961.48605324074</v>
      </c>
      <c r="C1138" s="1" t="n">
        <v>46036</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43517-2023</t>
        </is>
      </c>
      <c r="B1139" s="1" t="n">
        <v>45184.48697916666</v>
      </c>
      <c r="C1139" s="1" t="n">
        <v>46036</v>
      </c>
      <c r="D1139" t="inlineStr">
        <is>
          <t>GÄVLEBORGS LÄN</t>
        </is>
      </c>
      <c r="E1139" t="inlineStr">
        <is>
          <t>LJUSDAL</t>
        </is>
      </c>
      <c r="G1139" t="n">
        <v>23.5</v>
      </c>
      <c r="H1139" t="n">
        <v>0</v>
      </c>
      <c r="I1139" t="n">
        <v>0</v>
      </c>
      <c r="J1139" t="n">
        <v>0</v>
      </c>
      <c r="K1139" t="n">
        <v>0</v>
      </c>
      <c r="L1139" t="n">
        <v>0</v>
      </c>
      <c r="M1139" t="n">
        <v>0</v>
      </c>
      <c r="N1139" t="n">
        <v>0</v>
      </c>
      <c r="O1139" t="n">
        <v>0</v>
      </c>
      <c r="P1139" t="n">
        <v>0</v>
      </c>
      <c r="Q1139" t="n">
        <v>0</v>
      </c>
      <c r="R1139" s="2" t="inlineStr"/>
    </row>
    <row r="1140" ht="15" customHeight="1">
      <c r="A1140" t="inlineStr">
        <is>
          <t>A 53965-2025</t>
        </is>
      </c>
      <c r="B1140" s="1" t="n">
        <v>45961.54165509259</v>
      </c>
      <c r="C1140" s="1" t="n">
        <v>46036</v>
      </c>
      <c r="D1140" t="inlineStr">
        <is>
          <t>GÄVLEBORGS LÄN</t>
        </is>
      </c>
      <c r="E1140" t="inlineStr">
        <is>
          <t>LJUSDAL</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2909-2024</t>
        </is>
      </c>
      <c r="B1141" s="1" t="n">
        <v>45315</v>
      </c>
      <c r="C1141" s="1" t="n">
        <v>46036</v>
      </c>
      <c r="D1141" t="inlineStr">
        <is>
          <t>GÄVLEBORGS LÄN</t>
        </is>
      </c>
      <c r="E1141" t="inlineStr">
        <is>
          <t>LJUSDAL</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41922-2024</t>
        </is>
      </c>
      <c r="B1142" s="1" t="n">
        <v>45561.55555555555</v>
      </c>
      <c r="C1142" s="1" t="n">
        <v>46036</v>
      </c>
      <c r="D1142" t="inlineStr">
        <is>
          <t>GÄVLEBORGS LÄN</t>
        </is>
      </c>
      <c r="E1142" t="inlineStr">
        <is>
          <t>LJUSDAL</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30577-2021</t>
        </is>
      </c>
      <c r="B1143" s="1" t="n">
        <v>44364</v>
      </c>
      <c r="C1143" s="1" t="n">
        <v>46036</v>
      </c>
      <c r="D1143" t="inlineStr">
        <is>
          <t>GÄVLEBORGS LÄN</t>
        </is>
      </c>
      <c r="E1143" t="inlineStr">
        <is>
          <t>LJUSDAL</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54291-2025</t>
        </is>
      </c>
      <c r="B1144" s="1" t="n">
        <v>45964.82269675926</v>
      </c>
      <c r="C1144" s="1" t="n">
        <v>46036</v>
      </c>
      <c r="D1144" t="inlineStr">
        <is>
          <t>GÄVLEBORGS LÄN</t>
        </is>
      </c>
      <c r="E1144" t="inlineStr">
        <is>
          <t>LJUSDAL</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54402-2025</t>
        </is>
      </c>
      <c r="B1145" s="1" t="n">
        <v>45965.45290509259</v>
      </c>
      <c r="C1145" s="1" t="n">
        <v>46036</v>
      </c>
      <c r="D1145" t="inlineStr">
        <is>
          <t>GÄVLEBORGS LÄN</t>
        </is>
      </c>
      <c r="E1145" t="inlineStr">
        <is>
          <t>LJUSDAL</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62203-2025</t>
        </is>
      </c>
      <c r="B1146" s="1" t="n">
        <v>46006.55605324074</v>
      </c>
      <c r="C1146" s="1" t="n">
        <v>46036</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54299-2025</t>
        </is>
      </c>
      <c r="B1147" s="1" t="n">
        <v>45965.27177083334</v>
      </c>
      <c r="C1147" s="1" t="n">
        <v>46036</v>
      </c>
      <c r="D1147" t="inlineStr">
        <is>
          <t>GÄVLEBORGS LÄN</t>
        </is>
      </c>
      <c r="E1147" t="inlineStr">
        <is>
          <t>LJUSDAL</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58894-2024</t>
        </is>
      </c>
      <c r="B1148" s="1" t="n">
        <v>45636.46609953704</v>
      </c>
      <c r="C1148" s="1" t="n">
        <v>46036</v>
      </c>
      <c r="D1148" t="inlineStr">
        <is>
          <t>GÄVLEBORGS LÄN</t>
        </is>
      </c>
      <c r="E1148" t="inlineStr">
        <is>
          <t>LJUSDAL</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62172-2025</t>
        </is>
      </c>
      <c r="B1149" s="1" t="n">
        <v>46006.51133101852</v>
      </c>
      <c r="C1149" s="1" t="n">
        <v>46036</v>
      </c>
      <c r="D1149" t="inlineStr">
        <is>
          <t>GÄVLEBORGS LÄN</t>
        </is>
      </c>
      <c r="E1149" t="inlineStr">
        <is>
          <t>LJUSDAL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62192-2025</t>
        </is>
      </c>
      <c r="B1150" s="1" t="n">
        <v>46006.55141203704</v>
      </c>
      <c r="C1150" s="1" t="n">
        <v>46036</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54300-2025</t>
        </is>
      </c>
      <c r="B1151" s="1" t="n">
        <v>45965.27563657407</v>
      </c>
      <c r="C1151" s="1" t="n">
        <v>46036</v>
      </c>
      <c r="D1151" t="inlineStr">
        <is>
          <t>GÄVLEBORGS LÄN</t>
        </is>
      </c>
      <c r="E1151" t="inlineStr">
        <is>
          <t>LJUSDAL</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62045-2025</t>
        </is>
      </c>
      <c r="B1152" s="1" t="n">
        <v>46005.77755787037</v>
      </c>
      <c r="C1152" s="1" t="n">
        <v>46036</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62361-2025</t>
        </is>
      </c>
      <c r="B1153" s="1" t="n">
        <v>46007.32319444444</v>
      </c>
      <c r="C1153" s="1" t="n">
        <v>46036</v>
      </c>
      <c r="D1153" t="inlineStr">
        <is>
          <t>GÄVLEBORGS LÄN</t>
        </is>
      </c>
      <c r="E1153" t="inlineStr">
        <is>
          <t>LJUSDAL</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26510-2023</t>
        </is>
      </c>
      <c r="B1154" s="1" t="n">
        <v>45092</v>
      </c>
      <c r="C1154" s="1" t="n">
        <v>46036</v>
      </c>
      <c r="D1154" t="inlineStr">
        <is>
          <t>GÄVLEBORGS LÄN</t>
        </is>
      </c>
      <c r="E1154" t="inlineStr">
        <is>
          <t>LJUSDAL</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18078-2024</t>
        </is>
      </c>
      <c r="B1155" s="1" t="n">
        <v>45420.43887731482</v>
      </c>
      <c r="C1155" s="1" t="n">
        <v>46036</v>
      </c>
      <c r="D1155" t="inlineStr">
        <is>
          <t>GÄVLEBORGS LÄN</t>
        </is>
      </c>
      <c r="E1155" t="inlineStr">
        <is>
          <t>LJUSDAL</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7192-2023</t>
        </is>
      </c>
      <c r="B1156" s="1" t="n">
        <v>44970</v>
      </c>
      <c r="C1156" s="1" t="n">
        <v>46036</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54496-2025</t>
        </is>
      </c>
      <c r="B1157" s="1" t="n">
        <v>45965.60248842592</v>
      </c>
      <c r="C1157" s="1" t="n">
        <v>46036</v>
      </c>
      <c r="D1157" t="inlineStr">
        <is>
          <t>GÄVLEBORGS LÄN</t>
        </is>
      </c>
      <c r="E1157" t="inlineStr">
        <is>
          <t>LJUSDAL</t>
        </is>
      </c>
      <c r="F1157" t="inlineStr">
        <is>
          <t>Allmännings- och besparingsskogar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54289-2025</t>
        </is>
      </c>
      <c r="B1158" s="1" t="n">
        <v>45964.81273148148</v>
      </c>
      <c r="C1158" s="1" t="n">
        <v>46036</v>
      </c>
      <c r="D1158" t="inlineStr">
        <is>
          <t>GÄVLEBORGS LÄN</t>
        </is>
      </c>
      <c r="E1158" t="inlineStr">
        <is>
          <t>LJUSDAL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62156-2025</t>
        </is>
      </c>
      <c r="B1159" s="1" t="n">
        <v>46006.4903587963</v>
      </c>
      <c r="C1159" s="1" t="n">
        <v>46036</v>
      </c>
      <c r="D1159" t="inlineStr">
        <is>
          <t>GÄVLEBORGS LÄN</t>
        </is>
      </c>
      <c r="E1159" t="inlineStr">
        <is>
          <t>LJUSDAL</t>
        </is>
      </c>
      <c r="F1159" t="inlineStr">
        <is>
          <t>SCA</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13843-2025</t>
        </is>
      </c>
      <c r="B1160" s="1" t="n">
        <v>45737.55868055556</v>
      </c>
      <c r="C1160" s="1" t="n">
        <v>46036</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62207-2025</t>
        </is>
      </c>
      <c r="B1161" s="1" t="n">
        <v>46006.56285879629</v>
      </c>
      <c r="C1161" s="1" t="n">
        <v>46036</v>
      </c>
      <c r="D1161" t="inlineStr">
        <is>
          <t>GÄVLEBORGS LÄN</t>
        </is>
      </c>
      <c r="E1161" t="inlineStr">
        <is>
          <t>LJUSDAL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15091-2025</t>
        </is>
      </c>
      <c r="B1162" s="1" t="n">
        <v>45744.3275462963</v>
      </c>
      <c r="C1162" s="1" t="n">
        <v>46036</v>
      </c>
      <c r="D1162" t="inlineStr">
        <is>
          <t>GÄVLEBORGS LÄN</t>
        </is>
      </c>
      <c r="E1162" t="inlineStr">
        <is>
          <t>LJUSDAL</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62377-2025</t>
        </is>
      </c>
      <c r="B1163" s="1" t="n">
        <v>46007.35341435186</v>
      </c>
      <c r="C1163" s="1" t="n">
        <v>46036</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53356-2025</t>
        </is>
      </c>
      <c r="B1164" s="1" t="n">
        <v>45959.46270833333</v>
      </c>
      <c r="C1164" s="1" t="n">
        <v>46036</v>
      </c>
      <c r="D1164" t="inlineStr">
        <is>
          <t>GÄVLEBORGS LÄN</t>
        </is>
      </c>
      <c r="E1164" t="inlineStr">
        <is>
          <t>LJUSDAL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45241-2024</t>
        </is>
      </c>
      <c r="B1165" s="1" t="n">
        <v>45575.95956018518</v>
      </c>
      <c r="C1165" s="1" t="n">
        <v>46036</v>
      </c>
      <c r="D1165" t="inlineStr">
        <is>
          <t>GÄVLEBORGS LÄN</t>
        </is>
      </c>
      <c r="E1165" t="inlineStr">
        <is>
          <t>LJUSDAL</t>
        </is>
      </c>
      <c r="F1165" t="inlineStr">
        <is>
          <t>Sveaskog</t>
        </is>
      </c>
      <c r="G1165" t="n">
        <v>14.4</v>
      </c>
      <c r="H1165" t="n">
        <v>0</v>
      </c>
      <c r="I1165" t="n">
        <v>0</v>
      </c>
      <c r="J1165" t="n">
        <v>0</v>
      </c>
      <c r="K1165" t="n">
        <v>0</v>
      </c>
      <c r="L1165" t="n">
        <v>0</v>
      </c>
      <c r="M1165" t="n">
        <v>0</v>
      </c>
      <c r="N1165" t="n">
        <v>0</v>
      </c>
      <c r="O1165" t="n">
        <v>0</v>
      </c>
      <c r="P1165" t="n">
        <v>0</v>
      </c>
      <c r="Q1165" t="n">
        <v>0</v>
      </c>
      <c r="R1165" s="2" t="inlineStr"/>
    </row>
    <row r="1166" ht="15" customHeight="1">
      <c r="A1166" t="inlineStr">
        <is>
          <t>A 10416-2025</t>
        </is>
      </c>
      <c r="B1166" s="1" t="n">
        <v>45720.63462962963</v>
      </c>
      <c r="C1166" s="1" t="n">
        <v>46036</v>
      </c>
      <c r="D1166" t="inlineStr">
        <is>
          <t>GÄVLEBORGS LÄN</t>
        </is>
      </c>
      <c r="E1166" t="inlineStr">
        <is>
          <t>LJUSDAL</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60919-2025</t>
        </is>
      </c>
      <c r="B1167" s="1" t="n">
        <v>45999.6171412037</v>
      </c>
      <c r="C1167" s="1" t="n">
        <v>46036</v>
      </c>
      <c r="D1167" t="inlineStr">
        <is>
          <t>GÄVLEBORGS LÄN</t>
        </is>
      </c>
      <c r="E1167" t="inlineStr">
        <is>
          <t>LJUSDAL</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19855-2025</t>
        </is>
      </c>
      <c r="B1168" s="1" t="n">
        <v>45771</v>
      </c>
      <c r="C1168" s="1" t="n">
        <v>46036</v>
      </c>
      <c r="D1168" t="inlineStr">
        <is>
          <t>GÄVLEBORGS LÄN</t>
        </is>
      </c>
      <c r="E1168" t="inlineStr">
        <is>
          <t>LJUSDAL</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29205-2023</t>
        </is>
      </c>
      <c r="B1169" s="1" t="n">
        <v>45105.56778935185</v>
      </c>
      <c r="C1169" s="1" t="n">
        <v>46036</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57748-2025</t>
        </is>
      </c>
      <c r="B1170" s="1" t="n">
        <v>45981</v>
      </c>
      <c r="C1170" s="1" t="n">
        <v>46036</v>
      </c>
      <c r="D1170" t="inlineStr">
        <is>
          <t>GÄVLEBORGS LÄN</t>
        </is>
      </c>
      <c r="E1170" t="inlineStr">
        <is>
          <t>LJUSDAL</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62935-2025</t>
        </is>
      </c>
      <c r="B1171" s="1" t="n">
        <v>46009.41648148148</v>
      </c>
      <c r="C1171" s="1" t="n">
        <v>46036</v>
      </c>
      <c r="D1171" t="inlineStr">
        <is>
          <t>GÄVLEBORGS LÄN</t>
        </is>
      </c>
      <c r="E1171" t="inlineStr">
        <is>
          <t>LJUSDAL</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62895-2025</t>
        </is>
      </c>
      <c r="B1172" s="1" t="n">
        <v>46009.34284722222</v>
      </c>
      <c r="C1172" s="1" t="n">
        <v>46036</v>
      </c>
      <c r="D1172" t="inlineStr">
        <is>
          <t>GÄVLEBORGS LÄN</t>
        </is>
      </c>
      <c r="E1172" t="inlineStr">
        <is>
          <t>LJUSDAL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62792-2025</t>
        </is>
      </c>
      <c r="B1173" s="1" t="n">
        <v>46008.63590277778</v>
      </c>
      <c r="C1173" s="1" t="n">
        <v>46036</v>
      </c>
      <c r="D1173" t="inlineStr">
        <is>
          <t>GÄVLEBORGS LÄN</t>
        </is>
      </c>
      <c r="E1173" t="inlineStr">
        <is>
          <t>LJUSDAL</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54717-2025</t>
        </is>
      </c>
      <c r="B1174" s="1" t="n">
        <v>45966.51206018519</v>
      </c>
      <c r="C1174" s="1" t="n">
        <v>46036</v>
      </c>
      <c r="D1174" t="inlineStr">
        <is>
          <t>GÄVLEBORGS LÄN</t>
        </is>
      </c>
      <c r="E1174" t="inlineStr">
        <is>
          <t>LJUSDAL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19034-2023</t>
        </is>
      </c>
      <c r="B1175" s="1" t="n">
        <v>45047.53082175926</v>
      </c>
      <c r="C1175" s="1" t="n">
        <v>46036</v>
      </c>
      <c r="D1175" t="inlineStr">
        <is>
          <t>GÄVLEBORGS LÄN</t>
        </is>
      </c>
      <c r="E1175" t="inlineStr">
        <is>
          <t>LJUSDAL</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63095-2025</t>
        </is>
      </c>
      <c r="B1176" s="1" t="n">
        <v>46009.68443287037</v>
      </c>
      <c r="C1176" s="1" t="n">
        <v>46036</v>
      </c>
      <c r="D1176" t="inlineStr">
        <is>
          <t>GÄVLEBORGS LÄN</t>
        </is>
      </c>
      <c r="E1176" t="inlineStr">
        <is>
          <t>LJUSDAL</t>
        </is>
      </c>
      <c r="F1176" t="inlineStr">
        <is>
          <t>Kommuner</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25415-2022</t>
        </is>
      </c>
      <c r="B1177" s="1" t="n">
        <v>44732.45652777778</v>
      </c>
      <c r="C1177" s="1" t="n">
        <v>46036</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45509-2024</t>
        </is>
      </c>
      <c r="B1178" s="1" t="n">
        <v>45578</v>
      </c>
      <c r="C1178" s="1" t="n">
        <v>46036</v>
      </c>
      <c r="D1178" t="inlineStr">
        <is>
          <t>GÄVLEBORGS LÄN</t>
        </is>
      </c>
      <c r="E1178" t="inlineStr">
        <is>
          <t>LJUSDAL</t>
        </is>
      </c>
      <c r="F1178" t="inlineStr">
        <is>
          <t>Naturvårdsverket</t>
        </is>
      </c>
      <c r="G1178" t="n">
        <v>11.9</v>
      </c>
      <c r="H1178" t="n">
        <v>0</v>
      </c>
      <c r="I1178" t="n">
        <v>0</v>
      </c>
      <c r="J1178" t="n">
        <v>0</v>
      </c>
      <c r="K1178" t="n">
        <v>0</v>
      </c>
      <c r="L1178" t="n">
        <v>0</v>
      </c>
      <c r="M1178" t="n">
        <v>0</v>
      </c>
      <c r="N1178" t="n">
        <v>0</v>
      </c>
      <c r="O1178" t="n">
        <v>0</v>
      </c>
      <c r="P1178" t="n">
        <v>0</v>
      </c>
      <c r="Q1178" t="n">
        <v>0</v>
      </c>
      <c r="R1178" s="2" t="inlineStr"/>
    </row>
    <row r="1179" ht="15" customHeight="1">
      <c r="A1179" t="inlineStr">
        <is>
          <t>A 62913-2025</t>
        </is>
      </c>
      <c r="B1179" s="1" t="n">
        <v>46009.36638888889</v>
      </c>
      <c r="C1179" s="1" t="n">
        <v>46036</v>
      </c>
      <c r="D1179" t="inlineStr">
        <is>
          <t>GÄVLEBORGS LÄN</t>
        </is>
      </c>
      <c r="E1179" t="inlineStr">
        <is>
          <t>LJUSDAL</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54237-2021</t>
        </is>
      </c>
      <c r="B1180" s="1" t="n">
        <v>44470.63472222222</v>
      </c>
      <c r="C1180" s="1" t="n">
        <v>46036</v>
      </c>
      <c r="D1180" t="inlineStr">
        <is>
          <t>GÄVLEBORGS LÄN</t>
        </is>
      </c>
      <c r="E1180" t="inlineStr">
        <is>
          <t>LJUSDAL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55501-2025</t>
        </is>
      </c>
      <c r="B1181" s="1" t="n">
        <v>45971.58571759259</v>
      </c>
      <c r="C1181" s="1" t="n">
        <v>46036</v>
      </c>
      <c r="D1181" t="inlineStr">
        <is>
          <t>GÄVLEBORGS LÄN</t>
        </is>
      </c>
      <c r="E1181" t="inlineStr">
        <is>
          <t>LJUSDAL</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55374-2025</t>
        </is>
      </c>
      <c r="B1182" s="1" t="n">
        <v>45971.42385416666</v>
      </c>
      <c r="C1182" s="1" t="n">
        <v>46036</v>
      </c>
      <c r="D1182" t="inlineStr">
        <is>
          <t>GÄVLEBORGS LÄN</t>
        </is>
      </c>
      <c r="E1182" t="inlineStr">
        <is>
          <t>LJUSDAL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55100-2025</t>
        </is>
      </c>
      <c r="B1183" s="1" t="n">
        <v>45968.34864583334</v>
      </c>
      <c r="C1183" s="1" t="n">
        <v>46036</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55373-2025</t>
        </is>
      </c>
      <c r="B1184" s="1" t="n">
        <v>45971.41752314815</v>
      </c>
      <c r="C1184" s="1" t="n">
        <v>46036</v>
      </c>
      <c r="D1184" t="inlineStr">
        <is>
          <t>GÄVLEBORGS LÄN</t>
        </is>
      </c>
      <c r="E1184" t="inlineStr">
        <is>
          <t>LJUSDAL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599-2023</t>
        </is>
      </c>
      <c r="B1185" s="1" t="n">
        <v>44930.56699074074</v>
      </c>
      <c r="C1185" s="1" t="n">
        <v>46036</v>
      </c>
      <c r="D1185" t="inlineStr">
        <is>
          <t>GÄVLEBORGS LÄN</t>
        </is>
      </c>
      <c r="E1185" t="inlineStr">
        <is>
          <t>LJUSDAL</t>
        </is>
      </c>
      <c r="F1185" t="inlineStr">
        <is>
          <t>Holmen skog AB</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63297-2025</t>
        </is>
      </c>
      <c r="B1186" s="1" t="n">
        <v>46010.60025462963</v>
      </c>
      <c r="C1186" s="1" t="n">
        <v>46036</v>
      </c>
      <c r="D1186" t="inlineStr">
        <is>
          <t>GÄVLEBORGS LÄN</t>
        </is>
      </c>
      <c r="E1186" t="inlineStr">
        <is>
          <t>LJUSDAL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36568-2021</t>
        </is>
      </c>
      <c r="B1187" s="1" t="n">
        <v>44391</v>
      </c>
      <c r="C1187" s="1" t="n">
        <v>46036</v>
      </c>
      <c r="D1187" t="inlineStr">
        <is>
          <t>GÄVLEBORGS LÄN</t>
        </is>
      </c>
      <c r="E1187" t="inlineStr">
        <is>
          <t>LJUSDAL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55085-2025</t>
        </is>
      </c>
      <c r="B1188" s="1" t="n">
        <v>45968.32643518518</v>
      </c>
      <c r="C1188" s="1" t="n">
        <v>46036</v>
      </c>
      <c r="D1188" t="inlineStr">
        <is>
          <t>GÄVLEBORGS LÄN</t>
        </is>
      </c>
      <c r="E1188" t="inlineStr">
        <is>
          <t>LJUSDAL</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55180-2025</t>
        </is>
      </c>
      <c r="B1189" s="1" t="n">
        <v>45968.53173611111</v>
      </c>
      <c r="C1189" s="1" t="n">
        <v>46036</v>
      </c>
      <c r="D1189" t="inlineStr">
        <is>
          <t>GÄVLEBORGS LÄN</t>
        </is>
      </c>
      <c r="E1189" t="inlineStr">
        <is>
          <t>LJUSDAL</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4580-2024</t>
        </is>
      </c>
      <c r="B1190" s="1" t="n">
        <v>45327</v>
      </c>
      <c r="C1190" s="1" t="n">
        <v>46036</v>
      </c>
      <c r="D1190" t="inlineStr">
        <is>
          <t>GÄVLEBORGS LÄN</t>
        </is>
      </c>
      <c r="E1190" t="inlineStr">
        <is>
          <t>LJUSDAL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63391-2025</t>
        </is>
      </c>
      <c r="B1191" s="1" t="n">
        <v>46011.73063657407</v>
      </c>
      <c r="C1191" s="1" t="n">
        <v>46036</v>
      </c>
      <c r="D1191" t="inlineStr">
        <is>
          <t>GÄVLEBORGS LÄN</t>
        </is>
      </c>
      <c r="E1191" t="inlineStr">
        <is>
          <t>LJUSDAL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55089-2025</t>
        </is>
      </c>
      <c r="B1192" s="1" t="n">
        <v>45968.34244212963</v>
      </c>
      <c r="C1192" s="1" t="n">
        <v>46036</v>
      </c>
      <c r="D1192" t="inlineStr">
        <is>
          <t>GÄVLEBORGS LÄN</t>
        </is>
      </c>
      <c r="E1192" t="inlineStr">
        <is>
          <t>LJUSDAL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50351-2022</t>
        </is>
      </c>
      <c r="B1193" s="1" t="n">
        <v>44866.31077546296</v>
      </c>
      <c r="C1193" s="1" t="n">
        <v>46036</v>
      </c>
      <c r="D1193" t="inlineStr">
        <is>
          <t>GÄVLEBORGS LÄN</t>
        </is>
      </c>
      <c r="E1193" t="inlineStr">
        <is>
          <t>LJUSDAL</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57649-2023</t>
        </is>
      </c>
      <c r="B1194" s="1" t="n">
        <v>45246.59743055556</v>
      </c>
      <c r="C1194" s="1" t="n">
        <v>46036</v>
      </c>
      <c r="D1194" t="inlineStr">
        <is>
          <t>GÄVLEBORGS LÄN</t>
        </is>
      </c>
      <c r="E1194" t="inlineStr">
        <is>
          <t>LJUSDAL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25630-2022</t>
        </is>
      </c>
      <c r="B1195" s="1" t="n">
        <v>44732.92739583334</v>
      </c>
      <c r="C1195" s="1" t="n">
        <v>46036</v>
      </c>
      <c r="D1195" t="inlineStr">
        <is>
          <t>GÄVLEBORGS LÄN</t>
        </is>
      </c>
      <c r="E1195" t="inlineStr">
        <is>
          <t>LJUSDAL</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58053-2024</t>
        </is>
      </c>
      <c r="B1196" s="1" t="n">
        <v>45631.84011574074</v>
      </c>
      <c r="C1196" s="1" t="n">
        <v>46036</v>
      </c>
      <c r="D1196" t="inlineStr">
        <is>
          <t>GÄVLEBORGS LÄN</t>
        </is>
      </c>
      <c r="E1196" t="inlineStr">
        <is>
          <t>LJUSDAL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55084-2025</t>
        </is>
      </c>
      <c r="B1197" s="1" t="n">
        <v>45968.32015046296</v>
      </c>
      <c r="C1197" s="1" t="n">
        <v>46036</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63583-2025</t>
        </is>
      </c>
      <c r="B1198" s="1" t="n">
        <v>46013.75712962963</v>
      </c>
      <c r="C1198" s="1" t="n">
        <v>46036</v>
      </c>
      <c r="D1198" t="inlineStr">
        <is>
          <t>GÄVLEBORGS LÄN</t>
        </is>
      </c>
      <c r="E1198" t="inlineStr">
        <is>
          <t>LJUSDAL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55194-2025</t>
        </is>
      </c>
      <c r="B1199" s="1" t="n">
        <v>45968.55011574074</v>
      </c>
      <c r="C1199" s="1" t="n">
        <v>46036</v>
      </c>
      <c r="D1199" t="inlineStr">
        <is>
          <t>GÄVLEBORGS LÄN</t>
        </is>
      </c>
      <c r="E1199" t="inlineStr">
        <is>
          <t>LJUSDAL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55174-2025</t>
        </is>
      </c>
      <c r="B1200" s="1" t="n">
        <v>45968.50053240741</v>
      </c>
      <c r="C1200" s="1" t="n">
        <v>46036</v>
      </c>
      <c r="D1200" t="inlineStr">
        <is>
          <t>GÄVLEBORGS LÄN</t>
        </is>
      </c>
      <c r="E1200" t="inlineStr">
        <is>
          <t>LJUSDAL</t>
        </is>
      </c>
      <c r="F1200" t="inlineStr">
        <is>
          <t>Holmen skog AB</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63650-2025</t>
        </is>
      </c>
      <c r="B1201" s="1" t="n">
        <v>46014.43686342592</v>
      </c>
      <c r="C1201" s="1" t="n">
        <v>46036</v>
      </c>
      <c r="D1201" t="inlineStr">
        <is>
          <t>GÄVLEBORGS LÄN</t>
        </is>
      </c>
      <c r="E1201" t="inlineStr">
        <is>
          <t>LJUSDAL</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63649-2025</t>
        </is>
      </c>
      <c r="B1202" s="1" t="n">
        <v>46014.43402777778</v>
      </c>
      <c r="C1202" s="1" t="n">
        <v>46036</v>
      </c>
      <c r="D1202" t="inlineStr">
        <is>
          <t>GÄVLEBORGS LÄN</t>
        </is>
      </c>
      <c r="E1202" t="inlineStr">
        <is>
          <t>LJUSDAL</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55968-2025</t>
        </is>
      </c>
      <c r="B1203" s="1" t="n">
        <v>45973.48645833333</v>
      </c>
      <c r="C1203" s="1" t="n">
        <v>46036</v>
      </c>
      <c r="D1203" t="inlineStr">
        <is>
          <t>GÄVLEBORGS LÄN</t>
        </is>
      </c>
      <c r="E1203" t="inlineStr">
        <is>
          <t>LJUSDAL</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63640-2025</t>
        </is>
      </c>
      <c r="B1204" s="1" t="n">
        <v>46014.40673611111</v>
      </c>
      <c r="C1204" s="1" t="n">
        <v>46036</v>
      </c>
      <c r="D1204" t="inlineStr">
        <is>
          <t>GÄVLEBORGS LÄN</t>
        </is>
      </c>
      <c r="E1204" t="inlineStr">
        <is>
          <t>LJUSDAL</t>
        </is>
      </c>
      <c r="F1204" t="inlineStr">
        <is>
          <t>SCA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63653-2025</t>
        </is>
      </c>
      <c r="B1205" s="1" t="n">
        <v>46014.44008101852</v>
      </c>
      <c r="C1205" s="1" t="n">
        <v>46036</v>
      </c>
      <c r="D1205" t="inlineStr">
        <is>
          <t>GÄVLEBORGS LÄN</t>
        </is>
      </c>
      <c r="E1205" t="inlineStr">
        <is>
          <t>LJUSDAL</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27497-2023</t>
        </is>
      </c>
      <c r="B1206" s="1" t="n">
        <v>45097</v>
      </c>
      <c r="C1206" s="1" t="n">
        <v>46036</v>
      </c>
      <c r="D1206" t="inlineStr">
        <is>
          <t>GÄVLEBORGS LÄN</t>
        </is>
      </c>
      <c r="E1206" t="inlineStr">
        <is>
          <t>LJUSDAL</t>
        </is>
      </c>
      <c r="F1206" t="inlineStr">
        <is>
          <t>Bergvik skog väst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56348-2025</t>
        </is>
      </c>
      <c r="B1207" s="1" t="n">
        <v>45974.65085648148</v>
      </c>
      <c r="C1207" s="1" t="n">
        <v>46036</v>
      </c>
      <c r="D1207" t="inlineStr">
        <is>
          <t>GÄVLEBORGS LÄN</t>
        </is>
      </c>
      <c r="E1207" t="inlineStr">
        <is>
          <t>LJUSDAL</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56395-2025</t>
        </is>
      </c>
      <c r="B1208" s="1" t="n">
        <v>45974.75262731482</v>
      </c>
      <c r="C1208" s="1" t="n">
        <v>46036</v>
      </c>
      <c r="D1208" t="inlineStr">
        <is>
          <t>GÄVLEBORGS LÄN</t>
        </is>
      </c>
      <c r="E1208" t="inlineStr">
        <is>
          <t>LJUSDAL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56397-2025</t>
        </is>
      </c>
      <c r="B1209" s="1" t="n">
        <v>45974.77915509259</v>
      </c>
      <c r="C1209" s="1" t="n">
        <v>46036</v>
      </c>
      <c r="D1209" t="inlineStr">
        <is>
          <t>GÄVLEBORGS LÄN</t>
        </is>
      </c>
      <c r="E1209" t="inlineStr">
        <is>
          <t>LJUSDAL</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56429-2025</t>
        </is>
      </c>
      <c r="B1210" s="1" t="n">
        <v>45975.34590277778</v>
      </c>
      <c r="C1210" s="1" t="n">
        <v>46036</v>
      </c>
      <c r="D1210" t="inlineStr">
        <is>
          <t>GÄVLEBORGS LÄN</t>
        </is>
      </c>
      <c r="E1210" t="inlineStr">
        <is>
          <t>LJUSDAL</t>
        </is>
      </c>
      <c r="F1210" t="inlineStr">
        <is>
          <t>Bergvik skog väst AB</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56463-2025</t>
        </is>
      </c>
      <c r="B1211" s="1" t="n">
        <v>45975.37078703703</v>
      </c>
      <c r="C1211" s="1" t="n">
        <v>46036</v>
      </c>
      <c r="D1211" t="inlineStr">
        <is>
          <t>GÄVLEBORGS LÄN</t>
        </is>
      </c>
      <c r="E1211" t="inlineStr">
        <is>
          <t>LJUSDAL</t>
        </is>
      </c>
      <c r="F1211" t="inlineStr">
        <is>
          <t>Bergvik skog väst AB</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56474-2025</t>
        </is>
      </c>
      <c r="B1212" s="1" t="n">
        <v>45975.38306712963</v>
      </c>
      <c r="C1212" s="1" t="n">
        <v>46036</v>
      </c>
      <c r="D1212" t="inlineStr">
        <is>
          <t>GÄVLEBORGS LÄN</t>
        </is>
      </c>
      <c r="E1212" t="inlineStr">
        <is>
          <t>LJUSDAL</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56276-2025</t>
        </is>
      </c>
      <c r="B1213" s="1" t="n">
        <v>45974.58774305556</v>
      </c>
      <c r="C1213" s="1" t="n">
        <v>46036</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47502-2022</t>
        </is>
      </c>
      <c r="B1214" s="1" t="n">
        <v>44853</v>
      </c>
      <c r="C1214" s="1" t="n">
        <v>46036</v>
      </c>
      <c r="D1214" t="inlineStr">
        <is>
          <t>GÄVLEBORGS LÄN</t>
        </is>
      </c>
      <c r="E1214" t="inlineStr">
        <is>
          <t>LJUSDAL</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56143-2025</t>
        </is>
      </c>
      <c r="B1215" s="1" t="n">
        <v>45974.34460648148</v>
      </c>
      <c r="C1215" s="1" t="n">
        <v>46036</v>
      </c>
      <c r="D1215" t="inlineStr">
        <is>
          <t>GÄVLEBORGS LÄN</t>
        </is>
      </c>
      <c r="E1215" t="inlineStr">
        <is>
          <t>LJUSDAL</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56530-2025</t>
        </is>
      </c>
      <c r="B1216" s="1" t="n">
        <v>45975.46813657408</v>
      </c>
      <c r="C1216" s="1" t="n">
        <v>46036</v>
      </c>
      <c r="D1216" t="inlineStr">
        <is>
          <t>GÄVLEBORGS LÄN</t>
        </is>
      </c>
      <c r="E1216" t="inlineStr">
        <is>
          <t>LJUSDAL</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18757-2025</t>
        </is>
      </c>
      <c r="B1217" s="1" t="n">
        <v>45763.83667824074</v>
      </c>
      <c r="C1217" s="1" t="n">
        <v>46036</v>
      </c>
      <c r="D1217" t="inlineStr">
        <is>
          <t>GÄVLEBORGS LÄN</t>
        </is>
      </c>
      <c r="E1217" t="inlineStr">
        <is>
          <t>LJUSDAL</t>
        </is>
      </c>
      <c r="F1217" t="inlineStr">
        <is>
          <t>Holmen skog AB</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846-2023</t>
        </is>
      </c>
      <c r="B1218" s="1" t="n">
        <v>44931.56439814815</v>
      </c>
      <c r="C1218" s="1" t="n">
        <v>46036</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56825-2025</t>
        </is>
      </c>
      <c r="B1219" s="1" t="n">
        <v>45978.46519675926</v>
      </c>
      <c r="C1219" s="1" t="n">
        <v>46036</v>
      </c>
      <c r="D1219" t="inlineStr">
        <is>
          <t>GÄVLEBORGS LÄN</t>
        </is>
      </c>
      <c r="E1219" t="inlineStr">
        <is>
          <t>LJUSDAL</t>
        </is>
      </c>
      <c r="F1219" t="inlineStr">
        <is>
          <t>Allmännings- och besparingsskogar</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21751-2021</t>
        </is>
      </c>
      <c r="B1220" s="1" t="n">
        <v>44322.56486111111</v>
      </c>
      <c r="C1220" s="1" t="n">
        <v>46036</v>
      </c>
      <c r="D1220" t="inlineStr">
        <is>
          <t>GÄVLEBORGS LÄN</t>
        </is>
      </c>
      <c r="E1220" t="inlineStr">
        <is>
          <t>LJUSDAL</t>
        </is>
      </c>
      <c r="F1220" t="inlineStr">
        <is>
          <t>Bergvik skog väst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52174-2023</t>
        </is>
      </c>
      <c r="B1221" s="1" t="n">
        <v>45224.35961805555</v>
      </c>
      <c r="C1221" s="1" t="n">
        <v>46036</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57265-2025</t>
        </is>
      </c>
      <c r="B1222" s="1" t="n">
        <v>45979.66085648148</v>
      </c>
      <c r="C1222" s="1" t="n">
        <v>46036</v>
      </c>
      <c r="D1222" t="inlineStr">
        <is>
          <t>GÄVLEBORGS LÄN</t>
        </is>
      </c>
      <c r="E1222" t="inlineStr">
        <is>
          <t>LJUSDAL</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57098-2025</t>
        </is>
      </c>
      <c r="B1223" s="1" t="n">
        <v>45979.4353125</v>
      </c>
      <c r="C1223" s="1" t="n">
        <v>46036</v>
      </c>
      <c r="D1223" t="inlineStr">
        <is>
          <t>GÄVLEBORGS LÄN</t>
        </is>
      </c>
      <c r="E1223" t="inlineStr">
        <is>
          <t>LJUSDAL</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56819-2025</t>
        </is>
      </c>
      <c r="B1224" s="1" t="n">
        <v>45978.46253472222</v>
      </c>
      <c r="C1224" s="1" t="n">
        <v>46036</v>
      </c>
      <c r="D1224" t="inlineStr">
        <is>
          <t>GÄVLEBORGS LÄN</t>
        </is>
      </c>
      <c r="E1224" t="inlineStr">
        <is>
          <t>LJUSDAL</t>
        </is>
      </c>
      <c r="F1224" t="inlineStr">
        <is>
          <t>Allmännings- och besparingsskogar</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63979-2025</t>
        </is>
      </c>
      <c r="B1225" s="1" t="n">
        <v>46021.34436342592</v>
      </c>
      <c r="C1225" s="1" t="n">
        <v>46036</v>
      </c>
      <c r="D1225" t="inlineStr">
        <is>
          <t>GÄVLEBORGS LÄN</t>
        </is>
      </c>
      <c r="E1225" t="inlineStr">
        <is>
          <t>LJUSDAL</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24911-2024</t>
        </is>
      </c>
      <c r="B1226" s="1" t="n">
        <v>45461.60027777778</v>
      </c>
      <c r="C1226" s="1" t="n">
        <v>46036</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9926-2023</t>
        </is>
      </c>
      <c r="B1227" s="1" t="n">
        <v>44985</v>
      </c>
      <c r="C1227" s="1" t="n">
        <v>46036</v>
      </c>
      <c r="D1227" t="inlineStr">
        <is>
          <t>GÄVLEBORGS LÄN</t>
        </is>
      </c>
      <c r="E1227" t="inlineStr">
        <is>
          <t>LJUSDAL</t>
        </is>
      </c>
      <c r="F1227" t="inlineStr">
        <is>
          <t>Bergvik skog väst AB</t>
        </is>
      </c>
      <c r="G1227" t="n">
        <v>17.5</v>
      </c>
      <c r="H1227" t="n">
        <v>0</v>
      </c>
      <c r="I1227" t="n">
        <v>0</v>
      </c>
      <c r="J1227" t="n">
        <v>0</v>
      </c>
      <c r="K1227" t="n">
        <v>0</v>
      </c>
      <c r="L1227" t="n">
        <v>0</v>
      </c>
      <c r="M1227" t="n">
        <v>0</v>
      </c>
      <c r="N1227" t="n">
        <v>0</v>
      </c>
      <c r="O1227" t="n">
        <v>0</v>
      </c>
      <c r="P1227" t="n">
        <v>0</v>
      </c>
      <c r="Q1227" t="n">
        <v>0</v>
      </c>
      <c r="R1227" s="2" t="inlineStr"/>
    </row>
    <row r="1228" ht="15" customHeight="1">
      <c r="A1228" t="inlineStr">
        <is>
          <t>A 9946-2023</t>
        </is>
      </c>
      <c r="B1228" s="1" t="n">
        <v>44985</v>
      </c>
      <c r="C1228" s="1" t="n">
        <v>46036</v>
      </c>
      <c r="D1228" t="inlineStr">
        <is>
          <t>GÄVLEBORGS LÄN</t>
        </is>
      </c>
      <c r="E1228" t="inlineStr">
        <is>
          <t>LJUSDAL</t>
        </is>
      </c>
      <c r="F1228" t="inlineStr">
        <is>
          <t>Bergvik skog väst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57860-2025</t>
        </is>
      </c>
      <c r="B1229" s="1" t="n">
        <v>45981.64178240741</v>
      </c>
      <c r="C1229" s="1" t="n">
        <v>46036</v>
      </c>
      <c r="D1229" t="inlineStr">
        <is>
          <t>GÄVLEBORGS LÄN</t>
        </is>
      </c>
      <c r="E1229" t="inlineStr">
        <is>
          <t>LJUSDAL</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26106-2024</t>
        </is>
      </c>
      <c r="B1230" s="1" t="n">
        <v>45468.4416550926</v>
      </c>
      <c r="C1230" s="1" t="n">
        <v>46036</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57472-2025</t>
        </is>
      </c>
      <c r="B1231" s="1" t="n">
        <v>45980.5663425926</v>
      </c>
      <c r="C1231" s="1" t="n">
        <v>46036</v>
      </c>
      <c r="D1231" t="inlineStr">
        <is>
          <t>GÄVLEBORGS LÄN</t>
        </is>
      </c>
      <c r="E1231" t="inlineStr">
        <is>
          <t>LJUSDAL</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29-2026</t>
        </is>
      </c>
      <c r="B1232" s="1" t="n">
        <v>46024.34174768518</v>
      </c>
      <c r="C1232" s="1" t="n">
        <v>46036</v>
      </c>
      <c r="D1232" t="inlineStr">
        <is>
          <t>GÄVLEBORGS LÄN</t>
        </is>
      </c>
      <c r="E1232" t="inlineStr">
        <is>
          <t>LJUSDAL</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64092-2025</t>
        </is>
      </c>
      <c r="B1233" s="1" t="n">
        <v>46021</v>
      </c>
      <c r="C1233" s="1" t="n">
        <v>46036</v>
      </c>
      <c r="D1233" t="inlineStr">
        <is>
          <t>GÄVLEBORGS LÄN</t>
        </is>
      </c>
      <c r="E1233" t="inlineStr">
        <is>
          <t>LJUSDAL</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34986-2024</t>
        </is>
      </c>
      <c r="B1234" s="1" t="n">
        <v>45527</v>
      </c>
      <c r="C1234" s="1" t="n">
        <v>46036</v>
      </c>
      <c r="D1234" t="inlineStr">
        <is>
          <t>GÄVLEBORGS LÄN</t>
        </is>
      </c>
      <c r="E1234" t="inlineStr">
        <is>
          <t>LJUSDAL</t>
        </is>
      </c>
      <c r="F1234" t="inlineStr">
        <is>
          <t>Sveaskog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34989-2024</t>
        </is>
      </c>
      <c r="B1235" s="1" t="n">
        <v>45527.55215277777</v>
      </c>
      <c r="C1235" s="1" t="n">
        <v>46036</v>
      </c>
      <c r="D1235" t="inlineStr">
        <is>
          <t>GÄVLEBORGS LÄN</t>
        </is>
      </c>
      <c r="E1235" t="inlineStr">
        <is>
          <t>LJUSDAL</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343-2026</t>
        </is>
      </c>
      <c r="B1236" s="1" t="n">
        <v>46027.61153935185</v>
      </c>
      <c r="C1236" s="1" t="n">
        <v>46036</v>
      </c>
      <c r="D1236" t="inlineStr">
        <is>
          <t>GÄVLEBORGS LÄN</t>
        </is>
      </c>
      <c r="E1236" t="inlineStr">
        <is>
          <t>LJUSDAL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52783-2024</t>
        </is>
      </c>
      <c r="B1237" s="1" t="n">
        <v>45610.55241898148</v>
      </c>
      <c r="C1237" s="1" t="n">
        <v>46036</v>
      </c>
      <c r="D1237" t="inlineStr">
        <is>
          <t>GÄVLEBORGS LÄN</t>
        </is>
      </c>
      <c r="E1237" t="inlineStr">
        <is>
          <t>LJUSDAL</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304-2026</t>
        </is>
      </c>
      <c r="B1238" s="1" t="n">
        <v>46027.53659722222</v>
      </c>
      <c r="C1238" s="1" t="n">
        <v>46036</v>
      </c>
      <c r="D1238" t="inlineStr">
        <is>
          <t>GÄVLEBORGS LÄN</t>
        </is>
      </c>
      <c r="E1238" t="inlineStr">
        <is>
          <t>LJUSDAL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64090-2025</t>
        </is>
      </c>
      <c r="B1239" s="1" t="n">
        <v>46021</v>
      </c>
      <c r="C1239" s="1" t="n">
        <v>46036</v>
      </c>
      <c r="D1239" t="inlineStr">
        <is>
          <t>GÄVLEBORGS LÄN</t>
        </is>
      </c>
      <c r="E1239" t="inlineStr">
        <is>
          <t>LJUSDAL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119-2026</t>
        </is>
      </c>
      <c r="B1240" s="1" t="n">
        <v>46024.56842592593</v>
      </c>
      <c r="C1240" s="1" t="n">
        <v>46036</v>
      </c>
      <c r="D1240" t="inlineStr">
        <is>
          <t>GÄVLEBORGS LÄN</t>
        </is>
      </c>
      <c r="E1240" t="inlineStr">
        <is>
          <t>LJUSDAL</t>
        </is>
      </c>
      <c r="F1240" t="inlineStr">
        <is>
          <t>Övriga Aktiebolag</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51922-2022</t>
        </is>
      </c>
      <c r="B1241" s="1" t="n">
        <v>44872</v>
      </c>
      <c r="C1241" s="1" t="n">
        <v>46036</v>
      </c>
      <c r="D1241" t="inlineStr">
        <is>
          <t>GÄVLEBORGS LÄN</t>
        </is>
      </c>
      <c r="E1241" t="inlineStr">
        <is>
          <t>LJUSDAL</t>
        </is>
      </c>
      <c r="F1241" t="inlineStr">
        <is>
          <t>Kommuner</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48-2026</t>
        </is>
      </c>
      <c r="B1242" s="1" t="n">
        <v>46024.41513888889</v>
      </c>
      <c r="C1242" s="1" t="n">
        <v>46036</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19574-2025</t>
        </is>
      </c>
      <c r="B1243" s="1" t="n">
        <v>45770.5528587963</v>
      </c>
      <c r="C1243" s="1" t="n">
        <v>46036</v>
      </c>
      <c r="D1243" t="inlineStr">
        <is>
          <t>GÄVLEBORGS LÄN</t>
        </is>
      </c>
      <c r="E1243" t="inlineStr">
        <is>
          <t>LJUSDAL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143-2026</t>
        </is>
      </c>
      <c r="B1244" s="1" t="n">
        <v>46024</v>
      </c>
      <c r="C1244" s="1" t="n">
        <v>46036</v>
      </c>
      <c r="D1244" t="inlineStr">
        <is>
          <t>GÄVLEBORGS LÄN</t>
        </is>
      </c>
      <c r="E1244" t="inlineStr">
        <is>
          <t>LJUSDAL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34447-2022</t>
        </is>
      </c>
      <c r="B1245" s="1" t="n">
        <v>44792</v>
      </c>
      <c r="C1245" s="1" t="n">
        <v>46036</v>
      </c>
      <c r="D1245" t="inlineStr">
        <is>
          <t>GÄVLEBORGS LÄN</t>
        </is>
      </c>
      <c r="E1245" t="inlineStr">
        <is>
          <t>LJUSDAL</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11923-2023</t>
        </is>
      </c>
      <c r="B1246" s="1" t="n">
        <v>44995.47401620371</v>
      </c>
      <c r="C1246" s="1" t="n">
        <v>46036</v>
      </c>
      <c r="D1246" t="inlineStr">
        <is>
          <t>GÄVLEBORGS LÄN</t>
        </is>
      </c>
      <c r="E1246" t="inlineStr">
        <is>
          <t>LJUSDAL</t>
        </is>
      </c>
      <c r="F1246" t="inlineStr">
        <is>
          <t>Holmen skog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20109-2025</t>
        </is>
      </c>
      <c r="B1247" s="1" t="n">
        <v>45772.47123842593</v>
      </c>
      <c r="C1247" s="1" t="n">
        <v>46036</v>
      </c>
      <c r="D1247" t="inlineStr">
        <is>
          <t>GÄVLEBORGS LÄN</t>
        </is>
      </c>
      <c r="E1247" t="inlineStr">
        <is>
          <t>LJUSDAL</t>
        </is>
      </c>
      <c r="F1247" t="inlineStr">
        <is>
          <t>Sveaskog</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36658-2024</t>
        </is>
      </c>
      <c r="B1248" s="1" t="n">
        <v>45537.62311342593</v>
      </c>
      <c r="C1248" s="1" t="n">
        <v>46036</v>
      </c>
      <c r="D1248" t="inlineStr">
        <is>
          <t>GÄVLEBORGS LÄN</t>
        </is>
      </c>
      <c r="E1248" t="inlineStr">
        <is>
          <t>LJUSDAL</t>
        </is>
      </c>
      <c r="F1248" t="inlineStr">
        <is>
          <t>Holmen skog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326-2026</t>
        </is>
      </c>
      <c r="B1249" s="1" t="n">
        <v>46027.59151620371</v>
      </c>
      <c r="C1249" s="1" t="n">
        <v>46036</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64009-2025</t>
        </is>
      </c>
      <c r="B1250" s="1" t="n">
        <v>46021</v>
      </c>
      <c r="C1250" s="1" t="n">
        <v>46036</v>
      </c>
      <c r="D1250" t="inlineStr">
        <is>
          <t>GÄVLEBORGS LÄN</t>
        </is>
      </c>
      <c r="E1250" t="inlineStr">
        <is>
          <t>LJUSDAL</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63997-2025</t>
        </is>
      </c>
      <c r="B1251" s="1" t="n">
        <v>46021</v>
      </c>
      <c r="C1251" s="1" t="n">
        <v>46036</v>
      </c>
      <c r="D1251" t="inlineStr">
        <is>
          <t>GÄVLEBORGS LÄN</t>
        </is>
      </c>
      <c r="E1251" t="inlineStr">
        <is>
          <t>LJUSDAL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18453-2025</t>
        </is>
      </c>
      <c r="B1252" s="1" t="n">
        <v>45762.66689814815</v>
      </c>
      <c r="C1252" s="1" t="n">
        <v>46036</v>
      </c>
      <c r="D1252" t="inlineStr">
        <is>
          <t>GÄVLEBORGS LÄN</t>
        </is>
      </c>
      <c r="E1252" t="inlineStr">
        <is>
          <t>LJUSDAL</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42979-2023</t>
        </is>
      </c>
      <c r="B1253" s="1" t="n">
        <v>45182.60753472222</v>
      </c>
      <c r="C1253" s="1" t="n">
        <v>46036</v>
      </c>
      <c r="D1253" t="inlineStr">
        <is>
          <t>GÄVLEBORGS LÄN</t>
        </is>
      </c>
      <c r="E1253" t="inlineStr">
        <is>
          <t>LJUSDAL</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57927-2025</t>
        </is>
      </c>
      <c r="B1254" s="1" t="n">
        <v>45981.88649305556</v>
      </c>
      <c r="C1254" s="1" t="n">
        <v>46036</v>
      </c>
      <c r="D1254" t="inlineStr">
        <is>
          <t>GÄVLEBORGS LÄN</t>
        </is>
      </c>
      <c r="E1254" t="inlineStr">
        <is>
          <t>LJUSDAL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321-2026</t>
        </is>
      </c>
      <c r="B1255" s="1" t="n">
        <v>46027.58444444444</v>
      </c>
      <c r="C1255" s="1" t="n">
        <v>46036</v>
      </c>
      <c r="D1255" t="inlineStr">
        <is>
          <t>GÄVLEBORGS LÄN</t>
        </is>
      </c>
      <c r="E1255" t="inlineStr">
        <is>
          <t>LJUSDAL</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64094-2025</t>
        </is>
      </c>
      <c r="B1256" s="1" t="n">
        <v>46021</v>
      </c>
      <c r="C1256" s="1" t="n">
        <v>46036</v>
      </c>
      <c r="D1256" t="inlineStr">
        <is>
          <t>GÄVLEBORGS LÄN</t>
        </is>
      </c>
      <c r="E1256" t="inlineStr">
        <is>
          <t>LJUSDAL</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14010-2022</t>
        </is>
      </c>
      <c r="B1257" s="1" t="n">
        <v>44650</v>
      </c>
      <c r="C1257" s="1" t="n">
        <v>46036</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110-2026</t>
        </is>
      </c>
      <c r="B1258" s="1" t="n">
        <v>46024.54996527778</v>
      </c>
      <c r="C1258" s="1" t="n">
        <v>46036</v>
      </c>
      <c r="D1258" t="inlineStr">
        <is>
          <t>GÄVLEBORGS LÄN</t>
        </is>
      </c>
      <c r="E1258" t="inlineStr">
        <is>
          <t>LJUSDAL</t>
        </is>
      </c>
      <c r="F1258" t="inlineStr">
        <is>
          <t>Övriga Aktiebolag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113-2026</t>
        </is>
      </c>
      <c r="B1259" s="1" t="n">
        <v>46024.55644675926</v>
      </c>
      <c r="C1259" s="1" t="n">
        <v>46036</v>
      </c>
      <c r="D1259" t="inlineStr">
        <is>
          <t>GÄVLEBORGS LÄN</t>
        </is>
      </c>
      <c r="E1259" t="inlineStr">
        <is>
          <t>LJUSDAL</t>
        </is>
      </c>
      <c r="F1259" t="inlineStr">
        <is>
          <t>Övriga Aktiebolag</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333-2026</t>
        </is>
      </c>
      <c r="B1260" s="1" t="n">
        <v>46027.5971875</v>
      </c>
      <c r="C1260" s="1" t="n">
        <v>46036</v>
      </c>
      <c r="D1260" t="inlineStr">
        <is>
          <t>GÄVLEBORGS LÄN</t>
        </is>
      </c>
      <c r="E1260" t="inlineStr">
        <is>
          <t>LJUSDAL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20787-2024</t>
        </is>
      </c>
      <c r="B1261" s="1" t="n">
        <v>45438.31403935186</v>
      </c>
      <c r="C1261" s="1" t="n">
        <v>46036</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727-2026</t>
        </is>
      </c>
      <c r="B1262" s="1" t="n">
        <v>46029.64394675926</v>
      </c>
      <c r="C1262" s="1" t="n">
        <v>46036</v>
      </c>
      <c r="D1262" t="inlineStr">
        <is>
          <t>GÄVLEBORGS LÄN</t>
        </is>
      </c>
      <c r="E1262" t="inlineStr">
        <is>
          <t>LJUSDAL</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22013-2021</t>
        </is>
      </c>
      <c r="B1263" s="1" t="n">
        <v>44323.46296296296</v>
      </c>
      <c r="C1263" s="1" t="n">
        <v>46036</v>
      </c>
      <c r="D1263" t="inlineStr">
        <is>
          <t>GÄVLEBORGS LÄN</t>
        </is>
      </c>
      <c r="E1263" t="inlineStr">
        <is>
          <t>LJUSDAL</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607-2026</t>
        </is>
      </c>
      <c r="B1264" s="1" t="n">
        <v>46029.51229166667</v>
      </c>
      <c r="C1264" s="1" t="n">
        <v>46036</v>
      </c>
      <c r="D1264" t="inlineStr">
        <is>
          <t>GÄVLEBORGS LÄN</t>
        </is>
      </c>
      <c r="E1264" t="inlineStr">
        <is>
          <t>LJUSDAL</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58812-2025</t>
        </is>
      </c>
      <c r="B1265" s="1" t="n">
        <v>45987.32815972222</v>
      </c>
      <c r="C1265" s="1" t="n">
        <v>46036</v>
      </c>
      <c r="D1265" t="inlineStr">
        <is>
          <t>GÄVLEBORGS LÄN</t>
        </is>
      </c>
      <c r="E1265" t="inlineStr">
        <is>
          <t>LJUSDAL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452-2026</t>
        </is>
      </c>
      <c r="B1266" s="1" t="n">
        <v>46029.35450231482</v>
      </c>
      <c r="C1266" s="1" t="n">
        <v>46036</v>
      </c>
      <c r="D1266" t="inlineStr">
        <is>
          <t>GÄVLEBORGS LÄN</t>
        </is>
      </c>
      <c r="E1266" t="inlineStr">
        <is>
          <t>LJUSDAL</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58855-2025</t>
        </is>
      </c>
      <c r="B1267" s="1" t="n">
        <v>45987.4071875</v>
      </c>
      <c r="C1267" s="1" t="n">
        <v>46036</v>
      </c>
      <c r="D1267" t="inlineStr">
        <is>
          <t>GÄVLEBORGS LÄN</t>
        </is>
      </c>
      <c r="E1267" t="inlineStr">
        <is>
          <t>LJUSDAL</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471-2026</t>
        </is>
      </c>
      <c r="B1268" s="1" t="n">
        <v>46029.39164351852</v>
      </c>
      <c r="C1268" s="1" t="n">
        <v>46036</v>
      </c>
      <c r="D1268" t="inlineStr">
        <is>
          <t>GÄVLEBORGS LÄN</t>
        </is>
      </c>
      <c r="E1268" t="inlineStr">
        <is>
          <t>LJUSDAL</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53657-2025</t>
        </is>
      </c>
      <c r="B1269" s="1" t="n">
        <v>45960.53814814815</v>
      </c>
      <c r="C1269" s="1" t="n">
        <v>46036</v>
      </c>
      <c r="D1269" t="inlineStr">
        <is>
          <t>GÄVLEBORGS LÄN</t>
        </is>
      </c>
      <c r="E1269" t="inlineStr">
        <is>
          <t>LJUSDAL</t>
        </is>
      </c>
      <c r="F1269" t="inlineStr">
        <is>
          <t>Allmännings- och besparingsskogar</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56008-2024</t>
        </is>
      </c>
      <c r="B1270" s="1" t="n">
        <v>45623.8034837963</v>
      </c>
      <c r="C1270" s="1" t="n">
        <v>46036</v>
      </c>
      <c r="D1270" t="inlineStr">
        <is>
          <t>GÄVLEBORGS LÄN</t>
        </is>
      </c>
      <c r="E1270" t="inlineStr">
        <is>
          <t>LJUSDAL</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58968-2025</t>
        </is>
      </c>
      <c r="B1271" s="1" t="n">
        <v>45987.60523148148</v>
      </c>
      <c r="C1271" s="1" t="n">
        <v>46036</v>
      </c>
      <c r="D1271" t="inlineStr">
        <is>
          <t>GÄVLEBORGS LÄN</t>
        </is>
      </c>
      <c r="E1271" t="inlineStr">
        <is>
          <t>LJUSDAL</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642-2026</t>
        </is>
      </c>
      <c r="B1272" s="1" t="n">
        <v>46029.56561342593</v>
      </c>
      <c r="C1272" s="1" t="n">
        <v>46036</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714-2026</t>
        </is>
      </c>
      <c r="B1273" s="1" t="n">
        <v>46029.62575231482</v>
      </c>
      <c r="C1273" s="1" t="n">
        <v>46036</v>
      </c>
      <c r="D1273" t="inlineStr">
        <is>
          <t>GÄVLEBORGS LÄN</t>
        </is>
      </c>
      <c r="E1273" t="inlineStr">
        <is>
          <t>LJUSDAL</t>
        </is>
      </c>
      <c r="G1273" t="n">
        <v>23.3</v>
      </c>
      <c r="H1273" t="n">
        <v>0</v>
      </c>
      <c r="I1273" t="n">
        <v>0</v>
      </c>
      <c r="J1273" t="n">
        <v>0</v>
      </c>
      <c r="K1273" t="n">
        <v>0</v>
      </c>
      <c r="L1273" t="n">
        <v>0</v>
      </c>
      <c r="M1273" t="n">
        <v>0</v>
      </c>
      <c r="N1273" t="n">
        <v>0</v>
      </c>
      <c r="O1273" t="n">
        <v>0</v>
      </c>
      <c r="P1273" t="n">
        <v>0</v>
      </c>
      <c r="Q1273" t="n">
        <v>0</v>
      </c>
      <c r="R1273" s="2" t="inlineStr"/>
    </row>
    <row r="1274" ht="15" customHeight="1">
      <c r="A1274" t="inlineStr">
        <is>
          <t>A 62095-2023</t>
        </is>
      </c>
      <c r="B1274" s="1" t="n">
        <v>45266</v>
      </c>
      <c r="C1274" s="1" t="n">
        <v>46036</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58816-2025</t>
        </is>
      </c>
      <c r="B1275" s="1" t="n">
        <v>45987.33459490741</v>
      </c>
      <c r="C1275" s="1" t="n">
        <v>46036</v>
      </c>
      <c r="D1275" t="inlineStr">
        <is>
          <t>GÄVLEBORGS LÄN</t>
        </is>
      </c>
      <c r="E1275" t="inlineStr">
        <is>
          <t>LJUSDAL</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47924-2021</t>
        </is>
      </c>
      <c r="B1276" s="1" t="n">
        <v>44448</v>
      </c>
      <c r="C1276" s="1" t="n">
        <v>46036</v>
      </c>
      <c r="D1276" t="inlineStr">
        <is>
          <t>GÄVLEBORGS LÄN</t>
        </is>
      </c>
      <c r="E1276" t="inlineStr">
        <is>
          <t>LJUSDAL</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58898-2025</t>
        </is>
      </c>
      <c r="B1277" s="1" t="n">
        <v>45987.4984837963</v>
      </c>
      <c r="C1277" s="1" t="n">
        <v>46036</v>
      </c>
      <c r="D1277" t="inlineStr">
        <is>
          <t>GÄVLEBORGS LÄN</t>
        </is>
      </c>
      <c r="E1277" t="inlineStr">
        <is>
          <t>LJUSDAL</t>
        </is>
      </c>
      <c r="F1277" t="inlineStr">
        <is>
          <t>Bergvik skog väst AB</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25204-2024</t>
        </is>
      </c>
      <c r="B1278" s="1" t="n">
        <v>45462.57364583333</v>
      </c>
      <c r="C1278" s="1" t="n">
        <v>46036</v>
      </c>
      <c r="D1278" t="inlineStr">
        <is>
          <t>GÄVLEBORGS LÄN</t>
        </is>
      </c>
      <c r="E1278" t="inlineStr">
        <is>
          <t>LJUSDAL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6498-2025</t>
        </is>
      </c>
      <c r="B1279" s="1" t="n">
        <v>45699.63789351852</v>
      </c>
      <c r="C1279" s="1" t="n">
        <v>46036</v>
      </c>
      <c r="D1279" t="inlineStr">
        <is>
          <t>GÄVLEBORGS LÄN</t>
        </is>
      </c>
      <c r="E1279" t="inlineStr">
        <is>
          <t>LJUSDAL</t>
        </is>
      </c>
      <c r="F1279" t="inlineStr">
        <is>
          <t>Holmen skog AB</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67923-2021</t>
        </is>
      </c>
      <c r="B1280" s="1" t="n">
        <v>44525.61118055556</v>
      </c>
      <c r="C1280" s="1" t="n">
        <v>46036</v>
      </c>
      <c r="D1280" t="inlineStr">
        <is>
          <t>GÄVLEBORGS LÄN</t>
        </is>
      </c>
      <c r="E1280" t="inlineStr">
        <is>
          <t>LJUSDAL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57977-2022</t>
        </is>
      </c>
      <c r="B1281" s="1" t="n">
        <v>44900.45950231481</v>
      </c>
      <c r="C1281" s="1" t="n">
        <v>46036</v>
      </c>
      <c r="D1281" t="inlineStr">
        <is>
          <t>GÄVLEBORGS LÄN</t>
        </is>
      </c>
      <c r="E1281" t="inlineStr">
        <is>
          <t>LJUSDAL</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55446-2021</t>
        </is>
      </c>
      <c r="B1282" s="1" t="n">
        <v>44475.57178240741</v>
      </c>
      <c r="C1282" s="1" t="n">
        <v>46036</v>
      </c>
      <c r="D1282" t="inlineStr">
        <is>
          <t>GÄVLEBORGS LÄN</t>
        </is>
      </c>
      <c r="E1282" t="inlineStr">
        <is>
          <t>LJUSDAL</t>
        </is>
      </c>
      <c r="F1282" t="inlineStr">
        <is>
          <t>Holmen skog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57905-2022</t>
        </is>
      </c>
      <c r="B1283" s="1" t="n">
        <v>44900</v>
      </c>
      <c r="C1283" s="1" t="n">
        <v>46036</v>
      </c>
      <c r="D1283" t="inlineStr">
        <is>
          <t>GÄVLEBORGS LÄN</t>
        </is>
      </c>
      <c r="E1283" t="inlineStr">
        <is>
          <t>LJUSDAL</t>
        </is>
      </c>
      <c r="F1283" t="inlineStr">
        <is>
          <t>Allmännings- och besparingsskogar</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59353-2025</t>
        </is>
      </c>
      <c r="B1284" s="1" t="n">
        <v>45989</v>
      </c>
      <c r="C1284" s="1" t="n">
        <v>46036</v>
      </c>
      <c r="D1284" t="inlineStr">
        <is>
          <t>GÄVLEBORGS LÄN</t>
        </is>
      </c>
      <c r="E1284" t="inlineStr">
        <is>
          <t>LJUSDAL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59078-2025</t>
        </is>
      </c>
      <c r="B1285" s="1" t="n">
        <v>45988.43143518519</v>
      </c>
      <c r="C1285" s="1" t="n">
        <v>46036</v>
      </c>
      <c r="D1285" t="inlineStr">
        <is>
          <t>GÄVLEBORGS LÄN</t>
        </is>
      </c>
      <c r="E1285" t="inlineStr">
        <is>
          <t>LJUSDAL</t>
        </is>
      </c>
      <c r="G1285" t="n">
        <v>16.4</v>
      </c>
      <c r="H1285" t="n">
        <v>0</v>
      </c>
      <c r="I1285" t="n">
        <v>0</v>
      </c>
      <c r="J1285" t="n">
        <v>0</v>
      </c>
      <c r="K1285" t="n">
        <v>0</v>
      </c>
      <c r="L1285" t="n">
        <v>0</v>
      </c>
      <c r="M1285" t="n">
        <v>0</v>
      </c>
      <c r="N1285" t="n">
        <v>0</v>
      </c>
      <c r="O1285" t="n">
        <v>0</v>
      </c>
      <c r="P1285" t="n">
        <v>0</v>
      </c>
      <c r="Q1285" t="n">
        <v>0</v>
      </c>
      <c r="R1285" s="2" t="inlineStr"/>
    </row>
    <row r="1286" ht="15" customHeight="1">
      <c r="A1286" t="inlineStr">
        <is>
          <t>A 904-2026</t>
        </is>
      </c>
      <c r="B1286" s="1" t="n">
        <v>46030.47097222223</v>
      </c>
      <c r="C1286" s="1" t="n">
        <v>46036</v>
      </c>
      <c r="D1286" t="inlineStr">
        <is>
          <t>GÄVLEBORGS LÄN</t>
        </is>
      </c>
      <c r="E1286" t="inlineStr">
        <is>
          <t>LJUSDAL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906-2026</t>
        </is>
      </c>
      <c r="B1287" s="1" t="n">
        <v>46030.47300925926</v>
      </c>
      <c r="C1287" s="1" t="n">
        <v>46036</v>
      </c>
      <c r="D1287" t="inlineStr">
        <is>
          <t>GÄVLEBORGS LÄN</t>
        </is>
      </c>
      <c r="E1287" t="inlineStr">
        <is>
          <t>LJUSDAL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12004-2023</t>
        </is>
      </c>
      <c r="B1288" s="1" t="n">
        <v>44995.61207175926</v>
      </c>
      <c r="C1288" s="1" t="n">
        <v>46036</v>
      </c>
      <c r="D1288" t="inlineStr">
        <is>
          <t>GÄVLEBORGS LÄN</t>
        </is>
      </c>
      <c r="E1288" t="inlineStr">
        <is>
          <t>LJUSDAL</t>
        </is>
      </c>
      <c r="F1288" t="inlineStr">
        <is>
          <t>Holmen skog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1240-2026</t>
        </is>
      </c>
      <c r="B1289" s="1" t="n">
        <v>46031.42410879629</v>
      </c>
      <c r="C1289" s="1" t="n">
        <v>46036</v>
      </c>
      <c r="D1289" t="inlineStr">
        <is>
          <t>GÄVLEBORGS LÄN</t>
        </is>
      </c>
      <c r="E1289" t="inlineStr">
        <is>
          <t>LJUSDAL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35154-2023</t>
        </is>
      </c>
      <c r="B1290" s="1" t="n">
        <v>45145</v>
      </c>
      <c r="C1290" s="1" t="n">
        <v>46036</v>
      </c>
      <c r="D1290" t="inlineStr">
        <is>
          <t>GÄVLEBORGS LÄN</t>
        </is>
      </c>
      <c r="E1290" t="inlineStr">
        <is>
          <t>LJUSDAL</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59426-2025</t>
        </is>
      </c>
      <c r="B1291" s="1" t="n">
        <v>45989.5396875</v>
      </c>
      <c r="C1291" s="1" t="n">
        <v>46036</v>
      </c>
      <c r="D1291" t="inlineStr">
        <is>
          <t>GÄVLEBORGS LÄN</t>
        </is>
      </c>
      <c r="E1291" t="inlineStr">
        <is>
          <t>LJUSDAL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47871-2025</t>
        </is>
      </c>
      <c r="B1292" s="1" t="n">
        <v>45932</v>
      </c>
      <c r="C1292" s="1" t="n">
        <v>46036</v>
      </c>
      <c r="D1292" t="inlineStr">
        <is>
          <t>GÄVLEBORGS LÄN</t>
        </is>
      </c>
      <c r="E1292" t="inlineStr">
        <is>
          <t>LJUSDAL</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13667-2023</t>
        </is>
      </c>
      <c r="B1293" s="1" t="n">
        <v>45006</v>
      </c>
      <c r="C1293" s="1" t="n">
        <v>46036</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43121-2023</t>
        </is>
      </c>
      <c r="B1294" s="1" t="n">
        <v>45182.94826388889</v>
      </c>
      <c r="C1294" s="1" t="n">
        <v>46036</v>
      </c>
      <c r="D1294" t="inlineStr">
        <is>
          <t>GÄVLEBORGS LÄN</t>
        </is>
      </c>
      <c r="E1294" t="inlineStr">
        <is>
          <t>LJUSDAL</t>
        </is>
      </c>
      <c r="F1294" t="inlineStr">
        <is>
          <t>SCA</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1239-2026</t>
        </is>
      </c>
      <c r="B1295" s="1" t="n">
        <v>46031.42260416667</v>
      </c>
      <c r="C1295" s="1" t="n">
        <v>46036</v>
      </c>
      <c r="D1295" t="inlineStr">
        <is>
          <t>GÄVLEBORGS LÄN</t>
        </is>
      </c>
      <c r="E1295" t="inlineStr">
        <is>
          <t>LJUSDAL</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1251-2026</t>
        </is>
      </c>
      <c r="B1296" s="1" t="n">
        <v>46031.43357638889</v>
      </c>
      <c r="C1296" s="1" t="n">
        <v>46036</v>
      </c>
      <c r="D1296" t="inlineStr">
        <is>
          <t>GÄVLEBORGS LÄN</t>
        </is>
      </c>
      <c r="E1296" t="inlineStr">
        <is>
          <t>LJUSDAL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188-2024</t>
        </is>
      </c>
      <c r="B1297" s="1" t="n">
        <v>45294.61709490741</v>
      </c>
      <c r="C1297" s="1" t="n">
        <v>46036</v>
      </c>
      <c r="D1297" t="inlineStr">
        <is>
          <t>GÄVLEBORGS LÄN</t>
        </is>
      </c>
      <c r="E1297" t="inlineStr">
        <is>
          <t>LJUSDAL</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264-2024</t>
        </is>
      </c>
      <c r="B1298" s="1" t="n">
        <v>45295</v>
      </c>
      <c r="C1298" s="1" t="n">
        <v>46036</v>
      </c>
      <c r="D1298" t="inlineStr">
        <is>
          <t>GÄVLEBORGS LÄN</t>
        </is>
      </c>
      <c r="E1298" t="inlineStr">
        <is>
          <t>LJUSDAL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1398-2026</t>
        </is>
      </c>
      <c r="B1299" s="1" t="n">
        <v>46031.64158564815</v>
      </c>
      <c r="C1299" s="1" t="n">
        <v>46036</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1409-2026</t>
        </is>
      </c>
      <c r="B1300" s="1" t="n">
        <v>46031.66135416667</v>
      </c>
      <c r="C1300" s="1" t="n">
        <v>46036</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12391-2021</t>
        </is>
      </c>
      <c r="B1301" s="1" t="n">
        <v>44267.54184027778</v>
      </c>
      <c r="C1301" s="1" t="n">
        <v>46036</v>
      </c>
      <c r="D1301" t="inlineStr">
        <is>
          <t>GÄVLEBORGS LÄN</t>
        </is>
      </c>
      <c r="E1301" t="inlineStr">
        <is>
          <t>LJUSDAL</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1245-2026</t>
        </is>
      </c>
      <c r="B1302" s="1" t="n">
        <v>46031.42657407407</v>
      </c>
      <c r="C1302" s="1" t="n">
        <v>46036</v>
      </c>
      <c r="D1302" t="inlineStr">
        <is>
          <t>GÄVLEBORGS LÄN</t>
        </is>
      </c>
      <c r="E1302" t="inlineStr">
        <is>
          <t>LJUSDAL</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1396-2026</t>
        </is>
      </c>
      <c r="B1303" s="1" t="n">
        <v>46031.64010416667</v>
      </c>
      <c r="C1303" s="1" t="n">
        <v>46036</v>
      </c>
      <c r="D1303" t="inlineStr">
        <is>
          <t>GÄVLEBORGS LÄN</t>
        </is>
      </c>
      <c r="E1303" t="inlineStr">
        <is>
          <t>LJUSDAL</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60682-2025</t>
        </is>
      </c>
      <c r="B1304" s="1" t="n">
        <v>45996</v>
      </c>
      <c r="C1304" s="1" t="n">
        <v>46036</v>
      </c>
      <c r="D1304" t="inlineStr">
        <is>
          <t>GÄVLEBORGS LÄN</t>
        </is>
      </c>
      <c r="E1304" t="inlineStr">
        <is>
          <t>LJUSDAL</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836-2026</t>
        </is>
      </c>
      <c r="B1305" s="1" t="n">
        <v>46030.3744212963</v>
      </c>
      <c r="C1305" s="1" t="n">
        <v>46036</v>
      </c>
      <c r="D1305" t="inlineStr">
        <is>
          <t>GÄVLEBORGS LÄN</t>
        </is>
      </c>
      <c r="E1305" t="inlineStr">
        <is>
          <t>LJUSDAL</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881-2026</t>
        </is>
      </c>
      <c r="B1306" s="1" t="n">
        <v>46030.44432870371</v>
      </c>
      <c r="C1306" s="1" t="n">
        <v>46036</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1371-2026</t>
        </is>
      </c>
      <c r="B1307" s="1" t="n">
        <v>46031.61240740741</v>
      </c>
      <c r="C1307" s="1" t="n">
        <v>46036</v>
      </c>
      <c r="D1307" t="inlineStr">
        <is>
          <t>GÄVLEBORGS LÄN</t>
        </is>
      </c>
      <c r="E1307" t="inlineStr">
        <is>
          <t>LJUSDAL</t>
        </is>
      </c>
      <c r="F1307" t="inlineStr">
        <is>
          <t>Bergvik skog väst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63528-2021</t>
        </is>
      </c>
      <c r="B1308" s="1" t="n">
        <v>44508.65456018518</v>
      </c>
      <c r="C1308" s="1" t="n">
        <v>46036</v>
      </c>
      <c r="D1308" t="inlineStr">
        <is>
          <t>GÄVLEBORGS LÄN</t>
        </is>
      </c>
      <c r="E1308" t="inlineStr">
        <is>
          <t>LJUSDAL</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1804-2026</t>
        </is>
      </c>
      <c r="B1309" s="1" t="n">
        <v>46035.32539351852</v>
      </c>
      <c r="C1309" s="1" t="n">
        <v>46036</v>
      </c>
      <c r="D1309" t="inlineStr">
        <is>
          <t>GÄVLEBORGS LÄN</t>
        </is>
      </c>
      <c r="E1309" t="inlineStr">
        <is>
          <t>LJUSDAL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1820-2026</t>
        </is>
      </c>
      <c r="B1310" s="1" t="n">
        <v>46035.35873842592</v>
      </c>
      <c r="C1310" s="1" t="n">
        <v>46036</v>
      </c>
      <c r="D1310" t="inlineStr">
        <is>
          <t>GÄVLEBORGS LÄN</t>
        </is>
      </c>
      <c r="E1310" t="inlineStr">
        <is>
          <t>LJUSDAL</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59836-2025</t>
        </is>
      </c>
      <c r="B1311" s="1" t="n">
        <v>45992.67038194444</v>
      </c>
      <c r="C1311" s="1" t="n">
        <v>46036</v>
      </c>
      <c r="D1311" t="inlineStr">
        <is>
          <t>GÄVLEBORGS LÄN</t>
        </is>
      </c>
      <c r="E1311" t="inlineStr">
        <is>
          <t>LJUSDAL</t>
        </is>
      </c>
      <c r="F1311" t="inlineStr">
        <is>
          <t>Allmännings- och besparingsskogar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63988-2025</t>
        </is>
      </c>
      <c r="B1312" s="1" t="n">
        <v>46021</v>
      </c>
      <c r="C1312" s="1" t="n">
        <v>46036</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61416-2024</t>
        </is>
      </c>
      <c r="B1313" s="1" t="n">
        <v>45646.44552083333</v>
      </c>
      <c r="C1313" s="1" t="n">
        <v>46036</v>
      </c>
      <c r="D1313" t="inlineStr">
        <is>
          <t>GÄVLEBORGS LÄN</t>
        </is>
      </c>
      <c r="E1313" t="inlineStr">
        <is>
          <t>LJUSDAL</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1808-2026</t>
        </is>
      </c>
      <c r="B1314" s="1" t="n">
        <v>46035.33601851852</v>
      </c>
      <c r="C1314" s="1" t="n">
        <v>46036</v>
      </c>
      <c r="D1314" t="inlineStr">
        <is>
          <t>GÄVLEBORGS LÄN</t>
        </is>
      </c>
      <c r="E1314" t="inlineStr">
        <is>
          <t>LJUSDAL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1823-2026</t>
        </is>
      </c>
      <c r="B1315" s="1" t="n">
        <v>46035.36265046296</v>
      </c>
      <c r="C1315" s="1" t="n">
        <v>46036</v>
      </c>
      <c r="D1315" t="inlineStr">
        <is>
          <t>GÄVLEBORGS LÄN</t>
        </is>
      </c>
      <c r="E1315" t="inlineStr">
        <is>
          <t>LJUSDAL</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59811-2025</t>
        </is>
      </c>
      <c r="B1316" s="1" t="n">
        <v>45992.63217592592</v>
      </c>
      <c r="C1316" s="1" t="n">
        <v>46036</v>
      </c>
      <c r="D1316" t="inlineStr">
        <is>
          <t>GÄVLEBORGS LÄN</t>
        </is>
      </c>
      <c r="E1316" t="inlineStr">
        <is>
          <t>LJUSDAL</t>
        </is>
      </c>
      <c r="F1316" t="inlineStr">
        <is>
          <t>Allmännings- och besparingsskogar</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59850-2025</t>
        </is>
      </c>
      <c r="B1317" s="1" t="n">
        <v>45992.70818287037</v>
      </c>
      <c r="C1317" s="1" t="n">
        <v>46036</v>
      </c>
      <c r="D1317" t="inlineStr">
        <is>
          <t>GÄVLEBORGS LÄN</t>
        </is>
      </c>
      <c r="E1317" t="inlineStr">
        <is>
          <t>LJUSDAL</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20043-2024</t>
        </is>
      </c>
      <c r="B1318" s="1" t="n">
        <v>45434</v>
      </c>
      <c r="C1318" s="1" t="n">
        <v>46036</v>
      </c>
      <c r="D1318" t="inlineStr">
        <is>
          <t>GÄVLEBORGS LÄN</t>
        </is>
      </c>
      <c r="E1318" t="inlineStr">
        <is>
          <t>LJUSDAL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22758-2021</t>
        </is>
      </c>
      <c r="B1319" s="1" t="n">
        <v>44327.8400462963</v>
      </c>
      <c r="C1319" s="1" t="n">
        <v>46036</v>
      </c>
      <c r="D1319" t="inlineStr">
        <is>
          <t>GÄVLEBORGS LÄN</t>
        </is>
      </c>
      <c r="E1319" t="inlineStr">
        <is>
          <t>LJUSDAL</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147-2024</t>
        </is>
      </c>
      <c r="B1320" s="1" t="n">
        <v>45294.46956018519</v>
      </c>
      <c r="C1320" s="1" t="n">
        <v>46036</v>
      </c>
      <c r="D1320" t="inlineStr">
        <is>
          <t>GÄVLEBORGS LÄN</t>
        </is>
      </c>
      <c r="E1320" t="inlineStr">
        <is>
          <t>LJUSDAL</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7729-2024</t>
        </is>
      </c>
      <c r="B1321" s="1" t="n">
        <v>45349</v>
      </c>
      <c r="C1321" s="1" t="n">
        <v>46036</v>
      </c>
      <c r="D1321" t="inlineStr">
        <is>
          <t>GÄVLEBORGS LÄN</t>
        </is>
      </c>
      <c r="E1321" t="inlineStr">
        <is>
          <t>LJUSDAL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59785-2025</t>
        </is>
      </c>
      <c r="B1322" s="1" t="n">
        <v>45992.61177083333</v>
      </c>
      <c r="C1322" s="1" t="n">
        <v>46036</v>
      </c>
      <c r="D1322" t="inlineStr">
        <is>
          <t>GÄVLEBORGS LÄN</t>
        </is>
      </c>
      <c r="E1322" t="inlineStr">
        <is>
          <t>LJUSDAL</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60042-2025</t>
        </is>
      </c>
      <c r="B1323" s="1" t="n">
        <v>45993.62627314815</v>
      </c>
      <c r="C1323" s="1" t="n">
        <v>46036</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36233-2022</t>
        </is>
      </c>
      <c r="B1324" s="1" t="n">
        <v>44803.56774305556</v>
      </c>
      <c r="C1324" s="1" t="n">
        <v>46036</v>
      </c>
      <c r="D1324" t="inlineStr">
        <is>
          <t>GÄVLEBORGS LÄN</t>
        </is>
      </c>
      <c r="E1324" t="inlineStr">
        <is>
          <t>LJUSDAL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55681-2023</t>
        </is>
      </c>
      <c r="B1325" s="1" t="n">
        <v>45239.34327546296</v>
      </c>
      <c r="C1325" s="1" t="n">
        <v>46036</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7606-2022</t>
        </is>
      </c>
      <c r="B1326" s="1" t="n">
        <v>44607.65809027778</v>
      </c>
      <c r="C1326" s="1" t="n">
        <v>46036</v>
      </c>
      <c r="D1326" t="inlineStr">
        <is>
          <t>GÄVLEBORGS LÄN</t>
        </is>
      </c>
      <c r="E1326" t="inlineStr">
        <is>
          <t>LJUSDAL</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59977-2025</t>
        </is>
      </c>
      <c r="B1327" s="1" t="n">
        <v>45993.5110300926</v>
      </c>
      <c r="C1327" s="1" t="n">
        <v>46036</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12555-2023</t>
        </is>
      </c>
      <c r="B1328" s="1" t="n">
        <v>45000.354375</v>
      </c>
      <c r="C1328" s="1" t="n">
        <v>46036</v>
      </c>
      <c r="D1328" t="inlineStr">
        <is>
          <t>GÄVLEBORGS LÄN</t>
        </is>
      </c>
      <c r="E1328" t="inlineStr">
        <is>
          <t>LJUSDAL</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5029-2021</t>
        </is>
      </c>
      <c r="B1329" s="1" t="n">
        <v>44228</v>
      </c>
      <c r="C1329" s="1" t="n">
        <v>46036</v>
      </c>
      <c r="D1329" t="inlineStr">
        <is>
          <t>GÄVLEBORGS LÄN</t>
        </is>
      </c>
      <c r="E1329" t="inlineStr">
        <is>
          <t>LJUSDAL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1607-2026</t>
        </is>
      </c>
      <c r="B1330" s="1" t="n">
        <v>46034.46679398148</v>
      </c>
      <c r="C1330" s="1" t="n">
        <v>46036</v>
      </c>
      <c r="D1330" t="inlineStr">
        <is>
          <t>GÄVLEBORGS LÄN</t>
        </is>
      </c>
      <c r="E1330" t="inlineStr">
        <is>
          <t>LJUSDAL</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4686-2023</t>
        </is>
      </c>
      <c r="B1331" s="1" t="n">
        <v>44957.46049768518</v>
      </c>
      <c r="C1331" s="1" t="n">
        <v>46036</v>
      </c>
      <c r="D1331" t="inlineStr">
        <is>
          <t>GÄVLEBORGS LÄN</t>
        </is>
      </c>
      <c r="E1331" t="inlineStr">
        <is>
          <t>LJUSDAL</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1670-2026</t>
        </is>
      </c>
      <c r="B1332" s="1" t="n">
        <v>46034.56050925926</v>
      </c>
      <c r="C1332" s="1" t="n">
        <v>46036</v>
      </c>
      <c r="D1332" t="inlineStr">
        <is>
          <t>GÄVLEBORGS LÄN</t>
        </is>
      </c>
      <c r="E1332" t="inlineStr">
        <is>
          <t>LJUSDAL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39597-2024</t>
        </is>
      </c>
      <c r="B1333" s="1" t="n">
        <v>45552.37586805555</v>
      </c>
      <c r="C1333" s="1" t="n">
        <v>46036</v>
      </c>
      <c r="D1333" t="inlineStr">
        <is>
          <t>GÄVLEBORGS LÄN</t>
        </is>
      </c>
      <c r="E1333" t="inlineStr">
        <is>
          <t>LJUSDAL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18971-2025</t>
        </is>
      </c>
      <c r="B1334" s="1" t="n">
        <v>45764.53803240741</v>
      </c>
      <c r="C1334" s="1" t="n">
        <v>46036</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9540-2021</t>
        </is>
      </c>
      <c r="B1335" s="1" t="n">
        <v>44251</v>
      </c>
      <c r="C1335" s="1" t="n">
        <v>46036</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47403-2024</t>
        </is>
      </c>
      <c r="B1336" s="1" t="n">
        <v>45587.47396990741</v>
      </c>
      <c r="C1336" s="1" t="n">
        <v>46036</v>
      </c>
      <c r="D1336" t="inlineStr">
        <is>
          <t>GÄVLEBORGS LÄN</t>
        </is>
      </c>
      <c r="E1336" t="inlineStr">
        <is>
          <t>LJUSDAL</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19718-2025</t>
        </is>
      </c>
      <c r="B1337" s="1" t="n">
        <v>45771.35664351852</v>
      </c>
      <c r="C1337" s="1" t="n">
        <v>46036</v>
      </c>
      <c r="D1337" t="inlineStr">
        <is>
          <t>GÄVLEBORGS LÄN</t>
        </is>
      </c>
      <c r="E1337" t="inlineStr">
        <is>
          <t>LJUSDAL</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21125-2023</t>
        </is>
      </c>
      <c r="B1338" s="1" t="n">
        <v>45062.29048611111</v>
      </c>
      <c r="C1338" s="1" t="n">
        <v>46036</v>
      </c>
      <c r="D1338" t="inlineStr">
        <is>
          <t>GÄVLEBORGS LÄN</t>
        </is>
      </c>
      <c r="E1338" t="inlineStr">
        <is>
          <t>LJUSDAL</t>
        </is>
      </c>
      <c r="F1338" t="inlineStr">
        <is>
          <t>Holmen skog AB</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2937-2025</t>
        </is>
      </c>
      <c r="B1339" s="1" t="n">
        <v>45678.38020833334</v>
      </c>
      <c r="C1339" s="1" t="n">
        <v>46036</v>
      </c>
      <c r="D1339" t="inlineStr">
        <is>
          <t>GÄVLEBORGS LÄN</t>
        </is>
      </c>
      <c r="E1339" t="inlineStr">
        <is>
          <t>LJUSDAL</t>
        </is>
      </c>
      <c r="F1339" t="inlineStr">
        <is>
          <t>Holmen skog AB</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35782-2023</t>
        </is>
      </c>
      <c r="B1340" s="1" t="n">
        <v>45148</v>
      </c>
      <c r="C1340" s="1" t="n">
        <v>46036</v>
      </c>
      <c r="D1340" t="inlineStr">
        <is>
          <t>GÄVLEBORGS LÄN</t>
        </is>
      </c>
      <c r="E1340" t="inlineStr">
        <is>
          <t>LJUSDAL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19066-2025</t>
        </is>
      </c>
      <c r="B1341" s="1" t="n">
        <v>45765.42739583334</v>
      </c>
      <c r="C1341" s="1" t="n">
        <v>46036</v>
      </c>
      <c r="D1341" t="inlineStr">
        <is>
          <t>GÄVLEBORGS LÄN</t>
        </is>
      </c>
      <c r="E1341" t="inlineStr">
        <is>
          <t>LJUSDAL</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19973-2021</t>
        </is>
      </c>
      <c r="B1342" s="1" t="n">
        <v>44313</v>
      </c>
      <c r="C1342" s="1" t="n">
        <v>46036</v>
      </c>
      <c r="D1342" t="inlineStr">
        <is>
          <t>GÄVLEBORGS LÄN</t>
        </is>
      </c>
      <c r="E1342" t="inlineStr">
        <is>
          <t>LJUSDAL</t>
        </is>
      </c>
      <c r="F1342" t="inlineStr">
        <is>
          <t>Sveaskog</t>
        </is>
      </c>
      <c r="G1342" t="n">
        <v>38.9</v>
      </c>
      <c r="H1342" t="n">
        <v>0</v>
      </c>
      <c r="I1342" t="n">
        <v>0</v>
      </c>
      <c r="J1342" t="n">
        <v>0</v>
      </c>
      <c r="K1342" t="n">
        <v>0</v>
      </c>
      <c r="L1342" t="n">
        <v>0</v>
      </c>
      <c r="M1342" t="n">
        <v>0</v>
      </c>
      <c r="N1342" t="n">
        <v>0</v>
      </c>
      <c r="O1342" t="n">
        <v>0</v>
      </c>
      <c r="P1342" t="n">
        <v>0</v>
      </c>
      <c r="Q1342" t="n">
        <v>0</v>
      </c>
      <c r="R1342" s="2" t="inlineStr"/>
    </row>
    <row r="1343" ht="15" customHeight="1">
      <c r="A1343" t="inlineStr">
        <is>
          <t>A 27718-2023</t>
        </is>
      </c>
      <c r="B1343" s="1" t="n">
        <v>45098</v>
      </c>
      <c r="C1343" s="1" t="n">
        <v>46036</v>
      </c>
      <c r="D1343" t="inlineStr">
        <is>
          <t>GÄVLEBORGS LÄN</t>
        </is>
      </c>
      <c r="E1343" t="inlineStr">
        <is>
          <t>LJUSDAL</t>
        </is>
      </c>
      <c r="F1343" t="inlineStr">
        <is>
          <t>Holmen skog AB</t>
        </is>
      </c>
      <c r="G1343" t="n">
        <v>23.3</v>
      </c>
      <c r="H1343" t="n">
        <v>0</v>
      </c>
      <c r="I1343" t="n">
        <v>0</v>
      </c>
      <c r="J1343" t="n">
        <v>0</v>
      </c>
      <c r="K1343" t="n">
        <v>0</v>
      </c>
      <c r="L1343" t="n">
        <v>0</v>
      </c>
      <c r="M1343" t="n">
        <v>0</v>
      </c>
      <c r="N1343" t="n">
        <v>0</v>
      </c>
      <c r="O1343" t="n">
        <v>0</v>
      </c>
      <c r="P1343" t="n">
        <v>0</v>
      </c>
      <c r="Q1343" t="n">
        <v>0</v>
      </c>
      <c r="R1343" s="2" t="inlineStr"/>
    </row>
    <row r="1344" ht="15" customHeight="1">
      <c r="A1344" t="inlineStr">
        <is>
          <t>A 38598-2022</t>
        </is>
      </c>
      <c r="B1344" s="1" t="n">
        <v>44813</v>
      </c>
      <c r="C1344" s="1" t="n">
        <v>46036</v>
      </c>
      <c r="D1344" t="inlineStr">
        <is>
          <t>GÄVLEBORGS LÄN</t>
        </is>
      </c>
      <c r="E1344" t="inlineStr">
        <is>
          <t>LJUSDAL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7182-2023</t>
        </is>
      </c>
      <c r="B1345" s="1" t="n">
        <v>44970</v>
      </c>
      <c r="C1345" s="1" t="n">
        <v>46036</v>
      </c>
      <c r="D1345" t="inlineStr">
        <is>
          <t>GÄVLEBORGS LÄN</t>
        </is>
      </c>
      <c r="E1345" t="inlineStr">
        <is>
          <t>LJUSDAL</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35826-2023</t>
        </is>
      </c>
      <c r="B1346" s="1" t="n">
        <v>45148.46752314815</v>
      </c>
      <c r="C1346" s="1" t="n">
        <v>46036</v>
      </c>
      <c r="D1346" t="inlineStr">
        <is>
          <t>GÄVLEBORGS LÄN</t>
        </is>
      </c>
      <c r="E1346" t="inlineStr">
        <is>
          <t>LJUSDAL</t>
        </is>
      </c>
      <c r="F1346" t="inlineStr">
        <is>
          <t>Kommuner</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31890-2022</t>
        </is>
      </c>
      <c r="B1347" s="1" t="n">
        <v>44777</v>
      </c>
      <c r="C1347" s="1" t="n">
        <v>46036</v>
      </c>
      <c r="D1347" t="inlineStr">
        <is>
          <t>GÄVLEBORGS LÄN</t>
        </is>
      </c>
      <c r="E1347" t="inlineStr">
        <is>
          <t>LJUSDAL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58322-2024</t>
        </is>
      </c>
      <c r="B1348" s="1" t="n">
        <v>45632.62454861111</v>
      </c>
      <c r="C1348" s="1" t="n">
        <v>46036</v>
      </c>
      <c r="D1348" t="inlineStr">
        <is>
          <t>GÄVLEBORGS LÄN</t>
        </is>
      </c>
      <c r="E1348" t="inlineStr">
        <is>
          <t>LJUSDAL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29290-2021</t>
        </is>
      </c>
      <c r="B1349" s="1" t="n">
        <v>44361.38045138889</v>
      </c>
      <c r="C1349" s="1" t="n">
        <v>46036</v>
      </c>
      <c r="D1349" t="inlineStr">
        <is>
          <t>GÄVLEBORGS LÄN</t>
        </is>
      </c>
      <c r="E1349" t="inlineStr">
        <is>
          <t>LJUSDAL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35997-2023</t>
        </is>
      </c>
      <c r="B1350" s="1" t="n">
        <v>45149.33300925926</v>
      </c>
      <c r="C1350" s="1" t="n">
        <v>46036</v>
      </c>
      <c r="D1350" t="inlineStr">
        <is>
          <t>GÄVLEBORGS LÄN</t>
        </is>
      </c>
      <c r="E1350" t="inlineStr">
        <is>
          <t>LJUSDAL</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57-2024</t>
        </is>
      </c>
      <c r="B1351" s="1" t="n">
        <v>45293.60358796296</v>
      </c>
      <c r="C1351" s="1" t="n">
        <v>46036</v>
      </c>
      <c r="D1351" t="inlineStr">
        <is>
          <t>GÄVLEBORGS LÄN</t>
        </is>
      </c>
      <c r="E1351" t="inlineStr">
        <is>
          <t>LJUSDAL</t>
        </is>
      </c>
      <c r="F1351" t="inlineStr">
        <is>
          <t>Holmen skog AB</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34094-2023</t>
        </is>
      </c>
      <c r="B1352" s="1" t="n">
        <v>45135.5841087963</v>
      </c>
      <c r="C1352" s="1" t="n">
        <v>46036</v>
      </c>
      <c r="D1352" t="inlineStr">
        <is>
          <t>GÄVLEBORGS LÄN</t>
        </is>
      </c>
      <c r="E1352" t="inlineStr">
        <is>
          <t>LJUSDAL</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57189-2024</t>
        </is>
      </c>
      <c r="B1353" s="1" t="n">
        <v>45629</v>
      </c>
      <c r="C1353" s="1" t="n">
        <v>46036</v>
      </c>
      <c r="D1353" t="inlineStr">
        <is>
          <t>GÄVLEBORGS LÄN</t>
        </is>
      </c>
      <c r="E1353" t="inlineStr">
        <is>
          <t>LJUSDAL</t>
        </is>
      </c>
      <c r="F1353" t="inlineStr">
        <is>
          <t>Holmen skog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13116-2023</t>
        </is>
      </c>
      <c r="B1354" s="1" t="n">
        <v>45002.47825231482</v>
      </c>
      <c r="C1354" s="1" t="n">
        <v>46036</v>
      </c>
      <c r="D1354" t="inlineStr">
        <is>
          <t>GÄVLEBORGS LÄN</t>
        </is>
      </c>
      <c r="E1354" t="inlineStr">
        <is>
          <t>LJUSDAL</t>
        </is>
      </c>
      <c r="F1354" t="inlineStr">
        <is>
          <t>Allmännings- och besparingsskogar</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14263-2024</t>
        </is>
      </c>
      <c r="B1355" s="1" t="n">
        <v>45393.55355324074</v>
      </c>
      <c r="C1355" s="1" t="n">
        <v>46036</v>
      </c>
      <c r="D1355" t="inlineStr">
        <is>
          <t>GÄVLEBORGS LÄN</t>
        </is>
      </c>
      <c r="E1355" t="inlineStr">
        <is>
          <t>LJUSDAL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48587-2021</t>
        </is>
      </c>
      <c r="B1356" s="1" t="n">
        <v>44452.47790509259</v>
      </c>
      <c r="C1356" s="1" t="n">
        <v>46036</v>
      </c>
      <c r="D1356" t="inlineStr">
        <is>
          <t>GÄVLEBORGS LÄN</t>
        </is>
      </c>
      <c r="E1356" t="inlineStr">
        <is>
          <t>LJUSDAL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22248-2024</t>
        </is>
      </c>
      <c r="B1357" s="1" t="n">
        <v>45446.45638888889</v>
      </c>
      <c r="C1357" s="1" t="n">
        <v>46036</v>
      </c>
      <c r="D1357" t="inlineStr">
        <is>
          <t>GÄVLEBORGS LÄN</t>
        </is>
      </c>
      <c r="E1357" t="inlineStr">
        <is>
          <t>LJUSDAL</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32924-2023</t>
        </is>
      </c>
      <c r="B1358" s="1" t="n">
        <v>45125.36489583334</v>
      </c>
      <c r="C1358" s="1" t="n">
        <v>46036</v>
      </c>
      <c r="D1358" t="inlineStr">
        <is>
          <t>GÄVLEBORGS LÄN</t>
        </is>
      </c>
      <c r="E1358" t="inlineStr">
        <is>
          <t>LJUSDAL</t>
        </is>
      </c>
      <c r="F1358" t="inlineStr">
        <is>
          <t>Holmen skog AB</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32943-2023</t>
        </is>
      </c>
      <c r="B1359" s="1" t="n">
        <v>45125</v>
      </c>
      <c r="C1359" s="1" t="n">
        <v>46036</v>
      </c>
      <c r="D1359" t="inlineStr">
        <is>
          <t>GÄVLEBORGS LÄN</t>
        </is>
      </c>
      <c r="E1359" t="inlineStr">
        <is>
          <t>LJUSDAL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43016-2022</t>
        </is>
      </c>
      <c r="B1360" s="1" t="n">
        <v>44833</v>
      </c>
      <c r="C1360" s="1" t="n">
        <v>46036</v>
      </c>
      <c r="D1360" t="inlineStr">
        <is>
          <t>GÄVLEBORGS LÄN</t>
        </is>
      </c>
      <c r="E1360" t="inlineStr">
        <is>
          <t>LJUSDAL</t>
        </is>
      </c>
      <c r="F1360" t="inlineStr">
        <is>
          <t>Naturvårdsverket</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23191-2022</t>
        </is>
      </c>
      <c r="B1361" s="1" t="n">
        <v>44719.92519675926</v>
      </c>
      <c r="C1361" s="1" t="n">
        <v>46036</v>
      </c>
      <c r="D1361" t="inlineStr">
        <is>
          <t>GÄVLEBORGS LÄN</t>
        </is>
      </c>
      <c r="E1361" t="inlineStr">
        <is>
          <t>LJUSDAL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23192-2022</t>
        </is>
      </c>
      <c r="B1362" s="1" t="n">
        <v>44719.92523148148</v>
      </c>
      <c r="C1362" s="1" t="n">
        <v>46036</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3434-2024</t>
        </is>
      </c>
      <c r="B1363" s="1" t="n">
        <v>45320.35980324074</v>
      </c>
      <c r="C1363" s="1" t="n">
        <v>46036</v>
      </c>
      <c r="D1363" t="inlineStr">
        <is>
          <t>GÄVLEBORGS LÄN</t>
        </is>
      </c>
      <c r="E1363" t="inlineStr">
        <is>
          <t>LJUSDAL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20477-2025</t>
        </is>
      </c>
      <c r="B1364" s="1" t="n">
        <v>45775.55076388889</v>
      </c>
      <c r="C1364" s="1" t="n">
        <v>46036</v>
      </c>
      <c r="D1364" t="inlineStr">
        <is>
          <t>GÄVLEBORGS LÄN</t>
        </is>
      </c>
      <c r="E1364" t="inlineStr">
        <is>
          <t>LJUSDAL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62420-2022</t>
        </is>
      </c>
      <c r="B1365" s="1" t="n">
        <v>44924</v>
      </c>
      <c r="C1365" s="1" t="n">
        <v>46036</v>
      </c>
      <c r="D1365" t="inlineStr">
        <is>
          <t>GÄVLEBORGS LÄN</t>
        </is>
      </c>
      <c r="E1365" t="inlineStr">
        <is>
          <t>LJUSDAL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58626-2023</t>
        </is>
      </c>
      <c r="B1366" s="1" t="n">
        <v>45251.55770833333</v>
      </c>
      <c r="C1366" s="1" t="n">
        <v>46036</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52339-2024</t>
        </is>
      </c>
      <c r="B1367" s="1" t="n">
        <v>45609.33740740741</v>
      </c>
      <c r="C1367" s="1" t="n">
        <v>46036</v>
      </c>
      <c r="D1367" t="inlineStr">
        <is>
          <t>GÄVLEBORGS LÄN</t>
        </is>
      </c>
      <c r="E1367" t="inlineStr">
        <is>
          <t>LJUSDAL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52568-2022</t>
        </is>
      </c>
      <c r="B1368" s="1" t="n">
        <v>44874</v>
      </c>
      <c r="C1368" s="1" t="n">
        <v>46036</v>
      </c>
      <c r="D1368" t="inlineStr">
        <is>
          <t>GÄVLEBORGS LÄN</t>
        </is>
      </c>
      <c r="E1368" t="inlineStr">
        <is>
          <t>LJUSDAL</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44633-2024</t>
        </is>
      </c>
      <c r="B1369" s="1" t="n">
        <v>45574</v>
      </c>
      <c r="C1369" s="1" t="n">
        <v>46036</v>
      </c>
      <c r="D1369" t="inlineStr">
        <is>
          <t>GÄVLEBORGS LÄN</t>
        </is>
      </c>
      <c r="E1369" t="inlineStr">
        <is>
          <t>LJUSDAL</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64601-2021</t>
        </is>
      </c>
      <c r="B1370" s="1" t="n">
        <v>44511</v>
      </c>
      <c r="C1370" s="1" t="n">
        <v>46036</v>
      </c>
      <c r="D1370" t="inlineStr">
        <is>
          <t>GÄVLEBORGS LÄN</t>
        </is>
      </c>
      <c r="E1370" t="inlineStr">
        <is>
          <t>LJUSDAL</t>
        </is>
      </c>
      <c r="F1370" t="inlineStr">
        <is>
          <t>Kommuner</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6308-2022</t>
        </is>
      </c>
      <c r="B1371" s="1" t="n">
        <v>44600.53630787037</v>
      </c>
      <c r="C1371" s="1" t="n">
        <v>46036</v>
      </c>
      <c r="D1371" t="inlineStr">
        <is>
          <t>GÄVLEBORGS LÄN</t>
        </is>
      </c>
      <c r="E1371" t="inlineStr">
        <is>
          <t>LJUSDAL</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48188-2023</t>
        </is>
      </c>
      <c r="B1372" s="1" t="n">
        <v>45205.45511574074</v>
      </c>
      <c r="C1372" s="1" t="n">
        <v>46036</v>
      </c>
      <c r="D1372" t="inlineStr">
        <is>
          <t>GÄVLEBORGS LÄN</t>
        </is>
      </c>
      <c r="E1372" t="inlineStr">
        <is>
          <t>LJUSDAL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55962-2022</t>
        </is>
      </c>
      <c r="B1373" s="1" t="n">
        <v>44889</v>
      </c>
      <c r="C1373" s="1" t="n">
        <v>46036</v>
      </c>
      <c r="D1373" t="inlineStr">
        <is>
          <t>GÄVLEBORGS LÄN</t>
        </is>
      </c>
      <c r="E1373" t="inlineStr">
        <is>
          <t>LJUSDAL</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23985-2022</t>
        </is>
      </c>
      <c r="B1374" s="1" t="n">
        <v>44722.9260300926</v>
      </c>
      <c r="C1374" s="1" t="n">
        <v>46036</v>
      </c>
      <c r="D1374" t="inlineStr">
        <is>
          <t>GÄVLEBORGS LÄN</t>
        </is>
      </c>
      <c r="E1374" t="inlineStr">
        <is>
          <t>LJUSDAL</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13894-2025</t>
        </is>
      </c>
      <c r="B1375" s="1" t="n">
        <v>45737.62081018519</v>
      </c>
      <c r="C1375" s="1" t="n">
        <v>46036</v>
      </c>
      <c r="D1375" t="inlineStr">
        <is>
          <t>GÄVLEBORGS LÄN</t>
        </is>
      </c>
      <c r="E1375" t="inlineStr">
        <is>
          <t>LJUSDAL</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20653-2024</t>
        </is>
      </c>
      <c r="B1376" s="1" t="n">
        <v>45436.53184027778</v>
      </c>
      <c r="C1376" s="1" t="n">
        <v>46036</v>
      </c>
      <c r="D1376" t="inlineStr">
        <is>
          <t>GÄVLEBORGS LÄN</t>
        </is>
      </c>
      <c r="E1376" t="inlineStr">
        <is>
          <t>LJUSDAL</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21709-2024</t>
        </is>
      </c>
      <c r="B1377" s="1" t="n">
        <v>45442.47200231482</v>
      </c>
      <c r="C1377" s="1" t="n">
        <v>46036</v>
      </c>
      <c r="D1377" t="inlineStr">
        <is>
          <t>GÄVLEBORGS LÄN</t>
        </is>
      </c>
      <c r="E1377" t="inlineStr">
        <is>
          <t>LJUSDAL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56158-2024</t>
        </is>
      </c>
      <c r="B1378" s="1" t="n">
        <v>45624.53408564815</v>
      </c>
      <c r="C1378" s="1" t="n">
        <v>46036</v>
      </c>
      <c r="D1378" t="inlineStr">
        <is>
          <t>GÄVLEBORGS LÄN</t>
        </is>
      </c>
      <c r="E1378" t="inlineStr">
        <is>
          <t>LJUSDAL</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14479-2023</t>
        </is>
      </c>
      <c r="B1379" s="1" t="n">
        <v>45012</v>
      </c>
      <c r="C1379" s="1" t="n">
        <v>46036</v>
      </c>
      <c r="D1379" t="inlineStr">
        <is>
          <t>GÄVLEBORGS LÄN</t>
        </is>
      </c>
      <c r="E1379" t="inlineStr">
        <is>
          <t>LJUSDAL</t>
        </is>
      </c>
      <c r="F1379" t="inlineStr">
        <is>
          <t>Kyrkan</t>
        </is>
      </c>
      <c r="G1379" t="n">
        <v>27.5</v>
      </c>
      <c r="H1379" t="n">
        <v>0</v>
      </c>
      <c r="I1379" t="n">
        <v>0</v>
      </c>
      <c r="J1379" t="n">
        <v>0</v>
      </c>
      <c r="K1379" t="n">
        <v>0</v>
      </c>
      <c r="L1379" t="n">
        <v>0</v>
      </c>
      <c r="M1379" t="n">
        <v>0</v>
      </c>
      <c r="N1379" t="n">
        <v>0</v>
      </c>
      <c r="O1379" t="n">
        <v>0</v>
      </c>
      <c r="P1379" t="n">
        <v>0</v>
      </c>
      <c r="Q1379" t="n">
        <v>0</v>
      </c>
      <c r="R1379" s="2" t="inlineStr"/>
    </row>
    <row r="1380" ht="15" customHeight="1">
      <c r="A1380" t="inlineStr">
        <is>
          <t>A 56082-2024</t>
        </is>
      </c>
      <c r="B1380" s="1" t="n">
        <v>45624.39293981482</v>
      </c>
      <c r="C1380" s="1" t="n">
        <v>46036</v>
      </c>
      <c r="D1380" t="inlineStr">
        <is>
          <t>GÄVLEBORGS LÄN</t>
        </is>
      </c>
      <c r="E1380" t="inlineStr">
        <is>
          <t>LJUSDAL</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32365-2023</t>
        </is>
      </c>
      <c r="B1381" s="1" t="n">
        <v>45120.56810185185</v>
      </c>
      <c r="C1381" s="1" t="n">
        <v>46036</v>
      </c>
      <c r="D1381" t="inlineStr">
        <is>
          <t>GÄVLEBORGS LÄN</t>
        </is>
      </c>
      <c r="E1381" t="inlineStr">
        <is>
          <t>LJUSDAL</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56464-2023</t>
        </is>
      </c>
      <c r="B1382" s="1" t="n">
        <v>45243.4821875</v>
      </c>
      <c r="C1382" s="1" t="n">
        <v>46036</v>
      </c>
      <c r="D1382" t="inlineStr">
        <is>
          <t>GÄVLEBORGS LÄN</t>
        </is>
      </c>
      <c r="E1382" t="inlineStr">
        <is>
          <t>LJUSDAL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5316-2025</t>
        </is>
      </c>
      <c r="B1383" s="1" t="n">
        <v>45692.51339120371</v>
      </c>
      <c r="C1383" s="1" t="n">
        <v>46036</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21637-2024</t>
        </is>
      </c>
      <c r="B1384" s="1" t="n">
        <v>45442.34444444445</v>
      </c>
      <c r="C1384" s="1" t="n">
        <v>46036</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19797-2024</t>
        </is>
      </c>
      <c r="B1385" s="1" t="n">
        <v>45432.92788194444</v>
      </c>
      <c r="C1385" s="1" t="n">
        <v>46036</v>
      </c>
      <c r="D1385" t="inlineStr">
        <is>
          <t>GÄVLEBORGS LÄN</t>
        </is>
      </c>
      <c r="E1385" t="inlineStr">
        <is>
          <t>LJUSDAL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32287-2023</t>
        </is>
      </c>
      <c r="B1386" s="1" t="n">
        <v>45107</v>
      </c>
      <c r="C1386" s="1" t="n">
        <v>46036</v>
      </c>
      <c r="D1386" t="inlineStr">
        <is>
          <t>GÄVLEBORGS LÄN</t>
        </is>
      </c>
      <c r="E1386" t="inlineStr">
        <is>
          <t>LJUSDAL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26181-2023</t>
        </is>
      </c>
      <c r="B1387" s="1" t="n">
        <v>45091.53126157408</v>
      </c>
      <c r="C1387" s="1" t="n">
        <v>46036</v>
      </c>
      <c r="D1387" t="inlineStr">
        <is>
          <t>GÄVLEBORGS LÄN</t>
        </is>
      </c>
      <c r="E1387" t="inlineStr">
        <is>
          <t>LJUSDAL</t>
        </is>
      </c>
      <c r="F1387" t="inlineStr">
        <is>
          <t>Sveaskog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26184-2023</t>
        </is>
      </c>
      <c r="B1388" s="1" t="n">
        <v>45091.53296296296</v>
      </c>
      <c r="C1388" s="1" t="n">
        <v>46036</v>
      </c>
      <c r="D1388" t="inlineStr">
        <is>
          <t>GÄVLEBORGS LÄN</t>
        </is>
      </c>
      <c r="E1388" t="inlineStr">
        <is>
          <t>LJUSDAL</t>
        </is>
      </c>
      <c r="F1388" t="inlineStr">
        <is>
          <t>Sveaskog</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33389-2024</t>
        </is>
      </c>
      <c r="B1389" s="1" t="n">
        <v>45519.47418981481</v>
      </c>
      <c r="C1389" s="1" t="n">
        <v>46036</v>
      </c>
      <c r="D1389" t="inlineStr">
        <is>
          <t>GÄVLEBORGS LÄN</t>
        </is>
      </c>
      <c r="E1389" t="inlineStr">
        <is>
          <t>LJUSDAL</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57101-2023</t>
        </is>
      </c>
      <c r="B1390" s="1" t="n">
        <v>45245.34210648148</v>
      </c>
      <c r="C1390" s="1" t="n">
        <v>46036</v>
      </c>
      <c r="D1390" t="inlineStr">
        <is>
          <t>GÄVLEBORGS LÄN</t>
        </is>
      </c>
      <c r="E1390" t="inlineStr">
        <is>
          <t>LJUSDAL</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41293-2023</t>
        </is>
      </c>
      <c r="B1391" s="1" t="n">
        <v>45174.59391203704</v>
      </c>
      <c r="C1391" s="1" t="n">
        <v>46036</v>
      </c>
      <c r="D1391" t="inlineStr">
        <is>
          <t>GÄVLEBORGS LÄN</t>
        </is>
      </c>
      <c r="E1391" t="inlineStr">
        <is>
          <t>LJUSDAL</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15168-2024</t>
        </is>
      </c>
      <c r="B1392" s="1" t="n">
        <v>45400.34232638889</v>
      </c>
      <c r="C1392" s="1" t="n">
        <v>46036</v>
      </c>
      <c r="D1392" t="inlineStr">
        <is>
          <t>GÄVLEBORGS LÄN</t>
        </is>
      </c>
      <c r="E1392" t="inlineStr">
        <is>
          <t>LJUSDAL</t>
        </is>
      </c>
      <c r="F1392" t="inlineStr">
        <is>
          <t>Holmen skog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40318-2024</t>
        </is>
      </c>
      <c r="B1393" s="1" t="n">
        <v>45554.79619212963</v>
      </c>
      <c r="C1393" s="1" t="n">
        <v>46036</v>
      </c>
      <c r="D1393" t="inlineStr">
        <is>
          <t>GÄVLEBORGS LÄN</t>
        </is>
      </c>
      <c r="E1393" t="inlineStr">
        <is>
          <t>LJUSDAL</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36446-2024</t>
        </is>
      </c>
      <c r="B1394" s="1" t="n">
        <v>45537</v>
      </c>
      <c r="C1394" s="1" t="n">
        <v>46036</v>
      </c>
      <c r="D1394" t="inlineStr">
        <is>
          <t>GÄVLEBORGS LÄN</t>
        </is>
      </c>
      <c r="E1394" t="inlineStr">
        <is>
          <t>LJUSDAL</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5833-2023</t>
        </is>
      </c>
      <c r="B1395" s="1" t="n">
        <v>44963</v>
      </c>
      <c r="C1395" s="1" t="n">
        <v>46036</v>
      </c>
      <c r="D1395" t="inlineStr">
        <is>
          <t>GÄVLEBORGS LÄN</t>
        </is>
      </c>
      <c r="E1395" t="inlineStr">
        <is>
          <t>LJUSDAL</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24158-2021</t>
        </is>
      </c>
      <c r="B1396" s="1" t="n">
        <v>44336</v>
      </c>
      <c r="C1396" s="1" t="n">
        <v>46036</v>
      </c>
      <c r="D1396" t="inlineStr">
        <is>
          <t>GÄVLEBORGS LÄN</t>
        </is>
      </c>
      <c r="E1396" t="inlineStr">
        <is>
          <t>LJUSDAL</t>
        </is>
      </c>
      <c r="G1396" t="n">
        <v>9</v>
      </c>
      <c r="H1396" t="n">
        <v>0</v>
      </c>
      <c r="I1396" t="n">
        <v>0</v>
      </c>
      <c r="J1396" t="n">
        <v>0</v>
      </c>
      <c r="K1396" t="n">
        <v>0</v>
      </c>
      <c r="L1396" t="n">
        <v>0</v>
      </c>
      <c r="M1396" t="n">
        <v>0</v>
      </c>
      <c r="N1396" t="n">
        <v>0</v>
      </c>
      <c r="O1396" t="n">
        <v>0</v>
      </c>
      <c r="P1396" t="n">
        <v>0</v>
      </c>
      <c r="Q1396" t="n">
        <v>0</v>
      </c>
      <c r="R1396" s="2" t="inlineStr"/>
      <c r="U1396">
        <f>HYPERLINK("https://klasma.github.io/Logging_2161/knärot/A 24158-2021 karta knärot.png", "A 24158-2021")</f>
        <v/>
      </c>
      <c r="V1396">
        <f>HYPERLINK("https://klasma.github.io/Logging_2161/klagomål/A 24158-2021 FSC-klagomål.docx", "A 24158-2021")</f>
        <v/>
      </c>
      <c r="W1396">
        <f>HYPERLINK("https://klasma.github.io/Logging_2161/klagomålsmail/A 24158-2021 FSC-klagomål mail.docx", "A 24158-2021")</f>
        <v/>
      </c>
      <c r="X1396">
        <f>HYPERLINK("https://klasma.github.io/Logging_2161/tillsyn/A 24158-2021 tillsynsbegäran.docx", "A 24158-2021")</f>
        <v/>
      </c>
      <c r="Y1396">
        <f>HYPERLINK("https://klasma.github.io/Logging_2161/tillsynsmail/A 24158-2021 tillsynsbegäran mail.docx", "A 24158-2021")</f>
        <v/>
      </c>
    </row>
    <row r="1397" ht="15" customHeight="1">
      <c r="A1397" t="inlineStr">
        <is>
          <t>A 26236-2021</t>
        </is>
      </c>
      <c r="B1397" s="1" t="n">
        <v>44347.45221064815</v>
      </c>
      <c r="C1397" s="1" t="n">
        <v>46036</v>
      </c>
      <c r="D1397" t="inlineStr">
        <is>
          <t>GÄVLEBORGS LÄN</t>
        </is>
      </c>
      <c r="E1397" t="inlineStr">
        <is>
          <t>LJUSDAL</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34617-2024</t>
        </is>
      </c>
      <c r="B1398" s="1" t="n">
        <v>45526</v>
      </c>
      <c r="C1398" s="1" t="n">
        <v>46036</v>
      </c>
      <c r="D1398" t="inlineStr">
        <is>
          <t>GÄVLEBORGS LÄN</t>
        </is>
      </c>
      <c r="E1398" t="inlineStr">
        <is>
          <t>LJUSDAL</t>
        </is>
      </c>
      <c r="F1398" t="inlineStr">
        <is>
          <t>Sveaskog</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17539-2025</t>
        </is>
      </c>
      <c r="B1399" s="1" t="n">
        <v>45757</v>
      </c>
      <c r="C1399" s="1" t="n">
        <v>46036</v>
      </c>
      <c r="D1399" t="inlineStr">
        <is>
          <t>GÄVLEBORGS LÄN</t>
        </is>
      </c>
      <c r="E1399" t="inlineStr">
        <is>
          <t>LJUSDAL</t>
        </is>
      </c>
      <c r="F1399" t="inlineStr">
        <is>
          <t>Sveaskog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23162-2024</t>
        </is>
      </c>
      <c r="B1400" s="1" t="n">
        <v>45450.73319444444</v>
      </c>
      <c r="C1400" s="1" t="n">
        <v>46036</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22039-2023</t>
        </is>
      </c>
      <c r="B1401" s="1" t="n">
        <v>45069</v>
      </c>
      <c r="C1401" s="1" t="n">
        <v>46036</v>
      </c>
      <c r="D1401" t="inlineStr">
        <is>
          <t>GÄVLEBORGS LÄN</t>
        </is>
      </c>
      <c r="E1401" t="inlineStr">
        <is>
          <t>LJUSDAL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203-2025</t>
        </is>
      </c>
      <c r="B1402" s="1" t="n">
        <v>45660.31256944445</v>
      </c>
      <c r="C1402" s="1" t="n">
        <v>46036</v>
      </c>
      <c r="D1402" t="inlineStr">
        <is>
          <t>GÄVLEBORGS LÄN</t>
        </is>
      </c>
      <c r="E1402" t="inlineStr">
        <is>
          <t>LJUSDAL</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208-2025</t>
        </is>
      </c>
      <c r="B1403" s="1" t="n">
        <v>45660.32690972222</v>
      </c>
      <c r="C1403" s="1" t="n">
        <v>46036</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7569-2023</t>
        </is>
      </c>
      <c r="B1404" s="1" t="n">
        <v>44972</v>
      </c>
      <c r="C1404" s="1" t="n">
        <v>46036</v>
      </c>
      <c r="D1404" t="inlineStr">
        <is>
          <t>GÄVLEBORGS LÄN</t>
        </is>
      </c>
      <c r="E1404" t="inlineStr">
        <is>
          <t>LJUSDAL</t>
        </is>
      </c>
      <c r="F1404" t="inlineStr">
        <is>
          <t>Kommuner</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31415-2024</t>
        </is>
      </c>
      <c r="B1405" s="1" t="n">
        <v>45505.61702546296</v>
      </c>
      <c r="C1405" s="1" t="n">
        <v>46036</v>
      </c>
      <c r="D1405" t="inlineStr">
        <is>
          <t>GÄVLEBORGS LÄN</t>
        </is>
      </c>
      <c r="E1405" t="inlineStr">
        <is>
          <t>LJUSDAL</t>
        </is>
      </c>
      <c r="F1405" t="inlineStr">
        <is>
          <t>Sveaskog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30-2022</t>
        </is>
      </c>
      <c r="B1406" s="1" t="n">
        <v>44564</v>
      </c>
      <c r="C1406" s="1" t="n">
        <v>46036</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32293-2023</t>
        </is>
      </c>
      <c r="B1407" s="1" t="n">
        <v>45107</v>
      </c>
      <c r="C1407" s="1" t="n">
        <v>46036</v>
      </c>
      <c r="D1407" t="inlineStr">
        <is>
          <t>GÄVLEBORGS LÄN</t>
        </is>
      </c>
      <c r="E1407" t="inlineStr">
        <is>
          <t>LJUSDAL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32294-2023</t>
        </is>
      </c>
      <c r="B1408" s="1" t="n">
        <v>45107</v>
      </c>
      <c r="C1408" s="1" t="n">
        <v>46036</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45701-2021</t>
        </is>
      </c>
      <c r="B1409" s="1" t="n">
        <v>44441.38833333334</v>
      </c>
      <c r="C1409" s="1" t="n">
        <v>46036</v>
      </c>
      <c r="D1409" t="inlineStr">
        <is>
          <t>GÄVLEBORGS LÄN</t>
        </is>
      </c>
      <c r="E1409" t="inlineStr">
        <is>
          <t>LJUSDAL</t>
        </is>
      </c>
      <c r="F1409" t="inlineStr">
        <is>
          <t>Allmännings- och besparingsskogar</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48580-2024</t>
        </is>
      </c>
      <c r="B1410" s="1" t="n">
        <v>45593.41601851852</v>
      </c>
      <c r="C1410" s="1" t="n">
        <v>46036</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7600-2025</t>
        </is>
      </c>
      <c r="B1411" s="1" t="n">
        <v>45705.65464120371</v>
      </c>
      <c r="C1411" s="1" t="n">
        <v>46036</v>
      </c>
      <c r="D1411" t="inlineStr">
        <is>
          <t>GÄVLEBORGS LÄN</t>
        </is>
      </c>
      <c r="E1411" t="inlineStr">
        <is>
          <t>LJUSDAL</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18102-2025</t>
        </is>
      </c>
      <c r="B1412" s="1" t="n">
        <v>45761.55295138889</v>
      </c>
      <c r="C1412" s="1" t="n">
        <v>46036</v>
      </c>
      <c r="D1412" t="inlineStr">
        <is>
          <t>GÄVLEBORGS LÄN</t>
        </is>
      </c>
      <c r="E1412" t="inlineStr">
        <is>
          <t>LJUSDAL</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23619-2022</t>
        </is>
      </c>
      <c r="B1413" s="1" t="n">
        <v>44721.62302083334</v>
      </c>
      <c r="C1413" s="1" t="n">
        <v>46036</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55370-2023</t>
        </is>
      </c>
      <c r="B1414" s="1" t="n">
        <v>45238</v>
      </c>
      <c r="C1414" s="1" t="n">
        <v>46036</v>
      </c>
      <c r="D1414" t="inlineStr">
        <is>
          <t>GÄVLEBORGS LÄN</t>
        </is>
      </c>
      <c r="E1414" t="inlineStr">
        <is>
          <t>LJUSDAL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26264-2023</t>
        </is>
      </c>
      <c r="B1415" s="1" t="n">
        <v>45091.60821759259</v>
      </c>
      <c r="C1415" s="1" t="n">
        <v>46036</v>
      </c>
      <c r="D1415" t="inlineStr">
        <is>
          <t>GÄVLEBORGS LÄN</t>
        </is>
      </c>
      <c r="E1415" t="inlineStr">
        <is>
          <t>LJUSDAL</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51798-2023</t>
        </is>
      </c>
      <c r="B1416" s="1" t="n">
        <v>45222</v>
      </c>
      <c r="C1416" s="1" t="n">
        <v>46036</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70478-2021</t>
        </is>
      </c>
      <c r="B1417" s="1" t="n">
        <v>44536</v>
      </c>
      <c r="C1417" s="1" t="n">
        <v>46036</v>
      </c>
      <c r="D1417" t="inlineStr">
        <is>
          <t>GÄVLEBORGS LÄN</t>
        </is>
      </c>
      <c r="E1417" t="inlineStr">
        <is>
          <t>LJUSDAL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44908.40505787037</v>
      </c>
      <c r="C1418" s="1" t="n">
        <v>46036</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20032-2024</t>
        </is>
      </c>
      <c r="B1419" s="1" t="n">
        <v>45434.33524305555</v>
      </c>
      <c r="C1419" s="1" t="n">
        <v>46036</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19564-2025</t>
        </is>
      </c>
      <c r="B1420" s="1" t="n">
        <v>45770.53148148148</v>
      </c>
      <c r="C1420" s="1" t="n">
        <v>46036</v>
      </c>
      <c r="D1420" t="inlineStr">
        <is>
          <t>GÄVLEBORGS LÄN</t>
        </is>
      </c>
      <c r="E1420" t="inlineStr">
        <is>
          <t>LJUSDAL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44387-2021</t>
        </is>
      </c>
      <c r="B1421" s="1" t="n">
        <v>44435</v>
      </c>
      <c r="C1421" s="1" t="n">
        <v>46036</v>
      </c>
      <c r="D1421" t="inlineStr">
        <is>
          <t>GÄVLEBORGS LÄN</t>
        </is>
      </c>
      <c r="E1421" t="inlineStr">
        <is>
          <t>LJUSDAL</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52145-2023</t>
        </is>
      </c>
      <c r="B1422" s="1" t="n">
        <v>45223.96797453704</v>
      </c>
      <c r="C1422" s="1" t="n">
        <v>46036</v>
      </c>
      <c r="D1422" t="inlineStr">
        <is>
          <t>GÄVLEBORGS LÄN</t>
        </is>
      </c>
      <c r="E1422" t="inlineStr">
        <is>
          <t>LJUSDAL</t>
        </is>
      </c>
      <c r="F1422" t="inlineStr">
        <is>
          <t>Naturvårdsverket</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35714-2023</t>
        </is>
      </c>
      <c r="B1423" s="1" t="n">
        <v>45147.68084490741</v>
      </c>
      <c r="C1423" s="1" t="n">
        <v>46036</v>
      </c>
      <c r="D1423" t="inlineStr">
        <is>
          <t>GÄVLEBORGS LÄN</t>
        </is>
      </c>
      <c r="E1423" t="inlineStr">
        <is>
          <t>LJUSDAL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29404-2021</t>
        </is>
      </c>
      <c r="B1424" s="1" t="n">
        <v>44361</v>
      </c>
      <c r="C1424" s="1" t="n">
        <v>46036</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50345-2022</t>
        </is>
      </c>
      <c r="B1425" s="1" t="n">
        <v>44866.26518518518</v>
      </c>
      <c r="C1425" s="1" t="n">
        <v>46036</v>
      </c>
      <c r="D1425" t="inlineStr">
        <is>
          <t>GÄVLEBORGS LÄN</t>
        </is>
      </c>
      <c r="E1425" t="inlineStr">
        <is>
          <t>LJUSDAL</t>
        </is>
      </c>
      <c r="F1425" t="inlineStr">
        <is>
          <t>Holmen skog AB</t>
        </is>
      </c>
      <c r="G1425" t="n">
        <v>10.1</v>
      </c>
      <c r="H1425" t="n">
        <v>0</v>
      </c>
      <c r="I1425" t="n">
        <v>0</v>
      </c>
      <c r="J1425" t="n">
        <v>0</v>
      </c>
      <c r="K1425" t="n">
        <v>0</v>
      </c>
      <c r="L1425" t="n">
        <v>0</v>
      </c>
      <c r="M1425" t="n">
        <v>0</v>
      </c>
      <c r="N1425" t="n">
        <v>0</v>
      </c>
      <c r="O1425" t="n">
        <v>0</v>
      </c>
      <c r="P1425" t="n">
        <v>0</v>
      </c>
      <c r="Q1425" t="n">
        <v>0</v>
      </c>
      <c r="R1425" s="2" t="inlineStr"/>
    </row>
    <row r="1426" ht="15" customHeight="1">
      <c r="A1426" t="inlineStr">
        <is>
          <t>A 45260-2023</t>
        </is>
      </c>
      <c r="B1426" s="1" t="n">
        <v>45191.62356481481</v>
      </c>
      <c r="C1426" s="1" t="n">
        <v>46036</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40280-2023</t>
        </is>
      </c>
      <c r="B1427" s="1" t="n">
        <v>45169.5669212963</v>
      </c>
      <c r="C1427" s="1" t="n">
        <v>46036</v>
      </c>
      <c r="D1427" t="inlineStr">
        <is>
          <t>GÄVLEBORGS LÄN</t>
        </is>
      </c>
      <c r="E1427" t="inlineStr">
        <is>
          <t>LJUSDAL</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38870-2024</t>
        </is>
      </c>
      <c r="B1428" s="1" t="n">
        <v>45547.64189814815</v>
      </c>
      <c r="C1428" s="1" t="n">
        <v>46036</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15372-2024</t>
        </is>
      </c>
      <c r="B1429" s="1" t="n">
        <v>45400.92311342592</v>
      </c>
      <c r="C1429" s="1" t="n">
        <v>46036</v>
      </c>
      <c r="D1429" t="inlineStr">
        <is>
          <t>GÄVLEBORGS LÄN</t>
        </is>
      </c>
      <c r="E1429" t="inlineStr">
        <is>
          <t>LJUSDAL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40345-2021</t>
        </is>
      </c>
      <c r="B1430" s="1" t="n">
        <v>44419</v>
      </c>
      <c r="C1430" s="1" t="n">
        <v>46036</v>
      </c>
      <c r="D1430" t="inlineStr">
        <is>
          <t>GÄVLEBORGS LÄN</t>
        </is>
      </c>
      <c r="E1430" t="inlineStr">
        <is>
          <t>LJUSDAL</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60197-2023</t>
        </is>
      </c>
      <c r="B1431" s="1" t="n">
        <v>45258.58435185185</v>
      </c>
      <c r="C1431" s="1" t="n">
        <v>46036</v>
      </c>
      <c r="D1431" t="inlineStr">
        <is>
          <t>GÄVLEBORGS LÄN</t>
        </is>
      </c>
      <c r="E1431" t="inlineStr">
        <is>
          <t>LJUSDAL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8667-2024</t>
        </is>
      </c>
      <c r="B1432" s="1" t="n">
        <v>45356.29768518519</v>
      </c>
      <c r="C1432" s="1" t="n">
        <v>46036</v>
      </c>
      <c r="D1432" t="inlineStr">
        <is>
          <t>GÄVLEBORGS LÄN</t>
        </is>
      </c>
      <c r="E1432" t="inlineStr">
        <is>
          <t>LJUSDAL</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60346-2021</t>
        </is>
      </c>
      <c r="B1433" s="1" t="n">
        <v>44496.3164699074</v>
      </c>
      <c r="C1433" s="1" t="n">
        <v>46036</v>
      </c>
      <c r="D1433" t="inlineStr">
        <is>
          <t>GÄVLEBORGS LÄN</t>
        </is>
      </c>
      <c r="E1433" t="inlineStr">
        <is>
          <t>LJUSDAL</t>
        </is>
      </c>
      <c r="F1433" t="inlineStr">
        <is>
          <t>Kommuner</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57475-2023</t>
        </is>
      </c>
      <c r="B1434" s="1" t="n">
        <v>45246.38005787037</v>
      </c>
      <c r="C1434" s="1" t="n">
        <v>46036</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11199-2025</t>
        </is>
      </c>
      <c r="B1435" s="1" t="n">
        <v>45725.91207175926</v>
      </c>
      <c r="C1435" s="1" t="n">
        <v>46036</v>
      </c>
      <c r="D1435" t="inlineStr">
        <is>
          <t>GÄVLEBORGS LÄN</t>
        </is>
      </c>
      <c r="E1435" t="inlineStr">
        <is>
          <t>LJUSDAL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53013-2023</t>
        </is>
      </c>
      <c r="B1436" s="1" t="n">
        <v>45226.66094907407</v>
      </c>
      <c r="C1436" s="1" t="n">
        <v>46036</v>
      </c>
      <c r="D1436" t="inlineStr">
        <is>
          <t>GÄVLEBORGS LÄN</t>
        </is>
      </c>
      <c r="E1436" t="inlineStr">
        <is>
          <t>LJUSDAL</t>
        </is>
      </c>
      <c r="F1436" t="inlineStr">
        <is>
          <t>Sveaskog</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28892-2023</t>
        </is>
      </c>
      <c r="B1437" s="1" t="n">
        <v>45104.49465277778</v>
      </c>
      <c r="C1437" s="1" t="n">
        <v>46036</v>
      </c>
      <c r="D1437" t="inlineStr">
        <is>
          <t>GÄVLEBORGS LÄN</t>
        </is>
      </c>
      <c r="E1437" t="inlineStr">
        <is>
          <t>LJUSDAL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49855-2023</t>
        </is>
      </c>
      <c r="B1438" s="1" t="n">
        <v>45212.92893518518</v>
      </c>
      <c r="C1438" s="1" t="n">
        <v>46036</v>
      </c>
      <c r="D1438" t="inlineStr">
        <is>
          <t>GÄVLEBORGS LÄN</t>
        </is>
      </c>
      <c r="E1438" t="inlineStr">
        <is>
          <t>LJUSDAL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29238-2023</t>
        </is>
      </c>
      <c r="B1439" s="1" t="n">
        <v>45105</v>
      </c>
      <c r="C1439" s="1" t="n">
        <v>46036</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20909-2023</t>
        </is>
      </c>
      <c r="B1440" s="1" t="n">
        <v>45060</v>
      </c>
      <c r="C1440" s="1" t="n">
        <v>46036</v>
      </c>
      <c r="D1440" t="inlineStr">
        <is>
          <t>GÄVLEBORGS LÄN</t>
        </is>
      </c>
      <c r="E1440" t="inlineStr">
        <is>
          <t>LJUSDAL</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45444-2021</t>
        </is>
      </c>
      <c r="B1441" s="1" t="n">
        <v>44440.43269675926</v>
      </c>
      <c r="C1441" s="1" t="n">
        <v>46036</v>
      </c>
      <c r="D1441" t="inlineStr">
        <is>
          <t>GÄVLEBORGS LÄN</t>
        </is>
      </c>
      <c r="E1441" t="inlineStr">
        <is>
          <t>LJUSDAL</t>
        </is>
      </c>
      <c r="F1441" t="inlineStr">
        <is>
          <t>Allmännings- och besparingsskogar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35029-2024</t>
        </is>
      </c>
      <c r="B1442" s="1" t="n">
        <v>45527.6052662037</v>
      </c>
      <c r="C1442" s="1" t="n">
        <v>46036</v>
      </c>
      <c r="D1442" t="inlineStr">
        <is>
          <t>GÄVLEBORGS LÄN</t>
        </is>
      </c>
      <c r="E1442" t="inlineStr">
        <is>
          <t>LJUSDAL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52099-2024</t>
        </is>
      </c>
      <c r="B1443" s="1" t="n">
        <v>45608</v>
      </c>
      <c r="C1443" s="1" t="n">
        <v>46036</v>
      </c>
      <c r="D1443" t="inlineStr">
        <is>
          <t>GÄVLEBORGS LÄN</t>
        </is>
      </c>
      <c r="E1443" t="inlineStr">
        <is>
          <t>LJUSDAL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18733-2024</t>
        </is>
      </c>
      <c r="B1444" s="1" t="n">
        <v>45426.48637731482</v>
      </c>
      <c r="C1444" s="1" t="n">
        <v>46036</v>
      </c>
      <c r="D1444" t="inlineStr">
        <is>
          <t>GÄVLEBORGS LÄN</t>
        </is>
      </c>
      <c r="E1444" t="inlineStr">
        <is>
          <t>LJUSDAL</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37892-2023</t>
        </is>
      </c>
      <c r="B1445" s="1" t="n">
        <v>45160.46523148148</v>
      </c>
      <c r="C1445" s="1" t="n">
        <v>46036</v>
      </c>
      <c r="D1445" t="inlineStr">
        <is>
          <t>GÄVLEBORGS LÄN</t>
        </is>
      </c>
      <c r="E1445" t="inlineStr">
        <is>
          <t>LJUSDAL</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43580-2024</t>
        </is>
      </c>
      <c r="B1446" s="1" t="n">
        <v>45569.42083333333</v>
      </c>
      <c r="C1446" s="1" t="n">
        <v>46036</v>
      </c>
      <c r="D1446" t="inlineStr">
        <is>
          <t>GÄVLEBORGS LÄN</t>
        </is>
      </c>
      <c r="E1446" t="inlineStr">
        <is>
          <t>LJUSDAL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40191-2023</t>
        </is>
      </c>
      <c r="B1447" s="1" t="n">
        <v>45169</v>
      </c>
      <c r="C1447" s="1" t="n">
        <v>46036</v>
      </c>
      <c r="D1447" t="inlineStr">
        <is>
          <t>GÄVLEBORGS LÄN</t>
        </is>
      </c>
      <c r="E1447" t="inlineStr">
        <is>
          <t>LJUSDAL</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61010-2021</t>
        </is>
      </c>
      <c r="B1448" s="1" t="n">
        <v>44497</v>
      </c>
      <c r="C1448" s="1" t="n">
        <v>46036</v>
      </c>
      <c r="D1448" t="inlineStr">
        <is>
          <t>GÄVLEBORGS LÄN</t>
        </is>
      </c>
      <c r="E1448" t="inlineStr">
        <is>
          <t>LJUSDAL</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12855-2024</t>
        </is>
      </c>
      <c r="B1449" s="1" t="n">
        <v>45384.92469907407</v>
      </c>
      <c r="C1449" s="1" t="n">
        <v>46036</v>
      </c>
      <c r="D1449" t="inlineStr">
        <is>
          <t>GÄVLEBORGS LÄN</t>
        </is>
      </c>
      <c r="E1449" t="inlineStr">
        <is>
          <t>LJUSDAL</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13623-2025</t>
        </is>
      </c>
      <c r="B1450" s="1" t="n">
        <v>45736.63565972223</v>
      </c>
      <c r="C1450" s="1" t="n">
        <v>46036</v>
      </c>
      <c r="D1450" t="inlineStr">
        <is>
          <t>GÄVLEBORGS LÄN</t>
        </is>
      </c>
      <c r="E1450" t="inlineStr">
        <is>
          <t>LJUSDAL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13505-2025</t>
        </is>
      </c>
      <c r="B1451" s="1" t="n">
        <v>45736.46898148148</v>
      </c>
      <c r="C1451" s="1" t="n">
        <v>46036</v>
      </c>
      <c r="D1451" t="inlineStr">
        <is>
          <t>GÄVLEBORGS LÄN</t>
        </is>
      </c>
      <c r="E1451" t="inlineStr">
        <is>
          <t>LJUSDAL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6073-2024</t>
        </is>
      </c>
      <c r="B1452" s="1" t="n">
        <v>45336</v>
      </c>
      <c r="C1452" s="1" t="n">
        <v>46036</v>
      </c>
      <c r="D1452" t="inlineStr">
        <is>
          <t>GÄVLEBORGS LÄN</t>
        </is>
      </c>
      <c r="E1452" t="inlineStr">
        <is>
          <t>LJUSDAL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10591-2022</t>
        </is>
      </c>
      <c r="B1453" s="1" t="n">
        <v>44624.40858796296</v>
      </c>
      <c r="C1453" s="1" t="n">
        <v>46036</v>
      </c>
      <c r="D1453" t="inlineStr">
        <is>
          <t>GÄVLEBORGS LÄN</t>
        </is>
      </c>
      <c r="E1453" t="inlineStr">
        <is>
          <t>LJUSDAL</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50385-2023</t>
        </is>
      </c>
      <c r="B1454" s="1" t="n">
        <v>45216.62857638889</v>
      </c>
      <c r="C1454" s="1" t="n">
        <v>46036</v>
      </c>
      <c r="D1454" t="inlineStr">
        <is>
          <t>GÄVLEBORGS LÄN</t>
        </is>
      </c>
      <c r="E1454" t="inlineStr">
        <is>
          <t>LJUSDAL</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35465-2024</t>
        </is>
      </c>
      <c r="B1455" s="1" t="n">
        <v>45531.46347222223</v>
      </c>
      <c r="C1455" s="1" t="n">
        <v>46036</v>
      </c>
      <c r="D1455" t="inlineStr">
        <is>
          <t>GÄVLEBORGS LÄN</t>
        </is>
      </c>
      <c r="E1455" t="inlineStr">
        <is>
          <t>LJUSDAL</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17372-2025</t>
        </is>
      </c>
      <c r="B1456" s="1" t="n">
        <v>45756.8629050926</v>
      </c>
      <c r="C1456" s="1" t="n">
        <v>46036</v>
      </c>
      <c r="D1456" t="inlineStr">
        <is>
          <t>GÄVLEBORGS LÄN</t>
        </is>
      </c>
      <c r="E1456" t="inlineStr">
        <is>
          <t>LJUSDAL</t>
        </is>
      </c>
      <c r="F1456" t="inlineStr">
        <is>
          <t>Bergvik skog väst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33120-2024</t>
        </is>
      </c>
      <c r="B1457" s="1" t="n">
        <v>45517</v>
      </c>
      <c r="C1457" s="1" t="n">
        <v>46036</v>
      </c>
      <c r="D1457" t="inlineStr">
        <is>
          <t>GÄVLEBORGS LÄN</t>
        </is>
      </c>
      <c r="E1457" t="inlineStr">
        <is>
          <t>LJUSDAL</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33131-2024</t>
        </is>
      </c>
      <c r="B1458" s="1" t="n">
        <v>45518.30189814815</v>
      </c>
      <c r="C1458" s="1" t="n">
        <v>46036</v>
      </c>
      <c r="D1458" t="inlineStr">
        <is>
          <t>GÄVLEBORGS LÄN</t>
        </is>
      </c>
      <c r="E1458" t="inlineStr">
        <is>
          <t>LJUSDAL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57886-2024</t>
        </is>
      </c>
      <c r="B1459" s="1" t="n">
        <v>45631.46252314815</v>
      </c>
      <c r="C1459" s="1" t="n">
        <v>46036</v>
      </c>
      <c r="D1459" t="inlineStr">
        <is>
          <t>GÄVLEBORGS LÄN</t>
        </is>
      </c>
      <c r="E1459" t="inlineStr">
        <is>
          <t>LJUSDAL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37249-2021</t>
        </is>
      </c>
      <c r="B1460" s="1" t="n">
        <v>44397</v>
      </c>
      <c r="C1460" s="1" t="n">
        <v>46036</v>
      </c>
      <c r="D1460" t="inlineStr">
        <is>
          <t>GÄVLEBORGS LÄN</t>
        </is>
      </c>
      <c r="E1460" t="inlineStr">
        <is>
          <t>LJUSDAL</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4582-2024</t>
        </is>
      </c>
      <c r="B1461" s="1" t="n">
        <v>45327</v>
      </c>
      <c r="C1461" s="1" t="n">
        <v>46036</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40695-2023</t>
        </is>
      </c>
      <c r="B1462" s="1" t="n">
        <v>45170.60664351852</v>
      </c>
      <c r="C1462" s="1" t="n">
        <v>46036</v>
      </c>
      <c r="D1462" t="inlineStr">
        <is>
          <t>GÄVLEBORGS LÄN</t>
        </is>
      </c>
      <c r="E1462" t="inlineStr">
        <is>
          <t>LJUSDAL</t>
        </is>
      </c>
      <c r="F1462" t="inlineStr">
        <is>
          <t>Holmen skog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26721-2024</t>
        </is>
      </c>
      <c r="B1463" s="1" t="n">
        <v>45470.41822916667</v>
      </c>
      <c r="C1463" s="1" t="n">
        <v>46036</v>
      </c>
      <c r="D1463" t="inlineStr">
        <is>
          <t>GÄVLEBORGS LÄN</t>
        </is>
      </c>
      <c r="E1463" t="inlineStr">
        <is>
          <t>LJUSDAL</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36321-2023</t>
        </is>
      </c>
      <c r="B1464" s="1" t="n">
        <v>45152.425</v>
      </c>
      <c r="C1464" s="1" t="n">
        <v>46036</v>
      </c>
      <c r="D1464" t="inlineStr">
        <is>
          <t>GÄVLEBORGS LÄN</t>
        </is>
      </c>
      <c r="E1464" t="inlineStr">
        <is>
          <t>LJUSDAL</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47954-2024</t>
        </is>
      </c>
      <c r="B1465" s="1" t="n">
        <v>45589.36817129629</v>
      </c>
      <c r="C1465" s="1" t="n">
        <v>46036</v>
      </c>
      <c r="D1465" t="inlineStr">
        <is>
          <t>GÄVLEBORGS LÄN</t>
        </is>
      </c>
      <c r="E1465" t="inlineStr">
        <is>
          <t>LJUSDAL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50331-2021</t>
        </is>
      </c>
      <c r="B1466" s="1" t="n">
        <v>44459.41059027778</v>
      </c>
      <c r="C1466" s="1" t="n">
        <v>46036</v>
      </c>
      <c r="D1466" t="inlineStr">
        <is>
          <t>GÄVLEBORGS LÄN</t>
        </is>
      </c>
      <c r="E1466" t="inlineStr">
        <is>
          <t>LJUSDAL</t>
        </is>
      </c>
      <c r="F1466" t="inlineStr">
        <is>
          <t>Bergvik skog väst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29845-2023</t>
        </is>
      </c>
      <c r="B1467" s="1" t="n">
        <v>45099</v>
      </c>
      <c r="C1467" s="1" t="n">
        <v>46036</v>
      </c>
      <c r="D1467" t="inlineStr">
        <is>
          <t>GÄVLEBORGS LÄN</t>
        </is>
      </c>
      <c r="E1467" t="inlineStr">
        <is>
          <t>LJUSDAL</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45289-2023</t>
        </is>
      </c>
      <c r="B1468" s="1" t="n">
        <v>45191.65313657407</v>
      </c>
      <c r="C1468" s="1" t="n">
        <v>46036</v>
      </c>
      <c r="D1468" t="inlineStr">
        <is>
          <t>GÄVLEBORGS LÄN</t>
        </is>
      </c>
      <c r="E1468" t="inlineStr">
        <is>
          <t>LJUSDAL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18802-2025</t>
        </is>
      </c>
      <c r="B1469" s="1" t="n">
        <v>45764.35001157408</v>
      </c>
      <c r="C1469" s="1" t="n">
        <v>46036</v>
      </c>
      <c r="D1469" t="inlineStr">
        <is>
          <t>GÄVLEBORGS LÄN</t>
        </is>
      </c>
      <c r="E1469" t="inlineStr">
        <is>
          <t>LJUSDAL</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2248-2023</t>
        </is>
      </c>
      <c r="B1470" s="1" t="n">
        <v>44942.47626157408</v>
      </c>
      <c r="C1470" s="1" t="n">
        <v>46036</v>
      </c>
      <c r="D1470" t="inlineStr">
        <is>
          <t>GÄVLEBORGS LÄN</t>
        </is>
      </c>
      <c r="E1470" t="inlineStr">
        <is>
          <t>LJUSDAL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40260-2023</t>
        </is>
      </c>
      <c r="B1471" s="1" t="n">
        <v>45169.51258101852</v>
      </c>
      <c r="C1471" s="1" t="n">
        <v>46036</v>
      </c>
      <c r="D1471" t="inlineStr">
        <is>
          <t>GÄVLEBORGS LÄN</t>
        </is>
      </c>
      <c r="E1471" t="inlineStr">
        <is>
          <t>LJUSDAL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36713-2021</t>
        </is>
      </c>
      <c r="B1472" s="1" t="n">
        <v>44392.53925925926</v>
      </c>
      <c r="C1472" s="1" t="n">
        <v>46036</v>
      </c>
      <c r="D1472" t="inlineStr">
        <is>
          <t>GÄVLEBORGS LÄN</t>
        </is>
      </c>
      <c r="E1472" t="inlineStr">
        <is>
          <t>LJUSDAL</t>
        </is>
      </c>
      <c r="F1472" t="inlineStr">
        <is>
          <t>Holmen skog AB</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51738-2022</t>
        </is>
      </c>
      <c r="B1473" s="1" t="n">
        <v>44872.48086805556</v>
      </c>
      <c r="C1473" s="1" t="n">
        <v>46036</v>
      </c>
      <c r="D1473" t="inlineStr">
        <is>
          <t>GÄVLEBORGS LÄN</t>
        </is>
      </c>
      <c r="E1473" t="inlineStr">
        <is>
          <t>LJUSDAL</t>
        </is>
      </c>
      <c r="F1473" t="inlineStr">
        <is>
          <t>Bergvik skog väst AB</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39526-2023</t>
        </is>
      </c>
      <c r="B1474" s="1" t="n">
        <v>45167.33568287037</v>
      </c>
      <c r="C1474" s="1" t="n">
        <v>46036</v>
      </c>
      <c r="D1474" t="inlineStr">
        <is>
          <t>GÄVLEBORGS LÄN</t>
        </is>
      </c>
      <c r="E1474" t="inlineStr">
        <is>
          <t>LJUSDAL</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45912-2024</t>
        </is>
      </c>
      <c r="B1475" s="1" t="n">
        <v>45580</v>
      </c>
      <c r="C1475" s="1" t="n">
        <v>46036</v>
      </c>
      <c r="D1475" t="inlineStr">
        <is>
          <t>GÄVLEBORGS LÄN</t>
        </is>
      </c>
      <c r="E1475" t="inlineStr">
        <is>
          <t>LJUSDAL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43673-2023</t>
        </is>
      </c>
      <c r="B1476" s="1" t="n">
        <v>45187.37011574074</v>
      </c>
      <c r="C1476" s="1" t="n">
        <v>46036</v>
      </c>
      <c r="D1476" t="inlineStr">
        <is>
          <t>GÄVLEBORGS LÄN</t>
        </is>
      </c>
      <c r="E1476" t="inlineStr">
        <is>
          <t>LJUSDAL</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34229-2024</t>
        </is>
      </c>
      <c r="B1477" s="1" t="n">
        <v>45524</v>
      </c>
      <c r="C1477" s="1" t="n">
        <v>46036</v>
      </c>
      <c r="D1477" t="inlineStr">
        <is>
          <t>GÄVLEBORGS LÄN</t>
        </is>
      </c>
      <c r="E1477" t="inlineStr">
        <is>
          <t>LJUSDAL</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3663-2021</t>
        </is>
      </c>
      <c r="B1478" s="1" t="n">
        <v>44221</v>
      </c>
      <c r="C1478" s="1" t="n">
        <v>46036</v>
      </c>
      <c r="D1478" t="inlineStr">
        <is>
          <t>GÄVLEBORGS LÄN</t>
        </is>
      </c>
      <c r="E1478" t="inlineStr">
        <is>
          <t>LJUSDAL</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22440-2023</t>
        </is>
      </c>
      <c r="B1479" s="1" t="n">
        <v>45070.69100694444</v>
      </c>
      <c r="C1479" s="1" t="n">
        <v>46036</v>
      </c>
      <c r="D1479" t="inlineStr">
        <is>
          <t>GÄVLEBORGS LÄN</t>
        </is>
      </c>
      <c r="E1479" t="inlineStr">
        <is>
          <t>LJUSDAL</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574-2025</t>
        </is>
      </c>
      <c r="B1480" s="1" t="n">
        <v>45664.56424768519</v>
      </c>
      <c r="C1480" s="1" t="n">
        <v>46036</v>
      </c>
      <c r="D1480" t="inlineStr">
        <is>
          <t>GÄVLEBORGS LÄN</t>
        </is>
      </c>
      <c r="E1480" t="inlineStr">
        <is>
          <t>LJUSDAL</t>
        </is>
      </c>
      <c r="F1480" t="inlineStr">
        <is>
          <t>Bergvik skog väst AB</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25208-2024</t>
        </is>
      </c>
      <c r="B1481" s="1" t="n">
        <v>45462.57657407408</v>
      </c>
      <c r="C1481" s="1" t="n">
        <v>46036</v>
      </c>
      <c r="D1481" t="inlineStr">
        <is>
          <t>GÄVLEBORGS LÄN</t>
        </is>
      </c>
      <c r="E1481" t="inlineStr">
        <is>
          <t>LJUSDAL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38040-2021</t>
        </is>
      </c>
      <c r="B1482" s="1" t="n">
        <v>44404</v>
      </c>
      <c r="C1482" s="1" t="n">
        <v>46036</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22294-2024</t>
        </is>
      </c>
      <c r="B1483" s="1" t="n">
        <v>45446.56048611111</v>
      </c>
      <c r="C1483" s="1" t="n">
        <v>46036</v>
      </c>
      <c r="D1483" t="inlineStr">
        <is>
          <t>GÄVLEBORGS LÄN</t>
        </is>
      </c>
      <c r="E1483" t="inlineStr">
        <is>
          <t>LJUSDAL</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29837-2023</t>
        </is>
      </c>
      <c r="B1484" s="1" t="n">
        <v>45107.58168981481</v>
      </c>
      <c r="C1484" s="1" t="n">
        <v>46036</v>
      </c>
      <c r="D1484" t="inlineStr">
        <is>
          <t>GÄVLEBORGS LÄN</t>
        </is>
      </c>
      <c r="E1484" t="inlineStr">
        <is>
          <t>LJUSDAL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58168-2024</t>
        </is>
      </c>
      <c r="B1485" s="1" t="n">
        <v>45632.45894675926</v>
      </c>
      <c r="C1485" s="1" t="n">
        <v>46036</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42959-2021</t>
        </is>
      </c>
      <c r="B1486" s="1" t="n">
        <v>44431.40888888889</v>
      </c>
      <c r="C1486" s="1" t="n">
        <v>46036</v>
      </c>
      <c r="D1486" t="inlineStr">
        <is>
          <t>GÄVLEBORGS LÄN</t>
        </is>
      </c>
      <c r="E1486" t="inlineStr">
        <is>
          <t>LJUSDAL</t>
        </is>
      </c>
      <c r="F1486" t="inlineStr">
        <is>
          <t>Bergvik skog väst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60282-2024</t>
        </is>
      </c>
      <c r="B1487" s="1" t="n">
        <v>45642.91938657407</v>
      </c>
      <c r="C1487" s="1" t="n">
        <v>46036</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47875-2023</t>
        </is>
      </c>
      <c r="B1488" s="1" t="n">
        <v>45204.4600462963</v>
      </c>
      <c r="C1488" s="1" t="n">
        <v>46036</v>
      </c>
      <c r="D1488" t="inlineStr">
        <is>
          <t>GÄVLEBORGS LÄN</t>
        </is>
      </c>
      <c r="E1488" t="inlineStr">
        <is>
          <t>LJUSDAL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40281-2023</t>
        </is>
      </c>
      <c r="B1489" s="1" t="n">
        <v>45169</v>
      </c>
      <c r="C1489" s="1" t="n">
        <v>46036</v>
      </c>
      <c r="D1489" t="inlineStr">
        <is>
          <t>GÄVLEBORGS LÄN</t>
        </is>
      </c>
      <c r="E1489" t="inlineStr">
        <is>
          <t>LJUSDAL</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54167-2023</t>
        </is>
      </c>
      <c r="B1490" s="1" t="n">
        <v>45232</v>
      </c>
      <c r="C1490" s="1" t="n">
        <v>46036</v>
      </c>
      <c r="D1490" t="inlineStr">
        <is>
          <t>GÄVLEBORGS LÄN</t>
        </is>
      </c>
      <c r="E1490" t="inlineStr">
        <is>
          <t>LJUSDAL</t>
        </is>
      </c>
      <c r="F1490" t="inlineStr">
        <is>
          <t>Sveaskog</t>
        </is>
      </c>
      <c r="G1490" t="n">
        <v>20.5</v>
      </c>
      <c r="H1490" t="n">
        <v>0</v>
      </c>
      <c r="I1490" t="n">
        <v>0</v>
      </c>
      <c r="J1490" t="n">
        <v>0</v>
      </c>
      <c r="K1490" t="n">
        <v>0</v>
      </c>
      <c r="L1490" t="n">
        <v>0</v>
      </c>
      <c r="M1490" t="n">
        <v>0</v>
      </c>
      <c r="N1490" t="n">
        <v>0</v>
      </c>
      <c r="O1490" t="n">
        <v>0</v>
      </c>
      <c r="P1490" t="n">
        <v>0</v>
      </c>
      <c r="Q1490" t="n">
        <v>0</v>
      </c>
      <c r="R1490" s="2" t="inlineStr"/>
    </row>
    <row r="1491" ht="15" customHeight="1">
      <c r="A1491" t="inlineStr">
        <is>
          <t>A 13822-2024</t>
        </is>
      </c>
      <c r="B1491" s="1" t="n">
        <v>45391.42918981481</v>
      </c>
      <c r="C1491" s="1" t="n">
        <v>46036</v>
      </c>
      <c r="D1491" t="inlineStr">
        <is>
          <t>GÄVLEBORGS LÄN</t>
        </is>
      </c>
      <c r="E1491" t="inlineStr">
        <is>
          <t>LJUSDAL</t>
        </is>
      </c>
      <c r="F1491" t="inlineStr">
        <is>
          <t>Kommuner</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13829-2024</t>
        </is>
      </c>
      <c r="B1492" s="1" t="n">
        <v>45391.43280092593</v>
      </c>
      <c r="C1492" s="1" t="n">
        <v>46036</v>
      </c>
      <c r="D1492" t="inlineStr">
        <is>
          <t>GÄVLEBORGS LÄN</t>
        </is>
      </c>
      <c r="E1492" t="inlineStr">
        <is>
          <t>LJUSDAL</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18576-2024</t>
        </is>
      </c>
      <c r="B1493" s="1" t="n">
        <v>45425</v>
      </c>
      <c r="C1493" s="1" t="n">
        <v>46036</v>
      </c>
      <c r="D1493" t="inlineStr">
        <is>
          <t>GÄVLEBORGS LÄN</t>
        </is>
      </c>
      <c r="E1493" t="inlineStr">
        <is>
          <t>LJUSDAL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30296-2024</t>
        </is>
      </c>
      <c r="B1494" s="1" t="n">
        <v>45490</v>
      </c>
      <c r="C1494" s="1" t="n">
        <v>46036</v>
      </c>
      <c r="D1494" t="inlineStr">
        <is>
          <t>GÄVLEBORGS LÄN</t>
        </is>
      </c>
      <c r="E1494" t="inlineStr">
        <is>
          <t>LJUSDAL</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61431-2023</t>
        </is>
      </c>
      <c r="B1495" s="1" t="n">
        <v>45264</v>
      </c>
      <c r="C1495" s="1" t="n">
        <v>46036</v>
      </c>
      <c r="D1495" t="inlineStr">
        <is>
          <t>GÄVLEBORGS LÄN</t>
        </is>
      </c>
      <c r="E1495" t="inlineStr">
        <is>
          <t>LJUSDAL</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71070-2021</t>
        </is>
      </c>
      <c r="B1496" s="1" t="n">
        <v>44538.92322916666</v>
      </c>
      <c r="C1496" s="1" t="n">
        <v>46036</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5034-2025</t>
        </is>
      </c>
      <c r="B1497" s="1" t="n">
        <v>45691.42743055556</v>
      </c>
      <c r="C1497" s="1" t="n">
        <v>46036</v>
      </c>
      <c r="D1497" t="inlineStr">
        <is>
          <t>GÄVLEBORGS LÄN</t>
        </is>
      </c>
      <c r="E1497" t="inlineStr">
        <is>
          <t>LJUSDAL</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4043-2024</t>
        </is>
      </c>
      <c r="B1498" s="1" t="n">
        <v>45323</v>
      </c>
      <c r="C1498" s="1" t="n">
        <v>46036</v>
      </c>
      <c r="D1498" t="inlineStr">
        <is>
          <t>GÄVLEBORGS LÄN</t>
        </is>
      </c>
      <c r="E1498" t="inlineStr">
        <is>
          <t>LJUSDAL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204-2025</t>
        </is>
      </c>
      <c r="B1499" s="1" t="n">
        <v>45660.31596064815</v>
      </c>
      <c r="C1499" s="1" t="n">
        <v>46036</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3464-2023</t>
        </is>
      </c>
      <c r="B1500" s="1" t="n">
        <v>44949.65045138889</v>
      </c>
      <c r="C1500" s="1" t="n">
        <v>46036</v>
      </c>
      <c r="D1500" t="inlineStr">
        <is>
          <t>GÄVLEBORGS LÄN</t>
        </is>
      </c>
      <c r="E1500" t="inlineStr">
        <is>
          <t>LJUSDAL</t>
        </is>
      </c>
      <c r="G1500" t="n">
        <v>18.6</v>
      </c>
      <c r="H1500" t="n">
        <v>0</v>
      </c>
      <c r="I1500" t="n">
        <v>0</v>
      </c>
      <c r="J1500" t="n">
        <v>0</v>
      </c>
      <c r="K1500" t="n">
        <v>0</v>
      </c>
      <c r="L1500" t="n">
        <v>0</v>
      </c>
      <c r="M1500" t="n">
        <v>0</v>
      </c>
      <c r="N1500" t="n">
        <v>0</v>
      </c>
      <c r="O1500" t="n">
        <v>0</v>
      </c>
      <c r="P1500" t="n">
        <v>0</v>
      </c>
      <c r="Q1500" t="n">
        <v>0</v>
      </c>
      <c r="R1500" s="2" t="inlineStr"/>
    </row>
    <row r="1501" ht="15" customHeight="1">
      <c r="A1501" t="inlineStr">
        <is>
          <t>A 22678-2023</t>
        </is>
      </c>
      <c r="B1501" s="1" t="n">
        <v>45071</v>
      </c>
      <c r="C1501" s="1" t="n">
        <v>46036</v>
      </c>
      <c r="D1501" t="inlineStr">
        <is>
          <t>GÄVLEBORGS LÄN</t>
        </is>
      </c>
      <c r="E1501" t="inlineStr">
        <is>
          <t>LJUSDAL</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5701-2025</t>
        </is>
      </c>
      <c r="B1502" s="1" t="n">
        <v>45694</v>
      </c>
      <c r="C1502" s="1" t="n">
        <v>46036</v>
      </c>
      <c r="D1502" t="inlineStr">
        <is>
          <t>GÄVLEBORGS LÄN</t>
        </is>
      </c>
      <c r="E1502" t="inlineStr">
        <is>
          <t>LJUSDAL</t>
        </is>
      </c>
      <c r="F1502" t="inlineStr">
        <is>
          <t>Bergvik skog väst AB</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18011-2025</t>
        </is>
      </c>
      <c r="B1503" s="1" t="n">
        <v>45761.43108796296</v>
      </c>
      <c r="C1503" s="1" t="n">
        <v>46036</v>
      </c>
      <c r="D1503" t="inlineStr">
        <is>
          <t>GÄVLEBORGS LÄN</t>
        </is>
      </c>
      <c r="E1503" t="inlineStr">
        <is>
          <t>LJUSDAL</t>
        </is>
      </c>
      <c r="F1503" t="inlineStr">
        <is>
          <t>Bergvik skog väst AB</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51364-2024</t>
        </is>
      </c>
      <c r="B1504" s="1" t="n">
        <v>45604.36947916666</v>
      </c>
      <c r="C1504" s="1" t="n">
        <v>46036</v>
      </c>
      <c r="D1504" t="inlineStr">
        <is>
          <t>GÄVLEBORGS LÄN</t>
        </is>
      </c>
      <c r="E1504" t="inlineStr">
        <is>
          <t>LJUSDAL</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22558-2023</t>
        </is>
      </c>
      <c r="B1505" s="1" t="n">
        <v>45071</v>
      </c>
      <c r="C1505" s="1" t="n">
        <v>46036</v>
      </c>
      <c r="D1505" t="inlineStr">
        <is>
          <t>GÄVLEBORGS LÄN</t>
        </is>
      </c>
      <c r="E1505" t="inlineStr">
        <is>
          <t>LJUSDAL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13557-2025</t>
        </is>
      </c>
      <c r="B1506" s="1" t="n">
        <v>45736.54907407407</v>
      </c>
      <c r="C1506" s="1" t="n">
        <v>46036</v>
      </c>
      <c r="D1506" t="inlineStr">
        <is>
          <t>GÄVLEBORGS LÄN</t>
        </is>
      </c>
      <c r="E1506" t="inlineStr">
        <is>
          <t>LJUSDAL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43562-2024</t>
        </is>
      </c>
      <c r="B1507" s="1" t="n">
        <v>45569.40412037037</v>
      </c>
      <c r="C1507" s="1" t="n">
        <v>46036</v>
      </c>
      <c r="D1507" t="inlineStr">
        <is>
          <t>GÄVLEBORGS LÄN</t>
        </is>
      </c>
      <c r="E1507" t="inlineStr">
        <is>
          <t>LJUSDAL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13369-2021</t>
        </is>
      </c>
      <c r="B1508" s="1" t="n">
        <v>44273.39921296296</v>
      </c>
      <c r="C1508" s="1" t="n">
        <v>46036</v>
      </c>
      <c r="D1508" t="inlineStr">
        <is>
          <t>GÄVLEBORGS LÄN</t>
        </is>
      </c>
      <c r="E1508" t="inlineStr">
        <is>
          <t>LJUSDAL</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38814-2024</t>
        </is>
      </c>
      <c r="B1509" s="1" t="n">
        <v>45547.54760416667</v>
      </c>
      <c r="C1509" s="1" t="n">
        <v>46036</v>
      </c>
      <c r="D1509" t="inlineStr">
        <is>
          <t>GÄVLEBORGS LÄN</t>
        </is>
      </c>
      <c r="E1509" t="inlineStr">
        <is>
          <t>LJUSDAL</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30286-2024</t>
        </is>
      </c>
      <c r="B1510" s="1" t="n">
        <v>45490</v>
      </c>
      <c r="C1510" s="1" t="n">
        <v>46036</v>
      </c>
      <c r="D1510" t="inlineStr">
        <is>
          <t>GÄVLEBORGS LÄN</t>
        </is>
      </c>
      <c r="E1510" t="inlineStr">
        <is>
          <t>LJUSDAL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30292-2024</t>
        </is>
      </c>
      <c r="B1511" s="1" t="n">
        <v>45490</v>
      </c>
      <c r="C1511" s="1" t="n">
        <v>46036</v>
      </c>
      <c r="D1511" t="inlineStr">
        <is>
          <t>GÄVLEBORGS LÄN</t>
        </is>
      </c>
      <c r="E1511" t="inlineStr">
        <is>
          <t>LJUSDAL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23394-2024</t>
        </is>
      </c>
      <c r="B1512" s="1" t="n">
        <v>45453</v>
      </c>
      <c r="C1512" s="1" t="n">
        <v>46036</v>
      </c>
      <c r="D1512" t="inlineStr">
        <is>
          <t>GÄVLEBORGS LÄN</t>
        </is>
      </c>
      <c r="E1512" t="inlineStr">
        <is>
          <t>LJUSDAL</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27867-2024</t>
        </is>
      </c>
      <c r="B1513" s="1" t="n">
        <v>45475</v>
      </c>
      <c r="C1513" s="1" t="n">
        <v>46036</v>
      </c>
      <c r="D1513" t="inlineStr">
        <is>
          <t>GÄVLEBORGS LÄN</t>
        </is>
      </c>
      <c r="E1513" t="inlineStr">
        <is>
          <t>LJUSDAL</t>
        </is>
      </c>
      <c r="F1513" t="inlineStr">
        <is>
          <t>Allmännings- och besparingsskogar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20756-2022</t>
        </is>
      </c>
      <c r="B1514" s="1" t="n">
        <v>44701.33546296296</v>
      </c>
      <c r="C1514" s="1" t="n">
        <v>46036</v>
      </c>
      <c r="D1514" t="inlineStr">
        <is>
          <t>GÄVLEBORGS LÄN</t>
        </is>
      </c>
      <c r="E1514" t="inlineStr">
        <is>
          <t>LJUSDAL</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37646-2021</t>
        </is>
      </c>
      <c r="B1515" s="1" t="n">
        <v>44400.37629629629</v>
      </c>
      <c r="C1515" s="1" t="n">
        <v>46036</v>
      </c>
      <c r="D1515" t="inlineStr">
        <is>
          <t>GÄVLEBORGS LÄN</t>
        </is>
      </c>
      <c r="E1515" t="inlineStr">
        <is>
          <t>LJUSDAL</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43018-2023</t>
        </is>
      </c>
      <c r="B1516" s="1" t="n">
        <v>45182.64844907408</v>
      </c>
      <c r="C1516" s="1" t="n">
        <v>46036</v>
      </c>
      <c r="D1516" t="inlineStr">
        <is>
          <t>GÄVLEBORGS LÄN</t>
        </is>
      </c>
      <c r="E1516" t="inlineStr">
        <is>
          <t>LJUSDAL</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53852-2023</t>
        </is>
      </c>
      <c r="B1517" s="1" t="n">
        <v>45231.46224537037</v>
      </c>
      <c r="C1517" s="1" t="n">
        <v>46036</v>
      </c>
      <c r="D1517" t="inlineStr">
        <is>
          <t>GÄVLEBORGS LÄN</t>
        </is>
      </c>
      <c r="E1517" t="inlineStr">
        <is>
          <t>LJUSDAL</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18025-2025</t>
        </is>
      </c>
      <c r="B1518" s="1" t="n">
        <v>45761.44814814815</v>
      </c>
      <c r="C1518" s="1" t="n">
        <v>46036</v>
      </c>
      <c r="D1518" t="inlineStr">
        <is>
          <t>GÄVLEBORGS LÄN</t>
        </is>
      </c>
      <c r="E1518" t="inlineStr">
        <is>
          <t>LJUSDAL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32164-2024</t>
        </is>
      </c>
      <c r="B1519" s="1" t="n">
        <v>45511.59428240741</v>
      </c>
      <c r="C1519" s="1" t="n">
        <v>46036</v>
      </c>
      <c r="D1519" t="inlineStr">
        <is>
          <t>GÄVLEBORGS LÄN</t>
        </is>
      </c>
      <c r="E1519" t="inlineStr">
        <is>
          <t>LJUSDAL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34228-2023</t>
        </is>
      </c>
      <c r="B1520" s="1" t="n">
        <v>45127</v>
      </c>
      <c r="C1520" s="1" t="n">
        <v>46036</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6432-2023</t>
        </is>
      </c>
      <c r="B1521" s="1" t="n">
        <v>44965.82097222222</v>
      </c>
      <c r="C1521" s="1" t="n">
        <v>46036</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56356-2024</t>
        </is>
      </c>
      <c r="B1522" s="1" t="n">
        <v>45624.93702546296</v>
      </c>
      <c r="C1522" s="1" t="n">
        <v>46036</v>
      </c>
      <c r="D1522" t="inlineStr">
        <is>
          <t>GÄVLEBORGS LÄN</t>
        </is>
      </c>
      <c r="E1522" t="inlineStr">
        <is>
          <t>LJUSDAL</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26539-2023</t>
        </is>
      </c>
      <c r="B1523" s="1" t="n">
        <v>45092</v>
      </c>
      <c r="C1523" s="1" t="n">
        <v>46036</v>
      </c>
      <c r="D1523" t="inlineStr">
        <is>
          <t>GÄVLEBORGS LÄN</t>
        </is>
      </c>
      <c r="E1523" t="inlineStr">
        <is>
          <t>LJUSDAL</t>
        </is>
      </c>
      <c r="F1523" t="inlineStr">
        <is>
          <t>Sveaskog</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35122-2024</t>
        </is>
      </c>
      <c r="B1524" s="1" t="n">
        <v>45530</v>
      </c>
      <c r="C1524" s="1" t="n">
        <v>46036</v>
      </c>
      <c r="D1524" t="inlineStr">
        <is>
          <t>GÄVLEBORGS LÄN</t>
        </is>
      </c>
      <c r="E1524" t="inlineStr">
        <is>
          <t>LJUSDAL</t>
        </is>
      </c>
      <c r="F1524" t="inlineStr">
        <is>
          <t>Sveaskog</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26506-2023</t>
        </is>
      </c>
      <c r="B1525" s="1" t="n">
        <v>45092.52630787037</v>
      </c>
      <c r="C1525" s="1" t="n">
        <v>46036</v>
      </c>
      <c r="D1525" t="inlineStr">
        <is>
          <t>GÄVLEBORGS LÄN</t>
        </is>
      </c>
      <c r="E1525" t="inlineStr">
        <is>
          <t>LJUSDAL</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13849-2025</t>
        </is>
      </c>
      <c r="B1526" s="1" t="n">
        <v>45737.56753472222</v>
      </c>
      <c r="C1526" s="1" t="n">
        <v>46036</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37792-2022</t>
        </is>
      </c>
      <c r="B1527" s="1" t="n">
        <v>44810.68939814815</v>
      </c>
      <c r="C1527" s="1" t="n">
        <v>46036</v>
      </c>
      <c r="D1527" t="inlineStr">
        <is>
          <t>GÄVLEBORGS LÄN</t>
        </is>
      </c>
      <c r="E1527" t="inlineStr">
        <is>
          <t>LJUSDAL</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52057-2023</t>
        </is>
      </c>
      <c r="B1528" s="1" t="n">
        <v>45223.65407407407</v>
      </c>
      <c r="C1528" s="1" t="n">
        <v>46036</v>
      </c>
      <c r="D1528" t="inlineStr">
        <is>
          <t>GÄVLEBORGS LÄN</t>
        </is>
      </c>
      <c r="E1528" t="inlineStr">
        <is>
          <t>LJUSDAL</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42537-2024</t>
        </is>
      </c>
      <c r="B1529" s="1" t="n">
        <v>45565.58545138889</v>
      </c>
      <c r="C1529" s="1" t="n">
        <v>46036</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53857-2023</t>
        </is>
      </c>
      <c r="B1530" s="1" t="n">
        <v>45231.46946759259</v>
      </c>
      <c r="C1530" s="1" t="n">
        <v>46036</v>
      </c>
      <c r="D1530" t="inlineStr">
        <is>
          <t>GÄVLEBORGS LÄN</t>
        </is>
      </c>
      <c r="E1530" t="inlineStr">
        <is>
          <t>LJUSDAL</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9194-2022</t>
        </is>
      </c>
      <c r="B1531" s="1" t="n">
        <v>44615</v>
      </c>
      <c r="C1531" s="1" t="n">
        <v>46036</v>
      </c>
      <c r="D1531" t="inlineStr">
        <is>
          <t>GÄVLEBORGS LÄN</t>
        </is>
      </c>
      <c r="E1531" t="inlineStr">
        <is>
          <t>LJUSDAL</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58802-2024</t>
        </is>
      </c>
      <c r="B1532" s="1" t="n">
        <v>45636.33385416667</v>
      </c>
      <c r="C1532" s="1" t="n">
        <v>46036</v>
      </c>
      <c r="D1532" t="inlineStr">
        <is>
          <t>GÄVLEBORGS LÄN</t>
        </is>
      </c>
      <c r="E1532" t="inlineStr">
        <is>
          <t>LJUSDAL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19405-2021</t>
        </is>
      </c>
      <c r="B1533" s="1" t="n">
        <v>44309</v>
      </c>
      <c r="C1533" s="1" t="n">
        <v>46036</v>
      </c>
      <c r="D1533" t="inlineStr">
        <is>
          <t>GÄVLEBORGS LÄN</t>
        </is>
      </c>
      <c r="E1533" t="inlineStr">
        <is>
          <t>LJUSDAL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31892-2023</t>
        </is>
      </c>
      <c r="B1534" s="1" t="n">
        <v>45118</v>
      </c>
      <c r="C1534" s="1" t="n">
        <v>46036</v>
      </c>
      <c r="D1534" t="inlineStr">
        <is>
          <t>GÄVLEBORGS LÄN</t>
        </is>
      </c>
      <c r="E1534" t="inlineStr">
        <is>
          <t>LJUSDAL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2412-2025</t>
        </is>
      </c>
      <c r="B1535" s="1" t="n">
        <v>45674.37393518518</v>
      </c>
      <c r="C1535" s="1" t="n">
        <v>46036</v>
      </c>
      <c r="D1535" t="inlineStr">
        <is>
          <t>GÄVLEBORGS LÄN</t>
        </is>
      </c>
      <c r="E1535" t="inlineStr">
        <is>
          <t>LJUSDAL</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3289-2023</t>
        </is>
      </c>
      <c r="B1536" s="1" t="n">
        <v>44949.37563657408</v>
      </c>
      <c r="C1536" s="1" t="n">
        <v>46036</v>
      </c>
      <c r="D1536" t="inlineStr">
        <is>
          <t>GÄVLEBORGS LÄN</t>
        </is>
      </c>
      <c r="E1536" t="inlineStr">
        <is>
          <t>LJUSDAL</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60118-2022</t>
        </is>
      </c>
      <c r="B1537" s="1" t="n">
        <v>44909</v>
      </c>
      <c r="C1537" s="1" t="n">
        <v>46036</v>
      </c>
      <c r="D1537" t="inlineStr">
        <is>
          <t>GÄVLEBORGS LÄN</t>
        </is>
      </c>
      <c r="E1537" t="inlineStr">
        <is>
          <t>LJUSDAL</t>
        </is>
      </c>
      <c r="F1537" t="inlineStr">
        <is>
          <t>Bergvik skog väst AB</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47551-2021</t>
        </is>
      </c>
      <c r="B1538" s="1" t="n">
        <v>44447.92180555555</v>
      </c>
      <c r="C1538" s="1" t="n">
        <v>46036</v>
      </c>
      <c r="D1538" t="inlineStr">
        <is>
          <t>GÄVLEBORGS LÄN</t>
        </is>
      </c>
      <c r="E1538" t="inlineStr">
        <is>
          <t>LJUSDAL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34651-2021</t>
        </is>
      </c>
      <c r="B1539" s="1" t="n">
        <v>44382</v>
      </c>
      <c r="C1539" s="1" t="n">
        <v>46036</v>
      </c>
      <c r="D1539" t="inlineStr">
        <is>
          <t>GÄVLEBORGS LÄN</t>
        </is>
      </c>
      <c r="E1539" t="inlineStr">
        <is>
          <t>LJUSDAL</t>
        </is>
      </c>
      <c r="F1539" t="inlineStr">
        <is>
          <t>SCA</t>
        </is>
      </c>
      <c r="G1539" t="n">
        <v>15.5</v>
      </c>
      <c r="H1539" t="n">
        <v>0</v>
      </c>
      <c r="I1539" t="n">
        <v>0</v>
      </c>
      <c r="J1539" t="n">
        <v>0</v>
      </c>
      <c r="K1539" t="n">
        <v>0</v>
      </c>
      <c r="L1539" t="n">
        <v>0</v>
      </c>
      <c r="M1539" t="n">
        <v>0</v>
      </c>
      <c r="N1539" t="n">
        <v>0</v>
      </c>
      <c r="O1539" t="n">
        <v>0</v>
      </c>
      <c r="P1539" t="n">
        <v>0</v>
      </c>
      <c r="Q1539" t="n">
        <v>0</v>
      </c>
      <c r="R1539" s="2" t="inlineStr"/>
    </row>
    <row r="1540" ht="15" customHeight="1">
      <c r="A1540" t="inlineStr">
        <is>
          <t>A 7461-2025</t>
        </is>
      </c>
      <c r="B1540" s="1" t="n">
        <v>45705.4404050926</v>
      </c>
      <c r="C1540" s="1" t="n">
        <v>46036</v>
      </c>
      <c r="D1540" t="inlineStr">
        <is>
          <t>GÄVLEBORGS LÄN</t>
        </is>
      </c>
      <c r="E1540" t="inlineStr">
        <is>
          <t>LJUSDAL</t>
        </is>
      </c>
      <c r="G1540" t="n">
        <v>26.4</v>
      </c>
      <c r="H1540" t="n">
        <v>0</v>
      </c>
      <c r="I1540" t="n">
        <v>0</v>
      </c>
      <c r="J1540" t="n">
        <v>0</v>
      </c>
      <c r="K1540" t="n">
        <v>0</v>
      </c>
      <c r="L1540" t="n">
        <v>0</v>
      </c>
      <c r="M1540" t="n">
        <v>0</v>
      </c>
      <c r="N1540" t="n">
        <v>0</v>
      </c>
      <c r="O1540" t="n">
        <v>0</v>
      </c>
      <c r="P1540" t="n">
        <v>0</v>
      </c>
      <c r="Q1540" t="n">
        <v>0</v>
      </c>
      <c r="R1540" s="2" t="inlineStr"/>
    </row>
    <row r="1541" ht="15" customHeight="1">
      <c r="A1541" t="inlineStr">
        <is>
          <t>A 43499-2024</t>
        </is>
      </c>
      <c r="B1541" s="1" t="n">
        <v>45569.29876157407</v>
      </c>
      <c r="C1541" s="1" t="n">
        <v>46036</v>
      </c>
      <c r="D1541" t="inlineStr">
        <is>
          <t>GÄVLEBORGS LÄN</t>
        </is>
      </c>
      <c r="E1541" t="inlineStr">
        <is>
          <t>LJUSDAL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15171-2023</t>
        </is>
      </c>
      <c r="B1542" s="1" t="n">
        <v>45016</v>
      </c>
      <c r="C1542" s="1" t="n">
        <v>46036</v>
      </c>
      <c r="D1542" t="inlineStr">
        <is>
          <t>GÄVLEBORGS LÄN</t>
        </is>
      </c>
      <c r="E1542" t="inlineStr">
        <is>
          <t>LJUSDAL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29260-2023</t>
        </is>
      </c>
      <c r="B1543" s="1" t="n">
        <v>45105.6580787037</v>
      </c>
      <c r="C1543" s="1" t="n">
        <v>46036</v>
      </c>
      <c r="D1543" t="inlineStr">
        <is>
          <t>GÄVLEBORGS LÄN</t>
        </is>
      </c>
      <c r="E1543" t="inlineStr">
        <is>
          <t>LJUSDAL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19064-2025</t>
        </is>
      </c>
      <c r="B1544" s="1" t="n">
        <v>45765.40659722222</v>
      </c>
      <c r="C1544" s="1" t="n">
        <v>46036</v>
      </c>
      <c r="D1544" t="inlineStr">
        <is>
          <t>GÄVLEBORGS LÄN</t>
        </is>
      </c>
      <c r="E1544" t="inlineStr">
        <is>
          <t>LJUSDAL</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33802-2023</t>
        </is>
      </c>
      <c r="B1545" s="1" t="n">
        <v>45133.57393518519</v>
      </c>
      <c r="C1545" s="1" t="n">
        <v>46036</v>
      </c>
      <c r="D1545" t="inlineStr">
        <is>
          <t>GÄVLEBORGS LÄN</t>
        </is>
      </c>
      <c r="E1545" t="inlineStr">
        <is>
          <t>LJUSDAL</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55781-2022</t>
        </is>
      </c>
      <c r="B1546" s="1" t="n">
        <v>44888</v>
      </c>
      <c r="C1546" s="1" t="n">
        <v>46036</v>
      </c>
      <c r="D1546" t="inlineStr">
        <is>
          <t>GÄVLEBORGS LÄN</t>
        </is>
      </c>
      <c r="E1546" t="inlineStr">
        <is>
          <t>LJUSDAL</t>
        </is>
      </c>
      <c r="F1546" t="inlineStr">
        <is>
          <t>Kommuner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13911-2024</t>
        </is>
      </c>
      <c r="B1547" s="1" t="n">
        <v>45391.70934027778</v>
      </c>
      <c r="C1547" s="1" t="n">
        <v>46036</v>
      </c>
      <c r="D1547" t="inlineStr">
        <is>
          <t>GÄVLEBORGS LÄN</t>
        </is>
      </c>
      <c r="E1547" t="inlineStr">
        <is>
          <t>LJUSDAL</t>
        </is>
      </c>
      <c r="G1547" t="n">
        <v>18.2</v>
      </c>
      <c r="H1547" t="n">
        <v>0</v>
      </c>
      <c r="I1547" t="n">
        <v>0</v>
      </c>
      <c r="J1547" t="n">
        <v>0</v>
      </c>
      <c r="K1547" t="n">
        <v>0</v>
      </c>
      <c r="L1547" t="n">
        <v>0</v>
      </c>
      <c r="M1547" t="n">
        <v>0</v>
      </c>
      <c r="N1547" t="n">
        <v>0</v>
      </c>
      <c r="O1547" t="n">
        <v>0</v>
      </c>
      <c r="P1547" t="n">
        <v>0</v>
      </c>
      <c r="Q1547" t="n">
        <v>0</v>
      </c>
      <c r="R1547" s="2" t="inlineStr"/>
    </row>
    <row r="1548" ht="15" customHeight="1">
      <c r="A1548" t="inlineStr">
        <is>
          <t>A 29568-2021</t>
        </is>
      </c>
      <c r="B1548" s="1" t="n">
        <v>44361.91872685185</v>
      </c>
      <c r="C1548" s="1" t="n">
        <v>46036</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3532-2023</t>
        </is>
      </c>
      <c r="B1549" s="1" t="n">
        <v>44950</v>
      </c>
      <c r="C1549" s="1" t="n">
        <v>46036</v>
      </c>
      <c r="D1549" t="inlineStr">
        <is>
          <t>GÄVLEBORGS LÄN</t>
        </is>
      </c>
      <c r="E1549" t="inlineStr">
        <is>
          <t>LJUSDAL</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21965-2022</t>
        </is>
      </c>
      <c r="B1550" s="1" t="n">
        <v>44711</v>
      </c>
      <c r="C1550" s="1" t="n">
        <v>46036</v>
      </c>
      <c r="D1550" t="inlineStr">
        <is>
          <t>GÄVLEBORGS LÄN</t>
        </is>
      </c>
      <c r="E1550" t="inlineStr">
        <is>
          <t>LJUSDAL</t>
        </is>
      </c>
      <c r="F1550" t="inlineStr">
        <is>
          <t>Bergvik skog väst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60099-2022</t>
        </is>
      </c>
      <c r="B1551" s="1" t="n">
        <v>44909.62553240741</v>
      </c>
      <c r="C1551" s="1" t="n">
        <v>46036</v>
      </c>
      <c r="D1551" t="inlineStr">
        <is>
          <t>GÄVLEBORGS LÄN</t>
        </is>
      </c>
      <c r="E1551" t="inlineStr">
        <is>
          <t>LJUSDAL</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32832-2022</t>
        </is>
      </c>
      <c r="B1552" s="1" t="n">
        <v>44784.42042824074</v>
      </c>
      <c r="C1552" s="1" t="n">
        <v>46036</v>
      </c>
      <c r="D1552" t="inlineStr">
        <is>
          <t>GÄVLEBORGS LÄN</t>
        </is>
      </c>
      <c r="E1552" t="inlineStr">
        <is>
          <t>LJUSDAL</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52915-2024</t>
        </is>
      </c>
      <c r="B1553" s="1" t="n">
        <v>45610.71055555555</v>
      </c>
      <c r="C1553" s="1" t="n">
        <v>46036</v>
      </c>
      <c r="D1553" t="inlineStr">
        <is>
          <t>GÄVLEBORGS LÄN</t>
        </is>
      </c>
      <c r="E1553" t="inlineStr">
        <is>
          <t>LJUSDAL</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20288-2024</t>
        </is>
      </c>
      <c r="B1554" s="1" t="n">
        <v>45435</v>
      </c>
      <c r="C1554" s="1" t="n">
        <v>46036</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3635-2023</t>
        </is>
      </c>
      <c r="B1555" s="1" t="n">
        <v>44950</v>
      </c>
      <c r="C1555" s="1" t="n">
        <v>46036</v>
      </c>
      <c r="D1555" t="inlineStr">
        <is>
          <t>GÄVLEBORGS LÄN</t>
        </is>
      </c>
      <c r="E1555" t="inlineStr">
        <is>
          <t>LJUSDAL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51869-2024</t>
        </is>
      </c>
      <c r="B1556" s="1" t="n">
        <v>45607.553125</v>
      </c>
      <c r="C1556" s="1" t="n">
        <v>46036</v>
      </c>
      <c r="D1556" t="inlineStr">
        <is>
          <t>GÄVLEBORGS LÄN</t>
        </is>
      </c>
      <c r="E1556" t="inlineStr">
        <is>
          <t>LJUSDAL</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51634-2022</t>
        </is>
      </c>
      <c r="B1557" s="1" t="n">
        <v>44872</v>
      </c>
      <c r="C1557" s="1" t="n">
        <v>46036</v>
      </c>
      <c r="D1557" t="inlineStr">
        <is>
          <t>GÄVLEBORGS LÄN</t>
        </is>
      </c>
      <c r="E1557" t="inlineStr">
        <is>
          <t>LJUSDAL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10514-2024</t>
        </is>
      </c>
      <c r="B1558" s="1" t="n">
        <v>45366</v>
      </c>
      <c r="C1558" s="1" t="n">
        <v>46036</v>
      </c>
      <c r="D1558" t="inlineStr">
        <is>
          <t>GÄVLEBORGS LÄN</t>
        </is>
      </c>
      <c r="E1558" t="inlineStr">
        <is>
          <t>LJUSDAL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21756-2024</t>
        </is>
      </c>
      <c r="B1559" s="1" t="n">
        <v>45442</v>
      </c>
      <c r="C1559" s="1" t="n">
        <v>46036</v>
      </c>
      <c r="D1559" t="inlineStr">
        <is>
          <t>GÄVLEBORGS LÄN</t>
        </is>
      </c>
      <c r="E1559" t="inlineStr">
        <is>
          <t>LJUSDAL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29586-2021</t>
        </is>
      </c>
      <c r="B1560" s="1" t="n">
        <v>44361.9196875</v>
      </c>
      <c r="C1560" s="1" t="n">
        <v>46036</v>
      </c>
      <c r="D1560" t="inlineStr">
        <is>
          <t>GÄVLEBORGS LÄN</t>
        </is>
      </c>
      <c r="E1560" t="inlineStr">
        <is>
          <t>LJUSDAL</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48148-2024</t>
        </is>
      </c>
      <c r="B1561" s="1" t="n">
        <v>45589.67875</v>
      </c>
      <c r="C1561" s="1" t="n">
        <v>46036</v>
      </c>
      <c r="D1561" t="inlineStr">
        <is>
          <t>GÄVLEBORGS LÄN</t>
        </is>
      </c>
      <c r="E1561" t="inlineStr">
        <is>
          <t>LJUSDAL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52842-2023</t>
        </is>
      </c>
      <c r="B1562" s="1" t="n">
        <v>45226.43016203704</v>
      </c>
      <c r="C1562" s="1" t="n">
        <v>46036</v>
      </c>
      <c r="D1562" t="inlineStr">
        <is>
          <t>GÄVLEBORGS LÄN</t>
        </is>
      </c>
      <c r="E1562" t="inlineStr">
        <is>
          <t>LJUSDAL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9111-2024</t>
        </is>
      </c>
      <c r="B1563" s="1" t="n">
        <v>45357.96122685185</v>
      </c>
      <c r="C1563" s="1" t="n">
        <v>46036</v>
      </c>
      <c r="D1563" t="inlineStr">
        <is>
          <t>GÄVLEBORGS LÄN</t>
        </is>
      </c>
      <c r="E1563" t="inlineStr">
        <is>
          <t>LJUSDAL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47268-2021</t>
        </is>
      </c>
      <c r="B1564" s="1" t="n">
        <v>44447</v>
      </c>
      <c r="C1564" s="1" t="n">
        <v>46036</v>
      </c>
      <c r="D1564" t="inlineStr">
        <is>
          <t>GÄVLEBORGS LÄN</t>
        </is>
      </c>
      <c r="E1564" t="inlineStr">
        <is>
          <t>LJUSDAL</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20513-2025</t>
        </is>
      </c>
      <c r="B1565" s="1" t="n">
        <v>45775.59555555556</v>
      </c>
      <c r="C1565" s="1" t="n">
        <v>46036</v>
      </c>
      <c r="D1565" t="inlineStr">
        <is>
          <t>GÄVLEBORGS LÄN</t>
        </is>
      </c>
      <c r="E1565" t="inlineStr">
        <is>
          <t>LJUSDAL</t>
        </is>
      </c>
      <c r="F1565" t="inlineStr">
        <is>
          <t>Sveaskog</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61474-2024</t>
        </is>
      </c>
      <c r="B1566" s="1" t="n">
        <v>45646.51774305556</v>
      </c>
      <c r="C1566" s="1" t="n">
        <v>46036</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28114-2023</t>
        </is>
      </c>
      <c r="B1567" s="1" t="n">
        <v>45099</v>
      </c>
      <c r="C1567" s="1" t="n">
        <v>46036</v>
      </c>
      <c r="D1567" t="inlineStr">
        <is>
          <t>GÄVLEBORGS LÄN</t>
        </is>
      </c>
      <c r="E1567" t="inlineStr">
        <is>
          <t>LJUSDAL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4341-2021</t>
        </is>
      </c>
      <c r="B1568" s="1" t="n">
        <v>44223</v>
      </c>
      <c r="C1568" s="1" t="n">
        <v>46036</v>
      </c>
      <c r="D1568" t="inlineStr">
        <is>
          <t>GÄVLEBORGS LÄN</t>
        </is>
      </c>
      <c r="E1568" t="inlineStr">
        <is>
          <t>LJUSDAL</t>
        </is>
      </c>
      <c r="F1568" t="inlineStr">
        <is>
          <t>Kommuner</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16925-2021</t>
        </is>
      </c>
      <c r="B1569" s="1" t="n">
        <v>44295</v>
      </c>
      <c r="C1569" s="1" t="n">
        <v>46036</v>
      </c>
      <c r="D1569" t="inlineStr">
        <is>
          <t>GÄVLEBORGS LÄN</t>
        </is>
      </c>
      <c r="E1569" t="inlineStr">
        <is>
          <t>LJUSDAL</t>
        </is>
      </c>
      <c r="F1569" t="inlineStr">
        <is>
          <t>Bergvik skog väst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52626-2022</t>
        </is>
      </c>
      <c r="B1570" s="1" t="n">
        <v>44874</v>
      </c>
      <c r="C1570" s="1" t="n">
        <v>46036</v>
      </c>
      <c r="D1570" t="inlineStr">
        <is>
          <t>GÄVLEBORGS LÄN</t>
        </is>
      </c>
      <c r="E1570" t="inlineStr">
        <is>
          <t>LJUSDAL</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26073-2024</t>
        </is>
      </c>
      <c r="B1571" s="1" t="n">
        <v>45468.3650462963</v>
      </c>
      <c r="C1571" s="1" t="n">
        <v>46036</v>
      </c>
      <c r="D1571" t="inlineStr">
        <is>
          <t>GÄVLEBORGS LÄN</t>
        </is>
      </c>
      <c r="E1571" t="inlineStr">
        <is>
          <t>LJUSDAL</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26078-2024</t>
        </is>
      </c>
      <c r="B1572" s="1" t="n">
        <v>45468.37726851852</v>
      </c>
      <c r="C1572" s="1" t="n">
        <v>46036</v>
      </c>
      <c r="D1572" t="inlineStr">
        <is>
          <t>GÄVLEBORGS LÄN</t>
        </is>
      </c>
      <c r="E1572" t="inlineStr">
        <is>
          <t>LJUSDAL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18854-2025</t>
        </is>
      </c>
      <c r="B1573" s="1" t="n">
        <v>45764.42233796296</v>
      </c>
      <c r="C1573" s="1" t="n">
        <v>46036</v>
      </c>
      <c r="D1573" t="inlineStr">
        <is>
          <t>GÄVLEBORGS LÄN</t>
        </is>
      </c>
      <c r="E1573" t="inlineStr">
        <is>
          <t>LJUSDAL</t>
        </is>
      </c>
      <c r="F1573" t="inlineStr">
        <is>
          <t>Sveaskog</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16962-2025</t>
        </is>
      </c>
      <c r="B1574" s="1" t="n">
        <v>45755</v>
      </c>
      <c r="C1574" s="1" t="n">
        <v>46036</v>
      </c>
      <c r="D1574" t="inlineStr">
        <is>
          <t>GÄVLEBORGS LÄN</t>
        </is>
      </c>
      <c r="E1574" t="inlineStr">
        <is>
          <t>LJUSDAL</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51880-2024</t>
        </is>
      </c>
      <c r="B1575" s="1" t="n">
        <v>45607.5674537037</v>
      </c>
      <c r="C1575" s="1" t="n">
        <v>46036</v>
      </c>
      <c r="D1575" t="inlineStr">
        <is>
          <t>GÄVLEBORGS LÄN</t>
        </is>
      </c>
      <c r="E1575" t="inlineStr">
        <is>
          <t>LJUSDAL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40554-2022</t>
        </is>
      </c>
      <c r="B1576" s="1" t="n">
        <v>44823.66243055555</v>
      </c>
      <c r="C1576" s="1" t="n">
        <v>46036</v>
      </c>
      <c r="D1576" t="inlineStr">
        <is>
          <t>GÄVLEBORGS LÄN</t>
        </is>
      </c>
      <c r="E1576" t="inlineStr">
        <is>
          <t>LJUSDAL</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8153-2022</t>
        </is>
      </c>
      <c r="B1577" s="1" t="n">
        <v>44609.62958333334</v>
      </c>
      <c r="C1577" s="1" t="n">
        <v>46036</v>
      </c>
      <c r="D1577" t="inlineStr">
        <is>
          <t>GÄVLEBORGS LÄN</t>
        </is>
      </c>
      <c r="E1577" t="inlineStr">
        <is>
          <t>LJUSDAL</t>
        </is>
      </c>
      <c r="F1577" t="inlineStr">
        <is>
          <t>Holmen skog AB</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32151-2023</t>
        </is>
      </c>
      <c r="B1578" s="1" t="n">
        <v>45119.70157407408</v>
      </c>
      <c r="C1578" s="1" t="n">
        <v>46036</v>
      </c>
      <c r="D1578" t="inlineStr">
        <is>
          <t>GÄVLEBORGS LÄN</t>
        </is>
      </c>
      <c r="E1578" t="inlineStr">
        <is>
          <t>LJUSDAL</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47291-2024</t>
        </is>
      </c>
      <c r="B1579" s="1" t="n">
        <v>45587.33782407407</v>
      </c>
      <c r="C1579" s="1" t="n">
        <v>46036</v>
      </c>
      <c r="D1579" t="inlineStr">
        <is>
          <t>GÄVLEBORGS LÄN</t>
        </is>
      </c>
      <c r="E1579" t="inlineStr">
        <is>
          <t>LJUSDAL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42703-2024</t>
        </is>
      </c>
      <c r="B1580" s="1" t="n">
        <v>45566.43296296296</v>
      </c>
      <c r="C1580" s="1" t="n">
        <v>46036</v>
      </c>
      <c r="D1580" t="inlineStr">
        <is>
          <t>GÄVLEBORGS LÄN</t>
        </is>
      </c>
      <c r="E1580" t="inlineStr">
        <is>
          <t>LJUSDAL</t>
        </is>
      </c>
      <c r="F1580" t="inlineStr">
        <is>
          <t>Kommuner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4864-2023</t>
        </is>
      </c>
      <c r="B1581" s="1" t="n">
        <v>44957.92511574074</v>
      </c>
      <c r="C1581" s="1" t="n">
        <v>46036</v>
      </c>
      <c r="D1581" t="inlineStr">
        <is>
          <t>GÄVLEBORGS LÄN</t>
        </is>
      </c>
      <c r="E1581" t="inlineStr">
        <is>
          <t>LJUSDAL</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57344-2021</t>
        </is>
      </c>
      <c r="B1582" s="1" t="n">
        <v>44483.48961805556</v>
      </c>
      <c r="C1582" s="1" t="n">
        <v>46036</v>
      </c>
      <c r="D1582" t="inlineStr">
        <is>
          <t>GÄVLEBORGS LÄN</t>
        </is>
      </c>
      <c r="E1582" t="inlineStr">
        <is>
          <t>LJUSDAL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574-2022</t>
        </is>
      </c>
      <c r="B1583" s="1" t="n">
        <v>44566</v>
      </c>
      <c r="C1583" s="1" t="n">
        <v>46036</v>
      </c>
      <c r="D1583" t="inlineStr">
        <is>
          <t>GÄVLEBORGS LÄN</t>
        </is>
      </c>
      <c r="E1583" t="inlineStr">
        <is>
          <t>LJUSDAL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22559-2023</t>
        </is>
      </c>
      <c r="B1584" s="1" t="n">
        <v>45071.44723379629</v>
      </c>
      <c r="C1584" s="1" t="n">
        <v>46036</v>
      </c>
      <c r="D1584" t="inlineStr">
        <is>
          <t>GÄVLEBORGS LÄN</t>
        </is>
      </c>
      <c r="E1584" t="inlineStr">
        <is>
          <t>LJUSDAL</t>
        </is>
      </c>
      <c r="F1584" t="inlineStr">
        <is>
          <t>Holmen skog AB</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1445-2023</t>
        </is>
      </c>
      <c r="B1585" s="1" t="n">
        <v>44937.38020833334</v>
      </c>
      <c r="C1585" s="1" t="n">
        <v>46036</v>
      </c>
      <c r="D1585" t="inlineStr">
        <is>
          <t>GÄVLEBORGS LÄN</t>
        </is>
      </c>
      <c r="E1585" t="inlineStr">
        <is>
          <t>LJUSDAL</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13882-2025</t>
        </is>
      </c>
      <c r="B1586" s="1" t="n">
        <v>45737.60047453704</v>
      </c>
      <c r="C1586" s="1" t="n">
        <v>46036</v>
      </c>
      <c r="D1586" t="inlineStr">
        <is>
          <t>GÄVLEBORGS LÄN</t>
        </is>
      </c>
      <c r="E1586" t="inlineStr">
        <is>
          <t>LJUSDAL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15864-2025</t>
        </is>
      </c>
      <c r="B1587" s="1" t="n">
        <v>45749.35642361111</v>
      </c>
      <c r="C1587" s="1" t="n">
        <v>46036</v>
      </c>
      <c r="D1587" t="inlineStr">
        <is>
          <t>GÄVLEBORGS LÄN</t>
        </is>
      </c>
      <c r="E1587" t="inlineStr">
        <is>
          <t>LJUSDAL</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20847-2025</t>
        </is>
      </c>
      <c r="B1588" s="1" t="n">
        <v>45777.29842592592</v>
      </c>
      <c r="C1588" s="1" t="n">
        <v>46036</v>
      </c>
      <c r="D1588" t="inlineStr">
        <is>
          <t>GÄVLEBORGS LÄN</t>
        </is>
      </c>
      <c r="E1588" t="inlineStr">
        <is>
          <t>LJUSDAL</t>
        </is>
      </c>
      <c r="G1588" t="n">
        <v>21.6</v>
      </c>
      <c r="H1588" t="n">
        <v>0</v>
      </c>
      <c r="I1588" t="n">
        <v>0</v>
      </c>
      <c r="J1588" t="n">
        <v>0</v>
      </c>
      <c r="K1588" t="n">
        <v>0</v>
      </c>
      <c r="L1588" t="n">
        <v>0</v>
      </c>
      <c r="M1588" t="n">
        <v>0</v>
      </c>
      <c r="N1588" t="n">
        <v>0</v>
      </c>
      <c r="O1588" t="n">
        <v>0</v>
      </c>
      <c r="P1588" t="n">
        <v>0</v>
      </c>
      <c r="Q1588" t="n">
        <v>0</v>
      </c>
      <c r="R1588" s="2" t="inlineStr"/>
    </row>
    <row r="1589" ht="15" customHeight="1">
      <c r="A1589" t="inlineStr">
        <is>
          <t>A 21071-2025</t>
        </is>
      </c>
      <c r="B1589" s="1" t="n">
        <v>45777.59451388889</v>
      </c>
      <c r="C1589" s="1" t="n">
        <v>46036</v>
      </c>
      <c r="D1589" t="inlineStr">
        <is>
          <t>GÄVLEBORGS LÄN</t>
        </is>
      </c>
      <c r="E1589" t="inlineStr">
        <is>
          <t>LJUSDAL</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21098-2025</t>
        </is>
      </c>
      <c r="B1590" s="1" t="n">
        <v>45777.6434837963</v>
      </c>
      <c r="C1590" s="1" t="n">
        <v>46036</v>
      </c>
      <c r="D1590" t="inlineStr">
        <is>
          <t>GÄVLEBORGS LÄN</t>
        </is>
      </c>
      <c r="E1590" t="inlineStr">
        <is>
          <t>LJUSDAL</t>
        </is>
      </c>
      <c r="F1590" t="inlineStr">
        <is>
          <t>Sveaskog</t>
        </is>
      </c>
      <c r="G1590" t="n">
        <v>30.7</v>
      </c>
      <c r="H1590" t="n">
        <v>0</v>
      </c>
      <c r="I1590" t="n">
        <v>0</v>
      </c>
      <c r="J1590" t="n">
        <v>0</v>
      </c>
      <c r="K1590" t="n">
        <v>0</v>
      </c>
      <c r="L1590" t="n">
        <v>0</v>
      </c>
      <c r="M1590" t="n">
        <v>0</v>
      </c>
      <c r="N1590" t="n">
        <v>0</v>
      </c>
      <c r="O1590" t="n">
        <v>0</v>
      </c>
      <c r="P1590" t="n">
        <v>0</v>
      </c>
      <c r="Q1590" t="n">
        <v>0</v>
      </c>
      <c r="R1590" s="2" t="inlineStr"/>
    </row>
    <row r="1591" ht="15" customHeight="1">
      <c r="A1591" t="inlineStr">
        <is>
          <t>A 7179-2025</t>
        </is>
      </c>
      <c r="B1591" s="1" t="n">
        <v>45702</v>
      </c>
      <c r="C1591" s="1" t="n">
        <v>46036</v>
      </c>
      <c r="D1591" t="inlineStr">
        <is>
          <t>GÄVLEBORGS LÄN</t>
        </is>
      </c>
      <c r="E1591" t="inlineStr">
        <is>
          <t>LJUSDAL</t>
        </is>
      </c>
      <c r="F1591" t="inlineStr">
        <is>
          <t>Kommuner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21592-2025</t>
        </is>
      </c>
      <c r="B1592" s="1" t="n">
        <v>45783.34420138889</v>
      </c>
      <c r="C1592" s="1" t="n">
        <v>46036</v>
      </c>
      <c r="D1592" t="inlineStr">
        <is>
          <t>GÄVLEBORGS LÄN</t>
        </is>
      </c>
      <c r="E1592" t="inlineStr">
        <is>
          <t>LJUSDAL</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21588-2025</t>
        </is>
      </c>
      <c r="B1593" s="1" t="n">
        <v>45783.30799768519</v>
      </c>
      <c r="C1593" s="1" t="n">
        <v>46036</v>
      </c>
      <c r="D1593" t="inlineStr">
        <is>
          <t>GÄVLEBORGS LÄN</t>
        </is>
      </c>
      <c r="E1593" t="inlineStr">
        <is>
          <t>LJUSDAL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21334-2025</t>
        </is>
      </c>
      <c r="B1594" s="1" t="n">
        <v>45782.37358796296</v>
      </c>
      <c r="C1594" s="1" t="n">
        <v>46036</v>
      </c>
      <c r="D1594" t="inlineStr">
        <is>
          <t>GÄVLEBORGS LÄN</t>
        </is>
      </c>
      <c r="E1594" t="inlineStr">
        <is>
          <t>LJUSDAL</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33199-2024</t>
        </is>
      </c>
      <c r="B1595" s="1" t="n">
        <v>45518.51728009259</v>
      </c>
      <c r="C1595" s="1" t="n">
        <v>46036</v>
      </c>
      <c r="D1595" t="inlineStr">
        <is>
          <t>GÄVLEBORGS LÄN</t>
        </is>
      </c>
      <c r="E1595" t="inlineStr">
        <is>
          <t>LJUSDAL</t>
        </is>
      </c>
      <c r="F1595" t="inlineStr">
        <is>
          <t>Bergvik skog väst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22194-2025</t>
        </is>
      </c>
      <c r="B1596" s="1" t="n">
        <v>45785.64438657407</v>
      </c>
      <c r="C1596" s="1" t="n">
        <v>46036</v>
      </c>
      <c r="D1596" t="inlineStr">
        <is>
          <t>GÄVLEBORGS LÄN</t>
        </is>
      </c>
      <c r="E1596" t="inlineStr">
        <is>
          <t>LJUSDAL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22713-2024</t>
        </is>
      </c>
      <c r="B1597" s="1" t="n">
        <v>45448.35930555555</v>
      </c>
      <c r="C1597" s="1" t="n">
        <v>46036</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21940-2025</t>
        </is>
      </c>
      <c r="B1598" s="1" t="n">
        <v>45784.58482638889</v>
      </c>
      <c r="C1598" s="1" t="n">
        <v>46036</v>
      </c>
      <c r="D1598" t="inlineStr">
        <is>
          <t>GÄVLEBORGS LÄN</t>
        </is>
      </c>
      <c r="E1598" t="inlineStr">
        <is>
          <t>LJUSDAL</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41385-2024</t>
        </is>
      </c>
      <c r="B1599" s="1" t="n">
        <v>45560.29936342593</v>
      </c>
      <c r="C1599" s="1" t="n">
        <v>46036</v>
      </c>
      <c r="D1599" t="inlineStr">
        <is>
          <t>GÄVLEBORGS LÄN</t>
        </is>
      </c>
      <c r="E1599" t="inlineStr">
        <is>
          <t>LJUSDAL</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41525-2022</t>
        </is>
      </c>
      <c r="B1600" s="1" t="n">
        <v>44827.34787037037</v>
      </c>
      <c r="C1600" s="1" t="n">
        <v>46036</v>
      </c>
      <c r="D1600" t="inlineStr">
        <is>
          <t>GÄVLEBORGS LÄN</t>
        </is>
      </c>
      <c r="E1600" t="inlineStr">
        <is>
          <t>LJUSDAL</t>
        </is>
      </c>
      <c r="F1600" t="inlineStr">
        <is>
          <t>Holmen skog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22786-2024</t>
        </is>
      </c>
      <c r="B1601" s="1" t="n">
        <v>45448.48175925926</v>
      </c>
      <c r="C1601" s="1" t="n">
        <v>46036</v>
      </c>
      <c r="D1601" t="inlineStr">
        <is>
          <t>GÄVLEBORGS LÄN</t>
        </is>
      </c>
      <c r="E1601" t="inlineStr">
        <is>
          <t>LJUSDAL</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18297-2024</t>
        </is>
      </c>
      <c r="B1602" s="1" t="n">
        <v>45422.43357638889</v>
      </c>
      <c r="C1602" s="1" t="n">
        <v>46036</v>
      </c>
      <c r="D1602" t="inlineStr">
        <is>
          <t>GÄVLEBORGS LÄN</t>
        </is>
      </c>
      <c r="E1602" t="inlineStr">
        <is>
          <t>LJUSDAL</t>
        </is>
      </c>
      <c r="F1602" t="inlineStr">
        <is>
          <t>Holmen skog AB</t>
        </is>
      </c>
      <c r="G1602" t="n">
        <v>1.6</v>
      </c>
      <c r="H1602" t="n">
        <v>0</v>
      </c>
      <c r="I1602" t="n">
        <v>0</v>
      </c>
      <c r="J1602" t="n">
        <v>0</v>
      </c>
      <c r="K1602" t="n">
        <v>0</v>
      </c>
      <c r="L1602" t="n">
        <v>0</v>
      </c>
      <c r="M1602" t="n">
        <v>0</v>
      </c>
      <c r="N1602" t="n">
        <v>0</v>
      </c>
      <c r="O1602" t="n">
        <v>0</v>
      </c>
      <c r="P1602" t="n">
        <v>0</v>
      </c>
      <c r="Q1602" t="n">
        <v>0</v>
      </c>
      <c r="R1602" s="2" t="inlineStr"/>
      <c r="U1602">
        <f>HYPERLINK("https://klasma.github.io/Logging_2161/knärot/A 18297-2024 karta knärot.png", "A 18297-2024")</f>
        <v/>
      </c>
      <c r="V1602">
        <f>HYPERLINK("https://klasma.github.io/Logging_2161/klagomål/A 18297-2024 FSC-klagomål.docx", "A 18297-2024")</f>
        <v/>
      </c>
      <c r="W1602">
        <f>HYPERLINK("https://klasma.github.io/Logging_2161/klagomålsmail/A 18297-2024 FSC-klagomål mail.docx", "A 18297-2024")</f>
        <v/>
      </c>
      <c r="X1602">
        <f>HYPERLINK("https://klasma.github.io/Logging_2161/tillsyn/A 18297-2024 tillsynsbegäran.docx", "A 18297-2024")</f>
        <v/>
      </c>
      <c r="Y1602">
        <f>HYPERLINK("https://klasma.github.io/Logging_2161/tillsynsmail/A 18297-2024 tillsynsbegäran mail.docx", "A 18297-2024")</f>
        <v/>
      </c>
    </row>
    <row r="1603" ht="15" customHeight="1">
      <c r="A1603" t="inlineStr">
        <is>
          <t>A 10105-2024</t>
        </is>
      </c>
      <c r="B1603" s="1" t="n">
        <v>45364.53116898148</v>
      </c>
      <c r="C1603" s="1" t="n">
        <v>46036</v>
      </c>
      <c r="D1603" t="inlineStr">
        <is>
          <t>GÄVLEBORGS LÄN</t>
        </is>
      </c>
      <c r="E1603" t="inlineStr">
        <is>
          <t>LJUSDAL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22163-2025</t>
        </is>
      </c>
      <c r="B1604" s="1" t="n">
        <v>45785.59113425926</v>
      </c>
      <c r="C1604" s="1" t="n">
        <v>46036</v>
      </c>
      <c r="D1604" t="inlineStr">
        <is>
          <t>GÄVLEBORGS LÄN</t>
        </is>
      </c>
      <c r="E1604" t="inlineStr">
        <is>
          <t>LJUSDAL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20897-2024</t>
        </is>
      </c>
      <c r="B1605" s="1" t="n">
        <v>45439.46805555555</v>
      </c>
      <c r="C1605" s="1" t="n">
        <v>46036</v>
      </c>
      <c r="D1605" t="inlineStr">
        <is>
          <t>GÄVLEBORGS LÄN</t>
        </is>
      </c>
      <c r="E1605" t="inlineStr">
        <is>
          <t>LJUSDAL</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21957-2025</t>
        </is>
      </c>
      <c r="B1606" s="1" t="n">
        <v>45784.6053587963</v>
      </c>
      <c r="C1606" s="1" t="n">
        <v>46036</v>
      </c>
      <c r="D1606" t="inlineStr">
        <is>
          <t>GÄVLEBORGS LÄN</t>
        </is>
      </c>
      <c r="E1606" t="inlineStr">
        <is>
          <t>LJUSDAL</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35789-2024</t>
        </is>
      </c>
      <c r="B1607" s="1" t="n">
        <v>45532</v>
      </c>
      <c r="C1607" s="1" t="n">
        <v>46036</v>
      </c>
      <c r="D1607" t="inlineStr">
        <is>
          <t>GÄVLEBORGS LÄN</t>
        </is>
      </c>
      <c r="E1607" t="inlineStr">
        <is>
          <t>LJUSDAL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33947-2024</t>
        </is>
      </c>
      <c r="B1608" s="1" t="n">
        <v>45523</v>
      </c>
      <c r="C1608" s="1" t="n">
        <v>46036</v>
      </c>
      <c r="D1608" t="inlineStr">
        <is>
          <t>GÄVLEBORGS LÄN</t>
        </is>
      </c>
      <c r="E1608" t="inlineStr">
        <is>
          <t>LJUSDAL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22598-2025</t>
        </is>
      </c>
      <c r="B1609" s="1" t="n">
        <v>45789.41481481482</v>
      </c>
      <c r="C1609" s="1" t="n">
        <v>46036</v>
      </c>
      <c r="D1609" t="inlineStr">
        <is>
          <t>GÄVLEBORGS LÄN</t>
        </is>
      </c>
      <c r="E1609" t="inlineStr">
        <is>
          <t>LJUSDAL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6964-2025</t>
        </is>
      </c>
      <c r="B1610" s="1" t="n">
        <v>45701</v>
      </c>
      <c r="C1610" s="1" t="n">
        <v>46036</v>
      </c>
      <c r="D1610" t="inlineStr">
        <is>
          <t>GÄVLEBORGS LÄN</t>
        </is>
      </c>
      <c r="E1610" t="inlineStr">
        <is>
          <t>LJUSDAL</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23340-2025</t>
        </is>
      </c>
      <c r="B1611" s="1" t="n">
        <v>45791.65630787037</v>
      </c>
      <c r="C1611" s="1" t="n">
        <v>46036</v>
      </c>
      <c r="D1611" t="inlineStr">
        <is>
          <t>GÄVLEBORGS LÄN</t>
        </is>
      </c>
      <c r="E1611" t="inlineStr">
        <is>
          <t>LJUSDAL</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44041-2022</t>
        </is>
      </c>
      <c r="B1612" s="1" t="n">
        <v>44838.94871527778</v>
      </c>
      <c r="C1612" s="1" t="n">
        <v>46036</v>
      </c>
      <c r="D1612" t="inlineStr">
        <is>
          <t>GÄVLEBORGS LÄN</t>
        </is>
      </c>
      <c r="E1612" t="inlineStr">
        <is>
          <t>LJUSDAL</t>
        </is>
      </c>
      <c r="F1612" t="inlineStr">
        <is>
          <t>Naturvårdsverket</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23353-2025</t>
        </is>
      </c>
      <c r="B1613" s="1" t="n">
        <v>45791.66635416666</v>
      </c>
      <c r="C1613" s="1" t="n">
        <v>46036</v>
      </c>
      <c r="D1613" t="inlineStr">
        <is>
          <t>GÄVLEBORGS LÄN</t>
        </is>
      </c>
      <c r="E1613" t="inlineStr">
        <is>
          <t>LJUSDAL</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23350-2025</t>
        </is>
      </c>
      <c r="B1614" s="1" t="n">
        <v>45791.660625</v>
      </c>
      <c r="C1614" s="1" t="n">
        <v>46036</v>
      </c>
      <c r="D1614" t="inlineStr">
        <is>
          <t>GÄVLEBORGS LÄN</t>
        </is>
      </c>
      <c r="E1614" t="inlineStr">
        <is>
          <t>LJUSDAL</t>
        </is>
      </c>
      <c r="F1614" t="inlineStr">
        <is>
          <t>Bergvik skog väst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9359-2024</t>
        </is>
      </c>
      <c r="B1615" s="1" t="n">
        <v>45359.32847222222</v>
      </c>
      <c r="C1615" s="1" t="n">
        <v>46036</v>
      </c>
      <c r="D1615" t="inlineStr">
        <is>
          <t>GÄVLEBORGS LÄN</t>
        </is>
      </c>
      <c r="E1615" t="inlineStr">
        <is>
          <t>LJUSDAL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23036-2025</t>
        </is>
      </c>
      <c r="B1616" s="1" t="n">
        <v>45790.66123842593</v>
      </c>
      <c r="C1616" s="1" t="n">
        <v>46036</v>
      </c>
      <c r="D1616" t="inlineStr">
        <is>
          <t>GÄVLEBORGS LÄN</t>
        </is>
      </c>
      <c r="E1616" t="inlineStr">
        <is>
          <t>LJUSDAL</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23016-2025</t>
        </is>
      </c>
      <c r="B1617" s="1" t="n">
        <v>45790.6394212963</v>
      </c>
      <c r="C1617" s="1" t="n">
        <v>46036</v>
      </c>
      <c r="D1617" t="inlineStr">
        <is>
          <t>GÄVLEBORGS LÄN</t>
        </is>
      </c>
      <c r="E1617" t="inlineStr">
        <is>
          <t>LJUSDAL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23594-2025</t>
        </is>
      </c>
      <c r="B1618" s="1" t="n">
        <v>45792.64136574074</v>
      </c>
      <c r="C1618" s="1" t="n">
        <v>46036</v>
      </c>
      <c r="D1618" t="inlineStr">
        <is>
          <t>GÄVLEBORGS LÄN</t>
        </is>
      </c>
      <c r="E1618" t="inlineStr">
        <is>
          <t>LJUSDAL</t>
        </is>
      </c>
      <c r="F1618" t="inlineStr">
        <is>
          <t>Bergvik skog väst AB</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23591-2025</t>
        </is>
      </c>
      <c r="B1619" s="1" t="n">
        <v>45792.63633101852</v>
      </c>
      <c r="C1619" s="1" t="n">
        <v>46036</v>
      </c>
      <c r="D1619" t="inlineStr">
        <is>
          <t>GÄVLEBORGS LÄN</t>
        </is>
      </c>
      <c r="E1619" t="inlineStr">
        <is>
          <t>LJUSDAL</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23603-2025</t>
        </is>
      </c>
      <c r="B1620" s="1" t="n">
        <v>45792.65420138889</v>
      </c>
      <c r="C1620" s="1" t="n">
        <v>46036</v>
      </c>
      <c r="D1620" t="inlineStr">
        <is>
          <t>GÄVLEBORGS LÄN</t>
        </is>
      </c>
      <c r="E1620" t="inlineStr">
        <is>
          <t>LJUSDAL</t>
        </is>
      </c>
      <c r="F1620" t="inlineStr">
        <is>
          <t>Bergvik skog väst AB</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23710-2025</t>
        </is>
      </c>
      <c r="B1621" s="1" t="n">
        <v>45793.38253472222</v>
      </c>
      <c r="C1621" s="1" t="n">
        <v>46036</v>
      </c>
      <c r="D1621" t="inlineStr">
        <is>
          <t>GÄVLEBORGS LÄN</t>
        </is>
      </c>
      <c r="E1621" t="inlineStr">
        <is>
          <t>LJUSDAL</t>
        </is>
      </c>
      <c r="F1621" t="inlineStr">
        <is>
          <t>Bergvik skog väst AB</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23571-2025</t>
        </is>
      </c>
      <c r="B1622" s="1" t="n">
        <v>45792.61167824074</v>
      </c>
      <c r="C1622" s="1" t="n">
        <v>46036</v>
      </c>
      <c r="D1622" t="inlineStr">
        <is>
          <t>GÄVLEBORGS LÄN</t>
        </is>
      </c>
      <c r="E1622" t="inlineStr">
        <is>
          <t>LJUSDAL</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23595-2025</t>
        </is>
      </c>
      <c r="B1623" s="1" t="n">
        <v>45792.64585648148</v>
      </c>
      <c r="C1623" s="1" t="n">
        <v>46036</v>
      </c>
      <c r="D1623" t="inlineStr">
        <is>
          <t>GÄVLEBORGS LÄN</t>
        </is>
      </c>
      <c r="E1623" t="inlineStr">
        <is>
          <t>LJUSDAL</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23656-2025</t>
        </is>
      </c>
      <c r="B1624" s="1" t="n">
        <v>45792.7308449074</v>
      </c>
      <c r="C1624" s="1" t="n">
        <v>46036</v>
      </c>
      <c r="D1624" t="inlineStr">
        <is>
          <t>GÄVLEBORGS LÄN</t>
        </is>
      </c>
      <c r="E1624" t="inlineStr">
        <is>
          <t>LJUSDAL</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4420-2024</t>
        </is>
      </c>
      <c r="B1625" s="1" t="n">
        <v>45327</v>
      </c>
      <c r="C1625" s="1" t="n">
        <v>46036</v>
      </c>
      <c r="D1625" t="inlineStr">
        <is>
          <t>GÄVLEBORGS LÄN</t>
        </is>
      </c>
      <c r="E1625" t="inlineStr">
        <is>
          <t>LJUSDAL</t>
        </is>
      </c>
      <c r="F1625" t="inlineStr">
        <is>
          <t>Holmen skog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23477-2025</t>
        </is>
      </c>
      <c r="B1626" s="1" t="n">
        <v>45792.45667824074</v>
      </c>
      <c r="C1626" s="1" t="n">
        <v>46036</v>
      </c>
      <c r="D1626" t="inlineStr">
        <is>
          <t>GÄVLEBORGS LÄN</t>
        </is>
      </c>
      <c r="E1626" t="inlineStr">
        <is>
          <t>LJUSDAL</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26631-2024</t>
        </is>
      </c>
      <c r="B1627" s="1" t="n">
        <v>45469</v>
      </c>
      <c r="C1627" s="1" t="n">
        <v>46036</v>
      </c>
      <c r="D1627" t="inlineStr">
        <is>
          <t>GÄVLEBORGS LÄN</t>
        </is>
      </c>
      <c r="E1627" t="inlineStr">
        <is>
          <t>LJUSDAL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60957-2023</t>
        </is>
      </c>
      <c r="B1628" s="1" t="n">
        <v>45261</v>
      </c>
      <c r="C1628" s="1" t="n">
        <v>46036</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24398-2025</t>
        </is>
      </c>
      <c r="B1629" s="1" t="n">
        <v>45797.64421296296</v>
      </c>
      <c r="C1629" s="1" t="n">
        <v>46036</v>
      </c>
      <c r="D1629" t="inlineStr">
        <is>
          <t>GÄVLEBORGS LÄN</t>
        </is>
      </c>
      <c r="E1629" t="inlineStr">
        <is>
          <t>LJUSDAL</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24400-2025</t>
        </is>
      </c>
      <c r="B1630" s="1" t="n">
        <v>45797.64821759259</v>
      </c>
      <c r="C1630" s="1" t="n">
        <v>46036</v>
      </c>
      <c r="D1630" t="inlineStr">
        <is>
          <t>GÄVLEBORGS LÄN</t>
        </is>
      </c>
      <c r="E1630" t="inlineStr">
        <is>
          <t>LJUSDAL</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48870-2023</t>
        </is>
      </c>
      <c r="B1631" s="1" t="n">
        <v>45209.46043981481</v>
      </c>
      <c r="C1631" s="1" t="n">
        <v>46036</v>
      </c>
      <c r="D1631" t="inlineStr">
        <is>
          <t>GÄVLEBORGS LÄN</t>
        </is>
      </c>
      <c r="E1631" t="inlineStr">
        <is>
          <t>LJUSDAL</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24405-2025</t>
        </is>
      </c>
      <c r="B1632" s="1" t="n">
        <v>45797.65386574074</v>
      </c>
      <c r="C1632" s="1" t="n">
        <v>46036</v>
      </c>
      <c r="D1632" t="inlineStr">
        <is>
          <t>GÄVLEBORGS LÄN</t>
        </is>
      </c>
      <c r="E1632" t="inlineStr">
        <is>
          <t>LJUSDAL</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52722-2024</t>
        </is>
      </c>
      <c r="B1633" s="1" t="n">
        <v>45610.43961805556</v>
      </c>
      <c r="C1633" s="1" t="n">
        <v>46036</v>
      </c>
      <c r="D1633" t="inlineStr">
        <is>
          <t>GÄVLEBORGS LÄN</t>
        </is>
      </c>
      <c r="E1633" t="inlineStr">
        <is>
          <t>LJUSDAL</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24257-2025</t>
        </is>
      </c>
      <c r="B1634" s="1" t="n">
        <v>45797.40664351852</v>
      </c>
      <c r="C1634" s="1" t="n">
        <v>46036</v>
      </c>
      <c r="D1634" t="inlineStr">
        <is>
          <t>GÄVLEBORGS LÄN</t>
        </is>
      </c>
      <c r="E1634" t="inlineStr">
        <is>
          <t>LJUSDAL</t>
        </is>
      </c>
      <c r="G1634" t="n">
        <v>26.5</v>
      </c>
      <c r="H1634" t="n">
        <v>0</v>
      </c>
      <c r="I1634" t="n">
        <v>0</v>
      </c>
      <c r="J1634" t="n">
        <v>0</v>
      </c>
      <c r="K1634" t="n">
        <v>0</v>
      </c>
      <c r="L1634" t="n">
        <v>0</v>
      </c>
      <c r="M1634" t="n">
        <v>0</v>
      </c>
      <c r="N1634" t="n">
        <v>0</v>
      </c>
      <c r="O1634" t="n">
        <v>0</v>
      </c>
      <c r="P1634" t="n">
        <v>0</v>
      </c>
      <c r="Q1634" t="n">
        <v>0</v>
      </c>
      <c r="R1634" s="2" t="inlineStr"/>
    </row>
    <row r="1635" ht="15" customHeight="1">
      <c r="A1635" t="inlineStr">
        <is>
          <t>A 23914-2025</t>
        </is>
      </c>
      <c r="B1635" s="1" t="n">
        <v>45795.34452546296</v>
      </c>
      <c r="C1635" s="1" t="n">
        <v>46036</v>
      </c>
      <c r="D1635" t="inlineStr">
        <is>
          <t>GÄVLEBORGS LÄN</t>
        </is>
      </c>
      <c r="E1635" t="inlineStr">
        <is>
          <t>LJUSDAL</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23918-2025</t>
        </is>
      </c>
      <c r="B1636" s="1" t="n">
        <v>45795.34489583333</v>
      </c>
      <c r="C1636" s="1" t="n">
        <v>46036</v>
      </c>
      <c r="D1636" t="inlineStr">
        <is>
          <t>GÄVLEBORGS LÄN</t>
        </is>
      </c>
      <c r="E1636" t="inlineStr">
        <is>
          <t>LJUSDAL</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24286-2025</t>
        </is>
      </c>
      <c r="B1637" s="1" t="n">
        <v>45797.46030092592</v>
      </c>
      <c r="C1637" s="1" t="n">
        <v>46036</v>
      </c>
      <c r="D1637" t="inlineStr">
        <is>
          <t>GÄVLEBORGS LÄN</t>
        </is>
      </c>
      <c r="E1637" t="inlineStr">
        <is>
          <t>LJUSDAL</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24452-2025</t>
        </is>
      </c>
      <c r="B1638" s="1" t="n">
        <v>45798.34284722222</v>
      </c>
      <c r="C1638" s="1" t="n">
        <v>46036</v>
      </c>
      <c r="D1638" t="inlineStr">
        <is>
          <t>GÄVLEBORGS LÄN</t>
        </is>
      </c>
      <c r="E1638" t="inlineStr">
        <is>
          <t>LJUSDAL</t>
        </is>
      </c>
      <c r="F1638" t="inlineStr">
        <is>
          <t>Holmen skog AB</t>
        </is>
      </c>
      <c r="G1638" t="n">
        <v>19.7</v>
      </c>
      <c r="H1638" t="n">
        <v>0</v>
      </c>
      <c r="I1638" t="n">
        <v>0</v>
      </c>
      <c r="J1638" t="n">
        <v>0</v>
      </c>
      <c r="K1638" t="n">
        <v>0</v>
      </c>
      <c r="L1638" t="n">
        <v>0</v>
      </c>
      <c r="M1638" t="n">
        <v>0</v>
      </c>
      <c r="N1638" t="n">
        <v>0</v>
      </c>
      <c r="O1638" t="n">
        <v>0</v>
      </c>
      <c r="P1638" t="n">
        <v>0</v>
      </c>
      <c r="Q1638" t="n">
        <v>0</v>
      </c>
      <c r="R1638" s="2" t="inlineStr"/>
    </row>
    <row r="1639" ht="15" customHeight="1">
      <c r="A1639" t="inlineStr">
        <is>
          <t>A 25047-2025</t>
        </is>
      </c>
      <c r="B1639" s="1" t="n">
        <v>45799.66768518519</v>
      </c>
      <c r="C1639" s="1" t="n">
        <v>46036</v>
      </c>
      <c r="D1639" t="inlineStr">
        <is>
          <t>GÄVLEBORGS LÄN</t>
        </is>
      </c>
      <c r="E1639" t="inlineStr">
        <is>
          <t>LJUSDAL</t>
        </is>
      </c>
      <c r="F1639" t="inlineStr">
        <is>
          <t>Holmen skog AB</t>
        </is>
      </c>
      <c r="G1639" t="n">
        <v>24.1</v>
      </c>
      <c r="H1639" t="n">
        <v>0</v>
      </c>
      <c r="I1639" t="n">
        <v>0</v>
      </c>
      <c r="J1639" t="n">
        <v>0</v>
      </c>
      <c r="K1639" t="n">
        <v>0</v>
      </c>
      <c r="L1639" t="n">
        <v>0</v>
      </c>
      <c r="M1639" t="n">
        <v>0</v>
      </c>
      <c r="N1639" t="n">
        <v>0</v>
      </c>
      <c r="O1639" t="n">
        <v>0</v>
      </c>
      <c r="P1639" t="n">
        <v>0</v>
      </c>
      <c r="Q1639" t="n">
        <v>0</v>
      </c>
      <c r="R1639" s="2" t="inlineStr"/>
    </row>
    <row r="1640" ht="15" customHeight="1">
      <c r="A1640" t="inlineStr">
        <is>
          <t>A 25048-2025</t>
        </is>
      </c>
      <c r="B1640" s="1" t="n">
        <v>45799.66791666667</v>
      </c>
      <c r="C1640" s="1" t="n">
        <v>46036</v>
      </c>
      <c r="D1640" t="inlineStr">
        <is>
          <t>GÄVLEBORGS LÄN</t>
        </is>
      </c>
      <c r="E1640" t="inlineStr">
        <is>
          <t>LJUSDAL</t>
        </is>
      </c>
      <c r="F1640" t="inlineStr">
        <is>
          <t>Holmen skog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24943-2025</t>
        </is>
      </c>
      <c r="B1641" s="1" t="n">
        <v>45799.56239583333</v>
      </c>
      <c r="C1641" s="1" t="n">
        <v>46036</v>
      </c>
      <c r="D1641" t="inlineStr">
        <is>
          <t>GÄVLEBORGS LÄN</t>
        </is>
      </c>
      <c r="E1641" t="inlineStr">
        <is>
          <t>LJUSDAL</t>
        </is>
      </c>
      <c r="F1641" t="inlineStr">
        <is>
          <t>Sveaskog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24945-2025</t>
        </is>
      </c>
      <c r="B1642" s="1" t="n">
        <v>45799.56395833333</v>
      </c>
      <c r="C1642" s="1" t="n">
        <v>46036</v>
      </c>
      <c r="D1642" t="inlineStr">
        <is>
          <t>GÄVLEBORGS LÄN</t>
        </is>
      </c>
      <c r="E1642" t="inlineStr">
        <is>
          <t>LJUSDAL</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24778-2025</t>
        </is>
      </c>
      <c r="B1643" s="1" t="n">
        <v>45799.40810185186</v>
      </c>
      <c r="C1643" s="1" t="n">
        <v>46036</v>
      </c>
      <c r="D1643" t="inlineStr">
        <is>
          <t>GÄVLEBORGS LÄN</t>
        </is>
      </c>
      <c r="E1643" t="inlineStr">
        <is>
          <t>LJUSDAL</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24810-2025</t>
        </is>
      </c>
      <c r="B1644" s="1" t="n">
        <v>45799.44596064815</v>
      </c>
      <c r="C1644" s="1" t="n">
        <v>46036</v>
      </c>
      <c r="D1644" t="inlineStr">
        <is>
          <t>GÄVLEBORGS LÄN</t>
        </is>
      </c>
      <c r="E1644" t="inlineStr">
        <is>
          <t>LJUSDAL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25057-2025</t>
        </is>
      </c>
      <c r="B1645" s="1" t="n">
        <v>45799.68395833333</v>
      </c>
      <c r="C1645" s="1" t="n">
        <v>46036</v>
      </c>
      <c r="D1645" t="inlineStr">
        <is>
          <t>GÄVLEBORGS LÄN</t>
        </is>
      </c>
      <c r="E1645" t="inlineStr">
        <is>
          <t>LJUSDAL</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25037-2025</t>
        </is>
      </c>
      <c r="B1646" s="1" t="n">
        <v>45799.65700231482</v>
      </c>
      <c r="C1646" s="1" t="n">
        <v>46036</v>
      </c>
      <c r="D1646" t="inlineStr">
        <is>
          <t>GÄVLEBORGS LÄN</t>
        </is>
      </c>
      <c r="E1646" t="inlineStr">
        <is>
          <t>LJUSDAL</t>
        </is>
      </c>
      <c r="G1646" t="n">
        <v>12.3</v>
      </c>
      <c r="H1646" t="n">
        <v>0</v>
      </c>
      <c r="I1646" t="n">
        <v>0</v>
      </c>
      <c r="J1646" t="n">
        <v>0</v>
      </c>
      <c r="K1646" t="n">
        <v>0</v>
      </c>
      <c r="L1646" t="n">
        <v>0</v>
      </c>
      <c r="M1646" t="n">
        <v>0</v>
      </c>
      <c r="N1646" t="n">
        <v>0</v>
      </c>
      <c r="O1646" t="n">
        <v>0</v>
      </c>
      <c r="P1646" t="n">
        <v>0</v>
      </c>
      <c r="Q1646" t="n">
        <v>0</v>
      </c>
      <c r="R1646" s="2" t="inlineStr"/>
    </row>
    <row r="1647" ht="15" customHeight="1">
      <c r="A1647" t="inlineStr">
        <is>
          <t>A 24840-2025</t>
        </is>
      </c>
      <c r="B1647" s="1" t="n">
        <v>45799.46436342593</v>
      </c>
      <c r="C1647" s="1" t="n">
        <v>46036</v>
      </c>
      <c r="D1647" t="inlineStr">
        <is>
          <t>GÄVLEBORGS LÄN</t>
        </is>
      </c>
      <c r="E1647" t="inlineStr">
        <is>
          <t>LJUSDAL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24881-2025</t>
        </is>
      </c>
      <c r="B1648" s="1" t="n">
        <v>45799.49890046296</v>
      </c>
      <c r="C1648" s="1" t="n">
        <v>46036</v>
      </c>
      <c r="D1648" t="inlineStr">
        <is>
          <t>GÄVLEBORGS LÄN</t>
        </is>
      </c>
      <c r="E1648" t="inlineStr">
        <is>
          <t>LJUSDAL</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24713-2025</t>
        </is>
      </c>
      <c r="B1649" s="1" t="n">
        <v>45798.91952546296</v>
      </c>
      <c r="C1649" s="1" t="n">
        <v>46036</v>
      </c>
      <c r="D1649" t="inlineStr">
        <is>
          <t>GÄVLEBORGS LÄN</t>
        </is>
      </c>
      <c r="E1649" t="inlineStr">
        <is>
          <t>LJUSDAL</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25614-2025</t>
        </is>
      </c>
      <c r="B1650" s="1" t="n">
        <v>45803.56303240741</v>
      </c>
      <c r="C1650" s="1" t="n">
        <v>46036</v>
      </c>
      <c r="D1650" t="inlineStr">
        <is>
          <t>GÄVLEBORGS LÄN</t>
        </is>
      </c>
      <c r="E1650" t="inlineStr">
        <is>
          <t>LJUSDAL</t>
        </is>
      </c>
      <c r="F1650" t="inlineStr">
        <is>
          <t>Holmen skog AB</t>
        </is>
      </c>
      <c r="G1650" t="n">
        <v>16.3</v>
      </c>
      <c r="H1650" t="n">
        <v>0</v>
      </c>
      <c r="I1650" t="n">
        <v>0</v>
      </c>
      <c r="J1650" t="n">
        <v>0</v>
      </c>
      <c r="K1650" t="n">
        <v>0</v>
      </c>
      <c r="L1650" t="n">
        <v>0</v>
      </c>
      <c r="M1650" t="n">
        <v>0</v>
      </c>
      <c r="N1650" t="n">
        <v>0</v>
      </c>
      <c r="O1650" t="n">
        <v>0</v>
      </c>
      <c r="P1650" t="n">
        <v>0</v>
      </c>
      <c r="Q1650" t="n">
        <v>0</v>
      </c>
      <c r="R1650" s="2" t="inlineStr"/>
    </row>
    <row r="1651" ht="15" customHeight="1">
      <c r="A1651" t="inlineStr">
        <is>
          <t>A 25684-2025</t>
        </is>
      </c>
      <c r="B1651" s="1" t="n">
        <v>45803.65211805556</v>
      </c>
      <c r="C1651" s="1" t="n">
        <v>46036</v>
      </c>
      <c r="D1651" t="inlineStr">
        <is>
          <t>GÄVLEBORGS LÄN</t>
        </is>
      </c>
      <c r="E1651" t="inlineStr">
        <is>
          <t>LJUSDAL</t>
        </is>
      </c>
      <c r="F1651" t="inlineStr">
        <is>
          <t>Holmen skog AB</t>
        </is>
      </c>
      <c r="G1651" t="n">
        <v>22.6</v>
      </c>
      <c r="H1651" t="n">
        <v>0</v>
      </c>
      <c r="I1651" t="n">
        <v>0</v>
      </c>
      <c r="J1651" t="n">
        <v>0</v>
      </c>
      <c r="K1651" t="n">
        <v>0</v>
      </c>
      <c r="L1651" t="n">
        <v>0</v>
      </c>
      <c r="M1651" t="n">
        <v>0</v>
      </c>
      <c r="N1651" t="n">
        <v>0</v>
      </c>
      <c r="O1651" t="n">
        <v>0</v>
      </c>
      <c r="P1651" t="n">
        <v>0</v>
      </c>
      <c r="Q1651" t="n">
        <v>0</v>
      </c>
      <c r="R1651" s="2" t="inlineStr"/>
    </row>
    <row r="1652" ht="15" customHeight="1">
      <c r="A1652" t="inlineStr">
        <is>
          <t>A 25613-2025</t>
        </is>
      </c>
      <c r="B1652" s="1" t="n">
        <v>45800</v>
      </c>
      <c r="C1652" s="1" t="n">
        <v>46036</v>
      </c>
      <c r="D1652" t="inlineStr">
        <is>
          <t>GÄVLEBORGS LÄN</t>
        </is>
      </c>
      <c r="E1652" t="inlineStr">
        <is>
          <t>LJUSDAL</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25569-2025</t>
        </is>
      </c>
      <c r="B1653" s="1" t="n">
        <v>45803.4665625</v>
      </c>
      <c r="C1653" s="1" t="n">
        <v>46036</v>
      </c>
      <c r="D1653" t="inlineStr">
        <is>
          <t>GÄVLEBORGS LÄN</t>
        </is>
      </c>
      <c r="E1653" t="inlineStr">
        <is>
          <t>LJUSDAL</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44696-2021</t>
        </is>
      </c>
      <c r="B1654" s="1" t="n">
        <v>44438.34721064815</v>
      </c>
      <c r="C1654" s="1" t="n">
        <v>46036</v>
      </c>
      <c r="D1654" t="inlineStr">
        <is>
          <t>GÄVLEBORGS LÄN</t>
        </is>
      </c>
      <c r="E1654" t="inlineStr">
        <is>
          <t>LJUSDAL</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25539-2025</t>
        </is>
      </c>
      <c r="B1655" s="1" t="n">
        <v>45803.42452546296</v>
      </c>
      <c r="C1655" s="1" t="n">
        <v>46036</v>
      </c>
      <c r="D1655" t="inlineStr">
        <is>
          <t>GÄVLEBORGS LÄN</t>
        </is>
      </c>
      <c r="E1655" t="inlineStr">
        <is>
          <t>LJUSDAL</t>
        </is>
      </c>
      <c r="F1655" t="inlineStr">
        <is>
          <t>Holmen skog AB</t>
        </is>
      </c>
      <c r="G1655" t="n">
        <v>12.9</v>
      </c>
      <c r="H1655" t="n">
        <v>0</v>
      </c>
      <c r="I1655" t="n">
        <v>0</v>
      </c>
      <c r="J1655" t="n">
        <v>0</v>
      </c>
      <c r="K1655" t="n">
        <v>0</v>
      </c>
      <c r="L1655" t="n">
        <v>0</v>
      </c>
      <c r="M1655" t="n">
        <v>0</v>
      </c>
      <c r="N1655" t="n">
        <v>0</v>
      </c>
      <c r="O1655" t="n">
        <v>0</v>
      </c>
      <c r="P1655" t="n">
        <v>0</v>
      </c>
      <c r="Q1655" t="n">
        <v>0</v>
      </c>
      <c r="R1655" s="2" t="inlineStr"/>
    </row>
    <row r="1656" ht="15" customHeight="1">
      <c r="A1656" t="inlineStr">
        <is>
          <t>A 25602-2025</t>
        </is>
      </c>
      <c r="B1656" s="1" t="n">
        <v>45800</v>
      </c>
      <c r="C1656" s="1" t="n">
        <v>46036</v>
      </c>
      <c r="D1656" t="inlineStr">
        <is>
          <t>GÄVLEBORGS LÄN</t>
        </is>
      </c>
      <c r="E1656" t="inlineStr">
        <is>
          <t>LJUSDAL</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25504-2025</t>
        </is>
      </c>
      <c r="B1657" s="1" t="n">
        <v>45803.35074074074</v>
      </c>
      <c r="C1657" s="1" t="n">
        <v>46036</v>
      </c>
      <c r="D1657" t="inlineStr">
        <is>
          <t>GÄVLEBORGS LÄN</t>
        </is>
      </c>
      <c r="E1657" t="inlineStr">
        <is>
          <t>LJUSDAL</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25832-2025</t>
        </is>
      </c>
      <c r="B1658" s="1" t="n">
        <v>45804.44728009259</v>
      </c>
      <c r="C1658" s="1" t="n">
        <v>46036</v>
      </c>
      <c r="D1658" t="inlineStr">
        <is>
          <t>GÄVLEBORGS LÄN</t>
        </is>
      </c>
      <c r="E1658" t="inlineStr">
        <is>
          <t>LJUSDAL</t>
        </is>
      </c>
      <c r="F1658" t="inlineStr">
        <is>
          <t>Holmen skog AB</t>
        </is>
      </c>
      <c r="G1658" t="n">
        <v>23.1</v>
      </c>
      <c r="H1658" t="n">
        <v>0</v>
      </c>
      <c r="I1658" t="n">
        <v>0</v>
      </c>
      <c r="J1658" t="n">
        <v>0</v>
      </c>
      <c r="K1658" t="n">
        <v>0</v>
      </c>
      <c r="L1658" t="n">
        <v>0</v>
      </c>
      <c r="M1658" t="n">
        <v>0</v>
      </c>
      <c r="N1658" t="n">
        <v>0</v>
      </c>
      <c r="O1658" t="n">
        <v>0</v>
      </c>
      <c r="P1658" t="n">
        <v>0</v>
      </c>
      <c r="Q1658" t="n">
        <v>0</v>
      </c>
      <c r="R1658" s="2" t="inlineStr"/>
    </row>
    <row r="1659" ht="15" customHeight="1">
      <c r="A1659" t="inlineStr">
        <is>
          <t>A 25993-2025</t>
        </is>
      </c>
      <c r="B1659" s="1" t="n">
        <v>45804.65660879629</v>
      </c>
      <c r="C1659" s="1" t="n">
        <v>46036</v>
      </c>
      <c r="D1659" t="inlineStr">
        <is>
          <t>GÄVLEBORGS LÄN</t>
        </is>
      </c>
      <c r="E1659" t="inlineStr">
        <is>
          <t>LJUSDAL</t>
        </is>
      </c>
      <c r="F1659" t="inlineStr">
        <is>
          <t>Holmen skog AB</t>
        </is>
      </c>
      <c r="G1659" t="n">
        <v>26.6</v>
      </c>
      <c r="H1659" t="n">
        <v>0</v>
      </c>
      <c r="I1659" t="n">
        <v>0</v>
      </c>
      <c r="J1659" t="n">
        <v>0</v>
      </c>
      <c r="K1659" t="n">
        <v>0</v>
      </c>
      <c r="L1659" t="n">
        <v>0</v>
      </c>
      <c r="M1659" t="n">
        <v>0</v>
      </c>
      <c r="N1659" t="n">
        <v>0</v>
      </c>
      <c r="O1659" t="n">
        <v>0</v>
      </c>
      <c r="P1659" t="n">
        <v>0</v>
      </c>
      <c r="Q1659" t="n">
        <v>0</v>
      </c>
      <c r="R1659" s="2" t="inlineStr"/>
    </row>
    <row r="1660" ht="15" customHeight="1">
      <c r="A1660" t="inlineStr">
        <is>
          <t>A 26268-2025</t>
        </is>
      </c>
      <c r="B1660" s="1" t="n">
        <v>45805.59122685185</v>
      </c>
      <c r="C1660" s="1" t="n">
        <v>46036</v>
      </c>
      <c r="D1660" t="inlineStr">
        <is>
          <t>GÄVLEBORGS LÄN</t>
        </is>
      </c>
      <c r="E1660" t="inlineStr">
        <is>
          <t>LJUSDAL</t>
        </is>
      </c>
      <c r="F1660" t="inlineStr">
        <is>
          <t>Kommuner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26091-2025</t>
        </is>
      </c>
      <c r="B1661" s="1" t="n">
        <v>45805.34539351852</v>
      </c>
      <c r="C1661" s="1" t="n">
        <v>46036</v>
      </c>
      <c r="D1661" t="inlineStr">
        <is>
          <t>GÄVLEBORGS LÄN</t>
        </is>
      </c>
      <c r="E1661" t="inlineStr">
        <is>
          <t>LJUSDAL</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20016-2023</t>
        </is>
      </c>
      <c r="B1662" s="1" t="n">
        <v>45054.63719907407</v>
      </c>
      <c r="C1662" s="1" t="n">
        <v>46036</v>
      </c>
      <c r="D1662" t="inlineStr">
        <is>
          <t>GÄVLEBORGS LÄN</t>
        </is>
      </c>
      <c r="E1662" t="inlineStr">
        <is>
          <t>LJUSDAL</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25756-2025</t>
        </is>
      </c>
      <c r="B1663" s="1" t="n">
        <v>45804.32913194445</v>
      </c>
      <c r="C1663" s="1" t="n">
        <v>46036</v>
      </c>
      <c r="D1663" t="inlineStr">
        <is>
          <t>GÄVLEBORGS LÄN</t>
        </is>
      </c>
      <c r="E1663" t="inlineStr">
        <is>
          <t>LJUSDAL</t>
        </is>
      </c>
      <c r="F1663" t="inlineStr">
        <is>
          <t>Holmen skog AB</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25898-2025</t>
        </is>
      </c>
      <c r="B1664" s="1" t="n">
        <v>45804.54803240741</v>
      </c>
      <c r="C1664" s="1" t="n">
        <v>46036</v>
      </c>
      <c r="D1664" t="inlineStr">
        <is>
          <t>GÄVLEBORGS LÄN</t>
        </is>
      </c>
      <c r="E1664" t="inlineStr">
        <is>
          <t>LJUSDAL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26103-2025</t>
        </is>
      </c>
      <c r="B1665" s="1" t="n">
        <v>45805.35861111111</v>
      </c>
      <c r="C1665" s="1" t="n">
        <v>46036</v>
      </c>
      <c r="D1665" t="inlineStr">
        <is>
          <t>GÄVLEBORGS LÄN</t>
        </is>
      </c>
      <c r="E1665" t="inlineStr">
        <is>
          <t>LJUSDAL</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25884-2025</t>
        </is>
      </c>
      <c r="B1666" s="1" t="n">
        <v>45804.50662037037</v>
      </c>
      <c r="C1666" s="1" t="n">
        <v>46036</v>
      </c>
      <c r="D1666" t="inlineStr">
        <is>
          <t>GÄVLEBORGS LÄN</t>
        </is>
      </c>
      <c r="E1666" t="inlineStr">
        <is>
          <t>LJUSDAL</t>
        </is>
      </c>
      <c r="F1666" t="inlineStr">
        <is>
          <t>Holmen skog AB</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26580-2025</t>
        </is>
      </c>
      <c r="B1667" s="1" t="n">
        <v>45807</v>
      </c>
      <c r="C1667" s="1" t="n">
        <v>46036</v>
      </c>
      <c r="D1667" t="inlineStr">
        <is>
          <t>GÄVLEBORGS LÄN</t>
        </is>
      </c>
      <c r="E1667" t="inlineStr">
        <is>
          <t>LJUSDAL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26557-2025</t>
        </is>
      </c>
      <c r="B1668" s="1" t="n">
        <v>45807.62958333334</v>
      </c>
      <c r="C1668" s="1" t="n">
        <v>46036</v>
      </c>
      <c r="D1668" t="inlineStr">
        <is>
          <t>GÄVLEBORGS LÄN</t>
        </is>
      </c>
      <c r="E1668" t="inlineStr">
        <is>
          <t>LJUSDAL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26579-2025</t>
        </is>
      </c>
      <c r="B1669" s="1" t="n">
        <v>45807</v>
      </c>
      <c r="C1669" s="1" t="n">
        <v>46036</v>
      </c>
      <c r="D1669" t="inlineStr">
        <is>
          <t>GÄVLEBORGS LÄN</t>
        </is>
      </c>
      <c r="E1669" t="inlineStr">
        <is>
          <t>LJUSDAL</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26538-2025</t>
        </is>
      </c>
      <c r="B1670" s="1" t="n">
        <v>45807.57506944444</v>
      </c>
      <c r="C1670" s="1" t="n">
        <v>46036</v>
      </c>
      <c r="D1670" t="inlineStr">
        <is>
          <t>GÄVLEBORGS LÄN</t>
        </is>
      </c>
      <c r="E1670" t="inlineStr">
        <is>
          <t>LJUSDAL</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26578-2025</t>
        </is>
      </c>
      <c r="B1671" s="1" t="n">
        <v>45807</v>
      </c>
      <c r="C1671" s="1" t="n">
        <v>46036</v>
      </c>
      <c r="D1671" t="inlineStr">
        <is>
          <t>GÄVLEBORGS LÄN</t>
        </is>
      </c>
      <c r="E1671" t="inlineStr">
        <is>
          <t>LJUSDAL</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27027-2025</t>
        </is>
      </c>
      <c r="B1672" s="1" t="n">
        <v>45811.58193287037</v>
      </c>
      <c r="C1672" s="1" t="n">
        <v>46036</v>
      </c>
      <c r="D1672" t="inlineStr">
        <is>
          <t>GÄVLEBORGS LÄN</t>
        </is>
      </c>
      <c r="E1672" t="inlineStr">
        <is>
          <t>LJUSDAL</t>
        </is>
      </c>
      <c r="F1672" t="inlineStr">
        <is>
          <t>Holmen skog AB</t>
        </is>
      </c>
      <c r="G1672" t="n">
        <v>27.2</v>
      </c>
      <c r="H1672" t="n">
        <v>0</v>
      </c>
      <c r="I1672" t="n">
        <v>0</v>
      </c>
      <c r="J1672" t="n">
        <v>0</v>
      </c>
      <c r="K1672" t="n">
        <v>0</v>
      </c>
      <c r="L1672" t="n">
        <v>0</v>
      </c>
      <c r="M1672" t="n">
        <v>0</v>
      </c>
      <c r="N1672" t="n">
        <v>0</v>
      </c>
      <c r="O1672" t="n">
        <v>0</v>
      </c>
      <c r="P1672" t="n">
        <v>0</v>
      </c>
      <c r="Q1672" t="n">
        <v>0</v>
      </c>
      <c r="R1672" s="2" t="inlineStr"/>
    </row>
    <row r="1673" ht="15" customHeight="1">
      <c r="A1673" t="inlineStr">
        <is>
          <t>A 27086-2025</t>
        </is>
      </c>
      <c r="B1673" s="1" t="n">
        <v>45811.66273148148</v>
      </c>
      <c r="C1673" s="1" t="n">
        <v>46036</v>
      </c>
      <c r="D1673" t="inlineStr">
        <is>
          <t>GÄVLEBORGS LÄN</t>
        </is>
      </c>
      <c r="E1673" t="inlineStr">
        <is>
          <t>LJUSDAL</t>
        </is>
      </c>
      <c r="F1673" t="inlineStr">
        <is>
          <t>Holmen skog AB</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10074-2022</t>
        </is>
      </c>
      <c r="B1674" s="1" t="n">
        <v>44621</v>
      </c>
      <c r="C1674" s="1" t="n">
        <v>46036</v>
      </c>
      <c r="D1674" t="inlineStr">
        <is>
          <t>GÄVLEBORGS LÄN</t>
        </is>
      </c>
      <c r="E1674" t="inlineStr">
        <is>
          <t>LJUSDAL</t>
        </is>
      </c>
      <c r="F1674" t="inlineStr">
        <is>
          <t>Kommuner</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29812-2024</t>
        </is>
      </c>
      <c r="B1675" s="1" t="n">
        <v>45485</v>
      </c>
      <c r="C1675" s="1" t="n">
        <v>46036</v>
      </c>
      <c r="D1675" t="inlineStr">
        <is>
          <t>GÄVLEBORGS LÄN</t>
        </is>
      </c>
      <c r="E1675" t="inlineStr">
        <is>
          <t>LJUSDAL</t>
        </is>
      </c>
      <c r="F1675" t="inlineStr">
        <is>
          <t>Allmännings- och besparingsskogar</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33297-2024</t>
        </is>
      </c>
      <c r="B1676" s="1" t="n">
        <v>45518.93506944444</v>
      </c>
      <c r="C1676" s="1" t="n">
        <v>46036</v>
      </c>
      <c r="D1676" t="inlineStr">
        <is>
          <t>GÄVLEBORGS LÄN</t>
        </is>
      </c>
      <c r="E1676" t="inlineStr">
        <is>
          <t>LJUSDAL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21194-2024</t>
        </is>
      </c>
      <c r="B1677" s="1" t="n">
        <v>45440</v>
      </c>
      <c r="C1677" s="1" t="n">
        <v>46036</v>
      </c>
      <c r="D1677" t="inlineStr">
        <is>
          <t>GÄVLEBORGS LÄN</t>
        </is>
      </c>
      <c r="E1677" t="inlineStr">
        <is>
          <t>LJUSDAL</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26819-2025</t>
        </is>
      </c>
      <c r="B1678" s="1" t="n">
        <v>45810.63636574074</v>
      </c>
      <c r="C1678" s="1" t="n">
        <v>46036</v>
      </c>
      <c r="D1678" t="inlineStr">
        <is>
          <t>GÄVLEBORGS LÄN</t>
        </is>
      </c>
      <c r="E1678" t="inlineStr">
        <is>
          <t>LJUSDAL</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26816-2025</t>
        </is>
      </c>
      <c r="B1679" s="1" t="n">
        <v>45810.63582175926</v>
      </c>
      <c r="C1679" s="1" t="n">
        <v>46036</v>
      </c>
      <c r="D1679" t="inlineStr">
        <is>
          <t>GÄVLEBORGS LÄN</t>
        </is>
      </c>
      <c r="E1679" t="inlineStr">
        <is>
          <t>LJUSDAL</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56355-2024</t>
        </is>
      </c>
      <c r="B1680" s="1" t="n">
        <v>45624.9339699074</v>
      </c>
      <c r="C1680" s="1" t="n">
        <v>46036</v>
      </c>
      <c r="D1680" t="inlineStr">
        <is>
          <t>GÄVLEBORGS LÄN</t>
        </is>
      </c>
      <c r="E1680" t="inlineStr">
        <is>
          <t>LJUSDAL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39665-2024</t>
        </is>
      </c>
      <c r="B1681" s="1" t="n">
        <v>45552.51726851852</v>
      </c>
      <c r="C1681" s="1" t="n">
        <v>46036</v>
      </c>
      <c r="D1681" t="inlineStr">
        <is>
          <t>GÄVLEBORGS LÄN</t>
        </is>
      </c>
      <c r="E1681" t="inlineStr">
        <is>
          <t>LJUSDAL</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7472-2022</t>
        </is>
      </c>
      <c r="B1682" s="1" t="n">
        <v>44607.39039351852</v>
      </c>
      <c r="C1682" s="1" t="n">
        <v>46036</v>
      </c>
      <c r="D1682" t="inlineStr">
        <is>
          <t>GÄVLEBORGS LÄN</t>
        </is>
      </c>
      <c r="E1682" t="inlineStr">
        <is>
          <t>LJUSDAL</t>
        </is>
      </c>
      <c r="F1682" t="inlineStr">
        <is>
          <t>Holmen skog AB</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42732-2023</t>
        </is>
      </c>
      <c r="B1683" s="1" t="n">
        <v>45181</v>
      </c>
      <c r="C1683" s="1" t="n">
        <v>46036</v>
      </c>
      <c r="D1683" t="inlineStr">
        <is>
          <t>GÄVLEBORGS LÄN</t>
        </is>
      </c>
      <c r="E1683" t="inlineStr">
        <is>
          <t>LJUSDAL</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20023-2025</t>
        </is>
      </c>
      <c r="B1684" s="1" t="n">
        <v>45772.34421296296</v>
      </c>
      <c r="C1684" s="1" t="n">
        <v>46036</v>
      </c>
      <c r="D1684" t="inlineStr">
        <is>
          <t>GÄVLEBORGS LÄN</t>
        </is>
      </c>
      <c r="E1684" t="inlineStr">
        <is>
          <t>LJUSDAL</t>
        </is>
      </c>
      <c r="F1684" t="inlineStr">
        <is>
          <t>SCA</t>
        </is>
      </c>
      <c r="G1684" t="n">
        <v>2.1</v>
      </c>
      <c r="H1684" t="n">
        <v>0</v>
      </c>
      <c r="I1684" t="n">
        <v>0</v>
      </c>
      <c r="J1684" t="n">
        <v>0</v>
      </c>
      <c r="K1684" t="n">
        <v>0</v>
      </c>
      <c r="L1684" t="n">
        <v>0</v>
      </c>
      <c r="M1684" t="n">
        <v>0</v>
      </c>
      <c r="N1684" t="n">
        <v>0</v>
      </c>
      <c r="O1684" t="n">
        <v>0</v>
      </c>
      <c r="P1684" t="n">
        <v>0</v>
      </c>
      <c r="Q1684" t="n">
        <v>0</v>
      </c>
      <c r="R1684" s="2" t="inlineStr"/>
    </row>
    <row r="1685">
      <c r="A1685" t="inlineStr">
        <is>
          <t>A 26999-2025</t>
        </is>
      </c>
      <c r="B1685" s="1" t="n">
        <v>45811.54422453704</v>
      </c>
      <c r="C1685" s="1" t="n">
        <v>46036</v>
      </c>
      <c r="D1685" t="inlineStr">
        <is>
          <t>GÄVLEBORGS LÄN</t>
        </is>
      </c>
      <c r="E1685" t="inlineStr">
        <is>
          <t>LJUSDAL</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2026-01-14T10:57:16Z</dcterms:created>
  <dcterms:modified xmlns:dcterms="http://purl.org/dc/terms/" xmlns:xsi="http://www.w3.org/2001/XMLSchema-instance" xsi:type="dcterms:W3CDTF">2026-01-14T10:57:18Z</dcterms:modified>
</cp:coreProperties>
</file>